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ghconsults.sharepoint.com/sites/ghctrademeasures/Shared Documents/2- Other countries investigations/2024_US Duy Tan Group/99. WPS/1. Egypt/"/>
    </mc:Choice>
  </mc:AlternateContent>
  <xr:revisionPtr revIDLastSave="711" documentId="13_ncr:1_{56AA10B1-7C0A-468C-B5E4-42480A7CD853}" xr6:coauthVersionLast="47" xr6:coauthVersionMax="47" xr10:uidLastSave="{3F9E0F34-BD5A-4650-9B4F-3AC73C33DDE3}"/>
  <bookViews>
    <workbookView xWindow="-120" yWindow="-120" windowWidth="29040" windowHeight="17640" activeTab="1" xr2:uid="{49E0EAA4-9B60-406E-86FF-BAE9C0ADA1C7}"/>
  </bookViews>
  <sheets>
    <sheet name="SC CONSIDERATION" sheetId="52" r:id="rId1"/>
    <sheet name="EX-1A SV Summary" sheetId="1" r:id="rId2"/>
    <sheet name="Movement" sheetId="65" r:id="rId3"/>
    <sheet name="Water" sheetId="64" r:id="rId4"/>
    <sheet name="NME list" sheetId="55" r:id="rId5"/>
    <sheet name="Export Data" sheetId="54" r:id="rId6"/>
    <sheet name="Imports Data" sheetId="53" r:id="rId7"/>
    <sheet name="Costing flow" sheetId="57" r:id="rId8"/>
    <sheet name="EX-1B Data source" sheetId="45" r:id="rId9"/>
    <sheet name="EX-2.1 Chai &amp; vảy" sheetId="2" r:id="rId10"/>
    <sheet name="EX-2.4 Phụ gia khác" sheetId="12" r:id="rId11"/>
    <sheet name="EX-2.5 Phụ gia RHC" sheetId="13" r:id="rId12"/>
    <sheet name="EX-2.3 Phụ gia 409" sheetId="11" r:id="rId13"/>
    <sheet name="EX-2.6 Phá bọt" sheetId="58" r:id="rId14"/>
    <sheet name="EX-2.7- Thủy tinh lỏng" sheetId="59" r:id="rId15"/>
    <sheet name="EX-2.8 Sodium 281511" sheetId="60" r:id="rId16"/>
    <sheet name="EX-2.9 Sodium 281512" sheetId="61" r:id="rId17"/>
    <sheet name="EX-2.10 Pallet gỗ" sheetId="62" r:id="rId18"/>
    <sheet name="EX-2.11 Bao bì" sheetId="63" r:id="rId19"/>
    <sheet name="EX-3 CPI" sheetId="56" r:id="rId20"/>
    <sheet name="EX-5A LABOR" sheetId="32" r:id="rId21"/>
    <sheet name="EX-6A ELEC" sheetId="34" r:id="rId22"/>
    <sheet name="EX-10A FINRATIO" sheetId="41" r:id="rId23"/>
    <sheet name="EX-10C1 Rubex" sheetId="43" r:id="rId24"/>
  </sheets>
  <definedNames>
    <definedName name="\0" localSheetId="2">#REF!</definedName>
    <definedName name="\0">#REF!</definedName>
    <definedName name="\A" localSheetId="2">#REF!</definedName>
    <definedName name="\A">#REF!</definedName>
    <definedName name="\B" localSheetId="2">#REF!</definedName>
    <definedName name="\B">#REF!</definedName>
    <definedName name="\c">#REF!</definedName>
    <definedName name="\D">#REF!</definedName>
    <definedName name="\E">#REF!</definedName>
    <definedName name="\F">#REF!</definedName>
    <definedName name="\g">#REF!</definedName>
    <definedName name="\H">#REF!</definedName>
    <definedName name="\L">#REF!</definedName>
    <definedName name="\P">#REF!</definedName>
    <definedName name="\S">#REF!</definedName>
    <definedName name="\T">#REF!</definedName>
    <definedName name="\V">#REF!</definedName>
    <definedName name="_">#REF!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PrintPi">#REF!</definedName>
    <definedName name="_1_0PrintPi">#REF!</definedName>
    <definedName name="_123334" hidden="1">#REF!</definedName>
    <definedName name="_123Graph_E" hidden="1">#REF!</definedName>
    <definedName name="_1DealsMAVCPMJVExt">#REF!</definedName>
    <definedName name="_1tradebloc">#REF!</definedName>
    <definedName name="_2">#REF!</definedName>
    <definedName name="_2AFGearingRatios">#REF!</definedName>
    <definedName name="_2PrintPi">#REF!</definedName>
    <definedName name="_2RAWAssetFinancing">#REF!</definedName>
    <definedName name="_2RAWEquityProviders">#REF!</definedName>
    <definedName name="_2RAWSellers">#REF!</definedName>
    <definedName name="_483_1M">#REF!</definedName>
    <definedName name="_AMO_UniqueIdentifier" hidden="1">"'c29722d9-145a-4271-9eac-481ec9c28bdd'"</definedName>
    <definedName name="_BIG6">#REF!</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LX1.USE">#REF!</definedName>
    <definedName name="_DLX2.USE7">#REF!</definedName>
    <definedName name="_Fill" hidden="1">#REF!</definedName>
    <definedName name="_xlnm._FilterDatabase" localSheetId="23" hidden="1">'EX-10C1 Rubex'!$A$7:$K$39</definedName>
    <definedName name="_xlnm._FilterDatabase" localSheetId="9" hidden="1">'EX-2.1 Chai &amp; vảy'!#REF!</definedName>
    <definedName name="_xlnm._FilterDatabase" localSheetId="12" hidden="1">'EX-2.3 Phụ gia 409'!$A$85:$AV$405</definedName>
    <definedName name="_xlnm._FilterDatabase" localSheetId="10" hidden="1">'EX-2.4 Phụ gia khác'!$A$10:$AV$23</definedName>
    <definedName name="_xlnm._FilterDatabase" localSheetId="11" hidden="1">'EX-2.5 Phụ gia RHC'!$A$11:$AV$36</definedName>
    <definedName name="_xlnm._FilterDatabase" localSheetId="13" hidden="1">'EX-2.6 Phá bọt'!$B$12:$Q$72</definedName>
    <definedName name="_xlnm._FilterDatabase" localSheetId="0" hidden="1">'SC CONSIDERATION'!$A$6:$M$214</definedName>
    <definedName name="_Key1" localSheetId="2" hidden="1">#REF!</definedName>
    <definedName name="_Key1" hidden="1">#REF!</definedName>
    <definedName name="_Key2" localSheetId="2" hidden="1">#REF!</definedName>
    <definedName name="_Key2" hidden="1">#REF!</definedName>
    <definedName name="_key5" localSheetId="2" hidden="1">#REF!</definedName>
    <definedName name="_key5" hidden="1">#REF!</definedName>
    <definedName name="_newscore">#REF!</definedName>
    <definedName name="_Order1" hidden="1">255</definedName>
    <definedName name="_Order2" hidden="1">255</definedName>
    <definedName name="_PLT40">#REF!</definedName>
    <definedName name="_Regression_Int">1</definedName>
    <definedName name="_Regression_X" hidden="1">#REF!</definedName>
    <definedName name="_Regression_Y" hidden="1">#REF!</definedName>
    <definedName name="_sec3" hidden="1">#REF!</definedName>
    <definedName name="_Sort" hidden="1">#REF!</definedName>
    <definedName name="_Table2_In1" hidden="1">#REF!</definedName>
    <definedName name="_Table2_In2" hidden="1">#REF!</definedName>
    <definedName name="A">#REF!</definedName>
    <definedName name="AAE">#REF!</definedName>
    <definedName name="AAH">#REF!</definedName>
    <definedName name="AAP">#REF!</definedName>
    <definedName name="abd" hidden="1">#REF!</definedName>
    <definedName name="ABE">#REF!</definedName>
    <definedName name="ABH">#REF!</definedName>
    <definedName name="ABP">#REF!</definedName>
    <definedName name="AE">#REF!</definedName>
    <definedName name="AFKAIRCURRENT">#REF!</definedName>
    <definedName name="AH">#REF!</definedName>
    <definedName name="AIRCOVMTHLYD">#REF!</definedName>
    <definedName name="AJT">#REF!</definedName>
    <definedName name="ak">#REF!</definedName>
    <definedName name="ALL">#REF!</definedName>
    <definedName name="ALLOCATION">#REF!</definedName>
    <definedName name="allocations">#REF!</definedName>
    <definedName name="allocpercent">#REF!</definedName>
    <definedName name="AP">#REF!</definedName>
    <definedName name="Application">#REF!</definedName>
    <definedName name="ARInquire">#REF!</definedName>
    <definedName name="ARLogin">#REF!</definedName>
    <definedName name="ARLogout">#REF!</definedName>
    <definedName name="ARNavigate">#REF!</definedName>
    <definedName name="ARRAY">#REF!</definedName>
    <definedName name="AS2DocOpenMode" hidden="1">"AS2DocumentEdit"</definedName>
    <definedName name="aveday">#REF!</definedName>
    <definedName name="AveDays">#REF!</definedName>
    <definedName name="avgdaysmth">#REF!</definedName>
    <definedName name="B">#REF!</definedName>
    <definedName name="BE">#REF!</definedName>
    <definedName name="BEESWAX">#REF!</definedName>
    <definedName name="BH">#REF!</definedName>
    <definedName name="blah">#REF!</definedName>
    <definedName name="blank" hidden="1">#REF!</definedName>
    <definedName name="BM_INDEX">#REF!</definedName>
    <definedName name="BM_OVER">#REF!</definedName>
    <definedName name="BP">#REF!</definedName>
    <definedName name="BPI_Freight_pv">#REF!</definedName>
    <definedName name="Brazil">#REF!</definedName>
    <definedName name="BUDCOST">#REF!</definedName>
    <definedName name="BY_PRODUCER">#REF!</definedName>
    <definedName name="C_">#REF!</definedName>
    <definedName name="CAE">#REF!</definedName>
    <definedName name="CAH">#REF!</definedName>
    <definedName name="Calculated_SV_Data">#REF!</definedName>
    <definedName name="CAP">#REF!</definedName>
    <definedName name="capex">#REF!</definedName>
    <definedName name="Category">#REF!</definedName>
    <definedName name="CBE">#REF!</definedName>
    <definedName name="CBH">#REF!</definedName>
    <definedName name="CBP">#REF!</definedName>
    <definedName name="celltomodule">#REF!</definedName>
    <definedName name="century">#REF!</definedName>
    <definedName name="ClearREVcrr">#REF!,#REF!,#REF!,#REF!</definedName>
    <definedName name="ClrCRR">#REF!,#REF!,#REF!,#REF!</definedName>
    <definedName name="ClrSCRR">#REF!,#REF!,#REF!,#REF!</definedName>
    <definedName name="ClrSubPhADDlevy">#REF!,#REF!,#REF!,#REF!</definedName>
    <definedName name="ClrSubPhAddLevyRisk">#REF!,#REF!,#REF!,#REF!</definedName>
    <definedName name="ClrSubPhase">#REF!,#REF!,#REF!,#REF!</definedName>
    <definedName name="ClrSUBR">#REF!,#REF!,#REF!,#REF!</definedName>
    <definedName name="CO">#REF!</definedName>
    <definedName name="COGS">#REF!</definedName>
    <definedName name="COMINGLE">#REF!</definedName>
    <definedName name="Conc">#REF!</definedName>
    <definedName name="CONSOLIDATED">#REF!</definedName>
    <definedName name="CONSOLIDATED_2">#REF!</definedName>
    <definedName name="country">#REF!</definedName>
    <definedName name="CountryCode">#REF!</definedName>
    <definedName name="COVCURRENT">#REF!</definedName>
    <definedName name="COVMTHLYD">#REF!</definedName>
    <definedName name="CPI">#REF!</definedName>
    <definedName name="CVVAR">#REF!</definedName>
    <definedName name="D">#REF!</definedName>
    <definedName name="DAAE">#REF!</definedName>
    <definedName name="DAAH">#REF!</definedName>
    <definedName name="DAAP">#REF!</definedName>
    <definedName name="DABE">#REF!</definedName>
    <definedName name="DABH">#REF!</definedName>
    <definedName name="DABP">#REF!</definedName>
    <definedName name="data">#REF!</definedName>
    <definedName name="DATA2">#REF!</definedName>
    <definedName name="_xlnm.Database">#REF!</definedName>
    <definedName name="DATE">#REF!</definedName>
    <definedName name="DCAE">#REF!</definedName>
    <definedName name="DCAH">#REF!</definedName>
    <definedName name="DCAP">#REF!</definedName>
    <definedName name="DCBE">#REF!</definedName>
    <definedName name="DCBH">#REF!</definedName>
    <definedName name="DCBP">#REF!</definedName>
    <definedName name="ddd" hidden="1">#REF!</definedName>
    <definedName name="DELETE">#REF!</definedName>
    <definedName name="delete2">#REF!</definedName>
    <definedName name="delete3">#REF!</definedName>
    <definedName name="DEPTACT">#REF!</definedName>
    <definedName name="DEPTACTR">#REF!</definedName>
    <definedName name="deptbudgets">#REF!</definedName>
    <definedName name="detail">#REF!</definedName>
    <definedName name="dfs">#REF!</definedName>
    <definedName name="DH_2M">#REF!</definedName>
    <definedName name="doff">#REF!</definedName>
    <definedName name="doublez">IF(#REF!="",OFFSET(#REF!,0,0,1,#REF!),OFFSET(#REF!,0,0,1,#REF!))</definedName>
    <definedName name="DOW">#REF!</definedName>
    <definedName name="DS">#REF!</definedName>
    <definedName name="dsa">#REF!</definedName>
    <definedName name="DSR">#REF!</definedName>
    <definedName name="DTY">#REF!</definedName>
    <definedName name="DxLoss1">#REF!</definedName>
    <definedName name="DxLoss2">#REF!</definedName>
    <definedName name="DxLoss3">#REF!</definedName>
    <definedName name="DxLoss4">#REF!</definedName>
    <definedName name="DYED">#REF!</definedName>
    <definedName name="DYEDR">#REF!</definedName>
    <definedName name="DYEHOUSE">#REF!</definedName>
    <definedName name="EMP">#REF!</definedName>
    <definedName name="end">#REF!</definedName>
    <definedName name="EnviroLevy">#REF!</definedName>
    <definedName name="EnviroOPT">#REF!</definedName>
    <definedName name="EnvLevyINrate">#REF!</definedName>
    <definedName name="equityproviders">#REF!</definedName>
    <definedName name="eurtousd">#REF!</definedName>
    <definedName name="Exchnage_rates">#REF!</definedName>
    <definedName name="Exclude">#REF!</definedName>
    <definedName name="Excluded">#REF!</definedName>
    <definedName name="ExpenseCategory">#REF!</definedName>
    <definedName name="Factor">#REF!</definedName>
    <definedName name="FAX_TO__DWIGHT_WILSON__74_600">#REF!</definedName>
    <definedName name="FirstQuarterData">#REF!</definedName>
    <definedName name="FISCAL03">#REF!</definedName>
    <definedName name="FiscalYearData2004">#REF!</definedName>
    <definedName name="FOP">#REF!</definedName>
    <definedName name="FourthQuarterData">#REF!</definedName>
    <definedName name="FX">#REF!</definedName>
    <definedName name="GenTUoSadd">#REF!</definedName>
    <definedName name="GNI">#REF!</definedName>
    <definedName name="GRAPHINFO">#REF!</definedName>
    <definedName name="GRAPHS">#REF!</definedName>
    <definedName name="h">#REF!</definedName>
    <definedName name="Hana">#REF!</definedName>
    <definedName name="Herotone">#REF!</definedName>
    <definedName name="High_protein">#REF!</definedName>
    <definedName name="HIST">#REF!</definedName>
    <definedName name="HOURS">#REF!</definedName>
    <definedName name="HOURS2">#REF!</definedName>
    <definedName name="HRS_2M">#REF!</definedName>
    <definedName name="husks">#REF!</definedName>
    <definedName name="I">#REF!</definedName>
    <definedName name="ICBTSC">#REF!</definedName>
    <definedName name="IE_INDEX">#REF!</definedName>
    <definedName name="Imports_Extract">#REF!</definedName>
    <definedName name="InAltmunicAffSub">#REF!</definedName>
    <definedName name="InAltmunicDx">#REF!</definedName>
    <definedName name="InAltmunicDxPOD">#REF!</definedName>
    <definedName name="InAltmunicE">#REF!</definedName>
    <definedName name="InAltmunicElecSub">#REF!</definedName>
    <definedName name="InAltmunickvarh">#REF!</definedName>
    <definedName name="InAltmunicLVSub">#REF!</definedName>
    <definedName name="InAltmunicmain">#REF!</definedName>
    <definedName name="InAltmunicNDC">#REF!</definedName>
    <definedName name="InAltmunicNetSub">#REF!</definedName>
    <definedName name="InAltmunicRAffSub">#REF!</definedName>
    <definedName name="InAltmunicRDx">#REF!</definedName>
    <definedName name="InAltmunicRDxPOD">#REF!</definedName>
    <definedName name="InAltmunicRE">#REF!</definedName>
    <definedName name="InAltmunicRel">#REF!</definedName>
    <definedName name="InAltmunicRElecSub">#REF!</definedName>
    <definedName name="InAltmunicRet">#REF!</definedName>
    <definedName name="InAltmunicRkvarh">#REF!</definedName>
    <definedName name="InAltmunicRLVSub">#REF!</definedName>
    <definedName name="InAltmunicRmain">#REF!</definedName>
    <definedName name="InAltmunicRNDC">#REF!</definedName>
    <definedName name="InAltmunicRNetSub">#REF!</definedName>
    <definedName name="InAltmunicRRel">#REF!</definedName>
    <definedName name="InAltmunicRRet">#REF!</definedName>
    <definedName name="InAltmunicRTx">#REF!</definedName>
    <definedName name="InAltmunicRTxDx">#REF!</definedName>
    <definedName name="InAltmunicTx">#REF!</definedName>
    <definedName name="InAltmunicTxDx">#REF!</definedName>
    <definedName name="InBusAffSub">#REF!</definedName>
    <definedName name="InBusDx">#REF!</definedName>
    <definedName name="InBusDxPOD">#REF!</definedName>
    <definedName name="InBusE">#REF!</definedName>
    <definedName name="InBusElecSub">#REF!</definedName>
    <definedName name="InBuskvarh">#REF!</definedName>
    <definedName name="InBusLVSub">#REF!</definedName>
    <definedName name="InBusmain">#REF!</definedName>
    <definedName name="InBusmunicAffSub">#REF!</definedName>
    <definedName name="InBusmunicDx">#REF!</definedName>
    <definedName name="InBusmunicDxPOD">#REF!</definedName>
    <definedName name="InBusmunicE">#REF!</definedName>
    <definedName name="InBusmunicElecSub">#REF!</definedName>
    <definedName name="InBusmunickvarh">#REF!</definedName>
    <definedName name="InBusmunicLVSub">#REF!</definedName>
    <definedName name="InBusmunicmain">#REF!</definedName>
    <definedName name="InBusmunicNDC">#REF!</definedName>
    <definedName name="InBusmunicNetSub">#REF!</definedName>
    <definedName name="InBusmunicRel">#REF!</definedName>
    <definedName name="InBusmunicRet">#REF!</definedName>
    <definedName name="InBusmunicTx">#REF!</definedName>
    <definedName name="InBusmunicTxDx">#REF!</definedName>
    <definedName name="InBusNDC">#REF!</definedName>
    <definedName name="InBusNetSub">#REF!</definedName>
    <definedName name="InBusRel">#REF!</definedName>
    <definedName name="InBusRet">#REF!</definedName>
    <definedName name="InBusTx">#REF!</definedName>
    <definedName name="InBusTxDx">#REF!</definedName>
    <definedName name="incESK">#REF!</definedName>
    <definedName name="incMUN">#REF!</definedName>
    <definedName name="InHLAffSub">#REF!</definedName>
    <definedName name="InHLDx">#REF!</definedName>
    <definedName name="InHLDxPOD">#REF!</definedName>
    <definedName name="InHLE">#REF!</definedName>
    <definedName name="InHLElecSub">#REF!</definedName>
    <definedName name="InHLkvarh">#REF!</definedName>
    <definedName name="InHLLVSub">#REF!</definedName>
    <definedName name="InHLmain">#REF!</definedName>
    <definedName name="InHLNDC">#REF!</definedName>
    <definedName name="InHLNetSub">#REF!</definedName>
    <definedName name="InHLRel">#REF!</definedName>
    <definedName name="InHLRet">#REF!</definedName>
    <definedName name="InHLTx">#REF!</definedName>
    <definedName name="InHLTxDx">#REF!</definedName>
    <definedName name="InHPAffSub">#REF!</definedName>
    <definedName name="InHPbulk_network">#REF!</definedName>
    <definedName name="InHPDx">#REF!</definedName>
    <definedName name="InHPDxPOD">#REF!</definedName>
    <definedName name="InHPE">#REF!</definedName>
    <definedName name="InHPElecSub">#REF!</definedName>
    <definedName name="InHPkvarh">#REF!</definedName>
    <definedName name="InHPLVSub">#REF!</definedName>
    <definedName name="InHPmain">#REF!</definedName>
    <definedName name="InHPmunicAffSub">#REF!</definedName>
    <definedName name="InHPmunicDx">#REF!</definedName>
    <definedName name="InHPmunicDxPOD">#REF!</definedName>
    <definedName name="InHPmunicE">#REF!</definedName>
    <definedName name="InHPmunicElecSub">#REF!</definedName>
    <definedName name="InHPmunickvarh">#REF!</definedName>
    <definedName name="InHPmunicLVSub">#REF!</definedName>
    <definedName name="InHPmunicmain">#REF!</definedName>
    <definedName name="InHPmunicNDC">#REF!</definedName>
    <definedName name="InHPmunicNetSub">#REF!</definedName>
    <definedName name="InHPmunicRel">#REF!</definedName>
    <definedName name="InHPmunicRet">#REF!</definedName>
    <definedName name="InHPmunicTx">#REF!</definedName>
    <definedName name="InHPmunicTxDx">#REF!</definedName>
    <definedName name="InHPNDC">#REF!</definedName>
    <definedName name="InHPNetSub">#REF!</definedName>
    <definedName name="InHPRel">#REF!</definedName>
    <definedName name="InHPRet">#REF!</definedName>
    <definedName name="InHPTx">#REF!</definedName>
    <definedName name="InHPTxDx">#REF!</definedName>
    <definedName name="InLandAffSub">#REF!</definedName>
    <definedName name="InLandDx">#REF!</definedName>
    <definedName name="InLandDxPOD">#REF!</definedName>
    <definedName name="InLandE">#REF!</definedName>
    <definedName name="InLandElecSub">#REF!</definedName>
    <definedName name="InLandkvarh">#REF!</definedName>
    <definedName name="InLandLVSub">#REF!</definedName>
    <definedName name="InLandmain">#REF!</definedName>
    <definedName name="InLandmunicAffSub">#REF!</definedName>
    <definedName name="InLandmunicDx">#REF!</definedName>
    <definedName name="InLandmunicDxPOD">#REF!</definedName>
    <definedName name="InLandmunicE">#REF!</definedName>
    <definedName name="InLandmunicElecSub">#REF!</definedName>
    <definedName name="InLandmunickvarh">#REF!</definedName>
    <definedName name="InLandmunicLVSub">#REF!</definedName>
    <definedName name="InLandmunicmain">#REF!</definedName>
    <definedName name="InLandmunicNDC">#REF!</definedName>
    <definedName name="InLandmunicNetSub">#REF!</definedName>
    <definedName name="InLandmunicRel">#REF!</definedName>
    <definedName name="InLandmunicRet">#REF!</definedName>
    <definedName name="InLandmunicTx">#REF!</definedName>
    <definedName name="InLandmunicTxDx">#REF!</definedName>
    <definedName name="InLandNDC">#REF!</definedName>
    <definedName name="InLandNetSub">#REF!</definedName>
    <definedName name="InLandRel">#REF!</definedName>
    <definedName name="InLandRet">#REF!</definedName>
    <definedName name="InLandTx">#REF!</definedName>
    <definedName name="InLandTxDx">#REF!</definedName>
    <definedName name="InMegaAffSub">#REF!</definedName>
    <definedName name="InMegaDx">#REF!</definedName>
    <definedName name="InMegaDxPOD">#REF!</definedName>
    <definedName name="InMegaE">#REF!</definedName>
    <definedName name="InMegaElecSub">#REF!</definedName>
    <definedName name="InMegakvarh">#REF!</definedName>
    <definedName name="InMegaLVSub">#REF!</definedName>
    <definedName name="InMegamain">#REF!</definedName>
    <definedName name="InMegamunicAffSub">#REF!</definedName>
    <definedName name="InMegamunicDx">#REF!</definedName>
    <definedName name="InMegamunicDxPOD">#REF!</definedName>
    <definedName name="InMegamunicE">#REF!</definedName>
    <definedName name="InMegamunicElecSub">#REF!</definedName>
    <definedName name="InMegamunickvarh">#REF!</definedName>
    <definedName name="InMegamunicLVSub">#REF!</definedName>
    <definedName name="InMegamunicmain">#REF!</definedName>
    <definedName name="INMegamunicNDC">#REF!</definedName>
    <definedName name="InMegamunicNetSub">#REF!</definedName>
    <definedName name="InMegamunicRel">#REF!</definedName>
    <definedName name="InMegamunicRet">#REF!</definedName>
    <definedName name="InMegamunicTx">#REF!</definedName>
    <definedName name="InMegamunicTxDx">#REF!</definedName>
    <definedName name="INMegaNDC">#REF!</definedName>
    <definedName name="InMegaNetSub">#REF!</definedName>
    <definedName name="InMegaRel">#REF!</definedName>
    <definedName name="InMegaRet">#REF!</definedName>
    <definedName name="InMegaTx">#REF!</definedName>
    <definedName name="InMegaTxDx">#REF!</definedName>
    <definedName name="InMiniAffSub">#REF!</definedName>
    <definedName name="InMiniDx">#REF!</definedName>
    <definedName name="InMiniDxPOD">#REF!</definedName>
    <definedName name="InMiniE">#REF!</definedName>
    <definedName name="InMiniElecSub">#REF!</definedName>
    <definedName name="InMinikvarh">#REF!</definedName>
    <definedName name="InMiniLVSub">#REF!</definedName>
    <definedName name="InMinimain">#REF!</definedName>
    <definedName name="InMinimunicAffSub">#REF!</definedName>
    <definedName name="InMinimunicDx">#REF!</definedName>
    <definedName name="InMinimunicDxPOD">#REF!</definedName>
    <definedName name="InMinimunicE">#REF!</definedName>
    <definedName name="InMinimunicElecSub">#REF!</definedName>
    <definedName name="InMinimunickvarh">#REF!</definedName>
    <definedName name="InMinimunicLVSub">#REF!</definedName>
    <definedName name="InMinimunicmain">#REF!</definedName>
    <definedName name="InMinimunicNDC">#REF!</definedName>
    <definedName name="InMinimunicNetSub">#REF!</definedName>
    <definedName name="InMinimunicRel">#REF!</definedName>
    <definedName name="InMinimunicRet">#REF!</definedName>
    <definedName name="InMinimunicTx">#REF!</definedName>
    <definedName name="InMinimunicTxDx">#REF!</definedName>
    <definedName name="InMiniNDC">#REF!</definedName>
    <definedName name="InMiniNetSub">#REF!</definedName>
    <definedName name="InMiniRel">#REF!</definedName>
    <definedName name="InMiniRet">#REF!</definedName>
    <definedName name="InMiniTx">#REF!</definedName>
    <definedName name="InMiniTxDx">#REF!</definedName>
    <definedName name="InNLAffSub">#REF!</definedName>
    <definedName name="InNLDx">#REF!</definedName>
    <definedName name="InNLDxPOD">#REF!</definedName>
    <definedName name="InNLE">#REF!</definedName>
    <definedName name="InNLElecSub">#REF!</definedName>
    <definedName name="InNLkvarh">#REF!</definedName>
    <definedName name="InNLLVSub">#REF!</definedName>
    <definedName name="InNLmain">#REF!</definedName>
    <definedName name="InNLmunicAffSub">#REF!</definedName>
    <definedName name="InNLmunicDx">#REF!</definedName>
    <definedName name="InNLmunicDxPOD">#REF!</definedName>
    <definedName name="InNLmunicE">#REF!</definedName>
    <definedName name="InNLmunicElecSub">#REF!</definedName>
    <definedName name="InNLmunickvarh">#REF!</definedName>
    <definedName name="InNLmunicLVSub">#REF!</definedName>
    <definedName name="InNLmunicmain">#REF!</definedName>
    <definedName name="InNLmunicNDC">#REF!</definedName>
    <definedName name="InNLmunicNetSub">#REF!</definedName>
    <definedName name="InNLmunicRel">#REF!</definedName>
    <definedName name="InNLmunicRet">#REF!</definedName>
    <definedName name="InNLmunicTx">#REF!</definedName>
    <definedName name="InNLmunicTxDx">#REF!</definedName>
    <definedName name="InNLNDC">#REF!</definedName>
    <definedName name="InNLNetSub">#REF!</definedName>
    <definedName name="InNLRel">#REF!</definedName>
    <definedName name="InNLRet">#REF!</definedName>
    <definedName name="InNLTx">#REF!</definedName>
    <definedName name="InNLTxDx">#REF!</definedName>
    <definedName name="InNRAffSub">#REF!</definedName>
    <definedName name="InNRDx">#REF!</definedName>
    <definedName name="InNRDxPOD">#REF!</definedName>
    <definedName name="InNRE">#REF!</definedName>
    <definedName name="InNRElecSub">#REF!</definedName>
    <definedName name="InNRkvarh">#REF!</definedName>
    <definedName name="InNRLVSub">#REF!</definedName>
    <definedName name="InNRmain">#REF!</definedName>
    <definedName name="InNRmunicAffSub">#REF!</definedName>
    <definedName name="InNRmunicDx">#REF!</definedName>
    <definedName name="InNRmunicDxPOD">#REF!</definedName>
    <definedName name="InNRmunicE">#REF!</definedName>
    <definedName name="InNRmunicElecSub">#REF!</definedName>
    <definedName name="InNRmunickvarh">#REF!</definedName>
    <definedName name="InNRmunicLVSub">#REF!</definedName>
    <definedName name="InNRmunicmain">#REF!</definedName>
    <definedName name="InNRmunicNDC">#REF!</definedName>
    <definedName name="InNRmunicNetSub">#REF!</definedName>
    <definedName name="InNRmunicRel">#REF!</definedName>
    <definedName name="InNRmunicRet">#REF!</definedName>
    <definedName name="InNRmunicTx">#REF!</definedName>
    <definedName name="InNRmunicTxDx">#REF!</definedName>
    <definedName name="InNRNDC">#REF!</definedName>
    <definedName name="InNRNetSub">#REF!</definedName>
    <definedName name="InNRRel">#REF!</definedName>
    <definedName name="InNRRet">#REF!</definedName>
    <definedName name="InNRTx">#REF!</definedName>
    <definedName name="InNRTxDx">#REF!</definedName>
    <definedName name="InNSAffSub">#REF!</definedName>
    <definedName name="InNSDx">#REF!</definedName>
    <definedName name="InNSDxPOD">#REF!</definedName>
    <definedName name="InNSE">#REF!</definedName>
    <definedName name="InNSElecSub">#REF!</definedName>
    <definedName name="InNSkvarh">#REF!</definedName>
    <definedName name="InNSLVSub">#REF!</definedName>
    <definedName name="InNSmain">#REF!</definedName>
    <definedName name="InNSmunicAffSub">#REF!</definedName>
    <definedName name="InNSmunicDx">#REF!</definedName>
    <definedName name="InNSmunicDxPOD">#REF!</definedName>
    <definedName name="InNSmunicE">#REF!</definedName>
    <definedName name="InNSmunicElecSub">#REF!</definedName>
    <definedName name="InNSmunickvarh">#REF!</definedName>
    <definedName name="InNSmunicLVSub">#REF!</definedName>
    <definedName name="InNSmunicmain">#REF!</definedName>
    <definedName name="InNSmunicNDC">#REF!</definedName>
    <definedName name="InNSmunicNetSub">#REF!</definedName>
    <definedName name="InNSmunicRel">#REF!</definedName>
    <definedName name="InNSmunicRet">#REF!</definedName>
    <definedName name="InNSmunicTx">#REF!</definedName>
    <definedName name="InNSmunicTxDx">#REF!</definedName>
    <definedName name="InNSNDC">#REF!</definedName>
    <definedName name="InNSNetSub">#REF!</definedName>
    <definedName name="InNSRel">#REF!</definedName>
    <definedName name="InNSRet">#REF!</definedName>
    <definedName name="InNSTx">#REF!</definedName>
    <definedName name="InNsTxDx">#REF!</definedName>
    <definedName name="InPLAffSub">#REF!</definedName>
    <definedName name="InPLDx">#REF!</definedName>
    <definedName name="InPLDxPOD">#REF!</definedName>
    <definedName name="InPLE">#REF!</definedName>
    <definedName name="InPLElecSub">#REF!</definedName>
    <definedName name="InPLkvarh">#REF!</definedName>
    <definedName name="InPLLVSub">#REF!</definedName>
    <definedName name="InPLmain">#REF!</definedName>
    <definedName name="InPLmunicAffSub">#REF!</definedName>
    <definedName name="InPLmunicDx">#REF!</definedName>
    <definedName name="InPLmunicDxPOD">#REF!</definedName>
    <definedName name="InPLmunicE">#REF!</definedName>
    <definedName name="InPLmunicElecSub">#REF!</definedName>
    <definedName name="InPLmunickvarh">#REF!</definedName>
    <definedName name="InPLmunicLVSub">#REF!</definedName>
    <definedName name="InPLmunicmain">#REF!</definedName>
    <definedName name="InPLmunicNDC">#REF!</definedName>
    <definedName name="InPLmunicNetSub">#REF!</definedName>
    <definedName name="InPLmunicRel">#REF!</definedName>
    <definedName name="InPLmunicRet">#REF!</definedName>
    <definedName name="InPLmunicTx">#REF!</definedName>
    <definedName name="InPLmunicTxDx">#REF!</definedName>
    <definedName name="InPLNDC">#REF!</definedName>
    <definedName name="InPLNetSub">#REF!</definedName>
    <definedName name="InPLRel">#REF!</definedName>
    <definedName name="InPLRet">#REF!</definedName>
    <definedName name="InPLTx">#REF!</definedName>
    <definedName name="InPLTxDx">#REF!</definedName>
    <definedName name="InputBCB">#REF!</definedName>
    <definedName name="inputdata">#REF!</definedName>
    <definedName name="InRurAffSub">#REF!</definedName>
    <definedName name="InRurDx">#REF!</definedName>
    <definedName name="InRurDxPOD">#REF!</definedName>
    <definedName name="InRurE">#REF!</definedName>
    <definedName name="InRurElecSub">#REF!</definedName>
    <definedName name="InRurkvarh">#REF!</definedName>
    <definedName name="InRurLVSub">#REF!</definedName>
    <definedName name="InRurmain">#REF!</definedName>
    <definedName name="InRurmunicAffSub">#REF!</definedName>
    <definedName name="InRurmunicDx">#REF!</definedName>
    <definedName name="InRurmunicDxPOD">#REF!</definedName>
    <definedName name="InRurmunicE">#REF!</definedName>
    <definedName name="InRurmunicElecSub">#REF!</definedName>
    <definedName name="InRurmunickvarh">#REF!</definedName>
    <definedName name="InRurmunicLVSub">#REF!</definedName>
    <definedName name="InRurmunicmain">#REF!</definedName>
    <definedName name="InRurmunicNDC">#REF!</definedName>
    <definedName name="InRurmunicNetSub">#REF!</definedName>
    <definedName name="InRurmunicRel">#REF!</definedName>
    <definedName name="InRurmunicRet">#REF!</definedName>
    <definedName name="InRurmunicTx">#REF!</definedName>
    <definedName name="InRurmunicTxDx">#REF!</definedName>
    <definedName name="InRurNDC">#REF!</definedName>
    <definedName name="InRurNetSub">#REF!</definedName>
    <definedName name="InRurRel">#REF!</definedName>
    <definedName name="InRurRet">#REF!</definedName>
    <definedName name="InRurTx">#REF!</definedName>
    <definedName name="InRurTxDx">#REF!</definedName>
    <definedName name="InT1AffSub">#REF!</definedName>
    <definedName name="InT1Dx">#REF!</definedName>
    <definedName name="InT1DxPOD">#REF!</definedName>
    <definedName name="InT1E">#REF!</definedName>
    <definedName name="InT1ElecSub">#REF!</definedName>
    <definedName name="InT1kvarh">#REF!</definedName>
    <definedName name="InT1LVSub">#REF!</definedName>
    <definedName name="InT1main">#REF!</definedName>
    <definedName name="InT1NDC">#REF!</definedName>
    <definedName name="InT1NetSub">#REF!</definedName>
    <definedName name="InT1Rel">#REF!</definedName>
    <definedName name="InT1Ret">#REF!</definedName>
    <definedName name="InT1Tx">#REF!</definedName>
    <definedName name="InT1TxDx">#REF!</definedName>
    <definedName name="InT2AffSub">#REF!</definedName>
    <definedName name="InT2Dx">#REF!</definedName>
    <definedName name="InT2DxPOD">#REF!</definedName>
    <definedName name="InT2E">#REF!</definedName>
    <definedName name="InT2ElecSub">#REF!</definedName>
    <definedName name="InT2kvarh">#REF!</definedName>
    <definedName name="InT2LVSub">#REF!</definedName>
    <definedName name="InT2main">#REF!</definedName>
    <definedName name="InT2NDC">#REF!</definedName>
    <definedName name="InT2NetSub">#REF!</definedName>
    <definedName name="InT2Rel">#REF!</definedName>
    <definedName name="InT2Ret">#REF!</definedName>
    <definedName name="InT2Tx">#REF!</definedName>
    <definedName name="InT2TxDx">#REF!</definedName>
    <definedName name="INTEROFFICE">#REF!</definedName>
    <definedName name="InWEPSAffSub">#REF!</definedName>
    <definedName name="InWEPSDx">#REF!</definedName>
    <definedName name="InWEPSDxPOD">#REF!</definedName>
    <definedName name="InWEPSE">#REF!</definedName>
    <definedName name="InWEPSElecSub">#REF!</definedName>
    <definedName name="InWEPSkvarh">#REF!</definedName>
    <definedName name="InWEPSLVSub">#REF!</definedName>
    <definedName name="InWEPSmain">#REF!</definedName>
    <definedName name="InWEPSmunicAffSub">#REF!</definedName>
    <definedName name="InWEPSmunicDx">#REF!</definedName>
    <definedName name="InWEPSmunicDxPOD">#REF!</definedName>
    <definedName name="InWEPSmunicE">#REF!</definedName>
    <definedName name="InWEPSmunicElecSub">#REF!</definedName>
    <definedName name="InWEPSmunickvarh">#REF!</definedName>
    <definedName name="InWEPSmunicLVSub">#REF!</definedName>
    <definedName name="InWEPSmunicmain">#REF!</definedName>
    <definedName name="InWEPSmunicNDC">#REF!</definedName>
    <definedName name="InWEPSmunicNetSub">#REF!</definedName>
    <definedName name="InWEPSmunicRel">#REF!</definedName>
    <definedName name="InWEPSmunicRet">#REF!</definedName>
    <definedName name="InWEPSmunicTx">#REF!</definedName>
    <definedName name="InWEPSmunicTxDx">#REF!</definedName>
    <definedName name="InWEPSNDC">#REF!</definedName>
    <definedName name="InWEPSNetSub">#REF!</definedName>
    <definedName name="InWEPSRel">#REF!</definedName>
    <definedName name="InWEPSRet">#REF!</definedName>
    <definedName name="InWEPSTx">#REF!</definedName>
    <definedName name="InWEPSTxDx">#REF!</definedName>
    <definedName name="Inzero">#REF!</definedName>
    <definedName name="InZeroAffSub">#REF!</definedName>
    <definedName name="InZeroDx">#REF!</definedName>
    <definedName name="InZeroDxPOD">#REF!</definedName>
    <definedName name="InZeroE">#REF!</definedName>
    <definedName name="InZeroElecSub">#REF!</definedName>
    <definedName name="InZerokvarh">#REF!</definedName>
    <definedName name="InZeroLVSub">#REF!</definedName>
    <definedName name="InZeromain">#REF!</definedName>
    <definedName name="InZeroNDC">#REF!</definedName>
    <definedName name="InZeroNetSub">#REF!</definedName>
    <definedName name="InZeroRel">#REF!</definedName>
    <definedName name="InZeroRet">#REF!</definedName>
    <definedName name="InZeroTx">#REF!</definedName>
    <definedName name="InZeroTxDx">#REF!</definedName>
    <definedName name="j">#REF!</definedName>
    <definedName name="Jinhuan">#REF!</definedName>
    <definedName name="JOB_CODE">#REF!</definedName>
    <definedName name="justificativads">#REF!</definedName>
    <definedName name="k">#REF!</definedName>
    <definedName name="KILOS">#REF!</definedName>
    <definedName name="Kinston">#REF!</definedName>
    <definedName name="kk">#REF!</definedName>
    <definedName name="kkk">#REF!</definedName>
    <definedName name="kkkk">#REF!</definedName>
    <definedName name="kkkkk">#REF!</definedName>
    <definedName name="kkkkkk">#REF!</definedName>
    <definedName name="kkkkkkk">#REF!</definedName>
    <definedName name="kkkkkkkk">#REF!</definedName>
    <definedName name="kok" hidden="1">#REF!</definedName>
    <definedName name="KRONOS">#REF!</definedName>
    <definedName name="KRONOSEMP">#REF!</definedName>
    <definedName name="l">#REF!</definedName>
    <definedName name="LAB">#REF!</definedName>
    <definedName name="LABCODES">#REF!</definedName>
    <definedName name="LABINFO">#REF!</definedName>
    <definedName name="LABINFO2">#REF!</definedName>
    <definedName name="LABKRONOS">#REF!</definedName>
    <definedName name="LABORLOOK">#REF!</definedName>
    <definedName name="LABR">#REF!</definedName>
    <definedName name="leadschedule">#REF!</definedName>
    <definedName name="LOOKUP">#REF!</definedName>
    <definedName name="LOOKUP2">#REF!</definedName>
    <definedName name="LOOKUP3">#REF!</definedName>
    <definedName name="m">#REF!</definedName>
    <definedName name="MACH">#REF!</definedName>
    <definedName name="Master">#REF!</definedName>
    <definedName name="Master1">#REF!</definedName>
    <definedName name="master2">#REF!</definedName>
    <definedName name="methods">#REF!</definedName>
    <definedName name="mko">#REF!</definedName>
    <definedName name="mswlw">#REF!</definedName>
    <definedName name="MunNew">#REF!</definedName>
    <definedName name="MunNewMat">#REF!</definedName>
    <definedName name="MunRatenew">#REF!</definedName>
    <definedName name="n">#REF!</definedName>
    <definedName name="Names">#REF!</definedName>
    <definedName name="names2">#REF!</definedName>
    <definedName name="new">#REF!</definedName>
    <definedName name="newallocpercent">#REF!</definedName>
    <definedName name="newbuild">#REF!</definedName>
    <definedName name="newco2">#REF!</definedName>
    <definedName name="No_Prod_Desc">#REF!</definedName>
    <definedName name="NoMatch">#REF!</definedName>
    <definedName name="Non_POR_Kilograms">#REF!</definedName>
    <definedName name="NonPOR_Other_Units">#REF!</definedName>
    <definedName name="Nucor_Fastener">"Print_Area_Nut2_Var"</definedName>
    <definedName name="NUCOR_FASTENER___IN">#REF!</definedName>
    <definedName name="NUCOR_FASTENER_IN2">#REF!</definedName>
    <definedName name="Nylon">#REF!</definedName>
    <definedName name="o">#REF!</definedName>
    <definedName name="OEEEnter">#REF!</definedName>
    <definedName name="OEELogin">#REF!</definedName>
    <definedName name="OEELogout">#REF!</definedName>
    <definedName name="OEENavigate">#REF!</definedName>
    <definedName name="OEQInquire">#REF!</definedName>
    <definedName name="OEQLogin">#REF!</definedName>
    <definedName name="OEQLogout">#REF!</definedName>
    <definedName name="OEQNavigate">#REF!</definedName>
    <definedName name="oo">#REF!</definedName>
    <definedName name="op">#REF!</definedName>
    <definedName name="operatingprofit">#REF!</definedName>
    <definedName name="Original">#REF!</definedName>
    <definedName name="Original_Data">#REF!</definedName>
    <definedName name="OriginalData">#REF!</definedName>
    <definedName name="OTIME">#REF!</definedName>
    <definedName name="OTIMER">#REF!</definedName>
    <definedName name="p">#REF!</definedName>
    <definedName name="P_CellAnnounced">#REF!</definedName>
    <definedName name="P_CellConstruction">#REF!</definedName>
    <definedName name="P_CellPartly">#REF!</definedName>
    <definedName name="Panel_Data">#REF!</definedName>
    <definedName name="PAYROLL_SUM">#REF!</definedName>
    <definedName name="per">#REF!</definedName>
    <definedName name="PERCENT">#REF!</definedName>
    <definedName name="PLT_DEPT">#REF!</definedName>
    <definedName name="POApprove">#REF!</definedName>
    <definedName name="POEnter">#REF!</definedName>
    <definedName name="POLogin">#REF!</definedName>
    <definedName name="POLogout">#REF!</definedName>
    <definedName name="PONavigate">#REF!</definedName>
    <definedName name="poop">#REF!</definedName>
    <definedName name="POR_Kilograms">#REF!</definedName>
    <definedName name="POR_Other_Units">#REF!</definedName>
    <definedName name="POSTWIND">#REF!</definedName>
    <definedName name="PRECO">#REF!</definedName>
    <definedName name="PREWIND">#REF!</definedName>
    <definedName name="PRICE">#REF!</definedName>
    <definedName name="_xlnm.Print_Area" localSheetId="23">'EX-10C1 Rubex'!$A$1:$H$3</definedName>
    <definedName name="_xlnm.Print_Area" localSheetId="2">#REF!</definedName>
    <definedName name="_xlnm.Print_Area">#REF!</definedName>
    <definedName name="PRINT_AREA_MI" localSheetId="2">#REF!</definedName>
    <definedName name="PRINT_AREA_MI">#REF!</definedName>
    <definedName name="PRINT_AREA2" localSheetId="2">#REF!</definedName>
    <definedName name="PRINT_AREA2">#REF!</definedName>
    <definedName name="Print_Range_w_Structural_Items_Only">#REF!</definedName>
    <definedName name="Print_report">#REF!</definedName>
    <definedName name="printarea3">#REF!</definedName>
    <definedName name="PRINTRANGE">#REF!</definedName>
    <definedName name="prod">#REF!</definedName>
    <definedName name="Products_Extract">#REF!</definedName>
    <definedName name="Profit">#REF!</definedName>
    <definedName name="PRPR">#REF!</definedName>
    <definedName name="PSC">#REF!</definedName>
    <definedName name="PubMaint">#REF!</definedName>
    <definedName name="q">#REF!</definedName>
    <definedName name="QAAE">#REF!</definedName>
    <definedName name="QAAH">#REF!</definedName>
    <definedName name="QAAP">#REF!</definedName>
    <definedName name="QABE">#REF!</definedName>
    <definedName name="QABH">#REF!</definedName>
    <definedName name="QABP">#REF!</definedName>
    <definedName name="QC_AUTODEV">#REF!</definedName>
    <definedName name="QCAE">#REF!</definedName>
    <definedName name="QCAH">#REF!</definedName>
    <definedName name="QCAP">#REF!</definedName>
    <definedName name="QCBE">#REF!</definedName>
    <definedName name="QCBH">#REF!</definedName>
    <definedName name="QCBP">#REF!</definedName>
    <definedName name="REDISTRIBUTE">#REF!</definedName>
    <definedName name="renewablefinancing_QueryADV">#REF!</definedName>
    <definedName name="RevenueCategory">#REF!</definedName>
    <definedName name="rng_VBA_Formats" xml:space="preserve"> OFFSET(#REF!, 0, 0,#REF!)</definedName>
    <definedName name="rng_VBA_HeaderContents">#REF!</definedName>
    <definedName name="rng_VBA_LineStyles" xml:space="preserve"> OFFSET(#REF!, 0, 0,#REF!)</definedName>
    <definedName name="rng_VBA_Names" xml:space="preserve"> OFFSET(#REF!, 0, 0,#REF!)</definedName>
    <definedName name="Rom">#REF!</definedName>
    <definedName name="RPR">#REF!</definedName>
    <definedName name="RPR_1M">#REF!</definedName>
    <definedName name="rr">#REF!</definedName>
    <definedName name="S">#REF!</definedName>
    <definedName name="SC">#REF!</definedName>
    <definedName name="sd">#REF!</definedName>
    <definedName name="sdds">#REF!</definedName>
    <definedName name="SecondQuarterData">#REF!</definedName>
    <definedName name="sector">#REF!</definedName>
    <definedName name="Sept2" hidden="1">#REF!</definedName>
    <definedName name="SFX">#REF!</definedName>
    <definedName name="st_format">#REF!</definedName>
    <definedName name="Staunton">#REF!</definedName>
    <definedName name="SUMMARY">#REF!</definedName>
    <definedName name="SUMMARY_NEW">#REF!</definedName>
    <definedName name="SUMMARY_OLD">#REF!</definedName>
    <definedName name="SV">#REF!</definedName>
    <definedName name="t">#REF!</definedName>
    <definedName name="T04percent">#REF!</definedName>
    <definedName name="T1BT_INDEX">#REF!</definedName>
    <definedName name="TAble" hidden="1">#REF!</definedName>
    <definedName name="table_2" hidden="1">#REF!</definedName>
    <definedName name="TAE">#REF!</definedName>
    <definedName name="TAH">#REF!</definedName>
    <definedName name="TAP">#REF!</definedName>
    <definedName name="TBE">#REF!</definedName>
    <definedName name="TBH">#REF!</definedName>
    <definedName name="tbl_standardColours">#REF!</definedName>
    <definedName name="TBP">#REF!</definedName>
    <definedName name="temp">#REF!</definedName>
    <definedName name="template" hidden="1">#REF!</definedName>
    <definedName name="TEST0">#REF!</definedName>
    <definedName name="TEST1">#REF!</definedName>
    <definedName name="TESTHKEY">#REF!</definedName>
    <definedName name="TESTKEYS">#REF!</definedName>
    <definedName name="TESTVKEY">#REF!</definedName>
    <definedName name="TEX">#REF!</definedName>
    <definedName name="TEXCURRENT">#REF!</definedName>
    <definedName name="TEXMTHLYD">#REF!</definedName>
    <definedName name="TEXT">#REF!</definedName>
    <definedName name="TEXTURING">#REF!</definedName>
    <definedName name="TEXVAR">#REF!</definedName>
    <definedName name="Thailand">#REF!</definedName>
    <definedName name="ThirdQuarterData">#REF!</definedName>
    <definedName name="TransflexData">#REF!</definedName>
    <definedName name="ttt">#REF!</definedName>
    <definedName name="Twisting">#REF!</definedName>
    <definedName name="type">#REF!</definedName>
    <definedName name="USD_EUR">#REF!</definedName>
    <definedName name="v">#REF!</definedName>
    <definedName name="VAT">#REF!</definedName>
    <definedName name="wafersperkg">#REF!</definedName>
    <definedName name="wattperwafer">#REF!</definedName>
    <definedName name="WEEK1B">#REF!</definedName>
    <definedName name="WEEK2B">#REF!</definedName>
    <definedName name="WEEK3B">#REF!</definedName>
    <definedName name="WEEK4B">#REF!</definedName>
    <definedName name="WEEK5B">#REF!</definedName>
    <definedName name="Weps">#REF!</definedName>
    <definedName name="WHSE_PURCH">#REF!</definedName>
    <definedName name="WIND">#REF!</definedName>
    <definedName name="WIND_2M">#REF!</definedName>
    <definedName name="WIND_DATA">#REF!</definedName>
    <definedName name="WINDING">#REF!</definedName>
    <definedName name="WINDR">#REF!</definedName>
    <definedName name="WKLYSUM">#REF!</definedName>
    <definedName name="WTA">#REF!</definedName>
    <definedName name="wvu.PREPAID." localSheetId="2" hidden="1">{TRUE,TRUE,-1.25,-15.5,456.75,276.75,FALSE,FALSE,TRUE,TRUE,0,1,#N/A,25,#N/A,10.5833333333333,24.0769230769231,1,FALSE,FALSE,3,TRUE,1,FALSE,75,"Swvu.PREPAID.","ACwvu.PREPAID.",#N/A,FALSE,FALSE,0.75,0.75,1,1,1,"&amp;A","Page &amp;P",FALSE,FALSE,FALSE,FALSE,1,100,#N/A,#N/A,FALSE,FALSE,#N/A,#N/A,FALSE,FALSE,FALSE,9,65532,65532,FALSE,FALSE,TRUE,TRUE,TRUE}</definedName>
    <definedName name="wvu.PREPAID." hidden="1">{TRUE,TRUE,-1.25,-15.5,456.75,276.75,FALSE,FALSE,TRUE,TRUE,0,1,#N/A,25,#N/A,10.5833333333333,24.0769230769231,1,FALSE,FALSE,3,TRUE,1,FALSE,75,"Swvu.PREPAID.","ACwvu.PREPAID.",#N/A,FALSE,FALSE,0.75,0.75,1,1,1,"&amp;A","Page &amp;P",FALSE,FALSE,FALSE,FALSE,1,100,#N/A,#N/A,FALSE,FALSE,#N/A,#N/A,FALSE,FALSE,FALSE,9,65532,65532,FALSE,FALSE,TRUE,TRUE,TRUE}</definedName>
    <definedName name="x">#REF!</definedName>
    <definedName name="xxx">#REF!</definedName>
    <definedName name="xxxxxx" hidden="1">#REF!</definedName>
    <definedName name="YadComplex">#REF!</definedName>
    <definedName name="YadSpin">#REF!</definedName>
    <definedName name="YEAR_TO_DATE_LABOR_INFO">#REF!</definedName>
    <definedName name="YTDTotals">#REF!</definedName>
    <definedName name="YYY">#REF!</definedName>
    <definedName name="zscore">IF(#REF!="",OFFSET(#REF!,0,0,1,#REF!),OFFSET(#REF!,0,0,1,#REF!))</definedName>
  </definedNames>
  <calcPr calcId="191029"/>
  <pivotCaches>
    <pivotCache cacheId="21" r:id="rId25"/>
    <pivotCache cacheId="22" r:id="rId26"/>
    <pivotCache cacheId="23" r:id="rId27"/>
    <pivotCache cacheId="24" r:id="rId28"/>
    <pivotCache cacheId="25" r:id="rId29"/>
    <pivotCache cacheId="26" r:id="rId30"/>
    <pivotCache cacheId="27" r:id="rId31"/>
    <pivotCache cacheId="28"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 l="1"/>
  <c r="G53" i="1"/>
  <c r="G52" i="1"/>
  <c r="G51" i="1"/>
  <c r="C8" i="65"/>
  <c r="C7" i="65"/>
  <c r="K54" i="1"/>
  <c r="K53" i="1"/>
  <c r="K52" i="1"/>
  <c r="K51" i="1"/>
  <c r="L54" i="1" l="1"/>
  <c r="N54" i="1" s="1"/>
  <c r="L52" i="1"/>
  <c r="N52" i="1" s="1"/>
  <c r="L53" i="1"/>
  <c r="N53" i="1" s="1"/>
  <c r="L51" i="1"/>
  <c r="N51" i="1" s="1"/>
  <c r="G45" i="1" l="1"/>
  <c r="P82" i="62" l="1"/>
  <c r="P81" i="62"/>
  <c r="P80" i="62"/>
  <c r="P79" i="62"/>
  <c r="P78" i="62"/>
  <c r="P77" i="62"/>
  <c r="P76" i="62"/>
  <c r="P75" i="62"/>
  <c r="P74" i="62"/>
  <c r="P73" i="62"/>
  <c r="P72" i="62"/>
  <c r="P71" i="62"/>
  <c r="P70" i="62"/>
  <c r="P69" i="62"/>
  <c r="P68" i="62"/>
  <c r="P67" i="62"/>
  <c r="P66" i="62"/>
  <c r="P65" i="62"/>
  <c r="P64" i="62"/>
  <c r="P63" i="62"/>
  <c r="P62" i="62"/>
  <c r="P61" i="62"/>
  <c r="P60" i="62"/>
  <c r="P59" i="62"/>
  <c r="P58" i="62"/>
  <c r="P57" i="62"/>
  <c r="P56" i="62"/>
  <c r="P55" i="62"/>
  <c r="P54" i="62"/>
  <c r="P53" i="62"/>
  <c r="P52" i="62"/>
  <c r="B6" i="62"/>
  <c r="C6" i="62"/>
  <c r="B6" i="63"/>
  <c r="C6" i="63"/>
  <c r="D1" i="63"/>
  <c r="P43" i="62"/>
  <c r="P42" i="62"/>
  <c r="P41" i="62"/>
  <c r="P40" i="62"/>
  <c r="P39" i="62"/>
  <c r="P38" i="62"/>
  <c r="P37" i="62"/>
  <c r="P36" i="62"/>
  <c r="P34" i="62"/>
  <c r="P33" i="62"/>
  <c r="P32" i="62"/>
  <c r="P31" i="62"/>
  <c r="P30" i="62"/>
  <c r="P29" i="62"/>
  <c r="P28" i="62"/>
  <c r="P26" i="62"/>
  <c r="P25" i="62"/>
  <c r="P24" i="62"/>
  <c r="P23" i="62"/>
  <c r="P22" i="62"/>
  <c r="P21" i="62"/>
  <c r="P20" i="62"/>
  <c r="P19" i="62"/>
  <c r="P18" i="62"/>
  <c r="P17" i="62"/>
  <c r="P15" i="62"/>
  <c r="P14" i="62"/>
  <c r="P13" i="62"/>
  <c r="D1" i="62"/>
  <c r="G34" i="1"/>
  <c r="L34" i="1" s="1"/>
  <c r="N34" i="1" s="1"/>
  <c r="C6" i="61"/>
  <c r="D1" i="61"/>
  <c r="K40" i="1"/>
  <c r="K39" i="1"/>
  <c r="K38" i="1"/>
  <c r="K37" i="1"/>
  <c r="K36" i="1"/>
  <c r="K35" i="1"/>
  <c r="K34" i="1"/>
  <c r="K33" i="1"/>
  <c r="G33" i="1"/>
  <c r="D6" i="60"/>
  <c r="P24" i="60"/>
  <c r="P23" i="60"/>
  <c r="P22" i="60"/>
  <c r="P21" i="60"/>
  <c r="P20" i="60"/>
  <c r="P19" i="60"/>
  <c r="P17" i="60"/>
  <c r="P16" i="60"/>
  <c r="P15" i="60"/>
  <c r="P14" i="60"/>
  <c r="P13" i="60"/>
  <c r="D1" i="60"/>
  <c r="K32" i="1"/>
  <c r="G32" i="1"/>
  <c r="C6" i="59"/>
  <c r="B6" i="59"/>
  <c r="P40" i="59"/>
  <c r="P39" i="59"/>
  <c r="P38" i="59"/>
  <c r="P37" i="59"/>
  <c r="P36" i="59"/>
  <c r="P35" i="59"/>
  <c r="P34" i="59"/>
  <c r="P33" i="59"/>
  <c r="P32" i="59"/>
  <c r="P31" i="59"/>
  <c r="D1" i="59"/>
  <c r="L31" i="1"/>
  <c r="N31" i="1" s="1"/>
  <c r="K31" i="1"/>
  <c r="G31" i="1"/>
  <c r="B6" i="58"/>
  <c r="D1" i="58"/>
  <c r="K30" i="1"/>
  <c r="K29" i="1"/>
  <c r="K28" i="1"/>
  <c r="G28" i="1"/>
  <c r="K27" i="1"/>
  <c r="G27" i="1"/>
  <c r="L27" i="1" s="1"/>
  <c r="N27" i="1" s="1"/>
  <c r="K26" i="1"/>
  <c r="G26" i="1"/>
  <c r="F10" i="43"/>
  <c r="D6" i="62" l="1"/>
  <c r="G40" i="1" s="1"/>
  <c r="L40" i="1" s="1"/>
  <c r="N40" i="1" s="1"/>
  <c r="L33" i="1"/>
  <c r="N33" i="1" s="1"/>
  <c r="L32" i="1"/>
  <c r="N32" i="1" s="1"/>
  <c r="D6" i="63"/>
  <c r="B6" i="61"/>
  <c r="D6" i="61" s="1"/>
  <c r="C6" i="60"/>
  <c r="B6" i="60"/>
  <c r="D6" i="59"/>
  <c r="C6" i="58"/>
  <c r="D6" i="58" s="1"/>
  <c r="L26" i="1"/>
  <c r="N26" i="1" s="1"/>
  <c r="L28" i="1"/>
  <c r="N28" i="1" s="1"/>
  <c r="G10" i="43"/>
  <c r="G37" i="1" l="1"/>
  <c r="L37" i="1" s="1"/>
  <c r="N37" i="1" s="1"/>
  <c r="G38" i="1"/>
  <c r="L38" i="1" s="1"/>
  <c r="N38" i="1" s="1"/>
  <c r="G36" i="1"/>
  <c r="L36" i="1" s="1"/>
  <c r="N36" i="1" s="1"/>
  <c r="G39" i="1"/>
  <c r="L39" i="1" s="1"/>
  <c r="N39" i="1" s="1"/>
  <c r="G35" i="1"/>
  <c r="L35" i="1" s="1"/>
  <c r="N35" i="1" s="1"/>
  <c r="K201" i="52"/>
  <c r="J201" i="52"/>
  <c r="K200" i="52"/>
  <c r="J200" i="52"/>
  <c r="K199" i="52"/>
  <c r="J199" i="52"/>
  <c r="K198" i="52"/>
  <c r="J198" i="52"/>
  <c r="K197" i="52"/>
  <c r="J197" i="52"/>
  <c r="K196" i="52"/>
  <c r="J196" i="52"/>
  <c r="K195" i="52"/>
  <c r="J195" i="52"/>
  <c r="K194" i="52"/>
  <c r="J194" i="52"/>
  <c r="K193" i="52"/>
  <c r="J193" i="52"/>
  <c r="K192" i="52"/>
  <c r="J192" i="52"/>
  <c r="K191" i="52"/>
  <c r="J191" i="52"/>
  <c r="K190" i="52"/>
  <c r="J190" i="52"/>
  <c r="K189" i="52"/>
  <c r="J189" i="52"/>
  <c r="K188" i="52"/>
  <c r="J188" i="52"/>
  <c r="K187" i="52"/>
  <c r="J187" i="52"/>
  <c r="K186" i="52"/>
  <c r="J186" i="52"/>
  <c r="K185" i="52"/>
  <c r="J185" i="52"/>
  <c r="K184" i="52"/>
  <c r="J184" i="52"/>
  <c r="K183" i="52"/>
  <c r="J183" i="52"/>
  <c r="K182" i="52"/>
  <c r="J182" i="52"/>
  <c r="K181" i="52"/>
  <c r="J181" i="52"/>
  <c r="K180" i="52"/>
  <c r="J180" i="52"/>
  <c r="K179" i="52"/>
  <c r="J179" i="52"/>
  <c r="K178" i="52"/>
  <c r="J178" i="52"/>
  <c r="K177" i="52"/>
  <c r="J177" i="52"/>
  <c r="K176" i="52"/>
  <c r="J176" i="52"/>
  <c r="K175" i="52"/>
  <c r="J175" i="52"/>
  <c r="K174" i="52"/>
  <c r="J174" i="52"/>
  <c r="K173" i="52"/>
  <c r="J173" i="52"/>
  <c r="K172" i="52"/>
  <c r="J172" i="52"/>
  <c r="K171" i="52"/>
  <c r="J171" i="52"/>
  <c r="K170" i="52"/>
  <c r="J170" i="52"/>
  <c r="K169" i="52"/>
  <c r="J169" i="52"/>
  <c r="K168" i="52"/>
  <c r="J168" i="52"/>
  <c r="K167" i="52"/>
  <c r="J167" i="52"/>
  <c r="K166" i="52"/>
  <c r="J166" i="52"/>
  <c r="K165" i="52"/>
  <c r="J165" i="52"/>
  <c r="K164" i="52"/>
  <c r="J164" i="52"/>
  <c r="K163" i="52"/>
  <c r="J163" i="52"/>
  <c r="K162" i="52"/>
  <c r="J162" i="52"/>
  <c r="K161" i="52"/>
  <c r="J161" i="52"/>
  <c r="K160" i="52"/>
  <c r="J160" i="52"/>
  <c r="K159" i="52"/>
  <c r="J159" i="52"/>
  <c r="K158" i="52"/>
  <c r="J158" i="52"/>
  <c r="K157" i="52"/>
  <c r="J157" i="52"/>
  <c r="K156" i="52"/>
  <c r="J156" i="52"/>
  <c r="K155" i="52"/>
  <c r="J155" i="52"/>
  <c r="K154" i="52"/>
  <c r="J154" i="52"/>
  <c r="K153" i="52"/>
  <c r="J153" i="52"/>
  <c r="K152" i="52"/>
  <c r="J152" i="52"/>
  <c r="K151" i="52"/>
  <c r="J151" i="52"/>
  <c r="K150" i="52"/>
  <c r="J150" i="52"/>
  <c r="K149" i="52"/>
  <c r="J149" i="52"/>
  <c r="K148" i="52"/>
  <c r="J148" i="52"/>
  <c r="K147" i="52"/>
  <c r="J147" i="52"/>
  <c r="K146" i="52"/>
  <c r="J146" i="52"/>
  <c r="K145" i="52"/>
  <c r="J145" i="52"/>
  <c r="K144" i="52"/>
  <c r="J144" i="52"/>
  <c r="K143" i="52"/>
  <c r="J143" i="52"/>
  <c r="K142" i="52"/>
  <c r="J142" i="52"/>
  <c r="K141" i="52"/>
  <c r="J141" i="52"/>
  <c r="K140" i="52"/>
  <c r="J140" i="52"/>
  <c r="K139" i="52"/>
  <c r="J139" i="52"/>
  <c r="K138" i="52"/>
  <c r="J138" i="52"/>
  <c r="K137" i="52"/>
  <c r="J137" i="52"/>
  <c r="K136" i="52"/>
  <c r="J136" i="52"/>
  <c r="K135" i="52"/>
  <c r="J135" i="52"/>
  <c r="K134" i="52"/>
  <c r="J134" i="52"/>
  <c r="K133" i="52"/>
  <c r="J133" i="52"/>
  <c r="K132" i="52"/>
  <c r="J132" i="52"/>
  <c r="K131" i="52"/>
  <c r="J131" i="52"/>
  <c r="K130" i="52"/>
  <c r="J130" i="52"/>
  <c r="K129" i="52"/>
  <c r="J129" i="52"/>
  <c r="K128" i="52"/>
  <c r="J128" i="52"/>
  <c r="K127" i="52"/>
  <c r="J127" i="52"/>
  <c r="K126" i="52"/>
  <c r="J126" i="52"/>
  <c r="K125" i="52"/>
  <c r="J125" i="52"/>
  <c r="K124" i="52"/>
  <c r="J124" i="52"/>
  <c r="K123" i="52"/>
  <c r="J123" i="52"/>
  <c r="K122" i="52"/>
  <c r="J122" i="52"/>
  <c r="K121" i="52"/>
  <c r="J121" i="52"/>
  <c r="K120" i="52"/>
  <c r="J120" i="52"/>
  <c r="K119" i="52"/>
  <c r="J119" i="52"/>
  <c r="K118" i="52"/>
  <c r="J118" i="52"/>
  <c r="K117" i="52"/>
  <c r="J117" i="52"/>
  <c r="K116" i="52"/>
  <c r="J116" i="52"/>
  <c r="K115" i="52"/>
  <c r="J115" i="52"/>
  <c r="K114" i="52"/>
  <c r="J114" i="52"/>
  <c r="K113" i="52"/>
  <c r="J113" i="52"/>
  <c r="K112" i="52"/>
  <c r="J112" i="52"/>
  <c r="K111" i="52"/>
  <c r="J111" i="52"/>
  <c r="K110" i="52"/>
  <c r="J110" i="52"/>
  <c r="K109" i="52"/>
  <c r="J109" i="52"/>
  <c r="K108" i="52"/>
  <c r="J108" i="52"/>
  <c r="K107" i="52"/>
  <c r="J107" i="52"/>
  <c r="K106" i="52"/>
  <c r="J106" i="52"/>
  <c r="K105" i="52"/>
  <c r="J105" i="52"/>
  <c r="K104" i="52"/>
  <c r="J104" i="52"/>
  <c r="K103" i="52"/>
  <c r="J103" i="52"/>
  <c r="K102" i="52"/>
  <c r="J102" i="52"/>
  <c r="K101" i="52"/>
  <c r="J101" i="52"/>
  <c r="K100" i="52"/>
  <c r="J100" i="52"/>
  <c r="K99" i="52"/>
  <c r="J99" i="52"/>
  <c r="K98" i="52"/>
  <c r="J98" i="52"/>
  <c r="K97" i="52"/>
  <c r="J97" i="52"/>
  <c r="K96" i="52"/>
  <c r="J96" i="52"/>
  <c r="K95" i="52"/>
  <c r="J95" i="52"/>
  <c r="K94" i="52"/>
  <c r="J94" i="52"/>
  <c r="K93" i="52"/>
  <c r="J93" i="52"/>
  <c r="K92" i="52"/>
  <c r="J92" i="52"/>
  <c r="K91" i="52"/>
  <c r="J91" i="52"/>
  <c r="K90" i="52"/>
  <c r="J90" i="52"/>
  <c r="K89" i="52"/>
  <c r="J89" i="52"/>
  <c r="K88" i="52"/>
  <c r="J88" i="52"/>
  <c r="K87" i="52"/>
  <c r="J87" i="52"/>
  <c r="K86" i="52"/>
  <c r="J86" i="52"/>
  <c r="K85" i="52"/>
  <c r="J85" i="52"/>
  <c r="K84" i="52"/>
  <c r="J84" i="52"/>
  <c r="K83" i="52"/>
  <c r="J83" i="52"/>
  <c r="K82" i="52"/>
  <c r="J82" i="52"/>
  <c r="K81" i="52"/>
  <c r="J81" i="52"/>
  <c r="K80" i="52"/>
  <c r="J80" i="52"/>
  <c r="K79" i="52"/>
  <c r="J79" i="52"/>
  <c r="K78" i="52"/>
  <c r="J78" i="52"/>
  <c r="K77" i="52"/>
  <c r="J77" i="52"/>
  <c r="K76" i="52"/>
  <c r="J76" i="52"/>
  <c r="K75" i="52"/>
  <c r="J75" i="52"/>
  <c r="K74" i="52"/>
  <c r="J74" i="52"/>
  <c r="K73" i="52"/>
  <c r="J73" i="52"/>
  <c r="K72" i="52"/>
  <c r="J72" i="52"/>
  <c r="K71" i="52"/>
  <c r="J71" i="52"/>
  <c r="K70" i="52"/>
  <c r="J70" i="52"/>
  <c r="K69" i="52"/>
  <c r="J69" i="52"/>
  <c r="K68" i="52"/>
  <c r="J68" i="52"/>
  <c r="K67" i="52"/>
  <c r="J67" i="52"/>
  <c r="K66" i="52"/>
  <c r="J66" i="52"/>
  <c r="K65" i="52"/>
  <c r="J65" i="52"/>
  <c r="K64" i="52"/>
  <c r="J64" i="52"/>
  <c r="K63" i="52"/>
  <c r="J63" i="52"/>
  <c r="K62" i="52"/>
  <c r="J62" i="52"/>
  <c r="K61" i="52"/>
  <c r="J61" i="52"/>
  <c r="K60" i="52"/>
  <c r="J60" i="52"/>
  <c r="K59" i="52"/>
  <c r="J59" i="52"/>
  <c r="K58" i="52"/>
  <c r="J58" i="52"/>
  <c r="K57" i="52"/>
  <c r="J57" i="52"/>
  <c r="K56" i="52"/>
  <c r="J56" i="52"/>
  <c r="K55" i="52"/>
  <c r="J55" i="52"/>
  <c r="K54" i="52"/>
  <c r="J54" i="52"/>
  <c r="K53" i="52"/>
  <c r="J53" i="52"/>
  <c r="K52" i="52"/>
  <c r="J52" i="52"/>
  <c r="K51" i="52"/>
  <c r="J51" i="52"/>
  <c r="K50" i="52"/>
  <c r="J50" i="52"/>
  <c r="K49" i="52"/>
  <c r="J49" i="52"/>
  <c r="K48" i="52"/>
  <c r="J48" i="52"/>
  <c r="K47" i="52"/>
  <c r="J47" i="52"/>
  <c r="K46" i="52"/>
  <c r="J46" i="52"/>
  <c r="K45" i="52"/>
  <c r="J45" i="52"/>
  <c r="K44" i="52"/>
  <c r="J44" i="52"/>
  <c r="K43" i="52"/>
  <c r="J43" i="52"/>
  <c r="K42" i="52"/>
  <c r="J42" i="52"/>
  <c r="K41" i="52"/>
  <c r="J41" i="52"/>
  <c r="K40" i="52"/>
  <c r="J40" i="52"/>
  <c r="K39" i="52"/>
  <c r="J39" i="52"/>
  <c r="K38" i="52"/>
  <c r="J38" i="52"/>
  <c r="K37" i="52"/>
  <c r="J37" i="52"/>
  <c r="K36" i="52"/>
  <c r="J36" i="52"/>
  <c r="K35" i="52"/>
  <c r="J35" i="52"/>
  <c r="K34" i="52"/>
  <c r="J34" i="52"/>
  <c r="K33" i="52"/>
  <c r="J33" i="52"/>
  <c r="K32" i="52"/>
  <c r="J32" i="52"/>
  <c r="K31" i="52"/>
  <c r="J31" i="52"/>
  <c r="K30" i="52"/>
  <c r="J30" i="52"/>
  <c r="K29" i="52"/>
  <c r="J29" i="52"/>
  <c r="K28" i="52"/>
  <c r="J28" i="52"/>
  <c r="K27" i="52"/>
  <c r="J27" i="52"/>
  <c r="K26" i="52"/>
  <c r="J26" i="52"/>
  <c r="K25" i="52"/>
  <c r="J25" i="52"/>
  <c r="K24" i="52"/>
  <c r="J24" i="52"/>
  <c r="K23" i="52"/>
  <c r="J23" i="52"/>
  <c r="K22" i="52"/>
  <c r="J22" i="52"/>
  <c r="K21" i="52"/>
  <c r="J21" i="52"/>
  <c r="K20" i="52"/>
  <c r="J20" i="52"/>
  <c r="K19" i="52"/>
  <c r="J19" i="52"/>
  <c r="K18" i="52"/>
  <c r="J18" i="52"/>
  <c r="K17" i="52"/>
  <c r="J17" i="52"/>
  <c r="K16" i="52"/>
  <c r="J16" i="52"/>
  <c r="K15" i="52"/>
  <c r="J15" i="52"/>
  <c r="K14" i="52"/>
  <c r="J14" i="52"/>
  <c r="K13" i="52"/>
  <c r="J13" i="52"/>
  <c r="K12" i="52"/>
  <c r="J12" i="52"/>
  <c r="K11" i="52"/>
  <c r="J11" i="52"/>
  <c r="K10" i="52"/>
  <c r="J10" i="52"/>
  <c r="K9" i="52"/>
  <c r="J9" i="52"/>
  <c r="K8" i="52"/>
  <c r="J8" i="52"/>
  <c r="K7" i="52"/>
  <c r="J7" i="52"/>
  <c r="J31" i="43"/>
  <c r="F39" i="43"/>
  <c r="F38" i="43"/>
  <c r="F37" i="43"/>
  <c r="F36" i="43"/>
  <c r="F35" i="43"/>
  <c r="F34" i="43"/>
  <c r="F33" i="43"/>
  <c r="F32" i="43"/>
  <c r="F31" i="43"/>
  <c r="F30" i="43"/>
  <c r="F29" i="43"/>
  <c r="F28" i="43"/>
  <c r="F27" i="43"/>
  <c r="F26" i="43"/>
  <c r="F25" i="43"/>
  <c r="F24" i="43"/>
  <c r="F23" i="43"/>
  <c r="F22" i="43"/>
  <c r="F21" i="43"/>
  <c r="F20" i="43"/>
  <c r="F19" i="43"/>
  <c r="F18" i="43"/>
  <c r="I18" i="43" s="1"/>
  <c r="F17" i="43"/>
  <c r="F16" i="43"/>
  <c r="F15" i="43"/>
  <c r="H15" i="43" s="1"/>
  <c r="F14" i="43"/>
  <c r="F13" i="43"/>
  <c r="I13" i="43" s="1"/>
  <c r="F12" i="43"/>
  <c r="F11" i="43"/>
  <c r="F9" i="43"/>
  <c r="F8" i="43"/>
  <c r="G44" i="1"/>
  <c r="D7" i="13"/>
  <c r="C7" i="13"/>
  <c r="G25" i="1" s="1"/>
  <c r="E6" i="11"/>
  <c r="B69" i="2"/>
  <c r="C69" i="2"/>
  <c r="B7" i="13"/>
  <c r="A7" i="13"/>
  <c r="N71" i="13"/>
  <c r="N70" i="13"/>
  <c r="N69" i="13"/>
  <c r="N68" i="13"/>
  <c r="N67" i="13"/>
  <c r="N66" i="13"/>
  <c r="N65" i="13"/>
  <c r="N64" i="13"/>
  <c r="N63" i="13"/>
  <c r="N62" i="13"/>
  <c r="N61" i="13"/>
  <c r="N60" i="13"/>
  <c r="N59" i="13"/>
  <c r="N58" i="13"/>
  <c r="N57" i="13"/>
  <c r="N56" i="13"/>
  <c r="N55" i="13"/>
  <c r="N54" i="13"/>
  <c r="N53" i="13"/>
  <c r="N52" i="13"/>
  <c r="N51" i="13"/>
  <c r="N50" i="13"/>
  <c r="N49" i="13"/>
  <c r="N48" i="13"/>
  <c r="N47" i="13"/>
  <c r="C1" i="12"/>
  <c r="D1" i="13"/>
  <c r="F6" i="11"/>
  <c r="N54" i="12"/>
  <c r="N41" i="12"/>
  <c r="N20" i="12"/>
  <c r="N69" i="12" s="1"/>
  <c r="N18" i="12"/>
  <c r="N40" i="12" s="1"/>
  <c r="N17" i="12"/>
  <c r="N36" i="12" s="1"/>
  <c r="N16" i="12"/>
  <c r="N53" i="12" s="1"/>
  <c r="N15" i="12"/>
  <c r="N38" i="12" s="1"/>
  <c r="N14" i="12"/>
  <c r="N60" i="12" s="1"/>
  <c r="N13" i="12"/>
  <c r="N34" i="12" s="1"/>
  <c r="N12" i="12"/>
  <c r="N33" i="12" s="1"/>
  <c r="N11" i="12"/>
  <c r="C6" i="12" s="1"/>
  <c r="G43" i="1"/>
  <c r="G42" i="1"/>
  <c r="L190" i="52" l="1"/>
  <c r="L162" i="52"/>
  <c r="L151" i="52"/>
  <c r="L198" i="52"/>
  <c r="L145" i="52"/>
  <c r="L154" i="52"/>
  <c r="L196" i="52"/>
  <c r="L169" i="52"/>
  <c r="L187" i="52"/>
  <c r="L199" i="52"/>
  <c r="L176" i="52"/>
  <c r="L141" i="52"/>
  <c r="L201" i="52"/>
  <c r="L137" i="52"/>
  <c r="L155" i="52"/>
  <c r="L138" i="52"/>
  <c r="L174" i="52"/>
  <c r="L180" i="52"/>
  <c r="L186" i="52"/>
  <c r="L158" i="52"/>
  <c r="L170" i="52"/>
  <c r="L182" i="52"/>
  <c r="L194" i="52"/>
  <c r="L200" i="52"/>
  <c r="L129" i="52"/>
  <c r="L135" i="52"/>
  <c r="L153" i="52"/>
  <c r="L89" i="52"/>
  <c r="L125" i="52"/>
  <c r="L161" i="52"/>
  <c r="L90" i="52"/>
  <c r="L96" i="52"/>
  <c r="L102" i="52"/>
  <c r="L126" i="52"/>
  <c r="L91" i="52"/>
  <c r="L97" i="52"/>
  <c r="L103" i="52"/>
  <c r="L139" i="52"/>
  <c r="L157" i="52"/>
  <c r="L98" i="52"/>
  <c r="L110" i="52"/>
  <c r="L122" i="52"/>
  <c r="L128" i="52"/>
  <c r="L134" i="52"/>
  <c r="L87" i="52"/>
  <c r="L93" i="52"/>
  <c r="L105" i="52"/>
  <c r="L123" i="52"/>
  <c r="L10" i="52"/>
  <c r="L16" i="52"/>
  <c r="L22" i="52"/>
  <c r="L28" i="52"/>
  <c r="L34" i="52"/>
  <c r="L40" i="52"/>
  <c r="L46" i="52"/>
  <c r="L94" i="52"/>
  <c r="L106" i="52"/>
  <c r="L112" i="52"/>
  <c r="L118" i="52"/>
  <c r="L8" i="52"/>
  <c r="L14" i="52"/>
  <c r="L20" i="52"/>
  <c r="L26" i="52"/>
  <c r="L32" i="52"/>
  <c r="L38" i="52"/>
  <c r="L44" i="52"/>
  <c r="L50" i="52"/>
  <c r="L56" i="52"/>
  <c r="L62" i="52"/>
  <c r="L68" i="52"/>
  <c r="L74" i="52"/>
  <c r="L80" i="52"/>
  <c r="L86" i="52"/>
  <c r="L109" i="52"/>
  <c r="L121" i="52"/>
  <c r="L144" i="52"/>
  <c r="L150" i="52"/>
  <c r="L173" i="52"/>
  <c r="L185" i="52"/>
  <c r="L192" i="52"/>
  <c r="L52" i="52"/>
  <c r="L58" i="52"/>
  <c r="L64" i="52"/>
  <c r="L70" i="52"/>
  <c r="L76" i="52"/>
  <c r="L82" i="52"/>
  <c r="L146" i="52"/>
  <c r="L193" i="52"/>
  <c r="L11" i="52"/>
  <c r="L130" i="52"/>
  <c r="L107" i="52"/>
  <c r="L113" i="52"/>
  <c r="L119" i="52"/>
  <c r="L142" i="52"/>
  <c r="L171" i="52"/>
  <c r="L177" i="52"/>
  <c r="L160" i="52"/>
  <c r="L166" i="52"/>
  <c r="L189" i="52"/>
  <c r="L7" i="52"/>
  <c r="L13" i="52"/>
  <c r="L25" i="52"/>
  <c r="L114" i="52"/>
  <c r="L172" i="52"/>
  <c r="L178" i="52"/>
  <c r="L95" i="52"/>
  <c r="L111" i="52"/>
  <c r="L127" i="52"/>
  <c r="L143" i="52"/>
  <c r="L159" i="52"/>
  <c r="L175" i="52"/>
  <c r="L191" i="52"/>
  <c r="L19" i="52"/>
  <c r="L31" i="52"/>
  <c r="L37" i="52"/>
  <c r="L43" i="52"/>
  <c r="L49" i="52"/>
  <c r="L55" i="52"/>
  <c r="L61" i="52"/>
  <c r="L67" i="52"/>
  <c r="L73" i="52"/>
  <c r="L79" i="52"/>
  <c r="L85" i="52"/>
  <c r="L101" i="52"/>
  <c r="L117" i="52"/>
  <c r="L133" i="52"/>
  <c r="L149" i="52"/>
  <c r="L165" i="52"/>
  <c r="L181" i="52"/>
  <c r="L197" i="52"/>
  <c r="L9" i="52"/>
  <c r="L15" i="52"/>
  <c r="L21" i="52"/>
  <c r="L27" i="52"/>
  <c r="L33" i="52"/>
  <c r="L39" i="52"/>
  <c r="L45" i="52"/>
  <c r="L51" i="52"/>
  <c r="L57" i="52"/>
  <c r="L63" i="52"/>
  <c r="L69" i="52"/>
  <c r="L75" i="52"/>
  <c r="L81" i="52"/>
  <c r="L92" i="52"/>
  <c r="L108" i="52"/>
  <c r="L124" i="52"/>
  <c r="L140" i="52"/>
  <c r="L156" i="52"/>
  <c r="L188" i="52"/>
  <c r="L167" i="52"/>
  <c r="L183" i="52"/>
  <c r="L88" i="52"/>
  <c r="L104" i="52"/>
  <c r="L120" i="52"/>
  <c r="L136" i="52"/>
  <c r="L152" i="52"/>
  <c r="L168" i="52"/>
  <c r="L184" i="52"/>
  <c r="L17" i="52"/>
  <c r="L23" i="52"/>
  <c r="L29" i="52"/>
  <c r="L35" i="52"/>
  <c r="L41" i="52"/>
  <c r="L47" i="52"/>
  <c r="L53" i="52"/>
  <c r="L59" i="52"/>
  <c r="L65" i="52"/>
  <c r="L71" i="52"/>
  <c r="L77" i="52"/>
  <c r="L83" i="52"/>
  <c r="L99" i="52"/>
  <c r="L115" i="52"/>
  <c r="L131" i="52"/>
  <c r="L147" i="52"/>
  <c r="L163" i="52"/>
  <c r="L179" i="52"/>
  <c r="L195" i="52"/>
  <c r="L12" i="52"/>
  <c r="L18" i="52"/>
  <c r="L24" i="52"/>
  <c r="L30" i="52"/>
  <c r="L36" i="52"/>
  <c r="L42" i="52"/>
  <c r="L48" i="52"/>
  <c r="L54" i="52"/>
  <c r="L60" i="52"/>
  <c r="L66" i="52"/>
  <c r="L72" i="52"/>
  <c r="L78" i="52"/>
  <c r="L84" i="52"/>
  <c r="L100" i="52"/>
  <c r="L116" i="52"/>
  <c r="L132" i="52"/>
  <c r="L148" i="52"/>
  <c r="L164" i="52"/>
  <c r="A6" i="12"/>
  <c r="B6" i="12" s="1"/>
  <c r="D6" i="12" s="1"/>
  <c r="H43" i="43"/>
  <c r="I44" i="43" s="1"/>
  <c r="C8" i="41" s="1"/>
  <c r="C9" i="41" s="1"/>
  <c r="I45" i="43"/>
  <c r="J46" i="43" s="1"/>
  <c r="D8" i="41" s="1"/>
  <c r="G41" i="43"/>
  <c r="H42" i="43" s="1"/>
  <c r="B8" i="41" s="1"/>
  <c r="B9" i="41" s="1"/>
  <c r="D69" i="2"/>
  <c r="I21" i="32"/>
  <c r="I20" i="32"/>
  <c r="I19" i="32"/>
  <c r="I18" i="32"/>
  <c r="I17" i="32"/>
  <c r="I16" i="32"/>
  <c r="I15" i="32"/>
  <c r="I14" i="32"/>
  <c r="I13" i="32"/>
  <c r="I12" i="32"/>
  <c r="I11" i="32"/>
  <c r="I10" i="32"/>
  <c r="I9" i="32"/>
  <c r="I8" i="32"/>
  <c r="H21" i="32"/>
  <c r="H20" i="32"/>
  <c r="H19" i="32"/>
  <c r="H18" i="32"/>
  <c r="H17" i="32"/>
  <c r="H16" i="32"/>
  <c r="H15" i="32"/>
  <c r="H14" i="32"/>
  <c r="H13" i="32"/>
  <c r="H12" i="32"/>
  <c r="H11" i="32"/>
  <c r="H10" i="32"/>
  <c r="H9" i="32"/>
  <c r="H8" i="32"/>
  <c r="J5" i="32"/>
  <c r="C37" i="56"/>
  <c r="C38" i="56"/>
  <c r="D35" i="56" s="1"/>
  <c r="G11" i="1"/>
  <c r="C36" i="56"/>
  <c r="C35" i="56"/>
  <c r="C34" i="56"/>
  <c r="C33" i="56"/>
  <c r="G19" i="1"/>
  <c r="G18" i="1"/>
  <c r="G17" i="1"/>
  <c r="G14" i="1"/>
  <c r="G13" i="1"/>
  <c r="G12" i="1"/>
  <c r="G8" i="1"/>
  <c r="G6" i="11"/>
  <c r="P72" i="11"/>
  <c r="P71" i="11"/>
  <c r="P70" i="11"/>
  <c r="P69" i="11"/>
  <c r="P68" i="11"/>
  <c r="P67" i="11"/>
  <c r="P66" i="11"/>
  <c r="P65" i="11"/>
  <c r="P64" i="11"/>
  <c r="P63" i="11"/>
  <c r="P62" i="11"/>
  <c r="P61" i="11"/>
  <c r="P60" i="11"/>
  <c r="P59" i="11"/>
  <c r="P58" i="11"/>
  <c r="P57" i="11"/>
  <c r="P56" i="11"/>
  <c r="P55" i="11"/>
  <c r="P54" i="11"/>
  <c r="P53" i="11"/>
  <c r="P52" i="11"/>
  <c r="P51" i="11"/>
  <c r="P50" i="11"/>
  <c r="P49" i="11"/>
  <c r="P48" i="11"/>
  <c r="E1" i="2"/>
  <c r="E1" i="11"/>
  <c r="P63" i="2"/>
  <c r="P62" i="2"/>
  <c r="P61" i="2"/>
  <c r="P60" i="2"/>
  <c r="P59" i="2"/>
  <c r="P58" i="2"/>
  <c r="P57" i="2"/>
  <c r="P56" i="2"/>
  <c r="P55" i="2"/>
  <c r="P54" i="2"/>
  <c r="P53" i="2"/>
  <c r="P52" i="2"/>
  <c r="P51" i="2"/>
  <c r="P50" i="2"/>
  <c r="P49" i="2"/>
  <c r="P48" i="2"/>
  <c r="P47" i="2"/>
  <c r="P46" i="2"/>
  <c r="P45" i="2"/>
  <c r="P44" i="2"/>
  <c r="G29" i="1" l="1"/>
  <c r="L29" i="1" s="1"/>
  <c r="N29" i="1" s="1"/>
  <c r="G30" i="1"/>
  <c r="L30" i="1" s="1"/>
  <c r="N30" i="1" s="1"/>
  <c r="G21" i="1"/>
  <c r="D33" i="56"/>
  <c r="D36" i="56"/>
  <c r="D37" i="56"/>
  <c r="D38" i="56"/>
  <c r="D34" i="56"/>
  <c r="G23" i="1"/>
  <c r="G24" i="1"/>
  <c r="G22" i="1"/>
  <c r="G15" i="1"/>
  <c r="G16" i="1"/>
  <c r="G20" i="1"/>
  <c r="G9" i="1"/>
  <c r="G10" i="1"/>
  <c r="K13" i="1" l="1"/>
  <c r="K12" i="1"/>
  <c r="K10" i="1"/>
  <c r="K21" i="1"/>
  <c r="K9" i="1"/>
  <c r="K20" i="1"/>
  <c r="K8" i="1"/>
  <c r="K19" i="1"/>
  <c r="K18" i="1"/>
  <c r="K16" i="1"/>
  <c r="K15" i="1"/>
  <c r="K14" i="1"/>
  <c r="K17" i="1"/>
  <c r="K11" i="1"/>
  <c r="K23" i="1"/>
  <c r="K22" i="1"/>
  <c r="K25" i="1"/>
  <c r="K24" i="1"/>
  <c r="K44" i="1"/>
  <c r="L44" i="1" s="1"/>
  <c r="N44" i="1" s="1"/>
  <c r="K42" i="1"/>
  <c r="L42" i="1" s="1"/>
  <c r="N42" i="1" s="1"/>
  <c r="K43" i="1"/>
  <c r="L16" i="1" l="1"/>
  <c r="N16" i="1" s="1"/>
  <c r="L14" i="1"/>
  <c r="N14" i="1" s="1"/>
  <c r="L13" i="1"/>
  <c r="N13" i="1" s="1"/>
  <c r="L12" i="1"/>
  <c r="N12" i="1" s="1"/>
  <c r="L10" i="1"/>
  <c r="N10" i="1" s="1"/>
  <c r="L8" i="1"/>
  <c r="N8" i="1" s="1"/>
  <c r="L23" i="1"/>
  <c r="N23" i="1" s="1"/>
  <c r="G46" i="1" l="1"/>
  <c r="L24" i="1"/>
  <c r="N24" i="1" s="1"/>
  <c r="L9" i="1"/>
  <c r="L25" i="1"/>
  <c r="N25" i="1" s="1"/>
  <c r="L11" i="1"/>
  <c r="N11" i="1" s="1"/>
  <c r="L15" i="1"/>
  <c r="N15" i="1" s="1"/>
  <c r="L17" i="1"/>
  <c r="N17" i="1" s="1"/>
  <c r="L18" i="1"/>
  <c r="N18" i="1" s="1"/>
  <c r="L19" i="1"/>
  <c r="N19" i="1" s="1"/>
  <c r="L20" i="1"/>
  <c r="N20" i="1" s="1"/>
  <c r="L21" i="1"/>
  <c r="N21" i="1" s="1"/>
  <c r="L22" i="1"/>
  <c r="N22" i="1" s="1"/>
  <c r="D9" i="41" l="1"/>
  <c r="G48" i="1" s="1"/>
  <c r="G47" i="1"/>
  <c r="L43" i="1" l="1"/>
  <c r="N43" i="1" s="1"/>
  <c r="N9" i="1" l="1"/>
</calcChain>
</file>

<file path=xl/sharedStrings.xml><?xml version="1.0" encoding="utf-8"?>
<sst xmlns="http://schemas.openxmlformats.org/spreadsheetml/2006/main" count="32959" uniqueCount="1049">
  <si>
    <t>India</t>
  </si>
  <si>
    <t>Full Name</t>
  </si>
  <si>
    <t>Source</t>
  </si>
  <si>
    <t>Time Period</t>
  </si>
  <si>
    <t>Source Value</t>
  </si>
  <si>
    <t>Source Unit of Measure</t>
  </si>
  <si>
    <t>Reported Unit of Measure</t>
  </si>
  <si>
    <t>Converter</t>
  </si>
  <si>
    <t>Inflator</t>
  </si>
  <si>
    <t>DIRLAB</t>
  </si>
  <si>
    <t>Direct Labor</t>
  </si>
  <si>
    <t>n/a</t>
  </si>
  <si>
    <t>INDLAB</t>
  </si>
  <si>
    <t>Indirect Labor</t>
  </si>
  <si>
    <t>ELEC</t>
  </si>
  <si>
    <t>Electricity</t>
  </si>
  <si>
    <t>OH</t>
  </si>
  <si>
    <t>Overhead</t>
  </si>
  <si>
    <t>Various Finan Ratios</t>
  </si>
  <si>
    <t>SGA</t>
  </si>
  <si>
    <t>SG&amp;A</t>
  </si>
  <si>
    <t>Profit</t>
  </si>
  <si>
    <t>Exporters</t>
  </si>
  <si>
    <t>World</t>
  </si>
  <si>
    <t>Australia</t>
  </si>
  <si>
    <t>United Arab Emirates</t>
  </si>
  <si>
    <t>Malaysia</t>
  </si>
  <si>
    <t>Bahrain</t>
  </si>
  <si>
    <t>Singapore</t>
  </si>
  <si>
    <t>China</t>
  </si>
  <si>
    <t>Germany</t>
  </si>
  <si>
    <t>Hong Kong, China</t>
  </si>
  <si>
    <t>Japan</t>
  </si>
  <si>
    <t>Korea, Republic of</t>
  </si>
  <si>
    <t>Taipei, Chinese</t>
  </si>
  <si>
    <t>Oman</t>
  </si>
  <si>
    <t>New Zealand</t>
  </si>
  <si>
    <t>Qatar</t>
  </si>
  <si>
    <t>Russian Federation</t>
  </si>
  <si>
    <t>Saudi Arabia</t>
  </si>
  <si>
    <t>South Africa</t>
  </si>
  <si>
    <t>Switzerland</t>
  </si>
  <si>
    <t>United States of America</t>
  </si>
  <si>
    <t>Austria</t>
  </si>
  <si>
    <t>Indonesia</t>
  </si>
  <si>
    <t>Quantity</t>
  </si>
  <si>
    <t>Value</t>
  </si>
  <si>
    <t>Unit : US Dollar thousand</t>
  </si>
  <si>
    <t>Total value imported (USD)</t>
  </si>
  <si>
    <t>KG</t>
  </si>
  <si>
    <t>Description</t>
  </si>
  <si>
    <t>Spain</t>
  </si>
  <si>
    <t>Nigeria</t>
  </si>
  <si>
    <t>Angola</t>
  </si>
  <si>
    <t>Morocco</t>
  </si>
  <si>
    <t>Thailand</t>
  </si>
  <si>
    <t>Tunisia</t>
  </si>
  <si>
    <t>Egypt</t>
  </si>
  <si>
    <t>Venezuela, Bolivarian Republic of</t>
  </si>
  <si>
    <t>Viet Nam</t>
  </si>
  <si>
    <t>Netherlands</t>
  </si>
  <si>
    <t>Norway</t>
  </si>
  <si>
    <t>Philippines</t>
  </si>
  <si>
    <t>Türkiye</t>
  </si>
  <si>
    <t>United Kingdom</t>
  </si>
  <si>
    <t>Greece</t>
  </si>
  <si>
    <t>Brazil</t>
  </si>
  <si>
    <t>Slovakia</t>
  </si>
  <si>
    <t>Sweden</t>
  </si>
  <si>
    <t>France</t>
  </si>
  <si>
    <t>Canada</t>
  </si>
  <si>
    <t>Italy</t>
  </si>
  <si>
    <t>Denmark</t>
  </si>
  <si>
    <t>Finland</t>
  </si>
  <si>
    <t>Belgium</t>
  </si>
  <si>
    <t>Kyrgyzstan</t>
  </si>
  <si>
    <t>Togo</t>
  </si>
  <si>
    <t>British Indian Ocean Territory</t>
  </si>
  <si>
    <t>British Virgin Islands</t>
  </si>
  <si>
    <t>Romania</t>
  </si>
  <si>
    <t>Mexico</t>
  </si>
  <si>
    <t>Bulgaria</t>
  </si>
  <si>
    <t>Hungary</t>
  </si>
  <si>
    <t>Pakistan</t>
  </si>
  <si>
    <t>Poland</t>
  </si>
  <si>
    <t>Portugal</t>
  </si>
  <si>
    <t>Curaçao</t>
  </si>
  <si>
    <t>Ireland</t>
  </si>
  <si>
    <t>Lithuania</t>
  </si>
  <si>
    <t>Luxembourg</t>
  </si>
  <si>
    <t>Bangladesh</t>
  </si>
  <si>
    <t>Myanmar</t>
  </si>
  <si>
    <t>Cambodia</t>
  </si>
  <si>
    <t>Cameroon</t>
  </si>
  <si>
    <t>Sri Lanka</t>
  </si>
  <si>
    <t>Croatia</t>
  </si>
  <si>
    <t>Czech Republic</t>
  </si>
  <si>
    <t>Samoa</t>
  </si>
  <si>
    <t>Brunei Darussalam</t>
  </si>
  <si>
    <t>Kazakhstan</t>
  </si>
  <si>
    <t>Israel</t>
  </si>
  <si>
    <t>Chile</t>
  </si>
  <si>
    <t>Costa Rica</t>
  </si>
  <si>
    <t>Estonia</t>
  </si>
  <si>
    <t>Andorra</t>
  </si>
  <si>
    <t>Malta</t>
  </si>
  <si>
    <t>Macao, China</t>
  </si>
  <si>
    <t>Jamaica</t>
  </si>
  <si>
    <t>Iraq</t>
  </si>
  <si>
    <t>Eswatini</t>
  </si>
  <si>
    <t>Ukraine</t>
  </si>
  <si>
    <t>United States Minor Outlying Islands</t>
  </si>
  <si>
    <t>Panama</t>
  </si>
  <si>
    <t>Peru</t>
  </si>
  <si>
    <t>Uruguay</t>
  </si>
  <si>
    <t>Ghana</t>
  </si>
  <si>
    <t>Vanuatu</t>
  </si>
  <si>
    <t>Kenya</t>
  </si>
  <si>
    <t>Colombia</t>
  </si>
  <si>
    <t>Belize</t>
  </si>
  <si>
    <t>Argentina</t>
  </si>
  <si>
    <t>Korea, Democratic People's Republic of</t>
  </si>
  <si>
    <t>Gabon</t>
  </si>
  <si>
    <t>Iran, Islamic Republic of</t>
  </si>
  <si>
    <t>Kuwait</t>
  </si>
  <si>
    <t>Congo</t>
  </si>
  <si>
    <t>Tanzania, United Republic of</t>
  </si>
  <si>
    <t>Côte d'Ivoire</t>
  </si>
  <si>
    <t>Papua New Guinea</t>
  </si>
  <si>
    <t>Congo, Democratic Republic of the</t>
  </si>
  <si>
    <t>Latvia</t>
  </si>
  <si>
    <t>Average</t>
  </si>
  <si>
    <t>USD/KG</t>
  </si>
  <si>
    <t>USD/Hour</t>
  </si>
  <si>
    <t>Hour</t>
  </si>
  <si>
    <t>KwH</t>
  </si>
  <si>
    <t>Doing Business Indonesia</t>
  </si>
  <si>
    <t xml:space="preserve">Aluminum Wire and Cable from the People’s Republic of China (A-570-095, C-570-096) </t>
  </si>
  <si>
    <t>Circumvention &amp; Scope Inquiries: Vietnam</t>
  </si>
  <si>
    <t>Labor</t>
  </si>
  <si>
    <t>Country</t>
  </si>
  <si>
    <t>Period</t>
  </si>
  <si>
    <t>https://web.pln.co.id/pelanggan/tarif-tenaga-listrik/tariff-adjustment</t>
  </si>
  <si>
    <t>SV Worksheet</t>
  </si>
  <si>
    <t>Surrogate Value 
(Currency per Reported Unit of Measure)</t>
  </si>
  <si>
    <t>Surrogate Value 
(USD per Reported Unit of Measure)</t>
  </si>
  <si>
    <t>https://rshiny.ilo.org/dataexplorer54/?lang=en&amp;id=IDN_A</t>
  </si>
  <si>
    <t>Exrate (USD/Currency)</t>
  </si>
  <si>
    <t>https://access.trade.gov/resources/exchange/index.html</t>
  </si>
  <si>
    <t>https://data.imf.org/regular.aspx?key=61545849</t>
  </si>
  <si>
    <t>Prices, Consumer Price Index, All items, Index</t>
  </si>
  <si>
    <t>Indonesia CPI Index: 2019 through 2023</t>
  </si>
  <si>
    <t>Financial Ratio</t>
  </si>
  <si>
    <t>Company</t>
  </si>
  <si>
    <t xml:space="preserve">Calculation of Surrogate Financial Ratios: Overhead, SG&amp;A, and Profit </t>
  </si>
  <si>
    <t>Note</t>
  </si>
  <si>
    <t>Manufacturing 
Overhead</t>
  </si>
  <si>
    <t>SG&amp;A and 
Interest</t>
  </si>
  <si>
    <t>Exhibit</t>
  </si>
  <si>
    <t>Indonesia Exchange Rate</t>
  </si>
  <si>
    <t>Consumer Price Index-Indonesia</t>
  </si>
  <si>
    <t>5A</t>
  </si>
  <si>
    <t>Labor Calculation</t>
  </si>
  <si>
    <t>5B</t>
  </si>
  <si>
    <t>6A</t>
  </si>
  <si>
    <t>Electricity Rate Summary</t>
  </si>
  <si>
    <t>6B</t>
  </si>
  <si>
    <t>PLN Tariff Rates</t>
  </si>
  <si>
    <t>Freight Rate Summary</t>
  </si>
  <si>
    <t>Financial Ratio Summary</t>
  </si>
  <si>
    <t>Surrogate Value Summary Sheet</t>
  </si>
  <si>
    <t>9A</t>
  </si>
  <si>
    <t>9B</t>
  </si>
  <si>
    <t>Financial Ratio Calculations - KMI</t>
  </si>
  <si>
    <t>KMI Financial Statement</t>
  </si>
  <si>
    <t>Financial Ratio Calculations - VOKSEL</t>
  </si>
  <si>
    <t>VOKSEL Financial Statement</t>
  </si>
  <si>
    <t>10A</t>
  </si>
  <si>
    <t>10B1</t>
  </si>
  <si>
    <t>10B2</t>
  </si>
  <si>
    <t>10C1</t>
  </si>
  <si>
    <t>10C2</t>
  </si>
  <si>
    <t>ILOSTAT Data</t>
  </si>
  <si>
    <t xml:space="preserve">Total Material and Labor Inputs </t>
  </si>
  <si>
    <t>Overhead as % of Material and Direct Labor</t>
  </si>
  <si>
    <t xml:space="preserve">Total Material, Labor, and Overhead  </t>
  </si>
  <si>
    <t>SG&amp;A  as % or Material, Direct Labor &amp; Overhead</t>
  </si>
  <si>
    <t>Total Material, Labor Overhead, &amp; SG&amp;A (i,e,, COP)</t>
  </si>
  <si>
    <t>Profit as % of COP (Material, Direct Labor, Overhead &amp; SG&amp;A)</t>
  </si>
  <si>
    <t>Data source</t>
  </si>
  <si>
    <t>https://archive.doingbusiness.org/content/dam/doingBusiness/country/i/indonesia/IDN.pdf</t>
  </si>
  <si>
    <t>https://kmi.id/index.php/investor/financial-statement</t>
  </si>
  <si>
    <t>https://www.voksel.co.id/en/financial_report</t>
  </si>
  <si>
    <t>https://www.trademap.org/Index.aspx</t>
  </si>
  <si>
    <t>Ecuador</t>
  </si>
  <si>
    <t>El Salvador</t>
  </si>
  <si>
    <t>Georgia</t>
  </si>
  <si>
    <t>Bolivia, Plurinational State of</t>
  </si>
  <si>
    <t>Bosnia and Herzegovina</t>
  </si>
  <si>
    <t>Moldova, Republic of</t>
  </si>
  <si>
    <t>Nicaragua</t>
  </si>
  <si>
    <t>Slovenia</t>
  </si>
  <si>
    <t>Trinidad and Tobago</t>
  </si>
  <si>
    <t>Total quantity imported (Kg)</t>
  </si>
  <si>
    <t>Unit price (USD/Kg)</t>
  </si>
  <si>
    <t>Belarus</t>
  </si>
  <si>
    <t>South Sudan</t>
  </si>
  <si>
    <t>Trademap - Indonesia Import Data</t>
  </si>
  <si>
    <t>Vietnam Part - Surrogate Values from Indonesia</t>
  </si>
  <si>
    <t>Mark</t>
  </si>
  <si>
    <t>Exclude</t>
  </si>
  <si>
    <t>Include</t>
  </si>
  <si>
    <t>• Mã: 39076100 áp dụng cho hạt rPET có chỉ số độ nhớt từ 78ml/g trở lên</t>
  </si>
  <si>
    <t>• Mã: 39076910 áp dụng cho hạt rPET có chỉ số độ nhớt dưới 78ml/g</t>
  </si>
  <si>
    <t>Jordan</t>
  </si>
  <si>
    <t>Albania</t>
  </si>
  <si>
    <t>Armenia</t>
  </si>
  <si>
    <t>Iceland</t>
  </si>
  <si>
    <t>Antigua and Barbuda</t>
  </si>
  <si>
    <t>Libya</t>
  </si>
  <si>
    <t>Turks and Caicos Islands</t>
  </si>
  <si>
    <t>Chad</t>
  </si>
  <si>
    <t>Lesotho</t>
  </si>
  <si>
    <t>Liberia</t>
  </si>
  <si>
    <t>Tuvalu</t>
  </si>
  <si>
    <t>Lebanon</t>
  </si>
  <si>
    <t>Algeria</t>
  </si>
  <si>
    <t>Djibouti</t>
  </si>
  <si>
    <t>Dominica</t>
  </si>
  <si>
    <t>Dominican Republic</t>
  </si>
  <si>
    <t>Sudan</t>
  </si>
  <si>
    <t>Sierra Leone</t>
  </si>
  <si>
    <t>Senegal</t>
  </si>
  <si>
    <t>Sao Tome and Principe</t>
  </si>
  <si>
    <t>Comoros</t>
  </si>
  <si>
    <t>Kiribati</t>
  </si>
  <si>
    <t>Suriname</t>
  </si>
  <si>
    <t>Cabo Verde</t>
  </si>
  <si>
    <t>Cyprus</t>
  </si>
  <si>
    <t>Central African Republic</t>
  </si>
  <si>
    <t>Nauru</t>
  </si>
  <si>
    <t>Nepal</t>
  </si>
  <si>
    <t>Niger</t>
  </si>
  <si>
    <t>Namibia</t>
  </si>
  <si>
    <t>Azerbaijan</t>
  </si>
  <si>
    <t>Fiji</t>
  </si>
  <si>
    <t>Uganda</t>
  </si>
  <si>
    <t>Mauritania</t>
  </si>
  <si>
    <t>Maldives</t>
  </si>
  <si>
    <t>Malawi</t>
  </si>
  <si>
    <t>Mauritius</t>
  </si>
  <si>
    <t>North Macedonia</t>
  </si>
  <si>
    <t>Marshall Islands</t>
  </si>
  <si>
    <t>Mongolia</t>
  </si>
  <si>
    <t>Mali</t>
  </si>
  <si>
    <t>Uzbekistan</t>
  </si>
  <si>
    <t>Madagascar</t>
  </si>
  <si>
    <t>Moldova</t>
  </si>
  <si>
    <t>Montenegro</t>
  </si>
  <si>
    <t>Tajikistan</t>
  </si>
  <si>
    <t>Somalia</t>
  </si>
  <si>
    <t>Ethiopia</t>
  </si>
  <si>
    <t>Solomon Islands</t>
  </si>
  <si>
    <t>Seychelles</t>
  </si>
  <si>
    <t>Zambia</t>
  </si>
  <si>
    <t>Zimbabwe</t>
  </si>
  <si>
    <t>Paraguay</t>
  </si>
  <si>
    <t>Palau</t>
  </si>
  <si>
    <t>Puerto Rico</t>
  </si>
  <si>
    <t>Timor-Leste</t>
  </si>
  <si>
    <t>Turkmenistan</t>
  </si>
  <si>
    <t>Honduras</t>
  </si>
  <si>
    <t>Haiti</t>
  </si>
  <si>
    <t>Guinea</t>
  </si>
  <si>
    <t>Grenada</t>
  </si>
  <si>
    <t>Guyana</t>
  </si>
  <si>
    <t>Equatorial Guinea</t>
  </si>
  <si>
    <t>Guatemala</t>
  </si>
  <si>
    <t>Guinea-Bissau</t>
  </si>
  <si>
    <t>Mozambique</t>
  </si>
  <si>
    <t>Serbia</t>
  </si>
  <si>
    <t>Rwanda</t>
  </si>
  <si>
    <t>Botswana</t>
  </si>
  <si>
    <t>Benin</t>
  </si>
  <si>
    <t>Burundi</t>
  </si>
  <si>
    <t>Barbados</t>
  </si>
  <si>
    <t>Burkina Faso</t>
  </si>
  <si>
    <t>Aruba</t>
  </si>
  <si>
    <t>Afghanistan</t>
  </si>
  <si>
    <t>Cayman Islands</t>
  </si>
  <si>
    <t>Sint Maarten (Dutch part)</t>
  </si>
  <si>
    <t>Curacao</t>
  </si>
  <si>
    <t>Faroe Islands</t>
  </si>
  <si>
    <t>Tonga</t>
  </si>
  <si>
    <t>Bhutan</t>
  </si>
  <si>
    <t>Bermuda</t>
  </si>
  <si>
    <t>San Marino</t>
  </si>
  <si>
    <t>Syrian Arab Republic</t>
  </si>
  <si>
    <t>New Caledonia</t>
  </si>
  <si>
    <t>Cuba</t>
  </si>
  <si>
    <t>Eritrea</t>
  </si>
  <si>
    <t>Greenland</t>
  </si>
  <si>
    <t>French Polynesia</t>
  </si>
  <si>
    <t xml:space="preserve"> Bermuda (UK)</t>
  </si>
  <si>
    <t xml:space="preserve"> Liechtenstein</t>
  </si>
  <si>
    <t xml:space="preserve"> Norway</t>
  </si>
  <si>
    <t xml:space="preserve">  Switzerland</t>
  </si>
  <si>
    <t xml:space="preserve"> Luxembourg</t>
  </si>
  <si>
    <t xml:space="preserve"> Ireland</t>
  </si>
  <si>
    <t xml:space="preserve"> United States</t>
  </si>
  <si>
    <t xml:space="preserve"> Iceland</t>
  </si>
  <si>
    <t xml:space="preserve"> Isle of Man (UK)</t>
  </si>
  <si>
    <t xml:space="preserve"> Faroe Islands (Denmark)</t>
  </si>
  <si>
    <t xml:space="preserve"> Denmark</t>
  </si>
  <si>
    <t xml:space="preserve"> Singapore</t>
  </si>
  <si>
    <t xml:space="preserve"> Qatar</t>
  </si>
  <si>
    <t xml:space="preserve"> Cayman Islands (UK)</t>
  </si>
  <si>
    <t xml:space="preserve"> Australia</t>
  </si>
  <si>
    <t xml:space="preserve"> Sweden</t>
  </si>
  <si>
    <t xml:space="preserve"> Netherlands</t>
  </si>
  <si>
    <t xml:space="preserve"> Hong Kong (China)</t>
  </si>
  <si>
    <t xml:space="preserve"> Austria</t>
  </si>
  <si>
    <t xml:space="preserve"> Israel</t>
  </si>
  <si>
    <t xml:space="preserve"> Belgium</t>
  </si>
  <si>
    <t xml:space="preserve"> Germany</t>
  </si>
  <si>
    <t xml:space="preserve"> Canada</t>
  </si>
  <si>
    <t xml:space="preserve"> Finland</t>
  </si>
  <si>
    <t xml:space="preserve"> United Arab Emirates</t>
  </si>
  <si>
    <t xml:space="preserve"> Andorra</t>
  </si>
  <si>
    <t xml:space="preserve"> New Zealand</t>
  </si>
  <si>
    <t xml:space="preserve"> United Kingdom</t>
  </si>
  <si>
    <t xml:space="preserve"> San Marino</t>
  </si>
  <si>
    <t xml:space="preserve"> Kuwait</t>
  </si>
  <si>
    <t xml:space="preserve"> France</t>
  </si>
  <si>
    <t xml:space="preserve"> Macau (China)</t>
  </si>
  <si>
    <t xml:space="preserve"> Japan</t>
  </si>
  <si>
    <t xml:space="preserve"> Italy</t>
  </si>
  <si>
    <t xml:space="preserve"> New Caledonia (France)</t>
  </si>
  <si>
    <t xml:space="preserve"> Sint Maarten (Netherlands)</t>
  </si>
  <si>
    <t xml:space="preserve"> South Korea</t>
  </si>
  <si>
    <t xml:space="preserve"> Brunei</t>
  </si>
  <si>
    <t xml:space="preserve"> Greenland (Denmark)</t>
  </si>
  <si>
    <t xml:space="preserve"> Malta</t>
  </si>
  <si>
    <t xml:space="preserve"> Aruba (Netherlands)</t>
  </si>
  <si>
    <t xml:space="preserve"> Spain</t>
  </si>
  <si>
    <t xml:space="preserve"> Bahamas</t>
  </si>
  <si>
    <t xml:space="preserve"> Cyprus</t>
  </si>
  <si>
    <t xml:space="preserve"> Slovenia</t>
  </si>
  <si>
    <t xml:space="preserve"> Saudi Arabia</t>
  </si>
  <si>
    <t xml:space="preserve"> Bahrain</t>
  </si>
  <si>
    <t xml:space="preserve"> Estonia</t>
  </si>
  <si>
    <t xml:space="preserve"> Czech Republic</t>
  </si>
  <si>
    <t xml:space="preserve"> Turks and Caicos Islands (UK)</t>
  </si>
  <si>
    <t xml:space="preserve"> Portugal</t>
  </si>
  <si>
    <t xml:space="preserve"> Puerto Rico (US)</t>
  </si>
  <si>
    <t xml:space="preserve"> Lithuania</t>
  </si>
  <si>
    <t xml:space="preserve"> Slovakia</t>
  </si>
  <si>
    <t xml:space="preserve"> Greece</t>
  </si>
  <si>
    <t xml:space="preserve"> Nauru</t>
  </si>
  <si>
    <t xml:space="preserve"> Latvia</t>
  </si>
  <si>
    <t xml:space="preserve"> Oman</t>
  </si>
  <si>
    <t xml:space="preserve"> Saint Kitts and Nevis</t>
  </si>
  <si>
    <t xml:space="preserve"> Barbados</t>
  </si>
  <si>
    <t xml:space="preserve"> Croatia</t>
  </si>
  <si>
    <t xml:space="preserve"> Curaçao (Netherlands)</t>
  </si>
  <si>
    <t xml:space="preserve"> Guyana</t>
  </si>
  <si>
    <t xml:space="preserve"> Antigua and Barbuda</t>
  </si>
  <si>
    <t xml:space="preserve"> Hungary</t>
  </si>
  <si>
    <t xml:space="preserve"> Poland</t>
  </si>
  <si>
    <t xml:space="preserve"> Uruguay</t>
  </si>
  <si>
    <t xml:space="preserve"> French Polynesia (France)</t>
  </si>
  <si>
    <t xml:space="preserve"> Panama</t>
  </si>
  <si>
    <t xml:space="preserve"> Trinidad and Tobago</t>
  </si>
  <si>
    <t xml:space="preserve"> Seychelles</t>
  </si>
  <si>
    <t xml:space="preserve"> Romania</t>
  </si>
  <si>
    <t xml:space="preserve"> Chile</t>
  </si>
  <si>
    <t xml:space="preserve"> Bulgaria</t>
  </si>
  <si>
    <t xml:space="preserve"> Palau</t>
  </si>
  <si>
    <t xml:space="preserve"> Russia</t>
  </si>
  <si>
    <t xml:space="preserve"> Costa Rica</t>
  </si>
  <si>
    <t xml:space="preserve"> China</t>
  </si>
  <si>
    <t xml:space="preserve"> World</t>
  </si>
  <si>
    <t xml:space="preserve"> Argentina</t>
  </si>
  <si>
    <t xml:space="preserve"> Saint Lucia</t>
  </si>
  <si>
    <t xml:space="preserve"> Mexico</t>
  </si>
  <si>
    <t xml:space="preserve"> Malaysia</t>
  </si>
  <si>
    <t xml:space="preserve"> Turkey</t>
  </si>
  <si>
    <t xml:space="preserve"> Mauritius</t>
  </si>
  <si>
    <t xml:space="preserve"> Montenegro</t>
  </si>
  <si>
    <t xml:space="preserve"> Maldives</t>
  </si>
  <si>
    <t xml:space="preserve"> Kazakhstan</t>
  </si>
  <si>
    <t xml:space="preserve"> Saint Vincent and the Grenadines</t>
  </si>
  <si>
    <t xml:space="preserve"> Serbia</t>
  </si>
  <si>
    <t xml:space="preserve"> Grenada</t>
  </si>
  <si>
    <t xml:space="preserve"> Dominican Republic</t>
  </si>
  <si>
    <t xml:space="preserve"> Brazil</t>
  </si>
  <si>
    <t xml:space="preserve"> Cuba</t>
  </si>
  <si>
    <t xml:space="preserve"> Dominica</t>
  </si>
  <si>
    <t xml:space="preserve"> Bosnia and Herzegovina</t>
  </si>
  <si>
    <t xml:space="preserve"> Gabon</t>
  </si>
  <si>
    <t xml:space="preserve"> Belarus</t>
  </si>
  <si>
    <t xml:space="preserve"> North Macedonia</t>
  </si>
  <si>
    <t xml:space="preserve"> Botswana</t>
  </si>
  <si>
    <t xml:space="preserve"> Albania</t>
  </si>
  <si>
    <t xml:space="preserve"> Libya</t>
  </si>
  <si>
    <t xml:space="preserve"> Marshall Islands</t>
  </si>
  <si>
    <t xml:space="preserve"> Tuvalu</t>
  </si>
  <si>
    <t xml:space="preserve"> Armenia</t>
  </si>
  <si>
    <t xml:space="preserve"> Belize</t>
  </si>
  <si>
    <t xml:space="preserve"> Thailand</t>
  </si>
  <si>
    <t xml:space="preserve"> Turkmenistan</t>
  </si>
  <si>
    <t xml:space="preserve"> Peru</t>
  </si>
  <si>
    <t xml:space="preserve"> Colombia</t>
  </si>
  <si>
    <t xml:space="preserve"> South Africa</t>
  </si>
  <si>
    <t xml:space="preserve"> Azerbaijan</t>
  </si>
  <si>
    <t xml:space="preserve"> Georgia</t>
  </si>
  <si>
    <t xml:space="preserve"> Ecuador</t>
  </si>
  <si>
    <t xml:space="preserve"> Paraguay</t>
  </si>
  <si>
    <t xml:space="preserve"> Jamaica</t>
  </si>
  <si>
    <t xml:space="preserve"> Moldova</t>
  </si>
  <si>
    <t xml:space="preserve"> Kosovo</t>
  </si>
  <si>
    <t xml:space="preserve"> Iraq</t>
  </si>
  <si>
    <t xml:space="preserve"> Fiji</t>
  </si>
  <si>
    <t xml:space="preserve"> Guatemala</t>
  </si>
  <si>
    <t xml:space="preserve"> Suriname</t>
  </si>
  <si>
    <t xml:space="preserve"> Equatorial Guinea</t>
  </si>
  <si>
    <t xml:space="preserve"> Ukraine</t>
  </si>
  <si>
    <t xml:space="preserve"> Tonga</t>
  </si>
  <si>
    <t xml:space="preserve"> Algeria</t>
  </si>
  <si>
    <t xml:space="preserve"> Mongolia</t>
  </si>
  <si>
    <t xml:space="preserve"> El Salvador</t>
  </si>
  <si>
    <t xml:space="preserve"> Indonesia</t>
  </si>
  <si>
    <t xml:space="preserve"> Namibia</t>
  </si>
  <si>
    <t xml:space="preserve"> Iran</t>
  </si>
  <si>
    <t xml:space="preserve"> Jordan</t>
  </si>
  <si>
    <t xml:space="preserve"> Cabo Verde</t>
  </si>
  <si>
    <t xml:space="preserve"> Philippines</t>
  </si>
  <si>
    <t xml:space="preserve"> Palestine</t>
  </si>
  <si>
    <t xml:space="preserve"> Vietnam</t>
  </si>
  <si>
    <t xml:space="preserve"> Micronesia</t>
  </si>
  <si>
    <t xml:space="preserve"> Samoa</t>
  </si>
  <si>
    <t xml:space="preserve"> Egypt</t>
  </si>
  <si>
    <t xml:space="preserve"> Eswatini</t>
  </si>
  <si>
    <t xml:space="preserve"> Tunisia</t>
  </si>
  <si>
    <t xml:space="preserve"> Lebanon</t>
  </si>
  <si>
    <t xml:space="preserve"> Kiribati</t>
  </si>
  <si>
    <t xml:space="preserve"> Morocco</t>
  </si>
  <si>
    <t xml:space="preserve"> Vanuatu</t>
  </si>
  <si>
    <t xml:space="preserve"> Bolivia</t>
  </si>
  <si>
    <t xml:space="preserve"> Bhutan</t>
  </si>
  <si>
    <t xml:space="preserve"> Sri Lanka</t>
  </si>
  <si>
    <t xml:space="preserve"> Djibouti</t>
  </si>
  <si>
    <t xml:space="preserve"> Honduras</t>
  </si>
  <si>
    <t xml:space="preserve"> Bangladesh</t>
  </si>
  <si>
    <t xml:space="preserve"> Papua New Guinea</t>
  </si>
  <si>
    <t xml:space="preserve"> Ivory Coast</t>
  </si>
  <si>
    <t xml:space="preserve"> India</t>
  </si>
  <si>
    <t xml:space="preserve"> Sao Tome and Principe</t>
  </si>
  <si>
    <t xml:space="preserve"> Republic of the Congo</t>
  </si>
  <si>
    <t xml:space="preserve"> Uzbekistan</t>
  </si>
  <si>
    <t xml:space="preserve"> Ghana</t>
  </si>
  <si>
    <t xml:space="preserve"> Nicaragua</t>
  </si>
  <si>
    <t xml:space="preserve"> Solomon Islands</t>
  </si>
  <si>
    <t xml:space="preserve"> Mauritania</t>
  </si>
  <si>
    <t xml:space="preserve"> Timor-Leste</t>
  </si>
  <si>
    <t xml:space="preserve"> Angola</t>
  </si>
  <si>
    <t xml:space="preserve"> Laos</t>
  </si>
  <si>
    <t xml:space="preserve"> Kenya</t>
  </si>
  <si>
    <t xml:space="preserve"> Nigeria</t>
  </si>
  <si>
    <t xml:space="preserve"> Cambodia</t>
  </si>
  <si>
    <t xml:space="preserve"> Haiti</t>
  </si>
  <si>
    <t xml:space="preserve"> Zimbabwe</t>
  </si>
  <si>
    <t xml:space="preserve"> Kyrgyzstan</t>
  </si>
  <si>
    <t xml:space="preserve"> Senegal</t>
  </si>
  <si>
    <t xml:space="preserve"> Cameroon</t>
  </si>
  <si>
    <t xml:space="preserve"> Comoros</t>
  </si>
  <si>
    <t xml:space="preserve"> Pakistan</t>
  </si>
  <si>
    <t xml:space="preserve"> Benin</t>
  </si>
  <si>
    <t xml:space="preserve"> Tajikistan</t>
  </si>
  <si>
    <t xml:space="preserve">   Nepal</t>
  </si>
  <si>
    <t xml:space="preserve"> Guinea</t>
  </si>
  <si>
    <t xml:space="preserve"> Zambia</t>
  </si>
  <si>
    <t xml:space="preserve"> Myanmar</t>
  </si>
  <si>
    <t xml:space="preserve"> Tanzania</t>
  </si>
  <si>
    <t xml:space="preserve"> Lesotho</t>
  </si>
  <si>
    <t xml:space="preserve"> Ethiopia</t>
  </si>
  <si>
    <t xml:space="preserve"> South Sudan</t>
  </si>
  <si>
    <t xml:space="preserve"> Togo</t>
  </si>
  <si>
    <t xml:space="preserve"> Sudan</t>
  </si>
  <si>
    <t xml:space="preserve"> Rwanda</t>
  </si>
  <si>
    <t xml:space="preserve"> Uganda</t>
  </si>
  <si>
    <t xml:space="preserve"> Guinea-Bissau</t>
  </si>
  <si>
    <t xml:space="preserve"> Mali</t>
  </si>
  <si>
    <t xml:space="preserve"> Burkina Faso</t>
  </si>
  <si>
    <t xml:space="preserve"> The Gambia</t>
  </si>
  <si>
    <t xml:space="preserve"> Yemen</t>
  </si>
  <si>
    <t xml:space="preserve"> Liberia</t>
  </si>
  <si>
    <t xml:space="preserve"> Chad</t>
  </si>
  <si>
    <t xml:space="preserve"> DR Congo</t>
  </si>
  <si>
    <t xml:space="preserve"> Malawi</t>
  </si>
  <si>
    <t xml:space="preserve"> Somalia</t>
  </si>
  <si>
    <t xml:space="preserve"> Niger</t>
  </si>
  <si>
    <t xml:space="preserve"> Sierra Leone</t>
  </si>
  <si>
    <t xml:space="preserve"> Syria</t>
  </si>
  <si>
    <t xml:space="preserve"> Madagascar</t>
  </si>
  <si>
    <t xml:space="preserve"> Mozambique</t>
  </si>
  <si>
    <t xml:space="preserve"> Central African Republic</t>
  </si>
  <si>
    <t xml:space="preserve"> Afghanistan</t>
  </si>
  <si>
    <t xml:space="preserve"> Burundi</t>
  </si>
  <si>
    <t>GNI per capita ($)</t>
  </si>
  <si>
    <t>Y</t>
  </si>
  <si>
    <t>GNIPC.pdf (worldbank.org)</t>
  </si>
  <si>
    <t>$3.02 Mn</t>
  </si>
  <si>
    <t>$16.79 Mn</t>
  </si>
  <si>
    <t>$23.54 Mn</t>
  </si>
  <si>
    <t>$1.14 Mn</t>
  </si>
  <si>
    <t>$1.66 Mn</t>
  </si>
  <si>
    <t>$1.69 Mn</t>
  </si>
  <si>
    <t>$1.21 Mn</t>
  </si>
  <si>
    <t>$5.36 Mn</t>
  </si>
  <si>
    <t>Vietnam</t>
  </si>
  <si>
    <t>Turkey</t>
  </si>
  <si>
    <t>$4.30 Mn</t>
  </si>
  <si>
    <t>$2.99 Mn</t>
  </si>
  <si>
    <t>$2.13 Mn</t>
  </si>
  <si>
    <t>$1.82 Mn</t>
  </si>
  <si>
    <t>$1.41 Mn</t>
  </si>
  <si>
    <t>$1.85 Mn</t>
  </si>
  <si>
    <t>Ivory Coast</t>
  </si>
  <si>
    <t>$1.47 Mn</t>
  </si>
  <si>
    <t>Republic of the Congo</t>
  </si>
  <si>
    <t>Gambia</t>
  </si>
  <si>
    <t>Bahamas</t>
  </si>
  <si>
    <t>Saint Lucia</t>
  </si>
  <si>
    <t>Saint Vincent and the Grenadines</t>
  </si>
  <si>
    <t>Saint Kitts and Nevis</t>
  </si>
  <si>
    <t>GNI per capita, Atlas</t>
  </si>
  <si>
    <t>GNI per capita, PPP</t>
  </si>
  <si>
    <t>GNI, Atlas</t>
  </si>
  <si>
    <t>GNI per Capita by Country 2024</t>
  </si>
  <si>
    <t>GNI per Capita by Country 2024 (worldpopulationreview.com)</t>
  </si>
  <si>
    <t>TO CONSIDER</t>
  </si>
  <si>
    <t>EXPORT OF RPET</t>
  </si>
  <si>
    <t>IMPORT OF RPET</t>
  </si>
  <si>
    <t xml:space="preserve">List of importers for the selected product in 2023 </t>
  </si>
  <si>
    <t>Product : 3907 Polyacetals, other polyethers and epoxide resins, in primary forms; polycarbonates, alkyd resins, ...</t>
  </si>
  <si>
    <t>Sources: ITC calculations based on UN COMTRADE and ITC statistics.</t>
  </si>
  <si>
    <t>The world aggregation represents the sum of reporting and non reporting countries</t>
  </si>
  <si>
    <t>The data in orange represents mirror figures based on partner data.</t>
  </si>
  <si>
    <t>The quantities shown in dark green are estimated by ITC. For further information, please refer to the ITC explanatory note.</t>
  </si>
  <si>
    <t>The quantities shown in light green are estimated by UNSD. For further information, please refer to the UNSD explanatory note.</t>
  </si>
  <si>
    <t>Importers</t>
  </si>
  <si>
    <t>Select your indicators</t>
  </si>
  <si>
    <t>Value imported in 2023 (USD thousand)</t>
  </si>
  <si>
    <t>Trade balance in 2023 (USD thousand)</t>
  </si>
  <si>
    <t>Quantity imported in 2023</t>
  </si>
  <si>
    <t>Quantity Unit</t>
  </si>
  <si>
    <t>Unit value (USD/unit)</t>
  </si>
  <si>
    <t>Annual growth in value between 2019-2023 (%)</t>
  </si>
  <si>
    <t>Annual growth in quantity between 2019-2023 (%)</t>
  </si>
  <si>
    <t>Annual growth in value between 2022-2023 (%)</t>
  </si>
  <si>
    <t>Share in world imports (%)</t>
  </si>
  <si>
    <t>Average distance of supplying countries (km)</t>
  </si>
  <si>
    <t>Concentration of supplying countries</t>
  </si>
  <si>
    <t>Average tariff (estimated) applied by the country (%)</t>
  </si>
  <si>
    <t>No quantity</t>
  </si>
  <si>
    <t>Tons</t>
  </si>
  <si>
    <t>...</t>
  </si>
  <si>
    <t>Libya, State of</t>
  </si>
  <si>
    <t>Yemen</t>
  </si>
  <si>
    <t>Macedonia, North</t>
  </si>
  <si>
    <t>Lao People's Democratic Republic</t>
  </si>
  <si>
    <t>Palestine, State of</t>
  </si>
  <si>
    <t>Free Zones</t>
  </si>
  <si>
    <t>Ship stores and bunkers</t>
  </si>
  <si>
    <t>Micronesia, Federated States of</t>
  </si>
  <si>
    <t>Gibraltar</t>
  </si>
  <si>
    <t>Bonaire, Sint Eustatius and Saba</t>
  </si>
  <si>
    <t>Saint Pierre and Miquelon</t>
  </si>
  <si>
    <t>Falkland Islands (Malvinas)</t>
  </si>
  <si>
    <t>Cook Islands</t>
  </si>
  <si>
    <t>Anguilla</t>
  </si>
  <si>
    <t>Montserrat</t>
  </si>
  <si>
    <t>Christmas Island</t>
  </si>
  <si>
    <t>Saint Helena</t>
  </si>
  <si>
    <t>Northern Mariana Islands</t>
  </si>
  <si>
    <t>Niue</t>
  </si>
  <si>
    <t>Wallis and Futuna Islands</t>
  </si>
  <si>
    <t xml:space="preserve">List of exporters for the selected product in 2023 </t>
  </si>
  <si>
    <t>Value exported in 2023 (USD thousand)</t>
  </si>
  <si>
    <t>Quantity exported in 2023</t>
  </si>
  <si>
    <t>Share in world exports (%)</t>
  </si>
  <si>
    <t>Average distance of importing countries (km)</t>
  </si>
  <si>
    <t>Concentration of importing countries</t>
  </si>
  <si>
    <t>Pitcairn</t>
  </si>
  <si>
    <t>EXPORT SURPLUS</t>
  </si>
  <si>
    <t>rPET from Vietnam Duy Tan Group to US</t>
  </si>
  <si>
    <t>HPS</t>
  </si>
  <si>
    <t>CODE</t>
  </si>
  <si>
    <t>Chai PET B1</t>
  </si>
  <si>
    <t>Chai PET B1 Không Phân Loại</t>
  </si>
  <si>
    <t>Chai PET-B2.1</t>
  </si>
  <si>
    <t>Chai PET-B2.2</t>
  </si>
  <si>
    <t>Chai PET-B3</t>
  </si>
  <si>
    <t>Chai PET B4</t>
  </si>
  <si>
    <t>Chai PET B5</t>
  </si>
  <si>
    <t>Chai PET B6.1</t>
  </si>
  <si>
    <t>Chai PET B6.2</t>
  </si>
  <si>
    <t>Chai PET B7.1</t>
  </si>
  <si>
    <t>Vảy PET B1_A5.1</t>
  </si>
  <si>
    <t>Vảy PET B1_A5.2</t>
  </si>
  <si>
    <t>Vảy PET B1_A6</t>
  </si>
  <si>
    <t>Phụ gia 409</t>
  </si>
  <si>
    <t>Phụ gia 0090</t>
  </si>
  <si>
    <t>Phụ gia CC10379752ZF</t>
  </si>
  <si>
    <t>Phụ gia 00185</t>
  </si>
  <si>
    <t>Phụ gia  RHC-2</t>
  </si>
  <si>
    <r>
      <t xml:space="preserve">Vietnam Part - Surrogate Values from </t>
    </r>
    <r>
      <rPr>
        <b/>
        <sz val="11"/>
        <color rgb="FFFF0000"/>
        <rFont val="Aptos"/>
        <family val="2"/>
      </rPr>
      <t>Egypt</t>
    </r>
  </si>
  <si>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</si>
  <si>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</si>
  <si>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</si>
  <si>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</si>
  <si>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</si>
  <si>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</si>
  <si>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</si>
  <si>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</si>
  <si>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</si>
  <si>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</si>
  <si>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</si>
  <si>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</si>
  <si>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</si>
  <si>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</si>
  <si>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</si>
  <si>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</si>
  <si>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</si>
  <si>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</si>
  <si>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</si>
  <si>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</si>
  <si>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</si>
  <si>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</si>
  <si>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</si>
  <si>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isLeaf</t>
  </si>
  <si>
    <t>customsCode</t>
  </si>
  <si>
    <t>customsDesc</t>
  </si>
  <si>
    <t>mosCode</t>
  </si>
  <si>
    <t>motCode</t>
  </si>
  <si>
    <t>motDesc</t>
  </si>
  <si>
    <t>qtyUnitCode</t>
  </si>
  <si>
    <t>qtyUnitAbbr</t>
  </si>
  <si>
    <t>qty</t>
  </si>
  <si>
    <t>isQtyEstimated</t>
  </si>
  <si>
    <t>altQtyUnitCode</t>
  </si>
  <si>
    <t>altQtyUnitAbbr</t>
  </si>
  <si>
    <t>altQty</t>
  </si>
  <si>
    <t>isAltQtyEstimated</t>
  </si>
  <si>
    <t>netWgt</t>
  </si>
  <si>
    <t>isNetWgtEstimated</t>
  </si>
  <si>
    <t>grossWgt</t>
  </si>
  <si>
    <t>isGrossWgtEstimated</t>
  </si>
  <si>
    <t>cifvalue</t>
  </si>
  <si>
    <t>fobvalue</t>
  </si>
  <si>
    <t>primaryValue</t>
  </si>
  <si>
    <t>legacyEstimationFlag</t>
  </si>
  <si>
    <t>isReported</t>
  </si>
  <si>
    <t>isAggregate</t>
  </si>
  <si>
    <t>C</t>
  </si>
  <si>
    <t>M</t>
  </si>
  <si>
    <t>202401</t>
  </si>
  <si>
    <t>EGY</t>
  </si>
  <si>
    <t>Import</t>
  </si>
  <si>
    <t>W00</t>
  </si>
  <si>
    <t>H6</t>
  </si>
  <si>
    <t>HS</t>
  </si>
  <si>
    <t>391590</t>
  </si>
  <si>
    <t>Plastics n.e.c. in heading no. 3915; waste, parings and scrap</t>
  </si>
  <si>
    <t>C00</t>
  </si>
  <si>
    <t>TOTAL CPC</t>
  </si>
  <si>
    <t>0</t>
  </si>
  <si>
    <t>TOTAL MOT</t>
  </si>
  <si>
    <t>kg</t>
  </si>
  <si>
    <t>N/A</t>
  </si>
  <si>
    <t>DEU</t>
  </si>
  <si>
    <t>E19</t>
  </si>
  <si>
    <t>Other Europe, nes</t>
  </si>
  <si>
    <t>ESP</t>
  </si>
  <si>
    <t>GBR</t>
  </si>
  <si>
    <t>YEM</t>
  </si>
  <si>
    <t>202402</t>
  </si>
  <si>
    <t>FRA</t>
  </si>
  <si>
    <t>ITA</t>
  </si>
  <si>
    <t>SEN</t>
  </si>
  <si>
    <t>TUR</t>
  </si>
  <si>
    <t>202403</t>
  </si>
  <si>
    <t>PRT</t>
  </si>
  <si>
    <t>ARE</t>
  </si>
  <si>
    <t>202404</t>
  </si>
  <si>
    <t>BEL</t>
  </si>
  <si>
    <t>LBN</t>
  </si>
  <si>
    <t>NLD</t>
  </si>
  <si>
    <t>202405</t>
  </si>
  <si>
    <t>202406</t>
  </si>
  <si>
    <t>X</t>
  </si>
  <si>
    <t>Export</t>
  </si>
  <si>
    <t>UN Comtrade</t>
  </si>
  <si>
    <t>202301</t>
  </si>
  <si>
    <t>BGR</t>
  </si>
  <si>
    <t>NGA</t>
  </si>
  <si>
    <t>SDN</t>
  </si>
  <si>
    <t>TZA</t>
  </si>
  <si>
    <t>United Rep. of Tanzania</t>
  </si>
  <si>
    <t>202302</t>
  </si>
  <si>
    <t>CHN</t>
  </si>
  <si>
    <t>KEN</t>
  </si>
  <si>
    <t>USA</t>
  </si>
  <si>
    <t>202303</t>
  </si>
  <si>
    <t>202304</t>
  </si>
  <si>
    <t>202305</t>
  </si>
  <si>
    <t>202306</t>
  </si>
  <si>
    <t>202307</t>
  </si>
  <si>
    <t>GRC</t>
  </si>
  <si>
    <t>IRQ</t>
  </si>
  <si>
    <t>202308</t>
  </si>
  <si>
    <t>MYS</t>
  </si>
  <si>
    <t>202309</t>
  </si>
  <si>
    <t>202310</t>
  </si>
  <si>
    <t>202311</t>
  </si>
  <si>
    <t>202312</t>
  </si>
  <si>
    <t>PERIOD OF INVESTIGATION</t>
  </si>
  <si>
    <t>VALUE</t>
  </si>
  <si>
    <t>QUANTITY</t>
  </si>
  <si>
    <t>IMPORT/ EXPORT</t>
  </si>
  <si>
    <t>COUNTRY</t>
  </si>
  <si>
    <t>Grand Total</t>
  </si>
  <si>
    <t>Sum of qty</t>
  </si>
  <si>
    <t>Sum of primaryValue</t>
  </si>
  <si>
    <t>EXCLUDE</t>
  </si>
  <si>
    <t>List of supplying markets for a product imported by Egypt</t>
  </si>
  <si>
    <t>Product: Plastics n.e.c. in heading no. 3915; waste, parings and scrap</t>
  </si>
  <si>
    <t>Link:</t>
  </si>
  <si>
    <t>partnerDesc/ month</t>
  </si>
  <si>
    <t>1/</t>
  </si>
  <si>
    <t>2/</t>
  </si>
  <si>
    <t>MASTER DATA</t>
  </si>
  <si>
    <t>Val</t>
  </si>
  <si>
    <t>Qty</t>
  </si>
  <si>
    <t>320619</t>
  </si>
  <si>
    <t>Colouring matter; pigments and preparations based on titanium dioxide, containing less than 80% by weight of titanium dioxide calculated on the dry weight</t>
  </si>
  <si>
    <t>JPN</t>
  </si>
  <si>
    <t>IND</t>
  </si>
  <si>
    <t>THA</t>
  </si>
  <si>
    <t>AUT</t>
  </si>
  <si>
    <t>FIN</t>
  </si>
  <si>
    <t>CZE</t>
  </si>
  <si>
    <t>Czechia</t>
  </si>
  <si>
    <t>KOR</t>
  </si>
  <si>
    <t>Rep. of Korea</t>
  </si>
  <si>
    <t>VNM</t>
  </si>
  <si>
    <t>HUN</t>
  </si>
  <si>
    <t>SAU</t>
  </si>
  <si>
    <t>LUX</t>
  </si>
  <si>
    <t>OMN</t>
  </si>
  <si>
    <t>RUS</t>
  </si>
  <si>
    <t>S19</t>
  </si>
  <si>
    <t>Other Asia, nes</t>
  </si>
  <si>
    <t>PAK</t>
  </si>
  <si>
    <t>AUS</t>
  </si>
  <si>
    <t>Republic of Armenia (see 57 FR 23380) Review Request Submitted by the Government of Armenia on 12/21/2023</t>
  </si>
  <si>
    <t>Republic of Azerbaijan (see 57 FR 23380)</t>
  </si>
  <si>
    <t>Republic of Belarus (see 57 FR 23380)</t>
  </si>
  <si>
    <t>People’s Republic of China (see 82 FR 50858)</t>
  </si>
  <si>
    <t>Georgia (see 57 FR 23380)</t>
  </si>
  <si>
    <t>Kyrgyz Republic (see 57 FR 23380)</t>
  </si>
  <si>
    <t>Republic of Moldova (see 57 FR 23380)</t>
  </si>
  <si>
    <t>Russian Federation (see 87 FR 69002)</t>
  </si>
  <si>
    <t>Republic of Tajikistan (see 57 FR 23380)</t>
  </si>
  <si>
    <t>Turkmenistan (see 57 FR 23380)</t>
  </si>
  <si>
    <t>Republic of Uzbekistan (see 57 FR 23380)</t>
  </si>
  <si>
    <t>Socialist Republic of Vietnam (see 68 FR 37116)</t>
  </si>
  <si>
    <t>Prices, Production and Labor selected indicators</t>
  </si>
  <si>
    <t>Egypt, Arab Rep. of</t>
  </si>
  <si>
    <t>Source: International Financial Statistics (IFS)</t>
  </si>
  <si>
    <t>Metadata by Country (IFS)</t>
  </si>
  <si>
    <t>Indicator</t>
  </si>
  <si>
    <t>Scale</t>
  </si>
  <si>
    <t>Base Year</t>
  </si>
  <si>
    <t>2017</t>
  </si>
  <si>
    <t>2018</t>
  </si>
  <si>
    <t>2019</t>
  </si>
  <si>
    <t>2020</t>
  </si>
  <si>
    <t>2021</t>
  </si>
  <si>
    <t>2022</t>
  </si>
  <si>
    <t>2023</t>
  </si>
  <si>
    <t>Prices</t>
  </si>
  <si>
    <t/>
  </si>
  <si>
    <t>Index</t>
  </si>
  <si>
    <t>PCPI_IX</t>
  </si>
  <si>
    <t>Units</t>
  </si>
  <si>
    <t>2010=100</t>
  </si>
  <si>
    <t>Production</t>
  </si>
  <si>
    <t>Economic Activity, Industrial Production, Index</t>
  </si>
  <si>
    <t>AIP_IX</t>
  </si>
  <si>
    <t>Labor Force, Persons, Number of</t>
  </si>
  <si>
    <t>Number of</t>
  </si>
  <si>
    <t>LLF_PE_NUM</t>
  </si>
  <si>
    <t>Thousands</t>
  </si>
  <si>
    <t>Employment, Persons, Number of</t>
  </si>
  <si>
    <t>LE_PE_NUM</t>
  </si>
  <si>
    <t>Unemployment, Persons, Number of</t>
  </si>
  <si>
    <t>LU_PE_NUM</t>
  </si>
  <si>
    <t>Labor Markets, Unemployment Rate, Percent</t>
  </si>
  <si>
    <t>Percent</t>
  </si>
  <si>
    <t>LUR_PT</t>
  </si>
  <si>
    <t>Prices, Production, and Labor - IMF Data</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</si>
  <si>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</si>
  <si>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</si>
  <si>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</si>
  <si>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</si>
  <si>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</si>
  <si>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</si>
  <si>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</si>
  <si>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</si>
  <si>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</si>
  <si>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</si>
  <si>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</si>
  <si>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</si>
  <si>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</si>
  <si>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</si>
  <si>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</si>
  <si>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</si>
  <si>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</si>
  <si>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</si>
  <si>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</si>
  <si>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</si>
  <si>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</si>
  <si>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</si>
  <si>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</si>
  <si>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</si>
  <si>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t>
  </si>
  <si>
    <t>2024Q1</t>
  </si>
  <si>
    <t>Q1.2024</t>
  </si>
  <si>
    <t>ILOSTAT Data Explorer</t>
  </si>
  <si>
    <t>ref_area.label</t>
  </si>
  <si>
    <t>source.label</t>
  </si>
  <si>
    <t>indicator.label</t>
  </si>
  <si>
    <t>sex.label</t>
  </si>
  <si>
    <t>classif1.label</t>
  </si>
  <si>
    <t>time</t>
  </si>
  <si>
    <t>obs_value</t>
  </si>
  <si>
    <t>obs_status.label</t>
  </si>
  <si>
    <t>note_indicator.label</t>
  </si>
  <si>
    <t>note_source.label</t>
  </si>
  <si>
    <t>classif2.label</t>
  </si>
  <si>
    <t>Sex: Total</t>
  </si>
  <si>
    <t>LFS - Labour Force Sample Survey</t>
  </si>
  <si>
    <t>SDG indicator 8.5.1 - Average hourly earnings of employees by sex (Local currency)</t>
  </si>
  <si>
    <t>Occupation (Skill level): Total</t>
  </si>
  <si>
    <t>Currency: EGY - Egyptian pound (EGP)</t>
  </si>
  <si>
    <t>Repository: ILO-STATISTICS - Micro data processing</t>
  </si>
  <si>
    <t>Occupation (Skill level): Skill levels 3 and 4 ~ high</t>
  </si>
  <si>
    <t>Occupation (Skill level): Skill level 2 ~ medium</t>
  </si>
  <si>
    <t>Occupation (Skill level): Skill level 1 ~ low</t>
  </si>
  <si>
    <t>Occupation (ISCO-08): Total</t>
  </si>
  <si>
    <t>Occupation (ISCO-08): 1. Managers</t>
  </si>
  <si>
    <t>Occupation (ISCO-08): 2. Professionals</t>
  </si>
  <si>
    <t>Occupation (ISCO-08): 3. Technicians and associate professionals</t>
  </si>
  <si>
    <t>Occupation (ISCO-08): 4. Clerical support workers</t>
  </si>
  <si>
    <t>Occupation (ISCO-08): 5. Service and sales workers</t>
  </si>
  <si>
    <t>Occupation (ISCO-08): 6. Skilled agricultural, forestry and fishery workers</t>
  </si>
  <si>
    <t>Occupation (ISCO-08): 7. Craft and related trades workers</t>
  </si>
  <si>
    <t>Occupation (ISCO-08): 8. Plant and machine operators, and assemblers</t>
  </si>
  <si>
    <t>Occupation (ISCO-08): 9. Elementary occupations</t>
  </si>
  <si>
    <t>USD</t>
  </si>
  <si>
    <t>EGP</t>
  </si>
  <si>
    <t>AVR RATE 2022</t>
  </si>
  <si>
    <t>USD/EGP</t>
  </si>
  <si>
    <t>USD EQUIVALENT</t>
  </si>
  <si>
    <t>USD to EGP Exchange Rate History for 2023 (exchange-rates.org)</t>
  </si>
  <si>
    <t>Egypt electricity prices</t>
  </si>
  <si>
    <t>UNComtrade</t>
  </si>
  <si>
    <t xml:space="preserve">The residential electricity price in Egypt is EGP 0.828 per kWh or USD 0.017. The electricity price for businesses is EGP 1.150 kWh or USD 0.024. These retail prices were collected in December 2023 and include the cost of power, distribution and transmission, and all taxes and fees. </t>
  </si>
  <si>
    <t xml:space="preserve">List of supplying markets for a product imported by Egypt </t>
  </si>
  <si>
    <t>Product: 320490 Synthetic organic products of a kind used as luminophores, whether or not chemically defined</t>
  </si>
  <si>
    <t>Sources: ITC calculations based on UN COMTRADE statistics.</t>
  </si>
  <si>
    <t>Imported value in 2012</t>
  </si>
  <si>
    <t>Imported value in 2013</t>
  </si>
  <si>
    <t>Imported value in 2014</t>
  </si>
  <si>
    <t>Imported value in 2015</t>
  </si>
  <si>
    <t>Imported value in 2016</t>
  </si>
  <si>
    <t>Imported value in 2017</t>
  </si>
  <si>
    <t>Imported value in 2018</t>
  </si>
  <si>
    <t>Imported value in 2019</t>
  </si>
  <si>
    <t>Imported value in 2020</t>
  </si>
  <si>
    <t>Imported value in 2021</t>
  </si>
  <si>
    <t>Imported value in 2022</t>
  </si>
  <si>
    <t>Imported value in 2023</t>
  </si>
  <si>
    <t>Product: 3204 Synthetic organic colouring matter, whether or not chemically defined; preparations based on ...</t>
  </si>
  <si>
    <t>Imported quantity, Tons</t>
  </si>
  <si>
    <t>No Quantity</t>
  </si>
  <si>
    <t>Europe Othr. Nes</t>
  </si>
  <si>
    <t>Total quantity imported (ton)</t>
  </si>
  <si>
    <t>IP</t>
  </si>
  <si>
    <t>Product: 320619 Pigments and preparations based on titanium dioxide of a kind used for colouring any material ...</t>
  </si>
  <si>
    <t>Unit : ton</t>
  </si>
  <si>
    <t>COMBINED IP</t>
  </si>
  <si>
    <t>30/06</t>
  </si>
  <si>
    <t>31/03</t>
  </si>
  <si>
    <t>31/12</t>
  </si>
  <si>
    <t>30/09</t>
  </si>
  <si>
    <t>Total Revenue</t>
  </si>
  <si>
    <t>Revenue</t>
  </si>
  <si>
    <t>Cost of Revenue, Total</t>
  </si>
  <si>
    <t>Gross Profit</t>
  </si>
  <si>
    <t>Total Operating Expenses</t>
  </si>
  <si>
    <t>Selling/General/Admin. Expenses, Total</t>
  </si>
  <si>
    <t>Research &amp; Development</t>
  </si>
  <si>
    <t>Depreciation / Amortization</t>
  </si>
  <si>
    <t>Interest Expense (Income) - Net Operating</t>
  </si>
  <si>
    <t>Unusual Expense (Income)</t>
  </si>
  <si>
    <t>Other Operating Expenses, Total</t>
  </si>
  <si>
    <t>Operating Income</t>
  </si>
  <si>
    <t>Interest Income (Expense), Net Non-Operating</t>
  </si>
  <si>
    <t>Gain (Loss) on Sale of Assets</t>
  </si>
  <si>
    <t>Other, Net</t>
  </si>
  <si>
    <t>Net Income Before Taxes</t>
  </si>
  <si>
    <t>Provision for Income Taxes</t>
  </si>
  <si>
    <t>Net Income After Taxes</t>
  </si>
  <si>
    <t>Minority Interest</t>
  </si>
  <si>
    <t>Equity In Affiliates</t>
  </si>
  <si>
    <t>U.S GAAP Adjustment</t>
  </si>
  <si>
    <t>Net Income Before Extraordinary Items</t>
  </si>
  <si>
    <t>Total Extraordinary Items</t>
  </si>
  <si>
    <t>Net Income</t>
  </si>
  <si>
    <t>Total Adjustments to Net Income</t>
  </si>
  <si>
    <t>Income Available to Common Excluding Extraordinary Items</t>
  </si>
  <si>
    <t>Dilution Adjustment</t>
  </si>
  <si>
    <t>Diluted Net Income</t>
  </si>
  <si>
    <t>Diluted Weighted Average Shares</t>
  </si>
  <si>
    <t>Diluted EPS Excluding Extraordinary Items</t>
  </si>
  <si>
    <t>DPS - Common Stock Primary Issue</t>
  </si>
  <si>
    <t>Diluted Normalized EPS</t>
  </si>
  <si>
    <t>* In Millions of EGP (except for per share items)</t>
  </si>
  <si>
    <t>Rubex Plastics (RUBX) Income Statement (investing.com)</t>
  </si>
  <si>
    <t>Quarterly Ending:</t>
  </si>
  <si>
    <t>Raw 
Materials &amp; Direct labor</t>
  </si>
  <si>
    <t>in EGP</t>
  </si>
  <si>
    <t>Vietnam Part - Surrogate Values from Egypt</t>
  </si>
  <si>
    <t>Rubex International for Plastic and Acrylic Manufacturing</t>
  </si>
  <si>
    <t>Financial Ratio Jul 2023 - Jun 2024- Egypt Producers</t>
  </si>
  <si>
    <t>USD/KwH</t>
  </si>
  <si>
    <t>EXCLUDE NME COUNTRIES</t>
  </si>
  <si>
    <t>LƯU ĐỒ TÍNH GIÁ THÀNH</t>
  </si>
  <si>
    <t>FOP</t>
  </si>
  <si>
    <t xml:space="preserve">OVH COST </t>
  </si>
  <si>
    <t>Khối SX - Xưởng 1</t>
  </si>
  <si>
    <t>Khối gián tiếp</t>
  </si>
  <si>
    <t>Khối SX - Xưởng 2</t>
  </si>
  <si>
    <t xml:space="preserve"> Xưởng sản xuất PET</t>
  </si>
  <si>
    <t>Khối SX - Xưởng 4</t>
  </si>
  <si>
    <t>Xưởng sản xuất HDPE</t>
  </si>
  <si>
    <t>Nghiên Cứu &amp; Phát Triển</t>
  </si>
  <si>
    <t>Kho</t>
  </si>
  <si>
    <t>Khối SX - Kế hoạch</t>
  </si>
  <si>
    <t>Kỹ thuật</t>
  </si>
  <si>
    <t>Kiểm soát chất lượng</t>
  </si>
  <si>
    <t>1001608000</t>
  </si>
  <si>
    <t>Xưởng sản xuất PP</t>
  </si>
  <si>
    <t>PIC</t>
  </si>
  <si>
    <t>MAI</t>
  </si>
  <si>
    <t>TÂN</t>
  </si>
  <si>
    <t>Vảy PET B3_A5.1</t>
  </si>
  <si>
    <t>Vảy PET B3_A6</t>
  </si>
  <si>
    <t>Vảy PET B6.2_A6</t>
  </si>
  <si>
    <t>Phá bọt Antifoam CS04</t>
  </si>
  <si>
    <t>Thủy tinh lỏng Na2SiO3.9H2O</t>
  </si>
  <si>
    <t>Hạt TiO2 White MTP</t>
  </si>
  <si>
    <t>Lỏng TiO2 Gumi White 2</t>
  </si>
  <si>
    <t>Sodium Hydroxide (32%) NaOH (rắn)</t>
  </si>
  <si>
    <t>Sodium Hydroxide (32%) NaOH (lỏng)</t>
  </si>
  <si>
    <t>Bao Jumbo 950x950x1300mm Đai Trắng rPET</t>
  </si>
  <si>
    <t>Bao PE 2000x2700x5z</t>
  </si>
  <si>
    <t>Bao PE lót ngoài 2000x2700x7z</t>
  </si>
  <si>
    <t>Bao Jumbo 950x950x1300mm Đai Xanh Xơ Sợi</t>
  </si>
  <si>
    <t>Bao jumbo 950x950x1300mm_Không logo</t>
  </si>
  <si>
    <t>Pallet gỗ 1 mặt 1100x1000x100mm</t>
  </si>
  <si>
    <t>Chemical products, mixtures and preparations; n.e.c. heading 3824</t>
  </si>
  <si>
    <t>382499</t>
  </si>
  <si>
    <t>ARG</t>
  </si>
  <si>
    <t>BRA</t>
  </si>
  <si>
    <t>DNK</t>
  </si>
  <si>
    <t>HKG</t>
  </si>
  <si>
    <t>China, Hong Kong SAR</t>
  </si>
  <si>
    <t>ISR</t>
  </si>
  <si>
    <t>NOR</t>
  </si>
  <si>
    <t>QAT</t>
  </si>
  <si>
    <t>SGP</t>
  </si>
  <si>
    <t>ZAF</t>
  </si>
  <si>
    <t>CHE</t>
  </si>
  <si>
    <t>EST</t>
  </si>
  <si>
    <t>MEX</t>
  </si>
  <si>
    <t>POL</t>
  </si>
  <si>
    <t>SVK</t>
  </si>
  <si>
    <t>SWE</t>
  </si>
  <si>
    <t>IRL</t>
  </si>
  <si>
    <t>JOR</t>
  </si>
  <si>
    <t>SVN</t>
  </si>
  <si>
    <t>UKR</t>
  </si>
  <si>
    <t>IDN</t>
  </si>
  <si>
    <t>PHL</t>
  </si>
  <si>
    <t>CAN</t>
  </si>
  <si>
    <t>GEO</t>
  </si>
  <si>
    <t>ROU</t>
  </si>
  <si>
    <t>CHL</t>
  </si>
  <si>
    <t>LTU</t>
  </si>
  <si>
    <t>NZL</t>
  </si>
  <si>
    <t>SRB</t>
  </si>
  <si>
    <t>283919</t>
  </si>
  <si>
    <t>Silicates; of sodium (excluding sodium metasilicates)</t>
  </si>
  <si>
    <t>KWT</t>
  </si>
  <si>
    <t>281511</t>
  </si>
  <si>
    <t>Sodium hydroxide (caustic soda); solid</t>
  </si>
  <si>
    <t>Sodium hydroxide (caustic soda); in aqueous solution (soda lye or liquid soda)</t>
  </si>
  <si>
    <t>281512</t>
  </si>
  <si>
    <t>441520</t>
  </si>
  <si>
    <t>Wood; pallets, box pallets and other load boards; pallet collars</t>
  </si>
  <si>
    <t>u</t>
  </si>
  <si>
    <t>CIV</t>
  </si>
  <si>
    <t>MAR</t>
  </si>
  <si>
    <t>Plastics; sacks and bags (including cones), for the conveyance or packing of goods, of plastics other than ethylene polymers</t>
  </si>
  <si>
    <t>392329</t>
  </si>
  <si>
    <t>LKA</t>
  </si>
  <si>
    <t xml:space="preserve">_X </t>
  </si>
  <si>
    <t>Areas, nes</t>
  </si>
  <si>
    <t>WATER</t>
  </si>
  <si>
    <t>Water</t>
  </si>
  <si>
    <t>Egypt - Bottled water - price, January 2024 | GlobalProductPrices.com</t>
  </si>
  <si>
    <t>Egypt - Bottled water - price, January 2024</t>
  </si>
  <si>
    <t xml:space="preserve"> EGP</t>
  </si>
  <si>
    <t xml:space="preserve"> USD</t>
  </si>
  <si>
    <t xml:space="preserve"> EUR</t>
  </si>
  <si>
    <t>First price hike on water bills for Egyptian households in nearly a decade - Economy - Business - Ahram Online</t>
  </si>
  <si>
    <t>Marine Insurance</t>
  </si>
  <si>
    <t>Inland Freight Trucking Expense - Import</t>
  </si>
  <si>
    <t>Inland Freight Trucking Expense - Export</t>
  </si>
  <si>
    <t>Domestic Brokerage &amp; Handling - Import</t>
  </si>
  <si>
    <t>Domestic Brokerage &amp; Handling - Export</t>
  </si>
  <si>
    <t>Transportation</t>
  </si>
  <si>
    <t>USD/kg/km</t>
  </si>
  <si>
    <t>USD/kg</t>
  </si>
  <si>
    <t>Doing Business in Egypt, Arab Rep. - World Bank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</si>
</sst>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409]mmm\-yy;@"/>
    <numFmt numFmtId="165" formatCode="_(* #,##0.0000_);_(* \(#,##0.0000\);_(* &quot;-&quot;??_);_(@_)"/>
    <numFmt numFmtId="166" formatCode="_(* #,##0.00000_);_(* \(#,##0.00000\);_(* &quot;-&quot;??_);_(@_)"/>
    <numFmt numFmtId="167" formatCode="_(* #,##0_);_(* \(#,##0\);_(* &quot;-&quot;??_);_(@_)"/>
    <numFmt numFmtId="168" formatCode="0.0%"/>
    <numFmt numFmtId="169" formatCode="_(* #,##0.000000_);_(* \(#,##0.000000\);_(* &quot;-&quot;??_);_(@_)"/>
  </numFmts>
  <fonts count="91">
    <font>
      <sz val="11"/>
      <color theme="1"/>
      <name val="Aptos Narrow"/>
      <family val="2"/>
      <scheme val="minor"/>
    </font>
    <font>
      <sz val="10"/>
      <color theme="1"/>
      <name val="Calibri"/>
      <family val="2"/>
    </font>
    <font>
      <sz val="11"/>
      <color theme="1"/>
      <name val="Aptos Narrow"/>
      <family val="2"/>
      <scheme val="minor"/>
    </font>
    <font>
      <b/>
      <sz val="11"/>
      <color rgb="FFFA7D00"/>
      <name val="Aptos Narrow"/>
      <family val="2"/>
      <scheme val="minor"/>
    </font>
    <font>
      <sz val="10"/>
      <name val="MS Sans Serif"/>
      <family val="2"/>
    </font>
    <font>
      <sz val="10"/>
      <name val="Arial"/>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sz val="10"/>
      <color indexed="8"/>
      <name val="Arial"/>
      <family val="2"/>
    </font>
    <font>
      <b/>
      <sz val="10"/>
      <color rgb="FFFA7D00"/>
      <name val="Calibri"/>
      <family val="2"/>
    </font>
    <font>
      <u/>
      <sz val="10"/>
      <color theme="10"/>
      <name val="Calibri"/>
      <family val="2"/>
    </font>
    <font>
      <sz val="11"/>
      <name val="Calibri"/>
      <family val="2"/>
    </font>
    <font>
      <b/>
      <sz val="11"/>
      <color theme="1"/>
      <name val="Aptos"/>
      <family val="2"/>
    </font>
    <font>
      <sz val="11"/>
      <color theme="1"/>
      <name val="Aptos"/>
      <family val="2"/>
    </font>
    <font>
      <b/>
      <i/>
      <u/>
      <sz val="11"/>
      <color theme="1"/>
      <name val="Aptos"/>
      <family val="2"/>
    </font>
    <font>
      <b/>
      <sz val="11"/>
      <color indexed="8"/>
      <name val="Aptos"/>
      <family val="2"/>
    </font>
    <font>
      <sz val="11"/>
      <color indexed="8"/>
      <name val="Aptos"/>
      <family val="2"/>
    </font>
    <font>
      <sz val="11"/>
      <name val="Aptos"/>
      <family val="2"/>
    </font>
    <font>
      <b/>
      <sz val="10"/>
      <color theme="1"/>
      <name val="Aptos"/>
      <family val="2"/>
    </font>
    <font>
      <sz val="10"/>
      <color theme="1"/>
      <name val="Aptos"/>
      <family val="2"/>
    </font>
    <font>
      <b/>
      <u/>
      <sz val="10"/>
      <color theme="1"/>
      <name val="Aptos"/>
      <family val="2"/>
    </font>
    <font>
      <b/>
      <sz val="11"/>
      <color theme="0"/>
      <name val="Aptos"/>
      <family val="2"/>
    </font>
    <font>
      <sz val="8"/>
      <color rgb="FF002B54"/>
      <name val="Aptos Narrow"/>
      <family val="2"/>
      <scheme val="minor"/>
    </font>
    <font>
      <b/>
      <sz val="8"/>
      <color rgb="FFFFFFFF"/>
      <name val="Aptos Narrow"/>
      <family val="2"/>
      <scheme val="minor"/>
    </font>
    <font>
      <sz val="11"/>
      <color indexed="8"/>
      <name val="Aptos"/>
      <family val="2"/>
    </font>
    <font>
      <b/>
      <sz val="11"/>
      <color rgb="FFFF0000"/>
      <name val="Aptos"/>
      <family val="2"/>
    </font>
    <font>
      <b/>
      <sz val="11"/>
      <color theme="1"/>
      <name val="Aptos Narrow"/>
      <family val="2"/>
      <scheme val="minor"/>
    </font>
    <font>
      <u/>
      <sz val="11"/>
      <color theme="10"/>
      <name val="Aptos Narrow"/>
      <family val="2"/>
      <scheme val="minor"/>
    </font>
    <font>
      <b/>
      <u/>
      <sz val="11"/>
      <color theme="10"/>
      <name val="Aptos Narrow"/>
      <family val="2"/>
      <scheme val="minor"/>
    </font>
    <font>
      <b/>
      <sz val="11"/>
      <color rgb="FFFF0000"/>
      <name val="Aptos Narrow"/>
      <family val="2"/>
      <scheme val="minor"/>
    </font>
    <font>
      <b/>
      <sz val="10"/>
      <color theme="1"/>
      <name val="Aptos Narrow"/>
      <family val="2"/>
      <scheme val="minor"/>
    </font>
    <font>
      <sz val="10"/>
      <color theme="1"/>
      <name val="Aptos Narrow"/>
      <family val="2"/>
      <scheme val="minor"/>
    </font>
    <font>
      <sz val="8"/>
      <color rgb="FF8A2BE2"/>
      <name val="Aptos Narrow"/>
      <family val="2"/>
      <scheme val="minor"/>
    </font>
    <font>
      <sz val="8"/>
      <color rgb="FFFF4500"/>
      <name val="Aptos Narrow"/>
      <family val="2"/>
      <scheme val="minor"/>
    </font>
    <font>
      <sz val="8"/>
      <color rgb="FF008000"/>
      <name val="Aptos Narrow"/>
      <family val="2"/>
      <scheme val="minor"/>
    </font>
    <font>
      <sz val="8"/>
      <color rgb="FF3CB371"/>
      <name val="Aptos Narrow"/>
      <family val="2"/>
      <scheme val="minor"/>
    </font>
    <font>
      <sz val="8"/>
      <color rgb="FFDAA520"/>
      <name val="Aptos Narrow"/>
      <family val="2"/>
      <scheme val="minor"/>
    </font>
    <font>
      <b/>
      <u/>
      <sz val="11"/>
      <color theme="1"/>
      <name val="Aptos Narrow"/>
      <family val="2"/>
      <scheme val="minor"/>
    </font>
    <font>
      <b/>
      <u/>
      <sz val="11"/>
      <color rgb="FFFF0000"/>
      <name val="Aptos Narrow"/>
      <family val="2"/>
      <scheme val="minor"/>
    </font>
    <font>
      <b/>
      <sz val="16"/>
      <color rgb="FFFF0000"/>
      <name val="Aptos"/>
      <family val="2"/>
    </font>
    <font>
      <b/>
      <u/>
      <sz val="10"/>
      <color rgb="FFFF0000"/>
      <name val="Aptos"/>
      <family val="2"/>
    </font>
    <font>
      <i/>
      <sz val="10"/>
      <color rgb="FFFF0000"/>
      <name val="Aptos"/>
      <family val="2"/>
    </font>
    <font>
      <i/>
      <u/>
      <sz val="10"/>
      <color rgb="FFFF0000"/>
      <name val="Aptos"/>
      <family val="2"/>
    </font>
    <font>
      <b/>
      <i/>
      <u/>
      <sz val="10"/>
      <color theme="1"/>
      <name val="Aptos"/>
      <family val="2"/>
    </font>
    <font>
      <b/>
      <sz val="10"/>
      <color rgb="FFFFFFFF"/>
      <name val="Aptos"/>
      <family val="2"/>
    </font>
    <font>
      <sz val="10"/>
      <color rgb="FF002B54"/>
      <name val="Aptos"/>
      <family val="2"/>
    </font>
    <font>
      <b/>
      <u/>
      <sz val="18"/>
      <color rgb="FFFF0000"/>
      <name val="Aptos"/>
      <family val="2"/>
    </font>
    <font>
      <b/>
      <sz val="16"/>
      <color theme="1"/>
      <name val="Aptos"/>
      <family val="2"/>
    </font>
    <font>
      <i/>
      <u/>
      <sz val="10"/>
      <color theme="10"/>
      <name val="Aptos"/>
      <family val="2"/>
    </font>
    <font>
      <sz val="8"/>
      <name val="Arial"/>
      <family val="2"/>
    </font>
    <font>
      <b/>
      <sz val="12"/>
      <name val="Arial"/>
      <family val="2"/>
    </font>
    <font>
      <sz val="12"/>
      <name val="Arial"/>
      <family val="2"/>
    </font>
    <font>
      <b/>
      <sz val="8"/>
      <name val="Arial"/>
      <family val="2"/>
    </font>
    <font>
      <u/>
      <sz val="11"/>
      <color rgb="FFFF0000"/>
      <name val="Aptos Narrow"/>
      <family val="2"/>
      <scheme val="minor"/>
    </font>
    <font>
      <b/>
      <sz val="8"/>
      <color theme="0"/>
      <name val="Arial"/>
      <family val="2"/>
    </font>
    <font>
      <b/>
      <sz val="11"/>
      <name val="Aptos"/>
      <family val="2"/>
    </font>
    <font>
      <u/>
      <sz val="10"/>
      <color theme="10"/>
      <name val="Aptos Narrow"/>
      <family val="2"/>
      <scheme val="minor"/>
    </font>
    <font>
      <b/>
      <sz val="10"/>
      <color rgb="FFFFFFFF"/>
      <name val="Aptos Narrow"/>
      <family val="2"/>
      <scheme val="minor"/>
    </font>
    <font>
      <sz val="10"/>
      <color rgb="FF002B54"/>
      <name val="Aptos Narrow"/>
      <family val="2"/>
      <scheme val="minor"/>
    </font>
    <font>
      <sz val="10"/>
      <color rgb="FF008000"/>
      <name val="Aptos Narrow"/>
      <family val="2"/>
      <scheme val="minor"/>
    </font>
    <font>
      <sz val="10"/>
      <color rgb="FF3CB371"/>
      <name val="Aptos Narrow"/>
      <family val="2"/>
      <scheme val="minor"/>
    </font>
    <font>
      <b/>
      <u/>
      <sz val="10"/>
      <color theme="1"/>
      <name val="Aptos Narrow"/>
      <family val="2"/>
      <scheme val="minor"/>
    </font>
    <font>
      <u/>
      <sz val="10"/>
      <color theme="10"/>
      <name val="Aptos"/>
      <family val="2"/>
    </font>
    <font>
      <sz val="10"/>
      <color rgb="FF3CB371"/>
      <name val="Aptos"/>
      <family val="2"/>
    </font>
    <font>
      <sz val="11"/>
      <color rgb="FF131722"/>
      <name val="Trebuchet MS"/>
      <family val="2"/>
    </font>
    <font>
      <b/>
      <sz val="11"/>
      <color rgb="FF131722"/>
      <name val="Trebuchet MS"/>
      <family val="2"/>
    </font>
    <font>
      <sz val="11"/>
      <color rgb="FFF23645"/>
      <name val="Trebuchet MS"/>
      <family val="2"/>
    </font>
    <font>
      <i/>
      <u/>
      <sz val="11"/>
      <color rgb="FFFF0000"/>
      <name val="Aptos"/>
      <family val="2"/>
    </font>
    <font>
      <b/>
      <sz val="11"/>
      <name val="Trebuchet MS"/>
      <family val="2"/>
    </font>
    <font>
      <b/>
      <u/>
      <sz val="16"/>
      <color rgb="FFFF0000"/>
      <name val="Aptos Narrow"/>
      <family val="2"/>
      <scheme val="minor"/>
    </font>
    <font>
      <b/>
      <sz val="14"/>
      <color theme="1"/>
      <name val="Aptos Narrow"/>
      <family val="2"/>
      <scheme val="minor"/>
    </font>
    <font>
      <b/>
      <sz val="12"/>
      <color theme="1"/>
      <name val="Aptos"/>
      <family val="2"/>
    </font>
    <font>
      <b/>
      <sz val="18"/>
      <color rgb="FF0000CC"/>
      <name val="Aptos Narrow"/>
      <family val="2"/>
      <scheme val="minor"/>
    </font>
    <font>
      <b/>
      <sz val="18"/>
      <color rgb="FF0033CC"/>
      <name val="Aptos Narrow"/>
      <family val="2"/>
      <scheme val="minor"/>
    </font>
    <font>
      <b/>
      <u/>
      <sz val="14"/>
      <color rgb="FFFF0000"/>
      <name val="Aptos Narrow"/>
      <family val="2"/>
      <scheme val="minor"/>
    </font>
    <font>
      <sz val="10"/>
      <color theme="1"/>
      <name val=".VnArial"/>
      <family val="2"/>
    </font>
    <font>
      <sz val="10"/>
      <color theme="1"/>
      <name val="Arial"/>
      <family val="2"/>
    </font>
    <font>
      <sz val="11"/>
      <color rgb="FFFF0000"/>
      <name val="Aptos"/>
      <family val="2"/>
    </font>
  </fonts>
  <fills count="43">
    <fill>
      <patternFill patternType="none"/>
    </fill>
    <fill>
      <patternFill patternType="gray125"/>
    </fill>
    <fill>
      <patternFill patternType="solid">
        <fgColor rgb="FFF2F2F2"/>
      </patternFill>
    </fill>
    <fill>
      <patternFill patternType="solid">
        <fgColor rgb="FF5D7B9D"/>
        <bgColor indexed="64"/>
      </patternFill>
    </fill>
    <fill>
      <patternFill patternType="solid">
        <fgColor rgb="FFF7F6F3"/>
        <bgColor indexed="64"/>
      </patternFill>
    </fill>
    <fill>
      <patternFill patternType="solid">
        <fgColor rgb="FFFFFFFF"/>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bgColor indexed="64"/>
      </patternFill>
    </fill>
    <fill>
      <patternFill patternType="solid">
        <fgColor rgb="FFE6E9F5"/>
      </patternFill>
    </fill>
    <fill>
      <patternFill patternType="solid">
        <fgColor rgb="FFEEEEEE"/>
      </patternFill>
    </fill>
  </fills>
  <borders count="6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002B54"/>
      </left>
      <right style="thin">
        <color rgb="FF000000"/>
      </right>
      <top style="thin">
        <color rgb="FF002B54"/>
      </top>
      <bottom/>
      <diagonal/>
    </border>
    <border>
      <left style="thin">
        <color rgb="FF000000"/>
      </left>
      <right style="thin">
        <color rgb="FF000000"/>
      </right>
      <top style="thin">
        <color rgb="FF002B54"/>
      </top>
      <bottom style="thin">
        <color rgb="FF000000"/>
      </bottom>
      <diagonal/>
    </border>
    <border>
      <left style="thin">
        <color rgb="FF002B54"/>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2B54"/>
      </left>
      <right style="thin">
        <color rgb="FF000000"/>
      </right>
      <top style="thin">
        <color rgb="FF000000"/>
      </top>
      <bottom style="thin">
        <color rgb="FF000000"/>
      </bottom>
      <diagonal/>
    </border>
    <border>
      <left style="thin">
        <color rgb="FF002B54"/>
      </left>
      <right style="thin">
        <color rgb="FF000000"/>
      </right>
      <top style="thin">
        <color rgb="FF000000"/>
      </top>
      <bottom style="thin">
        <color rgb="FF002B54"/>
      </bottom>
      <diagonal/>
    </border>
    <border>
      <left style="thin">
        <color rgb="FF000000"/>
      </left>
      <right style="thin">
        <color rgb="FF000000"/>
      </right>
      <top style="thin">
        <color rgb="FF000000"/>
      </top>
      <bottom style="thin">
        <color rgb="FF002B54"/>
      </bottom>
      <diagonal/>
    </border>
    <border>
      <left style="thin">
        <color rgb="FF002B54"/>
      </left>
      <right style="thin">
        <color rgb="FF000000"/>
      </right>
      <top style="thin">
        <color rgb="FF002B5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2B54"/>
      </top>
      <bottom style="thin">
        <color rgb="FF000000"/>
      </bottom>
      <diagonal/>
    </border>
    <border>
      <left/>
      <right/>
      <top style="thin">
        <color rgb="FF002B54"/>
      </top>
      <bottom style="thin">
        <color rgb="FF000000"/>
      </bottom>
      <diagonal/>
    </border>
    <border>
      <left/>
      <right style="thin">
        <color rgb="FF002B54"/>
      </right>
      <top style="thin">
        <color rgb="FF002B54"/>
      </top>
      <bottom style="thin">
        <color rgb="FF000000"/>
      </bottom>
      <diagonal/>
    </border>
    <border>
      <left/>
      <right style="thin">
        <color rgb="FF002B54"/>
      </right>
      <top/>
      <bottom/>
      <diagonal/>
    </border>
    <border>
      <left style="thin">
        <color rgb="FF002B54"/>
      </left>
      <right style="thin">
        <color rgb="FF002B54"/>
      </right>
      <top style="thin">
        <color rgb="FF002B54"/>
      </top>
      <bottom style="thin">
        <color rgb="FF002B54"/>
      </bottom>
      <diagonal/>
    </border>
    <border>
      <left/>
      <right/>
      <top/>
      <bottom style="thin">
        <color rgb="FF002B54"/>
      </bottom>
      <diagonal/>
    </border>
    <border>
      <left/>
      <right style="thin">
        <color rgb="FF002B54"/>
      </right>
      <top/>
      <bottom style="thin">
        <color rgb="FF002B5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rgb="FFBBBBBB"/>
      </bottom>
      <diagonal/>
    </border>
    <border>
      <left/>
      <right style="thin">
        <color rgb="FFBBBBBB"/>
      </right>
      <top/>
      <bottom style="thin">
        <color rgb="FFBBBBBB"/>
      </bottom>
      <diagonal/>
    </border>
    <border>
      <left style="thin">
        <color rgb="FFBBBBBB"/>
      </left>
      <right style="thin">
        <color rgb="FFFFFFFF"/>
      </right>
      <top/>
      <bottom style="thin">
        <color rgb="FFBBBBBB"/>
      </bottom>
      <diagonal/>
    </border>
    <border>
      <left style="thin">
        <color rgb="FFFFFFFF"/>
      </left>
      <right style="thin">
        <color rgb="FFFFFFFF"/>
      </right>
      <top/>
      <bottom style="thin">
        <color rgb="FFBBBBBB"/>
      </bottom>
      <diagonal/>
    </border>
    <border>
      <left style="thin">
        <color rgb="FFFFFFFF"/>
      </left>
      <right/>
      <top/>
      <bottom style="thin">
        <color rgb="FFBBBBBB"/>
      </bottom>
      <diagonal/>
    </border>
    <border>
      <left/>
      <right style="thin">
        <color rgb="FFFFFFFF"/>
      </right>
      <top style="thin">
        <color rgb="FFBBBBBB"/>
      </top>
      <bottom style="thin">
        <color rgb="FFFFFFFF"/>
      </bottom>
      <diagonal/>
    </border>
    <border>
      <left style="thin">
        <color rgb="FFFFFFFF"/>
      </left>
      <right style="thin">
        <color rgb="FFFFFFFF"/>
      </right>
      <top style="thin">
        <color rgb="FFBBBBBB"/>
      </top>
      <bottom style="thin">
        <color rgb="FFFFFFFF"/>
      </bottom>
      <diagonal/>
    </border>
    <border>
      <left style="thin">
        <color rgb="FFFFFFFF"/>
      </left>
      <right style="thin">
        <color rgb="FFBBBBBB"/>
      </right>
      <top style="thin">
        <color rgb="FFBBBBBB"/>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BBBBBB"/>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BBBBBB"/>
      </right>
      <top style="thin">
        <color rgb="FFFFFFFF"/>
      </top>
      <bottom/>
      <diagonal/>
    </border>
    <border>
      <left style="thin">
        <color rgb="FF000000"/>
      </left>
      <right style="thin">
        <color rgb="FF002B54"/>
      </right>
      <top style="thin">
        <color rgb="FF002B54"/>
      </top>
      <bottom style="thin">
        <color rgb="FF000000"/>
      </bottom>
      <diagonal/>
    </border>
    <border>
      <left style="thin">
        <color rgb="FF000000"/>
      </left>
      <right style="thin">
        <color rgb="FF002B54"/>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s>
  <cellStyleXfs count="55">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2" borderId="1" applyNumberFormat="0" applyAlignment="0" applyProtection="0"/>
    <xf numFmtId="164" fontId="4" fillId="0" borderId="0"/>
    <xf numFmtId="0" fontId="5" fillId="0" borderId="0"/>
    <xf numFmtId="43" fontId="2" fillId="0" borderId="0" applyFont="0" applyFill="0" applyBorder="0" applyAlignment="0" applyProtection="0">
      <alignment vertical="center"/>
    </xf>
    <xf numFmtId="0" fontId="6" fillId="0" borderId="0" applyNumberFormat="0" applyFill="0" applyBorder="0" applyAlignment="0" applyProtection="0"/>
    <xf numFmtId="0" fontId="7" fillId="0" borderId="14" applyNumberFormat="0" applyFill="0" applyAlignment="0" applyProtection="0"/>
    <xf numFmtId="0" fontId="8" fillId="0" borderId="15" applyNumberFormat="0" applyFill="0" applyAlignment="0" applyProtection="0"/>
    <xf numFmtId="0" fontId="9" fillId="0" borderId="16" applyNumberFormat="0" applyFill="0" applyAlignment="0" applyProtection="0"/>
    <xf numFmtId="0" fontId="9" fillId="0" borderId="0" applyNumberFormat="0" applyFill="0" applyBorder="0" applyAlignment="0" applyProtection="0"/>
    <xf numFmtId="0" fontId="10" fillId="7" borderId="0" applyNumberFormat="0" applyBorder="0" applyAlignment="0" applyProtection="0"/>
    <xf numFmtId="0" fontId="11" fillId="8" borderId="0" applyNumberFormat="0" applyBorder="0" applyAlignment="0" applyProtection="0"/>
    <xf numFmtId="0" fontId="12" fillId="9" borderId="0" applyNumberFormat="0" applyBorder="0" applyAlignment="0" applyProtection="0"/>
    <xf numFmtId="0" fontId="13" fillId="10" borderId="1" applyNumberFormat="0" applyAlignment="0" applyProtection="0"/>
    <xf numFmtId="0" fontId="14" fillId="2" borderId="17" applyNumberFormat="0" applyAlignment="0" applyProtection="0"/>
    <xf numFmtId="0" fontId="15" fillId="0" borderId="18" applyNumberFormat="0" applyFill="0" applyAlignment="0" applyProtection="0"/>
    <xf numFmtId="0" fontId="16" fillId="11" borderId="19"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21" applyNumberFormat="0" applyFill="0" applyAlignment="0" applyProtection="0"/>
    <xf numFmtId="0" fontId="20"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0"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0"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0"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0"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1" fillId="0" borderId="0">
      <alignment vertical="top"/>
    </xf>
    <xf numFmtId="43" fontId="21" fillId="0" borderId="0" applyFont="0" applyFill="0" applyBorder="0" applyAlignment="0" applyProtection="0">
      <alignment vertical="top"/>
    </xf>
    <xf numFmtId="0" fontId="1" fillId="0" borderId="0"/>
    <xf numFmtId="0" fontId="22" fillId="2" borderId="1" applyNumberFormat="0" applyAlignment="0" applyProtection="0"/>
    <xf numFmtId="0" fontId="1" fillId="12" borderId="20" applyNumberFormat="0" applyFont="0" applyAlignment="0" applyProtection="0"/>
    <xf numFmtId="0" fontId="23" fillId="0" borderId="0" applyNumberFormat="0" applyFill="0" applyBorder="0" applyAlignment="0" applyProtection="0"/>
    <xf numFmtId="0" fontId="24" fillId="0" borderId="0"/>
    <xf numFmtId="0" fontId="40" fillId="0" borderId="0" applyNumberFormat="0" applyFill="0" applyBorder="0" applyAlignment="0" applyProtection="0"/>
    <xf numFmtId="0" fontId="88" fillId="0" borderId="0"/>
  </cellStyleXfs>
  <cellXfs count="330">
    <xf numFmtId="0" fontId="0" fillId="0" borderId="0" xfId="0"/>
    <xf numFmtId="0" fontId="25" fillId="0" borderId="0" xfId="0" applyFont="1"/>
    <xf numFmtId="0" fontId="26" fillId="0" borderId="0" xfId="0" applyFont="1"/>
    <xf numFmtId="0" fontId="27" fillId="0" borderId="0" xfId="0" applyFont="1"/>
    <xf numFmtId="0" fontId="28" fillId="0" borderId="2" xfId="46" applyFont="1" applyBorder="1" applyAlignment="1">
      <alignment horizontal="center"/>
    </xf>
    <xf numFmtId="0" fontId="29" fillId="0" borderId="2" xfId="46" applyFont="1" applyBorder="1" applyAlignment="1">
      <alignment horizontal="center"/>
    </xf>
    <xf numFmtId="0" fontId="29" fillId="0" borderId="2" xfId="46" applyFont="1" applyBorder="1" applyAlignment="1"/>
    <xf numFmtId="0" fontId="26" fillId="0" borderId="0" xfId="0" applyFont="1" applyAlignment="1">
      <alignment vertical="center"/>
    </xf>
    <xf numFmtId="164" fontId="25" fillId="0" borderId="11" xfId="4" applyFont="1" applyBorder="1" applyAlignment="1">
      <alignment horizontal="center" vertical="center" wrapText="1"/>
    </xf>
    <xf numFmtId="164" fontId="25" fillId="0" borderId="12" xfId="4" applyFont="1" applyBorder="1" applyAlignment="1">
      <alignment horizontal="center" vertical="center" wrapText="1"/>
    </xf>
    <xf numFmtId="0" fontId="25" fillId="0" borderId="12" xfId="5" applyFont="1" applyBorder="1" applyAlignment="1">
      <alignment horizontal="center" vertical="center" wrapText="1"/>
    </xf>
    <xf numFmtId="0" fontId="25" fillId="0" borderId="12" xfId="0" applyFont="1" applyBorder="1" applyAlignment="1">
      <alignment horizontal="center" vertical="center" wrapText="1"/>
    </xf>
    <xf numFmtId="0" fontId="26" fillId="0" borderId="24" xfId="4" applyNumberFormat="1" applyFont="1" applyBorder="1" applyAlignment="1">
      <alignment horizontal="center" vertical="center"/>
    </xf>
    <xf numFmtId="0" fontId="26" fillId="0" borderId="24" xfId="4" applyNumberFormat="1" applyFont="1" applyBorder="1" applyAlignment="1">
      <alignment horizontal="left" vertical="center"/>
    </xf>
    <xf numFmtId="0" fontId="30" fillId="0" borderId="24" xfId="4" applyNumberFormat="1" applyFont="1" applyBorder="1" applyAlignment="1">
      <alignment horizontal="center" vertical="center"/>
    </xf>
    <xf numFmtId="166" fontId="26" fillId="0" borderId="24" xfId="6" applyNumberFormat="1" applyFont="1" applyFill="1" applyBorder="1" applyAlignment="1">
      <alignment horizontal="center" vertical="center"/>
    </xf>
    <xf numFmtId="165" fontId="26" fillId="0" borderId="24" xfId="6" applyNumberFormat="1" applyFont="1" applyFill="1" applyBorder="1" applyAlignment="1">
      <alignment horizontal="center" vertical="center"/>
    </xf>
    <xf numFmtId="169" fontId="26" fillId="0" borderId="24" xfId="6" applyNumberFormat="1" applyFont="1" applyFill="1" applyBorder="1" applyAlignment="1">
      <alignment horizontal="center" vertical="center"/>
    </xf>
    <xf numFmtId="169" fontId="26" fillId="0" borderId="24" xfId="1" applyNumberFormat="1" applyFont="1" applyBorder="1"/>
    <xf numFmtId="43" fontId="26" fillId="0" borderId="24" xfId="1" applyFont="1" applyBorder="1"/>
    <xf numFmtId="0" fontId="30" fillId="0" borderId="24" xfId="3" applyFont="1" applyFill="1" applyBorder="1" applyAlignment="1">
      <alignment horizontal="center"/>
    </xf>
    <xf numFmtId="0" fontId="30" fillId="0" borderId="24" xfId="3" applyFont="1" applyFill="1" applyBorder="1" applyAlignment="1"/>
    <xf numFmtId="0" fontId="30" fillId="0" borderId="24" xfId="3" applyFont="1" applyFill="1" applyBorder="1" applyAlignment="1" applyProtection="1"/>
    <xf numFmtId="166" fontId="30" fillId="0" borderId="24" xfId="6" applyNumberFormat="1" applyFont="1" applyFill="1" applyBorder="1" applyAlignment="1">
      <alignment horizontal="center" vertical="center"/>
    </xf>
    <xf numFmtId="167" fontId="25" fillId="0" borderId="0" xfId="0" applyNumberFormat="1" applyFont="1"/>
    <xf numFmtId="0" fontId="31" fillId="0" borderId="0" xfId="0" applyFont="1" applyAlignment="1">
      <alignment horizontal="left"/>
    </xf>
    <xf numFmtId="0" fontId="32" fillId="0" borderId="0" xfId="0" applyFont="1" applyAlignment="1">
      <alignment horizontal="left"/>
    </xf>
    <xf numFmtId="0" fontId="32" fillId="0" borderId="0" xfId="0" applyFont="1" applyAlignment="1">
      <alignment wrapText="1"/>
    </xf>
    <xf numFmtId="0" fontId="31" fillId="0" borderId="0" xfId="48" applyFont="1" applyAlignment="1">
      <alignment horizontal="left"/>
    </xf>
    <xf numFmtId="0" fontId="32" fillId="0" borderId="0" xfId="48" applyFont="1"/>
    <xf numFmtId="0" fontId="34" fillId="6" borderId="2" xfId="0" applyFont="1" applyFill="1" applyBorder="1"/>
    <xf numFmtId="0" fontId="26" fillId="0" borderId="2" xfId="0" applyFont="1" applyBorder="1"/>
    <xf numFmtId="10" fontId="26" fillId="0" borderId="2" xfId="0" applyNumberFormat="1" applyFont="1" applyBorder="1"/>
    <xf numFmtId="0" fontId="26" fillId="0" borderId="0" xfId="0" applyFont="1" applyAlignment="1">
      <alignment horizontal="centerContinuous"/>
    </xf>
    <xf numFmtId="0" fontId="25" fillId="0" borderId="24" xfId="0" applyFont="1" applyBorder="1"/>
    <xf numFmtId="0" fontId="26" fillId="0" borderId="24" xfId="0" applyFont="1" applyBorder="1" applyAlignment="1">
      <alignment horizontal="center"/>
    </xf>
    <xf numFmtId="0" fontId="25" fillId="0" borderId="24" xfId="0" applyFont="1" applyBorder="1" applyAlignment="1">
      <alignment horizontal="center" wrapText="1"/>
    </xf>
    <xf numFmtId="0" fontId="25" fillId="0" borderId="24" xfId="0" applyFont="1" applyBorder="1" applyAlignment="1">
      <alignment horizontal="center"/>
    </xf>
    <xf numFmtId="0" fontId="26" fillId="0" borderId="24" xfId="0" applyFont="1" applyBorder="1"/>
    <xf numFmtId="0" fontId="25" fillId="0" borderId="24" xfId="0" applyFont="1" applyBorder="1" applyAlignment="1">
      <alignment horizontal="left"/>
    </xf>
    <xf numFmtId="0" fontId="26" fillId="0" borderId="24" xfId="0" applyFont="1" applyBorder="1" applyAlignment="1">
      <alignment horizontal="left"/>
    </xf>
    <xf numFmtId="39" fontId="26" fillId="0" borderId="24" xfId="0" applyNumberFormat="1" applyFont="1" applyBorder="1"/>
    <xf numFmtId="10" fontId="26" fillId="0" borderId="24" xfId="2" applyNumberFormat="1" applyFont="1" applyBorder="1"/>
    <xf numFmtId="168" fontId="26" fillId="0" borderId="24" xfId="2" applyNumberFormat="1" applyFont="1" applyBorder="1"/>
    <xf numFmtId="0" fontId="35" fillId="4" borderId="7" xfId="0" applyFont="1" applyFill="1" applyBorder="1" applyAlignment="1">
      <alignment horizontal="left" wrapText="1"/>
    </xf>
    <xf numFmtId="0" fontId="35" fillId="5" borderId="7" xfId="0" applyFont="1" applyFill="1" applyBorder="1" applyAlignment="1">
      <alignment horizontal="left" wrapText="1"/>
    </xf>
    <xf numFmtId="0" fontId="32" fillId="0" borderId="0" xfId="0" applyFont="1"/>
    <xf numFmtId="0" fontId="36" fillId="3" borderId="6" xfId="0" applyFont="1" applyFill="1" applyBorder="1" applyAlignment="1">
      <alignment horizontal="center" vertical="center" wrapText="1"/>
    </xf>
    <xf numFmtId="0" fontId="37" fillId="0" borderId="0" xfId="46" applyFont="1" applyAlignment="1"/>
    <xf numFmtId="4" fontId="0" fillId="0" borderId="0" xfId="0" applyNumberFormat="1"/>
    <xf numFmtId="0" fontId="39" fillId="0" borderId="0" xfId="0" applyFont="1"/>
    <xf numFmtId="3" fontId="0" fillId="0" borderId="0" xfId="0" applyNumberFormat="1"/>
    <xf numFmtId="0" fontId="40" fillId="0" borderId="0" xfId="53"/>
    <xf numFmtId="0" fontId="41" fillId="0" borderId="0" xfId="53" applyFont="1"/>
    <xf numFmtId="6" fontId="0" fillId="0" borderId="0" xfId="0" applyNumberFormat="1"/>
    <xf numFmtId="8" fontId="0" fillId="0" borderId="0" xfId="0" applyNumberFormat="1"/>
    <xf numFmtId="0" fontId="42" fillId="0" borderId="0" xfId="0" applyFont="1"/>
    <xf numFmtId="0" fontId="0" fillId="0" borderId="0" xfId="0" applyAlignment="1">
      <alignment wrapText="1"/>
    </xf>
    <xf numFmtId="0" fontId="0" fillId="0" borderId="30" xfId="0" applyBorder="1"/>
    <xf numFmtId="0" fontId="45" fillId="4" borderId="7" xfId="0" applyFont="1" applyFill="1" applyBorder="1" applyAlignment="1">
      <alignment horizontal="left" wrapText="1"/>
    </xf>
    <xf numFmtId="0" fontId="45" fillId="4" borderId="6" xfId="0" applyFont="1" applyFill="1" applyBorder="1" applyAlignment="1">
      <alignment horizontal="right"/>
    </xf>
    <xf numFmtId="0" fontId="46" fillId="4" borderId="31" xfId="0" applyFont="1" applyFill="1" applyBorder="1" applyAlignment="1">
      <alignment horizontal="right"/>
    </xf>
    <xf numFmtId="0" fontId="35" fillId="5" borderId="6" xfId="0" applyFont="1" applyFill="1" applyBorder="1" applyAlignment="1">
      <alignment horizontal="right"/>
    </xf>
    <xf numFmtId="0" fontId="47" fillId="5" borderId="31" xfId="0" applyFont="1" applyFill="1" applyBorder="1" applyAlignment="1">
      <alignment horizontal="right"/>
    </xf>
    <xf numFmtId="0" fontId="35" fillId="4" borderId="6" xfId="0" applyFont="1" applyFill="1" applyBorder="1" applyAlignment="1">
      <alignment horizontal="right"/>
    </xf>
    <xf numFmtId="0" fontId="47" fillId="4" borderId="31" xfId="0" applyFont="1" applyFill="1" applyBorder="1" applyAlignment="1">
      <alignment horizontal="right"/>
    </xf>
    <xf numFmtId="0" fontId="46" fillId="5" borderId="31" xfId="0" applyFont="1" applyFill="1" applyBorder="1" applyAlignment="1">
      <alignment horizontal="right"/>
    </xf>
    <xf numFmtId="0" fontId="48" fillId="5" borderId="31" xfId="0" applyFont="1" applyFill="1" applyBorder="1" applyAlignment="1">
      <alignment horizontal="right"/>
    </xf>
    <xf numFmtId="0" fontId="49" fillId="4" borderId="7" xfId="0" applyFont="1" applyFill="1" applyBorder="1" applyAlignment="1">
      <alignment horizontal="left" wrapText="1"/>
    </xf>
    <xf numFmtId="0" fontId="49" fillId="4" borderId="6" xfId="0" applyFont="1" applyFill="1" applyBorder="1" applyAlignment="1">
      <alignment horizontal="right"/>
    </xf>
    <xf numFmtId="0" fontId="48" fillId="4" borderId="31" xfId="0" applyFont="1" applyFill="1" applyBorder="1" applyAlignment="1">
      <alignment horizontal="right"/>
    </xf>
    <xf numFmtId="0" fontId="49" fillId="5" borderId="7" xfId="0" applyFont="1" applyFill="1" applyBorder="1" applyAlignment="1">
      <alignment horizontal="left" wrapText="1"/>
    </xf>
    <xf numFmtId="0" fontId="49" fillId="5" borderId="6" xfId="0" applyFont="1" applyFill="1" applyBorder="1" applyAlignment="1">
      <alignment horizontal="right"/>
    </xf>
    <xf numFmtId="0" fontId="49" fillId="5" borderId="8" xfId="0" applyFont="1" applyFill="1" applyBorder="1" applyAlignment="1">
      <alignment horizontal="left" wrapText="1"/>
    </xf>
    <xf numFmtId="0" fontId="49" fillId="5" borderId="9" xfId="0" applyFont="1" applyFill="1" applyBorder="1" applyAlignment="1">
      <alignment horizontal="right"/>
    </xf>
    <xf numFmtId="0" fontId="0" fillId="0" borderId="32" xfId="0" applyBorder="1"/>
    <xf numFmtId="0" fontId="0" fillId="0" borderId="33" xfId="0" applyBorder="1"/>
    <xf numFmtId="167" fontId="0" fillId="0" borderId="0" xfId="1" applyNumberFormat="1" applyFont="1"/>
    <xf numFmtId="167" fontId="0" fillId="0" borderId="0" xfId="0" applyNumberFormat="1"/>
    <xf numFmtId="0" fontId="0" fillId="37" borderId="0" xfId="0" applyFill="1"/>
    <xf numFmtId="6" fontId="0" fillId="37" borderId="0" xfId="0" applyNumberFormat="1" applyFill="1"/>
    <xf numFmtId="8" fontId="0" fillId="37" borderId="0" xfId="0" applyNumberFormat="1" applyFill="1"/>
    <xf numFmtId="167" fontId="0" fillId="37" borderId="0" xfId="1" applyNumberFormat="1" applyFont="1" applyFill="1"/>
    <xf numFmtId="167" fontId="0" fillId="37" borderId="0" xfId="0" applyNumberFormat="1" applyFill="1"/>
    <xf numFmtId="0" fontId="50" fillId="0" borderId="0" xfId="0" applyFont="1" applyAlignment="1">
      <alignment horizontal="center"/>
    </xf>
    <xf numFmtId="0" fontId="0" fillId="38" borderId="34" xfId="0" applyFill="1" applyBorder="1"/>
    <xf numFmtId="0" fontId="0" fillId="38" borderId="35" xfId="0" applyFill="1" applyBorder="1"/>
    <xf numFmtId="0" fontId="0" fillId="38" borderId="23" xfId="0" applyFill="1" applyBorder="1"/>
    <xf numFmtId="0" fontId="0" fillId="38" borderId="36" xfId="0" applyFill="1" applyBorder="1"/>
    <xf numFmtId="0" fontId="52" fillId="0" borderId="0" xfId="0" applyFont="1"/>
    <xf numFmtId="0" fontId="30" fillId="0" borderId="24" xfId="0" applyFont="1" applyBorder="1" applyAlignment="1">
      <alignment horizontal="left" vertical="center"/>
    </xf>
    <xf numFmtId="0" fontId="26" fillId="0" borderId="24" xfId="0" applyFont="1" applyBorder="1" applyAlignment="1">
      <alignment horizontal="left" vertical="center"/>
    </xf>
    <xf numFmtId="0" fontId="30" fillId="0" borderId="25" xfId="4" applyNumberFormat="1" applyFont="1" applyBorder="1" applyAlignment="1">
      <alignment horizontal="left" vertical="center"/>
    </xf>
    <xf numFmtId="0" fontId="26" fillId="0" borderId="25" xfId="4" applyNumberFormat="1" applyFont="1" applyBorder="1" applyAlignment="1">
      <alignment horizontal="left" vertical="center"/>
    </xf>
    <xf numFmtId="0" fontId="34" fillId="6" borderId="2" xfId="0" applyFont="1" applyFill="1" applyBorder="1" applyAlignment="1">
      <alignment horizontal="center"/>
    </xf>
    <xf numFmtId="0" fontId="54" fillId="0" borderId="0" xfId="53" applyFont="1"/>
    <xf numFmtId="0" fontId="55" fillId="0" borderId="0" xfId="53" applyFont="1"/>
    <xf numFmtId="0" fontId="33" fillId="0" borderId="0" xfId="0" applyFont="1"/>
    <xf numFmtId="0" fontId="33" fillId="0" borderId="0" xfId="0" applyFont="1" applyAlignment="1">
      <alignment wrapText="1"/>
    </xf>
    <xf numFmtId="0" fontId="56" fillId="0" borderId="0" xfId="0" applyFont="1" applyAlignment="1">
      <alignment wrapText="1"/>
    </xf>
    <xf numFmtId="0" fontId="32" fillId="0" borderId="0" xfId="0" pivotButton="1" applyFont="1"/>
    <xf numFmtId="167" fontId="32" fillId="0" borderId="0" xfId="0" applyNumberFormat="1" applyFont="1"/>
    <xf numFmtId="0" fontId="57" fillId="3" borderId="10" xfId="0" applyFont="1" applyFill="1" applyBorder="1" applyAlignment="1">
      <alignment horizontal="center" vertical="center" wrapText="1"/>
    </xf>
    <xf numFmtId="167" fontId="58" fillId="4" borderId="7" xfId="1" applyNumberFormat="1" applyFont="1" applyFill="1" applyBorder="1" applyAlignment="1">
      <alignment horizontal="left" wrapText="1"/>
    </xf>
    <xf numFmtId="43" fontId="58" fillId="4" borderId="7" xfId="1" applyFont="1" applyFill="1" applyBorder="1" applyAlignment="1">
      <alignment horizontal="left" wrapText="1"/>
    </xf>
    <xf numFmtId="0" fontId="32" fillId="0" borderId="24" xfId="0" applyFont="1" applyBorder="1"/>
    <xf numFmtId="167" fontId="32" fillId="0" borderId="24" xfId="0" applyNumberFormat="1" applyFont="1" applyBorder="1"/>
    <xf numFmtId="0" fontId="31" fillId="0" borderId="24" xfId="0" applyFont="1" applyBorder="1"/>
    <xf numFmtId="0" fontId="31" fillId="0" borderId="0" xfId="0" applyFont="1"/>
    <xf numFmtId="0" fontId="31" fillId="0" borderId="0" xfId="0" pivotButton="1" applyFont="1"/>
    <xf numFmtId="167" fontId="31" fillId="0" borderId="24" xfId="0" applyNumberFormat="1" applyFont="1" applyBorder="1"/>
    <xf numFmtId="167" fontId="31" fillId="0" borderId="0" xfId="0" applyNumberFormat="1" applyFont="1"/>
    <xf numFmtId="0" fontId="31" fillId="39" borderId="24" xfId="0" applyFont="1" applyFill="1" applyBorder="1" applyAlignment="1">
      <alignment horizontal="center"/>
    </xf>
    <xf numFmtId="0" fontId="31" fillId="38" borderId="24" xfId="0" applyFont="1" applyFill="1" applyBorder="1"/>
    <xf numFmtId="0" fontId="57" fillId="3" borderId="24" xfId="0" applyFont="1" applyFill="1" applyBorder="1" applyAlignment="1">
      <alignment horizontal="center" vertical="center" wrapText="1"/>
    </xf>
    <xf numFmtId="0" fontId="59" fillId="0" borderId="0" xfId="0" applyFont="1"/>
    <xf numFmtId="0" fontId="57" fillId="0" borderId="0" xfId="0" applyFont="1" applyAlignment="1">
      <alignment horizontal="center" vertical="center" wrapText="1"/>
    </xf>
    <xf numFmtId="0" fontId="58" fillId="0" borderId="0" xfId="0" applyFont="1" applyAlignment="1">
      <alignment horizontal="left" wrapText="1"/>
    </xf>
    <xf numFmtId="167" fontId="58" fillId="0" borderId="0" xfId="1" applyNumberFormat="1" applyFont="1" applyFill="1" applyBorder="1" applyAlignment="1">
      <alignment horizontal="right" wrapText="1"/>
    </xf>
    <xf numFmtId="0" fontId="32" fillId="0" borderId="24" xfId="0" applyFont="1" applyBorder="1" applyAlignment="1">
      <alignment wrapText="1"/>
    </xf>
    <xf numFmtId="0" fontId="31" fillId="0" borderId="24" xfId="0" applyFont="1" applyBorder="1" applyAlignment="1">
      <alignment wrapText="1"/>
    </xf>
    <xf numFmtId="0" fontId="32" fillId="40" borderId="0" xfId="0" applyFont="1" applyFill="1"/>
    <xf numFmtId="167" fontId="58" fillId="0" borderId="0" xfId="1" applyNumberFormat="1" applyFont="1" applyFill="1" applyBorder="1" applyAlignment="1">
      <alignment horizontal="left" wrapText="1"/>
    </xf>
    <xf numFmtId="43" fontId="58" fillId="0" borderId="0" xfId="1" applyFont="1" applyFill="1" applyBorder="1" applyAlignment="1">
      <alignment horizontal="left" wrapText="1"/>
    </xf>
    <xf numFmtId="0" fontId="53" fillId="0" borderId="34" xfId="0" applyFont="1" applyBorder="1" applyAlignment="1">
      <alignment horizontal="left"/>
    </xf>
    <xf numFmtId="0" fontId="32" fillId="0" borderId="35" xfId="0" applyFont="1" applyBorder="1" applyAlignment="1">
      <alignment horizontal="left"/>
    </xf>
    <xf numFmtId="0" fontId="33" fillId="0" borderId="40" xfId="0" applyFont="1" applyBorder="1" applyAlignment="1">
      <alignment wrapText="1"/>
    </xf>
    <xf numFmtId="0" fontId="32" fillId="0" borderId="41" xfId="0" applyFont="1" applyBorder="1" applyAlignment="1">
      <alignment horizontal="left"/>
    </xf>
    <xf numFmtId="0" fontId="33" fillId="0" borderId="23" xfId="0" applyFont="1" applyBorder="1" applyAlignment="1">
      <alignment wrapText="1"/>
    </xf>
    <xf numFmtId="0" fontId="32" fillId="0" borderId="36" xfId="0" applyFont="1" applyBorder="1" applyAlignment="1">
      <alignment horizontal="left"/>
    </xf>
    <xf numFmtId="0" fontId="60" fillId="0" borderId="0" xfId="0" applyFont="1" applyAlignment="1">
      <alignment horizontal="left"/>
    </xf>
    <xf numFmtId="0" fontId="61" fillId="0" borderId="0" xfId="53" applyFont="1"/>
    <xf numFmtId="0" fontId="57" fillId="0" borderId="0" xfId="48" applyFont="1" applyAlignment="1">
      <alignment horizontal="center" vertical="center"/>
    </xf>
    <xf numFmtId="43" fontId="58" fillId="0" borderId="0" xfId="1" applyFont="1" applyFill="1" applyBorder="1" applyAlignment="1">
      <alignment horizontal="right" wrapText="1"/>
    </xf>
    <xf numFmtId="0" fontId="58" fillId="0" borderId="0" xfId="48" applyFont="1" applyAlignment="1">
      <alignment horizontal="left" wrapText="1"/>
    </xf>
    <xf numFmtId="164" fontId="26" fillId="0" borderId="25" xfId="4" applyFont="1" applyBorder="1" applyAlignment="1">
      <alignment horizontal="left" vertical="center"/>
    </xf>
    <xf numFmtId="43" fontId="30" fillId="0" borderId="24" xfId="1" applyFont="1" applyFill="1" applyBorder="1" applyAlignment="1">
      <alignment horizontal="right" vertical="center"/>
    </xf>
    <xf numFmtId="0" fontId="62" fillId="0" borderId="0" xfId="5" applyFont="1" applyAlignment="1" applyProtection="1">
      <alignment vertical="top"/>
      <protection locked="0"/>
    </xf>
    <xf numFmtId="0" fontId="5" fillId="0" borderId="0" xfId="5" applyProtection="1">
      <protection locked="0"/>
    </xf>
    <xf numFmtId="0" fontId="65" fillId="0" borderId="0" xfId="5" applyFont="1" applyAlignment="1" applyProtection="1">
      <alignment vertical="top" wrapText="1"/>
      <protection locked="0"/>
    </xf>
    <xf numFmtId="0" fontId="65" fillId="41" borderId="42" xfId="5" applyFont="1" applyFill="1" applyBorder="1" applyAlignment="1" applyProtection="1">
      <alignment horizontal="center" vertical="center" wrapText="1"/>
      <protection locked="0"/>
    </xf>
    <xf numFmtId="0" fontId="65" fillId="41" borderId="43" xfId="5" applyFont="1" applyFill="1" applyBorder="1" applyAlignment="1" applyProtection="1">
      <alignment horizontal="center" vertical="center" wrapText="1"/>
      <protection locked="0"/>
    </xf>
    <xf numFmtId="0" fontId="65" fillId="41" borderId="44" xfId="5" applyFont="1" applyFill="1" applyBorder="1" applyAlignment="1" applyProtection="1">
      <alignment horizontal="center" vertical="top" wrapText="1"/>
      <protection locked="0"/>
    </xf>
    <xf numFmtId="0" fontId="65" fillId="41" borderId="45" xfId="5" applyFont="1" applyFill="1" applyBorder="1" applyAlignment="1" applyProtection="1">
      <alignment horizontal="center" vertical="top" wrapText="1"/>
      <protection locked="0"/>
    </xf>
    <xf numFmtId="0" fontId="65" fillId="41" borderId="46" xfId="5" applyFont="1" applyFill="1" applyBorder="1" applyAlignment="1" applyProtection="1">
      <alignment horizontal="center" vertical="top" wrapText="1"/>
      <protection locked="0"/>
    </xf>
    <xf numFmtId="0" fontId="65" fillId="42" borderId="47" xfId="5" applyFont="1" applyFill="1" applyBorder="1" applyAlignment="1" applyProtection="1">
      <alignment horizontal="left" vertical="top" wrapText="1" indent="1"/>
      <protection locked="0"/>
    </xf>
    <xf numFmtId="0" fontId="65" fillId="42" borderId="48" xfId="5" applyFont="1" applyFill="1" applyBorder="1" applyAlignment="1" applyProtection="1">
      <alignment horizontal="left" vertical="top" wrapText="1" indent="1"/>
      <protection locked="0"/>
    </xf>
    <xf numFmtId="0" fontId="65" fillId="42" borderId="48" xfId="5" applyFont="1" applyFill="1" applyBorder="1" applyAlignment="1" applyProtection="1">
      <alignment horizontal="left" vertical="top" wrapText="1"/>
      <protection locked="0"/>
    </xf>
    <xf numFmtId="0" fontId="65" fillId="42" borderId="49" xfId="5" applyFont="1" applyFill="1" applyBorder="1" applyAlignment="1" applyProtection="1">
      <alignment horizontal="left" vertical="top" wrapText="1"/>
      <protection locked="0"/>
    </xf>
    <xf numFmtId="4" fontId="62" fillId="0" borderId="0" xfId="5" applyNumberFormat="1" applyFont="1" applyAlignment="1" applyProtection="1">
      <alignment horizontal="right" vertical="top" wrapText="1"/>
      <protection locked="0"/>
    </xf>
    <xf numFmtId="0" fontId="65" fillId="42" borderId="50" xfId="5" applyFont="1" applyFill="1" applyBorder="1" applyAlignment="1" applyProtection="1">
      <alignment horizontal="left" vertical="top" wrapText="1" indent="2"/>
      <protection locked="0"/>
    </xf>
    <xf numFmtId="0" fontId="65" fillId="42" borderId="51" xfId="5" applyFont="1" applyFill="1" applyBorder="1" applyAlignment="1" applyProtection="1">
      <alignment horizontal="left" vertical="top" wrapText="1" indent="2"/>
      <protection locked="0"/>
    </xf>
    <xf numFmtId="0" fontId="65" fillId="42" borderId="51" xfId="5" applyFont="1" applyFill="1" applyBorder="1" applyAlignment="1" applyProtection="1">
      <alignment horizontal="left" vertical="top" wrapText="1"/>
      <protection locked="0"/>
    </xf>
    <xf numFmtId="0" fontId="65" fillId="42" borderId="52" xfId="5" applyFont="1" applyFill="1" applyBorder="1" applyAlignment="1" applyProtection="1">
      <alignment horizontal="left" vertical="top" wrapText="1"/>
      <protection locked="0"/>
    </xf>
    <xf numFmtId="4" fontId="62" fillId="42" borderId="0" xfId="5" applyNumberFormat="1" applyFont="1" applyFill="1" applyAlignment="1" applyProtection="1">
      <alignment horizontal="right" vertical="top" wrapText="1"/>
      <protection locked="0"/>
    </xf>
    <xf numFmtId="0" fontId="65" fillId="42" borderId="50" xfId="5" applyFont="1" applyFill="1" applyBorder="1" applyAlignment="1" applyProtection="1">
      <alignment horizontal="left" vertical="top" wrapText="1" indent="1"/>
      <protection locked="0"/>
    </xf>
    <xf numFmtId="0" fontId="65" fillId="42" borderId="51" xfId="5" applyFont="1" applyFill="1" applyBorder="1" applyAlignment="1" applyProtection="1">
      <alignment horizontal="left" vertical="top" wrapText="1" indent="1"/>
      <protection locked="0"/>
    </xf>
    <xf numFmtId="0" fontId="65" fillId="42" borderId="53" xfId="5" applyFont="1" applyFill="1" applyBorder="1" applyAlignment="1" applyProtection="1">
      <alignment horizontal="left" vertical="top" wrapText="1" indent="2"/>
      <protection locked="0"/>
    </xf>
    <xf numFmtId="0" fontId="65" fillId="42" borderId="54" xfId="5" applyFont="1" applyFill="1" applyBorder="1" applyAlignment="1" applyProtection="1">
      <alignment horizontal="left" vertical="top" wrapText="1" indent="2"/>
      <protection locked="0"/>
    </xf>
    <xf numFmtId="0" fontId="65" fillId="42" borderId="54" xfId="5" applyFont="1" applyFill="1" applyBorder="1" applyAlignment="1" applyProtection="1">
      <alignment horizontal="left" vertical="top" wrapText="1"/>
      <protection locked="0"/>
    </xf>
    <xf numFmtId="0" fontId="65" fillId="42" borderId="55" xfId="5" applyFont="1" applyFill="1" applyBorder="1" applyAlignment="1" applyProtection="1">
      <alignment horizontal="left" vertical="top" wrapText="1"/>
      <protection locked="0"/>
    </xf>
    <xf numFmtId="0" fontId="65" fillId="0" borderId="0" xfId="5" applyFont="1" applyAlignment="1" applyProtection="1">
      <alignment horizontal="left" vertical="top"/>
      <protection locked="0"/>
    </xf>
    <xf numFmtId="0" fontId="63" fillId="0" borderId="0" xfId="5" applyFont="1" applyAlignment="1" applyProtection="1">
      <alignment vertical="top" wrapText="1"/>
      <protection locked="0"/>
    </xf>
    <xf numFmtId="0" fontId="64" fillId="0" borderId="0" xfId="5" applyFont="1" applyAlignment="1" applyProtection="1">
      <alignment vertical="top" wrapText="1"/>
      <protection locked="0"/>
    </xf>
    <xf numFmtId="0" fontId="62" fillId="0" borderId="0" xfId="5" applyFont="1" applyAlignment="1" applyProtection="1">
      <alignment vertical="top" wrapText="1"/>
      <protection locked="0"/>
    </xf>
    <xf numFmtId="0" fontId="66" fillId="0" borderId="0" xfId="53" applyFont="1"/>
    <xf numFmtId="0" fontId="65" fillId="37" borderId="50" xfId="5" applyFont="1" applyFill="1" applyBorder="1" applyAlignment="1" applyProtection="1">
      <alignment horizontal="left" vertical="top" wrapText="1" indent="2"/>
      <protection locked="0"/>
    </xf>
    <xf numFmtId="0" fontId="65" fillId="37" borderId="51" xfId="5" applyFont="1" applyFill="1" applyBorder="1" applyAlignment="1" applyProtection="1">
      <alignment horizontal="left" vertical="top" wrapText="1" indent="2"/>
      <protection locked="0"/>
    </xf>
    <xf numFmtId="0" fontId="65" fillId="37" borderId="51" xfId="5" applyFont="1" applyFill="1" applyBorder="1" applyAlignment="1" applyProtection="1">
      <alignment horizontal="left" vertical="top" wrapText="1"/>
      <protection locked="0"/>
    </xf>
    <xf numFmtId="0" fontId="65" fillId="37" borderId="52" xfId="5" applyFont="1" applyFill="1" applyBorder="1" applyAlignment="1" applyProtection="1">
      <alignment horizontal="left" vertical="top" wrapText="1"/>
      <protection locked="0"/>
    </xf>
    <xf numFmtId="4" fontId="62" fillId="37" borderId="0" xfId="5" applyNumberFormat="1" applyFont="1" applyFill="1" applyAlignment="1" applyProtection="1">
      <alignment horizontal="right" vertical="top" wrapText="1"/>
      <protection locked="0"/>
    </xf>
    <xf numFmtId="0" fontId="62" fillId="0" borderId="0" xfId="5" applyFont="1" applyProtection="1">
      <protection locked="0"/>
    </xf>
    <xf numFmtId="0" fontId="67" fillId="6" borderId="24" xfId="0" applyFont="1" applyFill="1" applyBorder="1" applyAlignment="1">
      <alignment horizontal="center"/>
    </xf>
    <xf numFmtId="0" fontId="62" fillId="0" borderId="24" xfId="5" applyFont="1" applyBorder="1" applyAlignment="1" applyProtection="1">
      <alignment horizontal="center"/>
      <protection locked="0"/>
    </xf>
    <xf numFmtId="43" fontId="62" fillId="0" borderId="24" xfId="1" applyFont="1" applyBorder="1" applyAlignment="1" applyProtection="1">
      <alignment horizontal="center"/>
      <protection locked="0"/>
    </xf>
    <xf numFmtId="0" fontId="63" fillId="0" borderId="0" xfId="5" applyFont="1" applyAlignment="1" applyProtection="1">
      <alignment vertical="top"/>
      <protection locked="0"/>
    </xf>
    <xf numFmtId="0" fontId="65" fillId="41" borderId="42" xfId="0" applyFont="1" applyFill="1" applyBorder="1" applyAlignment="1" applyProtection="1">
      <alignment horizontal="center" vertical="center" wrapText="1"/>
      <protection locked="0"/>
    </xf>
    <xf numFmtId="0" fontId="65" fillId="41" borderId="43" xfId="0" applyFont="1" applyFill="1" applyBorder="1" applyAlignment="1" applyProtection="1">
      <alignment horizontal="center" vertical="center" wrapText="1"/>
      <protection locked="0"/>
    </xf>
    <xf numFmtId="0" fontId="65" fillId="41" borderId="44" xfId="0" applyFont="1" applyFill="1" applyBorder="1" applyAlignment="1" applyProtection="1">
      <alignment horizontal="center" vertical="top" wrapText="1"/>
      <protection locked="0"/>
    </xf>
    <xf numFmtId="0" fontId="65" fillId="41" borderId="45" xfId="0" applyFont="1" applyFill="1" applyBorder="1" applyAlignment="1" applyProtection="1">
      <alignment horizontal="center" vertical="top" wrapText="1"/>
      <protection locked="0"/>
    </xf>
    <xf numFmtId="0" fontId="65" fillId="41" borderId="46" xfId="0" applyFont="1" applyFill="1" applyBorder="1" applyAlignment="1" applyProtection="1">
      <alignment horizontal="center" vertical="top" wrapText="1"/>
      <protection locked="0"/>
    </xf>
    <xf numFmtId="0" fontId="65" fillId="42" borderId="47" xfId="0" applyFont="1" applyFill="1" applyBorder="1" applyAlignment="1" applyProtection="1">
      <alignment horizontal="left" vertical="top" wrapText="1" indent="1"/>
      <protection locked="0"/>
    </xf>
    <xf numFmtId="0" fontId="65" fillId="42" borderId="48" xfId="0" applyFont="1" applyFill="1" applyBorder="1" applyAlignment="1" applyProtection="1">
      <alignment horizontal="left" vertical="top" wrapText="1" indent="1"/>
      <protection locked="0"/>
    </xf>
    <xf numFmtId="0" fontId="65" fillId="42" borderId="48" xfId="0" applyFont="1" applyFill="1" applyBorder="1" applyAlignment="1" applyProtection="1">
      <alignment horizontal="left" vertical="top" wrapText="1"/>
      <protection locked="0"/>
    </xf>
    <xf numFmtId="0" fontId="65" fillId="42" borderId="49" xfId="0" applyFont="1" applyFill="1" applyBorder="1" applyAlignment="1" applyProtection="1">
      <alignment horizontal="left" vertical="top" wrapText="1"/>
      <protection locked="0"/>
    </xf>
    <xf numFmtId="4" fontId="62" fillId="0" borderId="0" xfId="0" applyNumberFormat="1" applyFont="1" applyAlignment="1" applyProtection="1">
      <alignment horizontal="right" vertical="top" wrapText="1"/>
      <protection locked="0"/>
    </xf>
    <xf numFmtId="0" fontId="65" fillId="42" borderId="50" xfId="0" applyFont="1" applyFill="1" applyBorder="1" applyAlignment="1" applyProtection="1">
      <alignment horizontal="left" vertical="top" wrapText="1" indent="2"/>
      <protection locked="0"/>
    </xf>
    <xf numFmtId="0" fontId="65" fillId="42" borderId="51" xfId="0" applyFont="1" applyFill="1" applyBorder="1" applyAlignment="1" applyProtection="1">
      <alignment horizontal="left" vertical="top" wrapText="1" indent="2"/>
      <protection locked="0"/>
    </xf>
    <xf numFmtId="0" fontId="65" fillId="42" borderId="51" xfId="0" applyFont="1" applyFill="1" applyBorder="1" applyAlignment="1" applyProtection="1">
      <alignment horizontal="left" vertical="top" wrapText="1"/>
      <protection locked="0"/>
    </xf>
    <xf numFmtId="0" fontId="65" fillId="42" borderId="52" xfId="0" applyFont="1" applyFill="1" applyBorder="1" applyAlignment="1" applyProtection="1">
      <alignment horizontal="left" vertical="top" wrapText="1"/>
      <protection locked="0"/>
    </xf>
    <xf numFmtId="4" fontId="62" fillId="42" borderId="0" xfId="0" applyNumberFormat="1" applyFont="1" applyFill="1" applyAlignment="1" applyProtection="1">
      <alignment horizontal="right" vertical="top" wrapText="1"/>
      <protection locked="0"/>
    </xf>
    <xf numFmtId="0" fontId="65" fillId="42" borderId="50" xfId="0" applyFont="1" applyFill="1" applyBorder="1" applyAlignment="1" applyProtection="1">
      <alignment horizontal="left" vertical="top" wrapText="1" indent="1"/>
      <protection locked="0"/>
    </xf>
    <xf numFmtId="0" fontId="65" fillId="42" borderId="51" xfId="0" applyFont="1" applyFill="1" applyBorder="1" applyAlignment="1" applyProtection="1">
      <alignment horizontal="left" vertical="top" wrapText="1" indent="1"/>
      <protection locked="0"/>
    </xf>
    <xf numFmtId="0" fontId="65" fillId="42" borderId="53" xfId="0" applyFont="1" applyFill="1" applyBorder="1" applyAlignment="1" applyProtection="1">
      <alignment horizontal="left" vertical="top" wrapText="1" indent="2"/>
      <protection locked="0"/>
    </xf>
    <xf numFmtId="0" fontId="65" fillId="42" borderId="54" xfId="0" applyFont="1" applyFill="1" applyBorder="1" applyAlignment="1" applyProtection="1">
      <alignment horizontal="left" vertical="top" wrapText="1" indent="2"/>
      <protection locked="0"/>
    </xf>
    <xf numFmtId="0" fontId="65" fillId="42" borderId="54" xfId="0" applyFont="1" applyFill="1" applyBorder="1" applyAlignment="1" applyProtection="1">
      <alignment horizontal="left" vertical="top" wrapText="1"/>
      <protection locked="0"/>
    </xf>
    <xf numFmtId="0" fontId="65" fillId="42" borderId="55" xfId="0" applyFont="1" applyFill="1" applyBorder="1" applyAlignment="1" applyProtection="1">
      <alignment horizontal="left" vertical="top" wrapText="1"/>
      <protection locked="0"/>
    </xf>
    <xf numFmtId="43" fontId="26" fillId="0" borderId="26" xfId="1" applyFont="1" applyBorder="1"/>
    <xf numFmtId="0" fontId="68" fillId="37" borderId="2" xfId="0" applyFont="1" applyFill="1" applyBorder="1"/>
    <xf numFmtId="0" fontId="26" fillId="37" borderId="0" xfId="0" applyFont="1" applyFill="1"/>
    <xf numFmtId="15" fontId="26" fillId="0" borderId="0" xfId="0" applyNumberFormat="1" applyFont="1"/>
    <xf numFmtId="43" fontId="26" fillId="0" borderId="0" xfId="1" applyFont="1"/>
    <xf numFmtId="43" fontId="26" fillId="0" borderId="0" xfId="0" applyNumberFormat="1" applyFont="1"/>
    <xf numFmtId="43" fontId="26" fillId="37" borderId="0" xfId="1" applyFont="1" applyFill="1"/>
    <xf numFmtId="43" fontId="30" fillId="0" borderId="24" xfId="1" applyFont="1" applyFill="1" applyBorder="1" applyAlignment="1">
      <alignment horizontal="center" vertical="center"/>
    </xf>
    <xf numFmtId="43" fontId="26" fillId="0" borderId="0" xfId="1" applyFont="1" applyAlignment="1">
      <alignment vertical="center"/>
    </xf>
    <xf numFmtId="43" fontId="25" fillId="0" borderId="13" xfId="1" applyFont="1" applyBorder="1" applyAlignment="1">
      <alignment horizontal="center" vertical="center" wrapText="1"/>
    </xf>
    <xf numFmtId="43" fontId="26" fillId="0" borderId="26" xfId="1" applyFont="1" applyFill="1" applyBorder="1"/>
    <xf numFmtId="43" fontId="30" fillId="0" borderId="26" xfId="1" applyFont="1" applyFill="1" applyBorder="1" applyAlignment="1">
      <alignment horizontal="center" vertical="center"/>
    </xf>
    <xf numFmtId="0" fontId="25" fillId="0" borderId="2" xfId="0" applyFont="1" applyBorder="1"/>
    <xf numFmtId="10" fontId="25" fillId="0" borderId="2" xfId="0" applyNumberFormat="1" applyFont="1" applyBorder="1"/>
    <xf numFmtId="0" fontId="44" fillId="0" borderId="0" xfId="0" applyFont="1"/>
    <xf numFmtId="0" fontId="43" fillId="0" borderId="0" xfId="0" applyFont="1" applyAlignment="1">
      <alignment horizontal="center"/>
    </xf>
    <xf numFmtId="0" fontId="44" fillId="0" borderId="0" xfId="0" applyFont="1" applyAlignment="1">
      <alignment horizontal="center"/>
    </xf>
    <xf numFmtId="0" fontId="43" fillId="0" borderId="0" xfId="0" applyFont="1" applyAlignment="1">
      <alignment horizontal="left"/>
    </xf>
    <xf numFmtId="0" fontId="44" fillId="0" borderId="0" xfId="0" applyFont="1" applyAlignment="1">
      <alignment horizontal="left"/>
    </xf>
    <xf numFmtId="0" fontId="44" fillId="0" borderId="0" xfId="48" applyFont="1"/>
    <xf numFmtId="0" fontId="69" fillId="0" borderId="0" xfId="53" applyFont="1" applyAlignment="1"/>
    <xf numFmtId="0" fontId="70" fillId="3" borderId="10" xfId="0" applyFont="1" applyFill="1" applyBorder="1" applyAlignment="1">
      <alignment horizontal="center" vertical="center"/>
    </xf>
    <xf numFmtId="0" fontId="70" fillId="3" borderId="4" xfId="0" applyFont="1" applyFill="1" applyBorder="1" applyAlignment="1">
      <alignment horizontal="center" vertical="center"/>
    </xf>
    <xf numFmtId="0" fontId="70" fillId="3" borderId="56" xfId="0" applyFont="1" applyFill="1" applyBorder="1" applyAlignment="1">
      <alignment horizontal="center" vertical="center"/>
    </xf>
    <xf numFmtId="0" fontId="71" fillId="4" borderId="7" xfId="0" applyFont="1" applyFill="1" applyBorder="1" applyAlignment="1">
      <alignment horizontal="left"/>
    </xf>
    <xf numFmtId="0" fontId="71" fillId="4" borderId="6" xfId="0" applyFont="1" applyFill="1" applyBorder="1" applyAlignment="1">
      <alignment horizontal="right"/>
    </xf>
    <xf numFmtId="0" fontId="71" fillId="4" borderId="57" xfId="0" applyFont="1" applyFill="1" applyBorder="1" applyAlignment="1">
      <alignment horizontal="right"/>
    </xf>
    <xf numFmtId="0" fontId="71" fillId="5" borderId="7" xfId="0" applyFont="1" applyFill="1" applyBorder="1" applyAlignment="1">
      <alignment horizontal="left"/>
    </xf>
    <xf numFmtId="0" fontId="71" fillId="5" borderId="6" xfId="0" applyFont="1" applyFill="1" applyBorder="1" applyAlignment="1">
      <alignment horizontal="right"/>
    </xf>
    <xf numFmtId="0" fontId="71" fillId="5" borderId="57" xfId="0" applyFont="1" applyFill="1" applyBorder="1" applyAlignment="1">
      <alignment horizontal="right"/>
    </xf>
    <xf numFmtId="0" fontId="70" fillId="3" borderId="4" xfId="0" applyFont="1" applyFill="1" applyBorder="1" applyAlignment="1">
      <alignment horizontal="center"/>
    </xf>
    <xf numFmtId="0" fontId="70" fillId="3" borderId="56" xfId="0" applyFont="1" applyFill="1" applyBorder="1" applyAlignment="1">
      <alignment horizontal="center"/>
    </xf>
    <xf numFmtId="0" fontId="70" fillId="3" borderId="6" xfId="0" applyFont="1" applyFill="1" applyBorder="1" applyAlignment="1">
      <alignment horizontal="center" vertical="center"/>
    </xf>
    <xf numFmtId="0" fontId="70" fillId="3" borderId="57" xfId="0" applyFont="1" applyFill="1" applyBorder="1" applyAlignment="1">
      <alignment horizontal="center" vertical="center"/>
    </xf>
    <xf numFmtId="0" fontId="72" fillId="4" borderId="31" xfId="0" applyFont="1" applyFill="1" applyBorder="1" applyAlignment="1">
      <alignment horizontal="right"/>
    </xf>
    <xf numFmtId="0" fontId="73" fillId="4" borderId="31" xfId="0" applyFont="1" applyFill="1" applyBorder="1" applyAlignment="1">
      <alignment horizontal="right"/>
    </xf>
    <xf numFmtId="0" fontId="73" fillId="5" borderId="31" xfId="0" applyFont="1" applyFill="1" applyBorder="1" applyAlignment="1">
      <alignment horizontal="right"/>
    </xf>
    <xf numFmtId="0" fontId="72" fillId="5" borderId="31" xfId="0" applyFont="1" applyFill="1" applyBorder="1" applyAlignment="1">
      <alignment horizontal="right"/>
    </xf>
    <xf numFmtId="0" fontId="70" fillId="3" borderId="3" xfId="0" applyFont="1" applyFill="1" applyBorder="1" applyAlignment="1">
      <alignment horizontal="center" vertical="center"/>
    </xf>
    <xf numFmtId="0" fontId="70" fillId="3" borderId="5" xfId="0" applyFont="1" applyFill="1" applyBorder="1" applyAlignment="1">
      <alignment horizontal="center" vertical="center"/>
    </xf>
    <xf numFmtId="0" fontId="57" fillId="3" borderId="0" xfId="0" applyFont="1" applyFill="1" applyAlignment="1">
      <alignment horizontal="center" vertical="center" wrapText="1"/>
    </xf>
    <xf numFmtId="0" fontId="57" fillId="3" borderId="58" xfId="0" applyFont="1" applyFill="1" applyBorder="1" applyAlignment="1">
      <alignment horizontal="center" vertical="center" wrapText="1"/>
    </xf>
    <xf numFmtId="0" fontId="74" fillId="0" borderId="0" xfId="0" applyFont="1" applyAlignment="1">
      <alignment horizontal="center"/>
    </xf>
    <xf numFmtId="0" fontId="31" fillId="0" borderId="0" xfId="0" applyFont="1" applyAlignment="1">
      <alignment horizontal="center"/>
    </xf>
    <xf numFmtId="0" fontId="33" fillId="0" borderId="0" xfId="0" applyFont="1" applyAlignment="1">
      <alignment horizontal="center"/>
    </xf>
    <xf numFmtId="0" fontId="32" fillId="0" borderId="0" xfId="0" applyFont="1" applyAlignment="1">
      <alignment horizontal="center"/>
    </xf>
    <xf numFmtId="0" fontId="75" fillId="0" borderId="0" xfId="53" applyFont="1" applyAlignment="1"/>
    <xf numFmtId="0" fontId="57" fillId="3" borderId="10" xfId="0" applyFont="1" applyFill="1" applyBorder="1" applyAlignment="1">
      <alignment horizontal="center" vertical="center"/>
    </xf>
    <xf numFmtId="0" fontId="57" fillId="3" borderId="4" xfId="0" applyFont="1" applyFill="1" applyBorder="1" applyAlignment="1">
      <alignment horizontal="center" vertical="center"/>
    </xf>
    <xf numFmtId="0" fontId="57" fillId="3" borderId="56" xfId="0" applyFont="1" applyFill="1" applyBorder="1" applyAlignment="1">
      <alignment horizontal="center" vertical="center"/>
    </xf>
    <xf numFmtId="0" fontId="58" fillId="4" borderId="7" xfId="0" applyFont="1" applyFill="1" applyBorder="1" applyAlignment="1">
      <alignment horizontal="left"/>
    </xf>
    <xf numFmtId="0" fontId="58" fillId="4" borderId="6" xfId="0" applyFont="1" applyFill="1" applyBorder="1" applyAlignment="1">
      <alignment horizontal="right"/>
    </xf>
    <xf numFmtId="0" fontId="58" fillId="4" borderId="57" xfId="0" applyFont="1" applyFill="1" applyBorder="1" applyAlignment="1">
      <alignment horizontal="right"/>
    </xf>
    <xf numFmtId="0" fontId="58" fillId="5" borderId="7" xfId="0" applyFont="1" applyFill="1" applyBorder="1" applyAlignment="1">
      <alignment horizontal="left"/>
    </xf>
    <xf numFmtId="0" fontId="58" fillId="5" borderId="6" xfId="0" applyFont="1" applyFill="1" applyBorder="1" applyAlignment="1">
      <alignment horizontal="right"/>
    </xf>
    <xf numFmtId="0" fontId="58" fillId="5" borderId="57" xfId="0" applyFont="1" applyFill="1" applyBorder="1" applyAlignment="1">
      <alignment horizontal="right"/>
    </xf>
    <xf numFmtId="0" fontId="57" fillId="3" borderId="3" xfId="0" applyFont="1" applyFill="1" applyBorder="1" applyAlignment="1">
      <alignment horizontal="center" vertical="center"/>
    </xf>
    <xf numFmtId="0" fontId="57" fillId="3" borderId="4" xfId="0" applyFont="1" applyFill="1" applyBorder="1" applyAlignment="1">
      <alignment horizontal="center"/>
    </xf>
    <xf numFmtId="0" fontId="57" fillId="3" borderId="56" xfId="0" applyFont="1" applyFill="1" applyBorder="1" applyAlignment="1">
      <alignment horizontal="center"/>
    </xf>
    <xf numFmtId="0" fontId="57" fillId="3" borderId="5" xfId="0" applyFont="1" applyFill="1" applyBorder="1" applyAlignment="1">
      <alignment horizontal="center" vertical="center"/>
    </xf>
    <xf numFmtId="0" fontId="57" fillId="3" borderId="6" xfId="0" applyFont="1" applyFill="1" applyBorder="1" applyAlignment="1">
      <alignment horizontal="center" vertical="center"/>
    </xf>
    <xf numFmtId="0" fontId="57" fillId="3" borderId="57" xfId="0" applyFont="1" applyFill="1" applyBorder="1" applyAlignment="1">
      <alignment horizontal="center" vertical="center"/>
    </xf>
    <xf numFmtId="0" fontId="76" fillId="4" borderId="31" xfId="0" applyFont="1" applyFill="1" applyBorder="1" applyAlignment="1">
      <alignment horizontal="right"/>
    </xf>
    <xf numFmtId="0" fontId="76" fillId="5" borderId="31" xfId="0" applyFont="1" applyFill="1" applyBorder="1" applyAlignment="1">
      <alignment horizontal="right"/>
    </xf>
    <xf numFmtId="3" fontId="32" fillId="0" borderId="0" xfId="0" applyNumberFormat="1" applyFont="1"/>
    <xf numFmtId="43" fontId="32" fillId="0" borderId="0" xfId="1" applyFont="1"/>
    <xf numFmtId="0" fontId="25" fillId="0" borderId="0" xfId="0" applyFont="1" applyAlignment="1">
      <alignment horizontal="left" vertical="top"/>
    </xf>
    <xf numFmtId="10" fontId="26" fillId="0" borderId="0" xfId="0" applyNumberFormat="1" applyFont="1"/>
    <xf numFmtId="0" fontId="77" fillId="0" borderId="0" xfId="0" applyFont="1" applyAlignment="1">
      <alignment vertical="center"/>
    </xf>
    <xf numFmtId="9" fontId="26" fillId="0" borderId="24" xfId="2" applyFont="1" applyBorder="1"/>
    <xf numFmtId="0" fontId="79" fillId="0" borderId="24" xfId="0" applyFont="1" applyBorder="1" applyAlignment="1">
      <alignment vertical="center"/>
    </xf>
    <xf numFmtId="0" fontId="25" fillId="38" borderId="24" xfId="0" applyFont="1" applyFill="1" applyBorder="1" applyAlignment="1">
      <alignment horizontal="center"/>
    </xf>
    <xf numFmtId="0" fontId="26" fillId="39" borderId="24" xfId="0" applyFont="1" applyFill="1" applyBorder="1"/>
    <xf numFmtId="0" fontId="80" fillId="0" borderId="24" xfId="0" applyFont="1" applyBorder="1"/>
    <xf numFmtId="0" fontId="78" fillId="0" borderId="24" xfId="0" applyFont="1" applyBorder="1" applyAlignment="1">
      <alignment vertical="center"/>
    </xf>
    <xf numFmtId="0" fontId="25" fillId="39" borderId="24" xfId="0" applyFont="1" applyFill="1" applyBorder="1" applyAlignment="1">
      <alignment horizontal="center"/>
    </xf>
    <xf numFmtId="167" fontId="25" fillId="0" borderId="24" xfId="1" applyNumberFormat="1" applyFont="1" applyBorder="1"/>
    <xf numFmtId="167" fontId="25" fillId="0" borderId="24" xfId="0" applyNumberFormat="1" applyFont="1" applyBorder="1"/>
    <xf numFmtId="0" fontId="77" fillId="0" borderId="24" xfId="0" applyFont="1" applyBorder="1" applyAlignment="1">
      <alignment vertical="center"/>
    </xf>
    <xf numFmtId="167" fontId="26" fillId="0" borderId="24" xfId="1" applyNumberFormat="1" applyFont="1" applyBorder="1"/>
    <xf numFmtId="167" fontId="26" fillId="0" borderId="24" xfId="0" applyNumberFormat="1" applyFont="1" applyBorder="1"/>
    <xf numFmtId="9" fontId="25" fillId="0" borderId="24" xfId="2" applyFont="1" applyBorder="1"/>
    <xf numFmtId="0" fontId="81" fillId="0" borderId="0" xfId="0" applyFont="1" applyAlignment="1">
      <alignment vertical="center"/>
    </xf>
    <xf numFmtId="10" fontId="30" fillId="0" borderId="24" xfId="2" applyNumberFormat="1" applyFont="1" applyFill="1" applyBorder="1" applyAlignment="1"/>
    <xf numFmtId="0" fontId="83" fillId="0" borderId="0" xfId="0" applyFont="1" applyAlignment="1">
      <alignment horizontal="left"/>
    </xf>
    <xf numFmtId="0" fontId="84" fillId="0" borderId="0" xfId="0" applyFont="1" applyAlignment="1">
      <alignment horizontal="left"/>
    </xf>
    <xf numFmtId="0" fontId="67" fillId="6" borderId="24" xfId="0" applyFont="1" applyFill="1" applyBorder="1" applyAlignment="1">
      <alignment horizontal="center" wrapText="1"/>
    </xf>
    <xf numFmtId="0" fontId="65" fillId="41" borderId="42" xfId="5" applyFont="1" applyFill="1" applyBorder="1" applyAlignment="1" applyProtection="1">
      <alignment horizontal="left" vertical="center" wrapText="1"/>
      <protection locked="0"/>
    </xf>
    <xf numFmtId="0" fontId="65" fillId="37" borderId="50" xfId="0" applyFont="1" applyFill="1" applyBorder="1" applyAlignment="1" applyProtection="1">
      <alignment horizontal="left" vertical="top" wrapText="1" indent="2"/>
      <protection locked="0"/>
    </xf>
    <xf numFmtId="0" fontId="65" fillId="37" borderId="51" xfId="0" applyFont="1" applyFill="1" applyBorder="1" applyAlignment="1" applyProtection="1">
      <alignment horizontal="left" vertical="top" wrapText="1" indent="2"/>
      <protection locked="0"/>
    </xf>
    <xf numFmtId="0" fontId="65" fillId="37" borderId="51" xfId="0" applyFont="1" applyFill="1" applyBorder="1" applyAlignment="1" applyProtection="1">
      <alignment horizontal="left" vertical="top" wrapText="1"/>
      <protection locked="0"/>
    </xf>
    <xf numFmtId="0" fontId="65" fillId="37" borderId="52" xfId="0" applyFont="1" applyFill="1" applyBorder="1" applyAlignment="1" applyProtection="1">
      <alignment horizontal="left" vertical="top" wrapText="1"/>
      <protection locked="0"/>
    </xf>
    <xf numFmtId="4" fontId="62" fillId="37" borderId="0" xfId="0" applyNumberFormat="1" applyFont="1" applyFill="1" applyAlignment="1" applyProtection="1">
      <alignment horizontal="right" vertical="top" wrapText="1"/>
      <protection locked="0"/>
    </xf>
    <xf numFmtId="0" fontId="82" fillId="0" borderId="59" xfId="0" applyFont="1" applyBorder="1"/>
    <xf numFmtId="0" fontId="0" fillId="0" borderId="60" xfId="0" applyBorder="1"/>
    <xf numFmtId="0" fontId="0" fillId="0" borderId="61" xfId="0" applyBorder="1"/>
    <xf numFmtId="0" fontId="40" fillId="0" borderId="0" xfId="53" applyAlignment="1"/>
    <xf numFmtId="0" fontId="85" fillId="0" borderId="0" xfId="0" applyFont="1"/>
    <xf numFmtId="0" fontId="86" fillId="0" borderId="0" xfId="0" applyFont="1"/>
    <xf numFmtId="0" fontId="87" fillId="0" borderId="0" xfId="0" applyFont="1"/>
    <xf numFmtId="0" fontId="0" fillId="0" borderId="0" xfId="0" applyAlignment="1">
      <alignment horizontal="center"/>
    </xf>
    <xf numFmtId="0" fontId="0" fillId="37" borderId="0" xfId="0" applyFill="1" applyAlignment="1">
      <alignment horizontal="center"/>
    </xf>
    <xf numFmtId="0" fontId="5" fillId="0" borderId="62" xfId="54" applyFont="1" applyBorder="1" applyAlignment="1">
      <alignment horizontal="center" vertical="center" wrapText="1"/>
    </xf>
    <xf numFmtId="0" fontId="89" fillId="0" borderId="62" xfId="54" applyFont="1" applyBorder="1" applyAlignment="1">
      <alignment horizontal="center" vertical="center"/>
    </xf>
    <xf numFmtId="0" fontId="51" fillId="37" borderId="0" xfId="0" applyFont="1" applyFill="1"/>
    <xf numFmtId="4" fontId="0" fillId="37" borderId="0" xfId="0" applyNumberFormat="1" applyFill="1"/>
    <xf numFmtId="0" fontId="53" fillId="0" borderId="0" xfId="0" applyFont="1"/>
    <xf numFmtId="167" fontId="32" fillId="0" borderId="24" xfId="1" applyNumberFormat="1" applyFont="1" applyBorder="1"/>
    <xf numFmtId="167" fontId="31" fillId="0" borderId="24" xfId="1" applyNumberFormat="1" applyFont="1" applyBorder="1"/>
    <xf numFmtId="167" fontId="32" fillId="0" borderId="0" xfId="1" applyNumberFormat="1" applyFont="1"/>
    <xf numFmtId="167" fontId="31" fillId="0" borderId="0" xfId="1" applyNumberFormat="1" applyFont="1" applyBorder="1"/>
    <xf numFmtId="167" fontId="32" fillId="0" borderId="0" xfId="1" applyNumberFormat="1" applyFont="1" applyBorder="1"/>
    <xf numFmtId="0" fontId="90" fillId="0" borderId="24" xfId="4" applyNumberFormat="1" applyFont="1" applyBorder="1" applyAlignment="1">
      <alignment horizontal="center" vertical="center"/>
    </xf>
    <xf numFmtId="0" fontId="39" fillId="0" borderId="0" xfId="0" applyFont="1" applyAlignment="1">
      <alignment horizontal="center"/>
    </xf>
    <xf numFmtId="164" fontId="26" fillId="0" borderId="24" xfId="4" applyFont="1" applyBorder="1" applyAlignment="1">
      <alignment horizontal="left" vertical="center"/>
    </xf>
    <xf numFmtId="10" fontId="30" fillId="0" borderId="24" xfId="2" applyNumberFormat="1" applyFont="1" applyFill="1" applyBorder="1" applyAlignment="1">
      <alignment horizontal="center"/>
    </xf>
    <xf numFmtId="0" fontId="43" fillId="0" borderId="0" xfId="0" applyFont="1" applyAlignment="1">
      <alignment horizontal="center" wrapText="1"/>
    </xf>
    <xf numFmtId="0" fontId="44" fillId="0" borderId="0" xfId="0" applyFont="1" applyAlignment="1">
      <alignment horizontal="center" wrapText="1"/>
    </xf>
    <xf numFmtId="0" fontId="36" fillId="3" borderId="3" xfId="0" applyFont="1" applyFill="1" applyBorder="1" applyAlignment="1">
      <alignment horizontal="center" vertical="center" wrapText="1"/>
    </xf>
    <xf numFmtId="0" fontId="36" fillId="3" borderId="5" xfId="0" applyFont="1" applyFill="1" applyBorder="1" applyAlignment="1">
      <alignment horizontal="center" vertical="center" wrapText="1"/>
    </xf>
    <xf numFmtId="0" fontId="36" fillId="3" borderId="27" xfId="0" applyFont="1" applyFill="1" applyBorder="1" applyAlignment="1">
      <alignment horizontal="center" wrapText="1"/>
    </xf>
    <xf numFmtId="0" fontId="36" fillId="3" borderId="28" xfId="0" applyFont="1" applyFill="1" applyBorder="1" applyAlignment="1">
      <alignment horizontal="center" wrapText="1"/>
    </xf>
    <xf numFmtId="0" fontId="36" fillId="3" borderId="29" xfId="0" applyFont="1" applyFill="1" applyBorder="1" applyAlignment="1">
      <alignment horizontal="center" wrapText="1"/>
    </xf>
    <xf numFmtId="0" fontId="57" fillId="3" borderId="24" xfId="0" applyFont="1" applyFill="1" applyBorder="1" applyAlignment="1">
      <alignment horizontal="center" vertical="center" wrapText="1"/>
    </xf>
    <xf numFmtId="0" fontId="31" fillId="39" borderId="37" xfId="0" applyFont="1" applyFill="1" applyBorder="1" applyAlignment="1">
      <alignment horizontal="center"/>
    </xf>
    <xf numFmtId="0" fontId="31" fillId="39" borderId="38" xfId="0" applyFont="1" applyFill="1" applyBorder="1" applyAlignment="1">
      <alignment horizontal="center"/>
    </xf>
    <xf numFmtId="0" fontId="31" fillId="39" borderId="39" xfId="0" applyFont="1" applyFill="1" applyBorder="1" applyAlignment="1">
      <alignment horizontal="center"/>
    </xf>
    <xf numFmtId="0" fontId="31" fillId="39" borderId="24" xfId="0" applyFont="1" applyFill="1" applyBorder="1" applyAlignment="1">
      <alignment horizontal="center"/>
    </xf>
    <xf numFmtId="0" fontId="67" fillId="6" borderId="24" xfId="0" applyFont="1" applyFill="1" applyBorder="1" applyAlignment="1">
      <alignment horizontal="center"/>
    </xf>
    <xf numFmtId="0" fontId="65" fillId="41" borderId="42" xfId="0" applyFont="1" applyFill="1" applyBorder="1" applyAlignment="1" applyProtection="1">
      <alignment horizontal="center" vertical="center" wrapText="1"/>
      <protection locked="0"/>
    </xf>
    <xf numFmtId="0" fontId="34" fillId="6" borderId="23" xfId="0" applyFont="1" applyFill="1" applyBorder="1" applyAlignment="1">
      <alignment horizontal="center"/>
    </xf>
    <xf numFmtId="0" fontId="34" fillId="6" borderId="22" xfId="0" applyFont="1" applyFill="1" applyBorder="1" applyAlignment="1">
      <alignment horizontal="center"/>
    </xf>
    <xf numFmtId="43" fontId="0" fillId="0" borderId="0" xfId="1" applyFont="1"/>
  </cellXfs>
  <cellStyles count="55">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3" builtinId="27" customBuiltin="1"/>
    <cellStyle name="Calculation" xfId="3" builtinId="22"/>
    <cellStyle name="Calculation 2" xfId="49" xr:uid="{76D89701-5F18-49AF-A364-F905364533F5}"/>
    <cellStyle name="Check Cell" xfId="18" builtinId="23" customBuiltin="1"/>
    <cellStyle name="Comma" xfId="1" builtinId="3"/>
    <cellStyle name="Comma 2" xfId="6" xr:uid="{63A602F1-346F-423C-9346-9DD42F0D1B88}"/>
    <cellStyle name="Comma 2 2" xfId="47" xr:uid="{8E4394E4-3E56-41E3-8859-036B0526BDD5}"/>
    <cellStyle name="Explanatory Text" xfId="20"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53" builtinId="8"/>
    <cellStyle name="Hyperlink 2" xfId="51" xr:uid="{7D8B446C-5F7C-4528-BD9E-F405CBFDFF05}"/>
    <cellStyle name="Input" xfId="15" builtinId="20" customBuiltin="1"/>
    <cellStyle name="Linked Cell" xfId="17" builtinId="24" customBuiltin="1"/>
    <cellStyle name="Neutral" xfId="14" builtinId="28" customBuiltin="1"/>
    <cellStyle name="Normal" xfId="0" builtinId="0"/>
    <cellStyle name="Normal 10 10" xfId="4" xr:uid="{D9F4F3A3-6C57-482A-8DDA-87206C942A89}"/>
    <cellStyle name="Normal 2" xfId="46" xr:uid="{26B04FFC-D222-45CD-A5B8-6C1823DBD33E}"/>
    <cellStyle name="Normal 2 2" xfId="5" xr:uid="{8E9CB3BB-8B4D-4A82-960B-27D4E79739E8}"/>
    <cellStyle name="Normal 2 3" xfId="54" xr:uid="{2538EE9C-EFD6-4321-8B63-3317B161D76E}"/>
    <cellStyle name="Normal 3" xfId="48" xr:uid="{D0F9D2D7-1350-431A-B97E-006E004671E5}"/>
    <cellStyle name="Normal 4" xfId="52" xr:uid="{D1497CFB-DCEA-48E3-8F20-6B562BE8D575}"/>
    <cellStyle name="Note 2" xfId="50" xr:uid="{D4F069B8-76C5-4E5D-B0DD-99BFE54CC64E}"/>
    <cellStyle name="Output" xfId="16" builtinId="21" customBuiltin="1"/>
    <cellStyle name="Percent" xfId="2" builtinId="5"/>
    <cellStyle name="Title" xfId="7" builtinId="15" customBuiltin="1"/>
    <cellStyle name="Total" xfId="21" builtinId="25" customBuiltin="1"/>
    <cellStyle name="Warning Text" xfId="19" builtinId="11" customBuiltin="1"/>
  </cellStyles>
  <dxfs count="438">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0</xdr:row>
      <xdr:rowOff>147318</xdr:rowOff>
    </xdr:from>
    <xdr:to>
      <xdr:col>17</xdr:col>
      <xdr:colOff>398649</xdr:colOff>
      <xdr:row>20</xdr:row>
      <xdr:rowOff>94567</xdr:rowOff>
    </xdr:to>
    <xdr:pic>
      <xdr:nvPicPr>
        <xdr:cNvPr id="3" name="Picture 2">
          <a:extLst>
            <a:ext uri="{FF2B5EF4-FFF2-40B4-BE49-F238E27FC236}">
              <a16:creationId xmlns:a16="http://schemas.microsoft.com/office/drawing/2014/main" id="{4D1F9529-67E7-8C80-8E3B-28C74401B5ED}"/>
            </a:ext>
          </a:extLst>
        </xdr:cNvPr>
        <xdr:cNvPicPr>
          <a:picLocks noChangeAspect="1"/>
        </xdr:cNvPicPr>
      </xdr:nvPicPr>
      <xdr:blipFill>
        <a:blip xmlns:r="http://schemas.openxmlformats.org/officeDocument/2006/relationships" r:embed="rId1"/>
        <a:stretch>
          <a:fillRect/>
        </a:stretch>
      </xdr:blipFill>
      <xdr:spPr>
        <a:xfrm>
          <a:off x="4772025" y="147318"/>
          <a:ext cx="7704324" cy="3757249"/>
        </a:xfrm>
        <a:prstGeom prst="rect">
          <a:avLst/>
        </a:prstGeom>
      </xdr:spPr>
    </xdr:pic>
    <xdr:clientData/>
  </xdr:twoCellAnchor>
  <xdr:twoCellAnchor editAs="oneCell">
    <xdr:from>
      <xdr:col>4</xdr:col>
      <xdr:colOff>600075</xdr:colOff>
      <xdr:row>21</xdr:row>
      <xdr:rowOff>180974</xdr:rowOff>
    </xdr:from>
    <xdr:to>
      <xdr:col>16</xdr:col>
      <xdr:colOff>211282</xdr:colOff>
      <xdr:row>51</xdr:row>
      <xdr:rowOff>8699</xdr:rowOff>
    </xdr:to>
    <xdr:pic>
      <xdr:nvPicPr>
        <xdr:cNvPr id="4" name="Picture 3">
          <a:extLst>
            <a:ext uri="{FF2B5EF4-FFF2-40B4-BE49-F238E27FC236}">
              <a16:creationId xmlns:a16="http://schemas.microsoft.com/office/drawing/2014/main" id="{B0B83922-30B8-9F24-CC63-1DFB3A8ACC3A}"/>
            </a:ext>
          </a:extLst>
        </xdr:cNvPr>
        <xdr:cNvPicPr>
          <a:picLocks noChangeAspect="1"/>
        </xdr:cNvPicPr>
      </xdr:nvPicPr>
      <xdr:blipFill>
        <a:blip xmlns:r="http://schemas.openxmlformats.org/officeDocument/2006/relationships" r:embed="rId2"/>
        <a:stretch>
          <a:fillRect/>
        </a:stretch>
      </xdr:blipFill>
      <xdr:spPr>
        <a:xfrm>
          <a:off x="4752975" y="4181474"/>
          <a:ext cx="6926407" cy="5542725"/>
        </a:xfrm>
        <a:prstGeom prst="rect">
          <a:avLst/>
        </a:prstGeom>
      </xdr:spPr>
    </xdr:pic>
    <xdr:clientData/>
  </xdr:twoCellAnchor>
  <xdr:twoCellAnchor editAs="oneCell">
    <xdr:from>
      <xdr:col>0</xdr:col>
      <xdr:colOff>314325</xdr:colOff>
      <xdr:row>11</xdr:row>
      <xdr:rowOff>64557</xdr:rowOff>
    </xdr:from>
    <xdr:to>
      <xdr:col>4</xdr:col>
      <xdr:colOff>314325</xdr:colOff>
      <xdr:row>35</xdr:row>
      <xdr:rowOff>125348</xdr:rowOff>
    </xdr:to>
    <xdr:pic>
      <xdr:nvPicPr>
        <xdr:cNvPr id="5" name="Picture 4">
          <a:extLst>
            <a:ext uri="{FF2B5EF4-FFF2-40B4-BE49-F238E27FC236}">
              <a16:creationId xmlns:a16="http://schemas.microsoft.com/office/drawing/2014/main" id="{2E29B936-366A-4456-F9CD-554A6C9EFDCD}"/>
            </a:ext>
          </a:extLst>
        </xdr:cNvPr>
        <xdr:cNvPicPr>
          <a:picLocks noChangeAspect="1"/>
        </xdr:cNvPicPr>
      </xdr:nvPicPr>
      <xdr:blipFill>
        <a:blip xmlns:r="http://schemas.openxmlformats.org/officeDocument/2006/relationships" r:embed="rId3"/>
        <a:stretch>
          <a:fillRect/>
        </a:stretch>
      </xdr:blipFill>
      <xdr:spPr>
        <a:xfrm>
          <a:off x="314325" y="2160057"/>
          <a:ext cx="4152900" cy="4632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10</xdr:row>
      <xdr:rowOff>101600</xdr:rowOff>
    </xdr:from>
    <xdr:to>
      <xdr:col>4</xdr:col>
      <xdr:colOff>171450</xdr:colOff>
      <xdr:row>18</xdr:row>
      <xdr:rowOff>50800</xdr:rowOff>
    </xdr:to>
    <xdr:sp macro="" textlink="">
      <xdr:nvSpPr>
        <xdr:cNvPr id="2" name="TextBox 1">
          <a:extLst>
            <a:ext uri="{FF2B5EF4-FFF2-40B4-BE49-F238E27FC236}">
              <a16:creationId xmlns:a16="http://schemas.microsoft.com/office/drawing/2014/main" id="{4397BA1B-1C97-4B60-8B40-9350DB1D816C}"/>
            </a:ext>
          </a:extLst>
        </xdr:cNvPr>
        <xdr:cNvSpPr txBox="1"/>
      </xdr:nvSpPr>
      <xdr:spPr>
        <a:xfrm>
          <a:off x="101600" y="2473325"/>
          <a:ext cx="3565525" cy="14732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1. </a:t>
          </a:r>
          <a:r>
            <a:rPr lang="vi-VN" sz="1100">
              <a:latin typeface="Arial" panose="020B0604020202020204" pitchFamily="34" charset="0"/>
              <a:cs typeface="Arial" panose="020B0604020202020204" pitchFamily="34" charset="0"/>
            </a:rPr>
            <a:t>1001603000 Khối SX - Xưởng 1</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2. </a:t>
          </a:r>
          <a:r>
            <a:rPr lang="vi-VN" sz="1100">
              <a:latin typeface="Arial" panose="020B0604020202020204" pitchFamily="34" charset="0"/>
              <a:cs typeface="Arial" panose="020B0604020202020204" pitchFamily="34" charset="0"/>
            </a:rPr>
            <a:t>1001604000 Khối SX - Xưởng 2</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3. </a:t>
          </a:r>
          <a:r>
            <a:rPr lang="vi-VN" sz="1100">
              <a:latin typeface="Arial" panose="020B0604020202020204" pitchFamily="34" charset="0"/>
              <a:cs typeface="Arial" panose="020B0604020202020204" pitchFamily="34" charset="0"/>
            </a:rPr>
            <a:t>1001605000 Khối SX - Xưởng 4</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4. </a:t>
          </a:r>
          <a:r>
            <a:rPr lang="vi-VN" sz="1100">
              <a:latin typeface="Arial" panose="020B0604020202020204" pitchFamily="34" charset="0"/>
              <a:cs typeface="Arial" panose="020B0604020202020204" pitchFamily="34" charset="0"/>
            </a:rPr>
            <a:t>1001601500 </a:t>
          </a:r>
          <a:r>
            <a:rPr lang="en-US" sz="1100">
              <a:latin typeface="Arial" panose="020B0604020202020204" pitchFamily="34" charset="0"/>
              <a:cs typeface="Arial" panose="020B0604020202020204" pitchFamily="34" charset="0"/>
            </a:rPr>
            <a:t>R&amp;D</a:t>
          </a:r>
        </a:p>
        <a:p>
          <a:r>
            <a:rPr lang="en-US" sz="1100">
              <a:latin typeface="Arial" panose="020B0604020202020204" pitchFamily="34" charset="0"/>
              <a:cs typeface="Arial" panose="020B0604020202020204" pitchFamily="34" charset="0"/>
            </a:rPr>
            <a:t>5. </a:t>
          </a:r>
          <a:r>
            <a:rPr lang="vi-VN" sz="1100">
              <a:latin typeface="Arial" panose="020B0604020202020204" pitchFamily="34" charset="0"/>
              <a:cs typeface="Arial" panose="020B0604020202020204" pitchFamily="34" charset="0"/>
            </a:rPr>
            <a:t>1001607000 Kho</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6. </a:t>
          </a:r>
          <a:r>
            <a:rPr lang="vi-VN" sz="1100">
              <a:latin typeface="Arial" panose="020B0604020202020204" pitchFamily="34" charset="0"/>
              <a:cs typeface="Arial" panose="020B0604020202020204" pitchFamily="34" charset="0"/>
            </a:rPr>
            <a:t>1001601200 Khối SX - Kế</a:t>
          </a:r>
          <a:r>
            <a:rPr lang="en-US" sz="1100">
              <a:latin typeface="Arial" panose="020B0604020202020204" pitchFamily="34" charset="0"/>
              <a:cs typeface="Arial" panose="020B0604020202020204" pitchFamily="34" charset="0"/>
            </a:rPr>
            <a:t> </a:t>
          </a:r>
          <a:r>
            <a:rPr lang="vi-VN" sz="1100">
              <a:latin typeface="Arial" panose="020B0604020202020204" pitchFamily="34" charset="0"/>
              <a:cs typeface="Arial" panose="020B0604020202020204" pitchFamily="34" charset="0"/>
            </a:rPr>
            <a:t>hoạch</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7. </a:t>
          </a:r>
          <a:r>
            <a:rPr lang="vi-VN" sz="1100">
              <a:latin typeface="Arial" panose="020B0604020202020204" pitchFamily="34" charset="0"/>
              <a:cs typeface="Arial" panose="020B0604020202020204" pitchFamily="34" charset="0"/>
            </a:rPr>
            <a:t>1001601300 Kỹ thuật</a:t>
          </a:r>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8. </a:t>
          </a:r>
          <a:r>
            <a:rPr lang="vi-VN" sz="1100">
              <a:latin typeface="Arial" panose="020B0604020202020204" pitchFamily="34" charset="0"/>
              <a:cs typeface="Arial" panose="020B0604020202020204" pitchFamily="34" charset="0"/>
            </a:rPr>
            <a:t>1001601400 Kiểm soát chất lượng</a:t>
          </a:r>
          <a:endParaRPr lang="en-US" sz="1100">
            <a:latin typeface="Arial" panose="020B0604020202020204" pitchFamily="34" charset="0"/>
            <a:cs typeface="Arial" panose="020B0604020202020204" pitchFamily="34" charset="0"/>
          </a:endParaRPr>
        </a:p>
      </xdr:txBody>
    </xdr:sp>
    <xdr:clientData/>
  </xdr:twoCellAnchor>
  <xdr:twoCellAnchor>
    <xdr:from>
      <xdr:col>8</xdr:col>
      <xdr:colOff>107950</xdr:colOff>
      <xdr:row>10</xdr:row>
      <xdr:rowOff>6350</xdr:rowOff>
    </xdr:from>
    <xdr:to>
      <xdr:col>10</xdr:col>
      <xdr:colOff>50800</xdr:colOff>
      <xdr:row>16</xdr:row>
      <xdr:rowOff>171450</xdr:rowOff>
    </xdr:to>
    <xdr:sp macro="" textlink="">
      <xdr:nvSpPr>
        <xdr:cNvPr id="3" name="TextBox 2">
          <a:extLst>
            <a:ext uri="{FF2B5EF4-FFF2-40B4-BE49-F238E27FC236}">
              <a16:creationId xmlns:a16="http://schemas.microsoft.com/office/drawing/2014/main" id="{17D90BA4-BA04-41FB-8EE5-AC0430235862}"/>
            </a:ext>
          </a:extLst>
        </xdr:cNvPr>
        <xdr:cNvSpPr txBox="1"/>
      </xdr:nvSpPr>
      <xdr:spPr>
        <a:xfrm>
          <a:off x="6842125" y="2378075"/>
          <a:ext cx="1162050" cy="1308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Arial" panose="020B0604020202020204" pitchFamily="34" charset="0"/>
              <a:cs typeface="Arial" panose="020B0604020202020204" pitchFamily="34" charset="0"/>
            </a:rPr>
            <a:t>1001602000</a:t>
          </a:r>
        </a:p>
        <a:p>
          <a:pPr algn="ctr"/>
          <a:r>
            <a:rPr lang="vi-VN" sz="1100">
              <a:latin typeface="+mn-lt"/>
              <a:cs typeface="Arial" panose="020B0604020202020204" pitchFamily="34" charset="0"/>
            </a:rPr>
            <a:t>Xưởng SX PET</a:t>
          </a:r>
          <a:endParaRPr lang="en-US" sz="1100">
            <a:latin typeface="Arial" panose="020B0604020202020204" pitchFamily="34" charset="0"/>
            <a:cs typeface="Arial" panose="020B0604020202020204" pitchFamily="34" charset="0"/>
          </a:endParaRPr>
        </a:p>
      </xdr:txBody>
    </xdr:sp>
    <xdr:clientData/>
  </xdr:twoCellAnchor>
  <xdr:twoCellAnchor>
    <xdr:from>
      <xdr:col>0</xdr:col>
      <xdr:colOff>114300</xdr:colOff>
      <xdr:row>21</xdr:row>
      <xdr:rowOff>38100</xdr:rowOff>
    </xdr:from>
    <xdr:to>
      <xdr:col>4</xdr:col>
      <xdr:colOff>196850</xdr:colOff>
      <xdr:row>23</xdr:row>
      <xdr:rowOff>95250</xdr:rowOff>
    </xdr:to>
    <xdr:sp macro="" textlink="">
      <xdr:nvSpPr>
        <xdr:cNvPr id="4" name="TextBox 3">
          <a:extLst>
            <a:ext uri="{FF2B5EF4-FFF2-40B4-BE49-F238E27FC236}">
              <a16:creationId xmlns:a16="http://schemas.microsoft.com/office/drawing/2014/main" id="{D9C69A84-0BB8-45A9-9C26-3D406A2A8B5D}"/>
            </a:ext>
          </a:extLst>
        </xdr:cNvPr>
        <xdr:cNvSpPr txBox="1"/>
      </xdr:nvSpPr>
      <xdr:spPr>
        <a:xfrm>
          <a:off x="114300" y="4505325"/>
          <a:ext cx="3578225" cy="4381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1001608000 </a:t>
          </a:r>
          <a:r>
            <a:rPr lang="vi-VN" sz="1100">
              <a:latin typeface="+mn-lt"/>
              <a:cs typeface="Arial" panose="020B0604020202020204" pitchFamily="34" charset="0"/>
            </a:rPr>
            <a:t>Xưởng sản xuất PP</a:t>
          </a:r>
          <a:endParaRPr lang="en-US" sz="1100">
            <a:latin typeface="+mn-lt"/>
            <a:cs typeface="Arial" panose="020B0604020202020204" pitchFamily="34" charset="0"/>
          </a:endParaRPr>
        </a:p>
      </xdr:txBody>
    </xdr:sp>
    <xdr:clientData/>
  </xdr:twoCellAnchor>
  <xdr:twoCellAnchor>
    <xdr:from>
      <xdr:col>8</xdr:col>
      <xdr:colOff>107950</xdr:colOff>
      <xdr:row>18</xdr:row>
      <xdr:rowOff>19050</xdr:rowOff>
    </xdr:from>
    <xdr:to>
      <xdr:col>10</xdr:col>
      <xdr:colOff>82550</xdr:colOff>
      <xdr:row>25</xdr:row>
      <xdr:rowOff>152400</xdr:rowOff>
    </xdr:to>
    <xdr:sp macro="" textlink="">
      <xdr:nvSpPr>
        <xdr:cNvPr id="5" name="TextBox 4">
          <a:extLst>
            <a:ext uri="{FF2B5EF4-FFF2-40B4-BE49-F238E27FC236}">
              <a16:creationId xmlns:a16="http://schemas.microsoft.com/office/drawing/2014/main" id="{BD6294DD-B324-4033-BF0C-87C185FE9A18}"/>
            </a:ext>
          </a:extLst>
        </xdr:cNvPr>
        <xdr:cNvSpPr txBox="1"/>
      </xdr:nvSpPr>
      <xdr:spPr>
        <a:xfrm>
          <a:off x="6842125" y="3914775"/>
          <a:ext cx="1193800" cy="14668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Arial" panose="020B0604020202020204" pitchFamily="34" charset="0"/>
              <a:cs typeface="Arial" panose="020B0604020202020204" pitchFamily="34" charset="0"/>
            </a:rPr>
            <a:t>1001606000</a:t>
          </a:r>
        </a:p>
        <a:p>
          <a:pPr algn="ctr"/>
          <a:r>
            <a:rPr lang="vi-VN" sz="1100">
              <a:latin typeface="+mn-lt"/>
              <a:cs typeface="Arial" panose="020B0604020202020204" pitchFamily="34" charset="0"/>
            </a:rPr>
            <a:t>Xưởng SX HDPE</a:t>
          </a:r>
          <a:endParaRPr lang="en-US" sz="1100">
            <a:latin typeface="Arial" panose="020B0604020202020204" pitchFamily="34" charset="0"/>
            <a:cs typeface="Arial" panose="020B0604020202020204" pitchFamily="34" charset="0"/>
          </a:endParaRPr>
        </a:p>
      </xdr:txBody>
    </xdr:sp>
    <xdr:clientData/>
  </xdr:twoCellAnchor>
  <xdr:twoCellAnchor>
    <xdr:from>
      <xdr:col>13</xdr:col>
      <xdr:colOff>361950</xdr:colOff>
      <xdr:row>10</xdr:row>
      <xdr:rowOff>12700</xdr:rowOff>
    </xdr:from>
    <xdr:to>
      <xdr:col>15</xdr:col>
      <xdr:colOff>165100</xdr:colOff>
      <xdr:row>16</xdr:row>
      <xdr:rowOff>177800</xdr:rowOff>
    </xdr:to>
    <xdr:sp macro="" textlink="">
      <xdr:nvSpPr>
        <xdr:cNvPr id="6" name="TextBox 5">
          <a:extLst>
            <a:ext uri="{FF2B5EF4-FFF2-40B4-BE49-F238E27FC236}">
              <a16:creationId xmlns:a16="http://schemas.microsoft.com/office/drawing/2014/main" id="{64A5EBC3-E2F6-425B-A825-BACEAB9A12AD}"/>
            </a:ext>
          </a:extLst>
        </xdr:cNvPr>
        <xdr:cNvSpPr txBox="1"/>
      </xdr:nvSpPr>
      <xdr:spPr>
        <a:xfrm>
          <a:off x="10144125" y="2384425"/>
          <a:ext cx="1022350" cy="1308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n-lt"/>
              <a:cs typeface="Arial" panose="020B0604020202020204" pitchFamily="34" charset="0"/>
            </a:rPr>
            <a:t>C</a:t>
          </a:r>
          <a:r>
            <a:rPr lang="vi-VN" sz="1100">
              <a:latin typeface="+mn-lt"/>
              <a:cs typeface="Arial" panose="020B0604020202020204" pitchFamily="34" charset="0"/>
            </a:rPr>
            <a:t>ost center máy ở xưởng PET</a:t>
          </a:r>
          <a:endParaRPr lang="en-US" sz="1100">
            <a:latin typeface="Arial" panose="020B0604020202020204" pitchFamily="34" charset="0"/>
            <a:cs typeface="Arial" panose="020B0604020202020204" pitchFamily="34" charset="0"/>
          </a:endParaRPr>
        </a:p>
      </xdr:txBody>
    </xdr:sp>
    <xdr:clientData/>
  </xdr:twoCellAnchor>
  <xdr:twoCellAnchor>
    <xdr:from>
      <xdr:col>13</xdr:col>
      <xdr:colOff>374650</xdr:colOff>
      <xdr:row>18</xdr:row>
      <xdr:rowOff>38100</xdr:rowOff>
    </xdr:from>
    <xdr:to>
      <xdr:col>15</xdr:col>
      <xdr:colOff>171450</xdr:colOff>
      <xdr:row>25</xdr:row>
      <xdr:rowOff>171450</xdr:rowOff>
    </xdr:to>
    <xdr:sp macro="" textlink="">
      <xdr:nvSpPr>
        <xdr:cNvPr id="7" name="TextBox 6">
          <a:extLst>
            <a:ext uri="{FF2B5EF4-FFF2-40B4-BE49-F238E27FC236}">
              <a16:creationId xmlns:a16="http://schemas.microsoft.com/office/drawing/2014/main" id="{7015BC25-6543-47CE-82BC-FDD08B3BD512}"/>
            </a:ext>
          </a:extLst>
        </xdr:cNvPr>
        <xdr:cNvSpPr txBox="1"/>
      </xdr:nvSpPr>
      <xdr:spPr>
        <a:xfrm>
          <a:off x="10156825" y="3933825"/>
          <a:ext cx="1016000" cy="14668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n-lt"/>
              <a:cs typeface="Arial" panose="020B0604020202020204" pitchFamily="34" charset="0"/>
            </a:rPr>
            <a:t>C</a:t>
          </a:r>
          <a:r>
            <a:rPr lang="vi-VN" sz="1100">
              <a:latin typeface="+mn-lt"/>
              <a:cs typeface="Arial" panose="020B0604020202020204" pitchFamily="34" charset="0"/>
            </a:rPr>
            <a:t>ost center máy ở xưởng HD+PP</a:t>
          </a:r>
          <a:endParaRPr lang="en-US" sz="1100">
            <a:latin typeface="Arial" panose="020B0604020202020204" pitchFamily="34" charset="0"/>
            <a:cs typeface="Arial" panose="020B0604020202020204" pitchFamily="34" charset="0"/>
          </a:endParaRPr>
        </a:p>
      </xdr:txBody>
    </xdr:sp>
    <xdr:clientData/>
  </xdr:twoCellAnchor>
  <xdr:twoCellAnchor>
    <xdr:from>
      <xdr:col>4</xdr:col>
      <xdr:colOff>323850</xdr:colOff>
      <xdr:row>11</xdr:row>
      <xdr:rowOff>25400</xdr:rowOff>
    </xdr:from>
    <xdr:to>
      <xdr:col>7</xdr:col>
      <xdr:colOff>596900</xdr:colOff>
      <xdr:row>14</xdr:row>
      <xdr:rowOff>146050</xdr:rowOff>
    </xdr:to>
    <xdr:sp macro="" textlink="">
      <xdr:nvSpPr>
        <xdr:cNvPr id="8" name="TextBox 7">
          <a:extLst>
            <a:ext uri="{FF2B5EF4-FFF2-40B4-BE49-F238E27FC236}">
              <a16:creationId xmlns:a16="http://schemas.microsoft.com/office/drawing/2014/main" id="{9F530191-919E-4C95-8591-5C2FD5AF27D1}"/>
            </a:ext>
          </a:extLst>
        </xdr:cNvPr>
        <xdr:cNvSpPr txBox="1"/>
      </xdr:nvSpPr>
      <xdr:spPr>
        <a:xfrm>
          <a:off x="3819525" y="2587625"/>
          <a:ext cx="29019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33CC"/>
              </a:solidFill>
              <a:effectLst/>
              <a:latin typeface="+mn-lt"/>
              <a:ea typeface="+mn-ea"/>
              <a:cs typeface="+mn-cs"/>
            </a:rPr>
            <a:t>1.</a:t>
          </a:r>
          <a:r>
            <a:rPr lang="en-US" sz="1100" b="1" baseline="0">
              <a:solidFill>
                <a:srgbClr val="0033CC"/>
              </a:solidFill>
              <a:effectLst/>
              <a:latin typeface="+mn-lt"/>
              <a:ea typeface="+mn-ea"/>
              <a:cs typeface="+mn-cs"/>
            </a:rPr>
            <a:t> </a:t>
          </a:r>
          <a:r>
            <a:rPr lang="en-US" sz="1100" b="1">
              <a:solidFill>
                <a:srgbClr val="0033CC"/>
              </a:solidFill>
              <a:effectLst/>
              <a:latin typeface="+mn-lt"/>
              <a:ea typeface="+mn-ea"/>
              <a:cs typeface="+mn-cs"/>
            </a:rPr>
            <a:t>PB</a:t>
          </a:r>
          <a:r>
            <a:rPr lang="en-US" sz="1100" b="1" baseline="0">
              <a:solidFill>
                <a:srgbClr val="0033CC"/>
              </a:solidFill>
              <a:effectLst/>
              <a:latin typeface="+mn-lt"/>
              <a:ea typeface="+mn-ea"/>
              <a:cs typeface="+mn-cs"/>
            </a:rPr>
            <a:t> chi phí 627 BP gián tiếp vào xưởng SX PET và HDPE: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i="0" baseline="0">
              <a:solidFill>
                <a:schemeClr val="accent2">
                  <a:lumMod val="75000"/>
                </a:schemeClr>
              </a:solidFill>
              <a:latin typeface="Arial" panose="020B0604020202020204" pitchFamily="34" charset="0"/>
              <a:ea typeface="+mn-ea"/>
              <a:cs typeface="Arial" panose="020B0604020202020204" pitchFamily="34" charset="0"/>
            </a:rPr>
            <a:t>(theo sản lượng thành phẩm)</a:t>
          </a:r>
        </a:p>
      </xdr:txBody>
    </xdr:sp>
    <xdr:clientData/>
  </xdr:twoCellAnchor>
  <xdr:twoCellAnchor>
    <xdr:from>
      <xdr:col>4</xdr:col>
      <xdr:colOff>260350</xdr:colOff>
      <xdr:row>20</xdr:row>
      <xdr:rowOff>57150</xdr:rowOff>
    </xdr:from>
    <xdr:to>
      <xdr:col>8</xdr:col>
      <xdr:colOff>31750</xdr:colOff>
      <xdr:row>25</xdr:row>
      <xdr:rowOff>25400</xdr:rowOff>
    </xdr:to>
    <xdr:sp macro="" textlink="">
      <xdr:nvSpPr>
        <xdr:cNvPr id="9" name="TextBox 8">
          <a:extLst>
            <a:ext uri="{FF2B5EF4-FFF2-40B4-BE49-F238E27FC236}">
              <a16:creationId xmlns:a16="http://schemas.microsoft.com/office/drawing/2014/main" id="{1E13239E-0A20-4A89-B035-5350912B3827}"/>
            </a:ext>
          </a:extLst>
        </xdr:cNvPr>
        <xdr:cNvSpPr txBox="1"/>
      </xdr:nvSpPr>
      <xdr:spPr>
        <a:xfrm>
          <a:off x="3756025" y="4333875"/>
          <a:ext cx="3009900"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rgbClr val="0033CC"/>
              </a:solidFill>
              <a:effectLst/>
              <a:latin typeface="Arial" panose="020B0604020202020204" pitchFamily="34" charset="0"/>
              <a:ea typeface="+mn-ea"/>
              <a:cs typeface="Arial" panose="020B0604020202020204" pitchFamily="34" charset="0"/>
            </a:rPr>
            <a:t>2. Kết chuyển CP 622, 627 BP sản xuất PP vào xưởng HDPE</a:t>
          </a:r>
          <a:endParaRPr lang="en-US">
            <a:solidFill>
              <a:srgbClr val="0033CC"/>
            </a:solidFill>
            <a:effectLst/>
            <a:latin typeface="Arial" panose="020B0604020202020204" pitchFamily="34" charset="0"/>
            <a:cs typeface="Arial" panose="020B0604020202020204" pitchFamily="34" charset="0"/>
          </a:endParaRPr>
        </a:p>
        <a:p>
          <a:pPr algn="ctr"/>
          <a:endParaRPr lang="en-US" sz="1100" b="1" baseline="0">
            <a:solidFill>
              <a:srgbClr val="0033CC"/>
            </a:solidFill>
            <a:effectLst/>
            <a:latin typeface="+mn-lt"/>
            <a:ea typeface="+mn-ea"/>
            <a:cs typeface="+mn-cs"/>
          </a:endParaRPr>
        </a:p>
        <a:p>
          <a:pPr algn="ctr" eaLnBrk="1" fontAlgn="auto" latinLnBrk="0" hangingPunct="1"/>
          <a:r>
            <a:rPr lang="en-US" sz="1100" i="0" baseline="0">
              <a:solidFill>
                <a:schemeClr val="accent2">
                  <a:lumMod val="75000"/>
                </a:schemeClr>
              </a:solidFill>
              <a:latin typeface="Arial" panose="020B0604020202020204" pitchFamily="34" charset="0"/>
              <a:ea typeface="+mn-ea"/>
              <a:cs typeface="Arial" panose="020B0604020202020204" pitchFamily="34" charset="0"/>
            </a:rPr>
            <a:t>(100%)</a:t>
          </a:r>
        </a:p>
      </xdr:txBody>
    </xdr:sp>
    <xdr:clientData/>
  </xdr:twoCellAnchor>
  <xdr:twoCellAnchor>
    <xdr:from>
      <xdr:col>4</xdr:col>
      <xdr:colOff>368300</xdr:colOff>
      <xdr:row>14</xdr:row>
      <xdr:rowOff>63500</xdr:rowOff>
    </xdr:from>
    <xdr:to>
      <xdr:col>7</xdr:col>
      <xdr:colOff>565150</xdr:colOff>
      <xdr:row>14</xdr:row>
      <xdr:rowOff>63500</xdr:rowOff>
    </xdr:to>
    <xdr:cxnSp macro="">
      <xdr:nvCxnSpPr>
        <xdr:cNvPr id="10" name="Straight Arrow Connector 9">
          <a:extLst>
            <a:ext uri="{FF2B5EF4-FFF2-40B4-BE49-F238E27FC236}">
              <a16:creationId xmlns:a16="http://schemas.microsoft.com/office/drawing/2014/main" id="{79968EFC-1C4D-4063-90E5-7DE492F388D2}"/>
            </a:ext>
          </a:extLst>
        </xdr:cNvPr>
        <xdr:cNvCxnSpPr/>
      </xdr:nvCxnSpPr>
      <xdr:spPr>
        <a:xfrm>
          <a:off x="3863975" y="3197225"/>
          <a:ext cx="282575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381000</xdr:colOff>
      <xdr:row>14</xdr:row>
      <xdr:rowOff>69850</xdr:rowOff>
    </xdr:from>
    <xdr:to>
      <xdr:col>7</xdr:col>
      <xdr:colOff>527050</xdr:colOff>
      <xdr:row>19</xdr:row>
      <xdr:rowOff>120650</xdr:rowOff>
    </xdr:to>
    <xdr:cxnSp macro="">
      <xdr:nvCxnSpPr>
        <xdr:cNvPr id="11" name="Straight Arrow Connector 10">
          <a:extLst>
            <a:ext uri="{FF2B5EF4-FFF2-40B4-BE49-F238E27FC236}">
              <a16:creationId xmlns:a16="http://schemas.microsoft.com/office/drawing/2014/main" id="{759D7601-2010-472E-AD1D-B7E548046322}"/>
            </a:ext>
          </a:extLst>
        </xdr:cNvPr>
        <xdr:cNvCxnSpPr/>
      </xdr:nvCxnSpPr>
      <xdr:spPr>
        <a:xfrm>
          <a:off x="3876675" y="3203575"/>
          <a:ext cx="2774950" cy="100330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355600</xdr:colOff>
      <xdr:row>22</xdr:row>
      <xdr:rowOff>146050</xdr:rowOff>
    </xdr:from>
    <xdr:to>
      <xdr:col>7</xdr:col>
      <xdr:colOff>552450</xdr:colOff>
      <xdr:row>22</xdr:row>
      <xdr:rowOff>146050</xdr:rowOff>
    </xdr:to>
    <xdr:cxnSp macro="">
      <xdr:nvCxnSpPr>
        <xdr:cNvPr id="12" name="Straight Arrow Connector 11">
          <a:extLst>
            <a:ext uri="{FF2B5EF4-FFF2-40B4-BE49-F238E27FC236}">
              <a16:creationId xmlns:a16="http://schemas.microsoft.com/office/drawing/2014/main" id="{4200C9E9-EC02-4884-A9CC-53EDB196A645}"/>
            </a:ext>
          </a:extLst>
        </xdr:cNvPr>
        <xdr:cNvCxnSpPr/>
      </xdr:nvCxnSpPr>
      <xdr:spPr>
        <a:xfrm>
          <a:off x="3851275" y="4803775"/>
          <a:ext cx="282575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10</xdr:col>
      <xdr:colOff>101600</xdr:colOff>
      <xdr:row>11</xdr:row>
      <xdr:rowOff>69850</xdr:rowOff>
    </xdr:from>
    <xdr:to>
      <xdr:col>13</xdr:col>
      <xdr:colOff>374650</xdr:colOff>
      <xdr:row>16</xdr:row>
      <xdr:rowOff>12700</xdr:rowOff>
    </xdr:to>
    <xdr:sp macro="" textlink="">
      <xdr:nvSpPr>
        <xdr:cNvPr id="13" name="TextBox 12">
          <a:extLst>
            <a:ext uri="{FF2B5EF4-FFF2-40B4-BE49-F238E27FC236}">
              <a16:creationId xmlns:a16="http://schemas.microsoft.com/office/drawing/2014/main" id="{7351E5BC-7F77-4E9F-9631-3F80722667D7}"/>
            </a:ext>
          </a:extLst>
        </xdr:cNvPr>
        <xdr:cNvSpPr txBox="1"/>
      </xdr:nvSpPr>
      <xdr:spPr>
        <a:xfrm>
          <a:off x="8054975" y="2632075"/>
          <a:ext cx="210185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33CC"/>
              </a:solidFill>
              <a:effectLst/>
              <a:latin typeface="+mn-lt"/>
              <a:ea typeface="+mn-ea"/>
              <a:cs typeface="+mn-cs"/>
            </a:rPr>
            <a:t>3.</a:t>
          </a:r>
          <a:r>
            <a:rPr lang="en-US" sz="1100" b="1" baseline="0">
              <a:solidFill>
                <a:srgbClr val="0033CC"/>
              </a:solidFill>
              <a:effectLst/>
              <a:latin typeface="+mn-lt"/>
              <a:ea typeface="+mn-ea"/>
              <a:cs typeface="+mn-cs"/>
            </a:rPr>
            <a:t> </a:t>
          </a:r>
          <a:r>
            <a:rPr lang="en-US" sz="1100" b="1">
              <a:solidFill>
                <a:srgbClr val="0033CC"/>
              </a:solidFill>
              <a:effectLst/>
              <a:latin typeface="+mn-lt"/>
              <a:ea typeface="+mn-ea"/>
              <a:cs typeface="+mn-cs"/>
            </a:rPr>
            <a:t>PB</a:t>
          </a:r>
          <a:r>
            <a:rPr lang="en-US" sz="1100" b="1" baseline="0">
              <a:solidFill>
                <a:srgbClr val="0033CC"/>
              </a:solidFill>
              <a:effectLst/>
              <a:latin typeface="+mn-lt"/>
              <a:ea typeface="+mn-ea"/>
              <a:cs typeface="+mn-cs"/>
            </a:rPr>
            <a:t> chi phí 622, 627 xưởng PET vào từng máy PET</a:t>
          </a:r>
        </a:p>
        <a:p>
          <a:pPr algn="ctr"/>
          <a:endParaRPr lang="en-US" sz="1100" b="1" baseline="0">
            <a:solidFill>
              <a:srgbClr val="0033CC"/>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i="0" baseline="0">
              <a:solidFill>
                <a:schemeClr val="accent2">
                  <a:lumMod val="75000"/>
                </a:schemeClr>
              </a:solidFill>
              <a:latin typeface="Arial" panose="020B0604020202020204" pitchFamily="34" charset="0"/>
              <a:ea typeface="+mn-ea"/>
              <a:cs typeface="Arial" panose="020B0604020202020204" pitchFamily="34" charset="0"/>
            </a:rPr>
            <a:t>(theo sản lượng thành phẩm)</a:t>
          </a:r>
        </a:p>
      </xdr:txBody>
    </xdr:sp>
    <xdr:clientData/>
  </xdr:twoCellAnchor>
  <xdr:twoCellAnchor>
    <xdr:from>
      <xdr:col>10</xdr:col>
      <xdr:colOff>139700</xdr:colOff>
      <xdr:row>13</xdr:row>
      <xdr:rowOff>165100</xdr:rowOff>
    </xdr:from>
    <xdr:to>
      <xdr:col>13</xdr:col>
      <xdr:colOff>336550</xdr:colOff>
      <xdr:row>13</xdr:row>
      <xdr:rowOff>165100</xdr:rowOff>
    </xdr:to>
    <xdr:cxnSp macro="">
      <xdr:nvCxnSpPr>
        <xdr:cNvPr id="14" name="Straight Arrow Connector 13">
          <a:extLst>
            <a:ext uri="{FF2B5EF4-FFF2-40B4-BE49-F238E27FC236}">
              <a16:creationId xmlns:a16="http://schemas.microsoft.com/office/drawing/2014/main" id="{545BDD3B-2725-4B4F-9588-4BE8C845B352}"/>
            </a:ext>
          </a:extLst>
        </xdr:cNvPr>
        <xdr:cNvCxnSpPr/>
      </xdr:nvCxnSpPr>
      <xdr:spPr>
        <a:xfrm>
          <a:off x="8093075" y="3108325"/>
          <a:ext cx="202565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10</xdr:col>
      <xdr:colOff>117289</xdr:colOff>
      <xdr:row>19</xdr:row>
      <xdr:rowOff>140447</xdr:rowOff>
    </xdr:from>
    <xdr:to>
      <xdr:col>13</xdr:col>
      <xdr:colOff>390339</xdr:colOff>
      <xdr:row>25</xdr:row>
      <xdr:rowOff>45197</xdr:rowOff>
    </xdr:to>
    <xdr:sp macro="" textlink="">
      <xdr:nvSpPr>
        <xdr:cNvPr id="15" name="TextBox 14">
          <a:extLst>
            <a:ext uri="{FF2B5EF4-FFF2-40B4-BE49-F238E27FC236}">
              <a16:creationId xmlns:a16="http://schemas.microsoft.com/office/drawing/2014/main" id="{8BD77EE5-4E4A-427D-A085-4D94F02C17C4}"/>
            </a:ext>
          </a:extLst>
        </xdr:cNvPr>
        <xdr:cNvSpPr txBox="1"/>
      </xdr:nvSpPr>
      <xdr:spPr>
        <a:xfrm>
          <a:off x="8070664" y="4226672"/>
          <a:ext cx="2101850"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33CC"/>
              </a:solidFill>
              <a:effectLst/>
              <a:latin typeface="+mn-lt"/>
              <a:ea typeface="+mn-ea"/>
              <a:cs typeface="+mn-cs"/>
            </a:rPr>
            <a:t>4.</a:t>
          </a:r>
          <a:r>
            <a:rPr lang="en-US" sz="1100" b="1" baseline="0">
              <a:solidFill>
                <a:srgbClr val="0033CC"/>
              </a:solidFill>
              <a:effectLst/>
              <a:latin typeface="+mn-lt"/>
              <a:ea typeface="+mn-ea"/>
              <a:cs typeface="+mn-cs"/>
            </a:rPr>
            <a:t> </a:t>
          </a:r>
          <a:r>
            <a:rPr lang="en-US" sz="1100" b="1">
              <a:solidFill>
                <a:srgbClr val="0033CC"/>
              </a:solidFill>
              <a:effectLst/>
              <a:latin typeface="+mn-lt"/>
              <a:ea typeface="+mn-ea"/>
              <a:cs typeface="+mn-cs"/>
            </a:rPr>
            <a:t>PB</a:t>
          </a:r>
          <a:r>
            <a:rPr lang="en-US" sz="1100" b="1" baseline="0">
              <a:solidFill>
                <a:srgbClr val="0033CC"/>
              </a:solidFill>
              <a:effectLst/>
              <a:latin typeface="+mn-lt"/>
              <a:ea typeface="+mn-ea"/>
              <a:cs typeface="+mn-cs"/>
            </a:rPr>
            <a:t> chi phí 622, 627 xưởng HDPE vào từng  máy HDPE, PP</a:t>
          </a:r>
        </a:p>
        <a:p>
          <a:pPr algn="ctr"/>
          <a:endParaRPr lang="en-US" sz="1100" b="1" baseline="0">
            <a:solidFill>
              <a:srgbClr val="0033CC"/>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i="0" baseline="0">
              <a:solidFill>
                <a:schemeClr val="accent2">
                  <a:lumMod val="75000"/>
                </a:schemeClr>
              </a:solidFill>
              <a:latin typeface="Arial" panose="020B0604020202020204" pitchFamily="34" charset="0"/>
              <a:ea typeface="+mn-ea"/>
              <a:cs typeface="Arial" panose="020B0604020202020204" pitchFamily="34" charset="0"/>
            </a:rPr>
            <a:t>(theo sản lượng thành phẩm)</a:t>
          </a:r>
        </a:p>
      </xdr:txBody>
    </xdr:sp>
    <xdr:clientData/>
  </xdr:twoCellAnchor>
  <xdr:twoCellAnchor>
    <xdr:from>
      <xdr:col>10</xdr:col>
      <xdr:colOff>128868</xdr:colOff>
      <xdr:row>22</xdr:row>
      <xdr:rowOff>44077</xdr:rowOff>
    </xdr:from>
    <xdr:to>
      <xdr:col>13</xdr:col>
      <xdr:colOff>325718</xdr:colOff>
      <xdr:row>22</xdr:row>
      <xdr:rowOff>44077</xdr:rowOff>
    </xdr:to>
    <xdr:cxnSp macro="">
      <xdr:nvCxnSpPr>
        <xdr:cNvPr id="16" name="Straight Arrow Connector 15">
          <a:extLst>
            <a:ext uri="{FF2B5EF4-FFF2-40B4-BE49-F238E27FC236}">
              <a16:creationId xmlns:a16="http://schemas.microsoft.com/office/drawing/2014/main" id="{BD40A298-CCCB-44C7-8291-8D1741F179CC}"/>
            </a:ext>
          </a:extLst>
        </xdr:cNvPr>
        <xdr:cNvCxnSpPr/>
      </xdr:nvCxnSpPr>
      <xdr:spPr>
        <a:xfrm>
          <a:off x="8082243" y="4701802"/>
          <a:ext cx="202565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22</xdr:col>
      <xdr:colOff>0</xdr:colOff>
      <xdr:row>7</xdr:row>
      <xdr:rowOff>177800</xdr:rowOff>
    </xdr:from>
    <xdr:to>
      <xdr:col>25</xdr:col>
      <xdr:colOff>387350</xdr:colOff>
      <xdr:row>17</xdr:row>
      <xdr:rowOff>0</xdr:rowOff>
    </xdr:to>
    <xdr:grpSp>
      <xdr:nvGrpSpPr>
        <xdr:cNvPr id="17" name="Group 16">
          <a:extLst>
            <a:ext uri="{FF2B5EF4-FFF2-40B4-BE49-F238E27FC236}">
              <a16:creationId xmlns:a16="http://schemas.microsoft.com/office/drawing/2014/main" id="{987DE35D-E433-4A54-9B83-9039AE2FA7C4}"/>
            </a:ext>
          </a:extLst>
        </xdr:cNvPr>
        <xdr:cNvGrpSpPr/>
      </xdr:nvGrpSpPr>
      <xdr:grpSpPr>
        <a:xfrm>
          <a:off x="15183971" y="1959535"/>
          <a:ext cx="2202703" cy="1772024"/>
          <a:chOff x="9772650" y="692150"/>
          <a:chExt cx="2216150" cy="1663700"/>
        </a:xfrm>
      </xdr:grpSpPr>
      <xdr:sp macro="" textlink="">
        <xdr:nvSpPr>
          <xdr:cNvPr id="18" name="TextBox 17">
            <a:extLst>
              <a:ext uri="{FF2B5EF4-FFF2-40B4-BE49-F238E27FC236}">
                <a16:creationId xmlns:a16="http://schemas.microsoft.com/office/drawing/2014/main" id="{2C42C6AF-B941-173E-1538-488CC61D4C2A}"/>
              </a:ext>
            </a:extLst>
          </xdr:cNvPr>
          <xdr:cNvSpPr txBox="1"/>
        </xdr:nvSpPr>
        <xdr:spPr>
          <a:xfrm>
            <a:off x="9772650" y="692150"/>
            <a:ext cx="2190750" cy="292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DEP01 - </a:t>
            </a:r>
            <a:r>
              <a:rPr lang="en-US" sz="1100">
                <a:latin typeface="+mn-lt"/>
                <a:cs typeface="Arial" panose="020B0604020202020204" pitchFamily="34" charset="0"/>
              </a:rPr>
              <a:t>CP khấu hao máy chính</a:t>
            </a:r>
          </a:p>
        </xdr:txBody>
      </xdr:sp>
      <xdr:sp macro="" textlink="">
        <xdr:nvSpPr>
          <xdr:cNvPr id="19" name="TextBox 18">
            <a:extLst>
              <a:ext uri="{FF2B5EF4-FFF2-40B4-BE49-F238E27FC236}">
                <a16:creationId xmlns:a16="http://schemas.microsoft.com/office/drawing/2014/main" id="{57D041E8-2F82-7A2C-A9C0-9E7BF438ED44}"/>
              </a:ext>
            </a:extLst>
          </xdr:cNvPr>
          <xdr:cNvSpPr txBox="1"/>
        </xdr:nvSpPr>
        <xdr:spPr>
          <a:xfrm>
            <a:off x="9772650" y="1047750"/>
            <a:ext cx="2197100" cy="292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ELE01 - </a:t>
            </a:r>
            <a:r>
              <a:rPr lang="en-US" sz="1100">
                <a:latin typeface="+mn-lt"/>
                <a:cs typeface="Arial" panose="020B0604020202020204" pitchFamily="34" charset="0"/>
              </a:rPr>
              <a:t>CP điện</a:t>
            </a:r>
          </a:p>
        </xdr:txBody>
      </xdr:sp>
      <xdr:sp macro="" textlink="">
        <xdr:nvSpPr>
          <xdr:cNvPr id="20" name="TextBox 19">
            <a:extLst>
              <a:ext uri="{FF2B5EF4-FFF2-40B4-BE49-F238E27FC236}">
                <a16:creationId xmlns:a16="http://schemas.microsoft.com/office/drawing/2014/main" id="{0801FB46-C7D0-F8B3-CD7C-23294F20729C}"/>
              </a:ext>
            </a:extLst>
          </xdr:cNvPr>
          <xdr:cNvSpPr txBox="1"/>
        </xdr:nvSpPr>
        <xdr:spPr>
          <a:xfrm>
            <a:off x="9779000" y="1390650"/>
            <a:ext cx="2197100" cy="3111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Arial" panose="020B0604020202020204" pitchFamily="34" charset="0"/>
                <a:cs typeface="Arial" panose="020B0604020202020204" pitchFamily="34" charset="0"/>
              </a:rPr>
              <a:t>LAB01-02 - </a:t>
            </a:r>
            <a:r>
              <a:rPr lang="en-US" sz="1100">
                <a:latin typeface="+mn-lt"/>
                <a:cs typeface="Arial" panose="020B0604020202020204" pitchFamily="34" charset="0"/>
              </a:rPr>
              <a:t>CP nhân công trực tiếp</a:t>
            </a:r>
          </a:p>
        </xdr:txBody>
      </xdr:sp>
      <xdr:sp macro="" textlink="">
        <xdr:nvSpPr>
          <xdr:cNvPr id="21" name="TextBox 20">
            <a:extLst>
              <a:ext uri="{FF2B5EF4-FFF2-40B4-BE49-F238E27FC236}">
                <a16:creationId xmlns:a16="http://schemas.microsoft.com/office/drawing/2014/main" id="{91C0201D-424F-643E-1AA5-5530D46542F0}"/>
              </a:ext>
            </a:extLst>
          </xdr:cNvPr>
          <xdr:cNvSpPr txBox="1"/>
        </xdr:nvSpPr>
        <xdr:spPr>
          <a:xfrm>
            <a:off x="9779000" y="1752600"/>
            <a:ext cx="2190750" cy="2730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LAB03</a:t>
            </a:r>
            <a:r>
              <a:rPr lang="en-US" sz="1100" baseline="0">
                <a:latin typeface="+mn-lt"/>
                <a:cs typeface="Arial" panose="020B0604020202020204" pitchFamily="34" charset="0"/>
              </a:rPr>
              <a:t> - </a:t>
            </a:r>
            <a:r>
              <a:rPr lang="en-US" sz="1100">
                <a:latin typeface="+mn-lt"/>
                <a:cs typeface="Arial" panose="020B0604020202020204" pitchFamily="34" charset="0"/>
              </a:rPr>
              <a:t>CP nhân công gián tiếp</a:t>
            </a:r>
          </a:p>
        </xdr:txBody>
      </xdr:sp>
      <xdr:sp macro="" textlink="">
        <xdr:nvSpPr>
          <xdr:cNvPr id="22" name="TextBox 21">
            <a:extLst>
              <a:ext uri="{FF2B5EF4-FFF2-40B4-BE49-F238E27FC236}">
                <a16:creationId xmlns:a16="http://schemas.microsoft.com/office/drawing/2014/main" id="{143E586A-87C5-8DF0-CD93-D21A60D903F4}"/>
              </a:ext>
            </a:extLst>
          </xdr:cNvPr>
          <xdr:cNvSpPr txBox="1"/>
        </xdr:nvSpPr>
        <xdr:spPr>
          <a:xfrm>
            <a:off x="9779000" y="2082800"/>
            <a:ext cx="2209800" cy="2730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OTH01 </a:t>
            </a:r>
            <a:r>
              <a:rPr lang="en-US" sz="1100">
                <a:latin typeface="+mn-lt"/>
                <a:cs typeface="Arial" panose="020B0604020202020204" pitchFamily="34" charset="0"/>
              </a:rPr>
              <a:t>-</a:t>
            </a:r>
            <a:r>
              <a:rPr lang="en-US" sz="1100" baseline="0">
                <a:latin typeface="+mn-lt"/>
                <a:cs typeface="Arial" panose="020B0604020202020204" pitchFamily="34" charset="0"/>
              </a:rPr>
              <a:t> </a:t>
            </a:r>
            <a:r>
              <a:rPr lang="en-US" sz="1100">
                <a:latin typeface="+mn-lt"/>
                <a:cs typeface="Arial" panose="020B0604020202020204" pitchFamily="34" charset="0"/>
              </a:rPr>
              <a:t>CP sản xuất chung</a:t>
            </a:r>
          </a:p>
        </xdr:txBody>
      </xdr:sp>
    </xdr:grpSp>
    <xdr:clientData/>
  </xdr:twoCellAnchor>
  <xdr:twoCellAnchor>
    <xdr:from>
      <xdr:col>22</xdr:col>
      <xdr:colOff>38100</xdr:colOff>
      <xdr:row>17</xdr:row>
      <xdr:rowOff>146050</xdr:rowOff>
    </xdr:from>
    <xdr:to>
      <xdr:col>25</xdr:col>
      <xdr:colOff>425450</xdr:colOff>
      <xdr:row>26</xdr:row>
      <xdr:rowOff>152400</xdr:rowOff>
    </xdr:to>
    <xdr:grpSp>
      <xdr:nvGrpSpPr>
        <xdr:cNvPr id="23" name="Group 22">
          <a:extLst>
            <a:ext uri="{FF2B5EF4-FFF2-40B4-BE49-F238E27FC236}">
              <a16:creationId xmlns:a16="http://schemas.microsoft.com/office/drawing/2014/main" id="{689FF5A1-254C-4ED5-9B1E-5AA0A9C3ED2E}"/>
            </a:ext>
          </a:extLst>
        </xdr:cNvPr>
        <xdr:cNvGrpSpPr/>
      </xdr:nvGrpSpPr>
      <xdr:grpSpPr>
        <a:xfrm>
          <a:off x="15222071" y="3877609"/>
          <a:ext cx="2202703" cy="1720850"/>
          <a:chOff x="9772650" y="692150"/>
          <a:chExt cx="2216150" cy="1663700"/>
        </a:xfrm>
      </xdr:grpSpPr>
      <xdr:sp macro="" textlink="">
        <xdr:nvSpPr>
          <xdr:cNvPr id="24" name="TextBox 23">
            <a:extLst>
              <a:ext uri="{FF2B5EF4-FFF2-40B4-BE49-F238E27FC236}">
                <a16:creationId xmlns:a16="http://schemas.microsoft.com/office/drawing/2014/main" id="{35D3202B-5948-CA4B-2EC4-E9A909283000}"/>
              </a:ext>
            </a:extLst>
          </xdr:cNvPr>
          <xdr:cNvSpPr txBox="1"/>
        </xdr:nvSpPr>
        <xdr:spPr>
          <a:xfrm>
            <a:off x="9772650" y="692150"/>
            <a:ext cx="2190750" cy="292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DEP01 - </a:t>
            </a:r>
            <a:r>
              <a:rPr lang="en-US" sz="1100">
                <a:latin typeface="+mn-lt"/>
                <a:cs typeface="Arial" panose="020B0604020202020204" pitchFamily="34" charset="0"/>
              </a:rPr>
              <a:t>CP khấu hao máy chính</a:t>
            </a:r>
          </a:p>
        </xdr:txBody>
      </xdr:sp>
      <xdr:sp macro="" textlink="">
        <xdr:nvSpPr>
          <xdr:cNvPr id="25" name="TextBox 24">
            <a:extLst>
              <a:ext uri="{FF2B5EF4-FFF2-40B4-BE49-F238E27FC236}">
                <a16:creationId xmlns:a16="http://schemas.microsoft.com/office/drawing/2014/main" id="{6BF3F545-F66D-2677-1471-39CFBF8D4C40}"/>
              </a:ext>
            </a:extLst>
          </xdr:cNvPr>
          <xdr:cNvSpPr txBox="1"/>
        </xdr:nvSpPr>
        <xdr:spPr>
          <a:xfrm>
            <a:off x="9772650" y="1047750"/>
            <a:ext cx="2197100" cy="29210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ELE01 - </a:t>
            </a:r>
            <a:r>
              <a:rPr lang="en-US" sz="1100">
                <a:latin typeface="+mn-lt"/>
                <a:cs typeface="Arial" panose="020B0604020202020204" pitchFamily="34" charset="0"/>
              </a:rPr>
              <a:t>CP điện</a:t>
            </a:r>
          </a:p>
        </xdr:txBody>
      </xdr:sp>
      <xdr:sp macro="" textlink="">
        <xdr:nvSpPr>
          <xdr:cNvPr id="26" name="TextBox 25">
            <a:extLst>
              <a:ext uri="{FF2B5EF4-FFF2-40B4-BE49-F238E27FC236}">
                <a16:creationId xmlns:a16="http://schemas.microsoft.com/office/drawing/2014/main" id="{20DBDB8D-AF3B-5E78-A95B-98280CEBF18A}"/>
              </a:ext>
            </a:extLst>
          </xdr:cNvPr>
          <xdr:cNvSpPr txBox="1"/>
        </xdr:nvSpPr>
        <xdr:spPr>
          <a:xfrm>
            <a:off x="9779000" y="1390650"/>
            <a:ext cx="2197100" cy="3111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Arial" panose="020B0604020202020204" pitchFamily="34" charset="0"/>
                <a:cs typeface="Arial" panose="020B0604020202020204" pitchFamily="34" charset="0"/>
              </a:rPr>
              <a:t>LAB01-02 - </a:t>
            </a:r>
            <a:r>
              <a:rPr lang="en-US" sz="1100">
                <a:latin typeface="+mn-lt"/>
                <a:cs typeface="Arial" panose="020B0604020202020204" pitchFamily="34" charset="0"/>
              </a:rPr>
              <a:t>CP nhân công trực tiếp</a:t>
            </a:r>
          </a:p>
        </xdr:txBody>
      </xdr:sp>
      <xdr:sp macro="" textlink="">
        <xdr:nvSpPr>
          <xdr:cNvPr id="27" name="TextBox 26">
            <a:extLst>
              <a:ext uri="{FF2B5EF4-FFF2-40B4-BE49-F238E27FC236}">
                <a16:creationId xmlns:a16="http://schemas.microsoft.com/office/drawing/2014/main" id="{7EA53D48-5D05-C2AB-466A-F1CDEDBFCC4B}"/>
              </a:ext>
            </a:extLst>
          </xdr:cNvPr>
          <xdr:cNvSpPr txBox="1"/>
        </xdr:nvSpPr>
        <xdr:spPr>
          <a:xfrm>
            <a:off x="9779000" y="1752600"/>
            <a:ext cx="2190750" cy="2730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LAB03</a:t>
            </a:r>
            <a:r>
              <a:rPr lang="en-US" sz="1100" baseline="0">
                <a:latin typeface="+mn-lt"/>
                <a:cs typeface="Arial" panose="020B0604020202020204" pitchFamily="34" charset="0"/>
              </a:rPr>
              <a:t> - </a:t>
            </a:r>
            <a:r>
              <a:rPr lang="en-US" sz="1100">
                <a:latin typeface="+mn-lt"/>
                <a:cs typeface="Arial" panose="020B0604020202020204" pitchFamily="34" charset="0"/>
              </a:rPr>
              <a:t>CP nhân công gián tiếp</a:t>
            </a:r>
          </a:p>
        </xdr:txBody>
      </xdr:sp>
      <xdr:sp macro="" textlink="">
        <xdr:nvSpPr>
          <xdr:cNvPr id="28" name="TextBox 27">
            <a:extLst>
              <a:ext uri="{FF2B5EF4-FFF2-40B4-BE49-F238E27FC236}">
                <a16:creationId xmlns:a16="http://schemas.microsoft.com/office/drawing/2014/main" id="{BA1CF685-13E7-AC88-14F3-FCFC5435FC27}"/>
              </a:ext>
            </a:extLst>
          </xdr:cNvPr>
          <xdr:cNvSpPr txBox="1"/>
        </xdr:nvSpPr>
        <xdr:spPr>
          <a:xfrm>
            <a:off x="9779000" y="2082800"/>
            <a:ext cx="2209800" cy="273050"/>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Arial" panose="020B0604020202020204" pitchFamily="34" charset="0"/>
                <a:cs typeface="Arial" panose="020B0604020202020204" pitchFamily="34" charset="0"/>
              </a:rPr>
              <a:t>OTH01 </a:t>
            </a:r>
            <a:r>
              <a:rPr lang="en-US" sz="1100">
                <a:latin typeface="+mn-lt"/>
                <a:cs typeface="Arial" panose="020B0604020202020204" pitchFamily="34" charset="0"/>
              </a:rPr>
              <a:t>-</a:t>
            </a:r>
            <a:r>
              <a:rPr lang="en-US" sz="1100" baseline="0">
                <a:latin typeface="+mn-lt"/>
                <a:cs typeface="Arial" panose="020B0604020202020204" pitchFamily="34" charset="0"/>
              </a:rPr>
              <a:t> </a:t>
            </a:r>
            <a:r>
              <a:rPr lang="en-US" sz="1100">
                <a:latin typeface="+mn-lt"/>
                <a:cs typeface="Arial" panose="020B0604020202020204" pitchFamily="34" charset="0"/>
              </a:rPr>
              <a:t>CP sản xuất chung</a:t>
            </a:r>
          </a:p>
        </xdr:txBody>
      </xdr:sp>
    </xdr:grpSp>
    <xdr:clientData/>
  </xdr:twoCellAnchor>
  <xdr:twoCellAnchor>
    <xdr:from>
      <xdr:col>15</xdr:col>
      <xdr:colOff>152400</xdr:colOff>
      <xdr:row>7</xdr:row>
      <xdr:rowOff>101600</xdr:rowOff>
    </xdr:from>
    <xdr:to>
      <xdr:col>21</xdr:col>
      <xdr:colOff>539750</xdr:colOff>
      <xdr:row>16</xdr:row>
      <xdr:rowOff>88900</xdr:rowOff>
    </xdr:to>
    <xdr:grpSp>
      <xdr:nvGrpSpPr>
        <xdr:cNvPr id="29" name="Group 28">
          <a:extLst>
            <a:ext uri="{FF2B5EF4-FFF2-40B4-BE49-F238E27FC236}">
              <a16:creationId xmlns:a16="http://schemas.microsoft.com/office/drawing/2014/main" id="{2D5135A8-6EAC-408C-B7EA-913FB1FD02CA}"/>
            </a:ext>
          </a:extLst>
        </xdr:cNvPr>
        <xdr:cNvGrpSpPr/>
      </xdr:nvGrpSpPr>
      <xdr:grpSpPr>
        <a:xfrm>
          <a:off x="11100547" y="1883335"/>
          <a:ext cx="4018056" cy="1746624"/>
          <a:chOff x="9315450" y="863600"/>
          <a:chExt cx="4044950" cy="1644650"/>
        </a:xfrm>
      </xdr:grpSpPr>
      <xdr:cxnSp macro="">
        <xdr:nvCxnSpPr>
          <xdr:cNvPr id="30" name="Straight Arrow Connector 29">
            <a:extLst>
              <a:ext uri="{FF2B5EF4-FFF2-40B4-BE49-F238E27FC236}">
                <a16:creationId xmlns:a16="http://schemas.microsoft.com/office/drawing/2014/main" id="{730885F2-0661-BF21-A970-531DD2C01E15}"/>
              </a:ext>
            </a:extLst>
          </xdr:cNvPr>
          <xdr:cNvCxnSpPr/>
        </xdr:nvCxnSpPr>
        <xdr:spPr>
          <a:xfrm>
            <a:off x="10699750" y="1073150"/>
            <a:ext cx="0" cy="1403350"/>
          </a:xfrm>
          <a:prstGeom prst="straightConnector1">
            <a:avLst/>
          </a:prstGeom>
          <a:ln>
            <a:headEnd type="none" w="med" len="med"/>
            <a:tailEnd type="none" w="med" len="med"/>
          </a:ln>
        </xdr:spPr>
        <xdr:style>
          <a:lnRef idx="3">
            <a:schemeClr val="accent5"/>
          </a:lnRef>
          <a:fillRef idx="0">
            <a:schemeClr val="accent5"/>
          </a:fillRef>
          <a:effectRef idx="2">
            <a:schemeClr val="accent5"/>
          </a:effectRef>
          <a:fontRef idx="minor">
            <a:schemeClr val="tx1"/>
          </a:fontRef>
        </xdr:style>
      </xdr:cxnSp>
      <xdr:grpSp>
        <xdr:nvGrpSpPr>
          <xdr:cNvPr id="31" name="Group 30">
            <a:extLst>
              <a:ext uri="{FF2B5EF4-FFF2-40B4-BE49-F238E27FC236}">
                <a16:creationId xmlns:a16="http://schemas.microsoft.com/office/drawing/2014/main" id="{23D928CB-5932-9DEB-BF95-54F08A5AF2CC}"/>
              </a:ext>
            </a:extLst>
          </xdr:cNvPr>
          <xdr:cNvGrpSpPr/>
        </xdr:nvGrpSpPr>
        <xdr:grpSpPr>
          <a:xfrm>
            <a:off x="9315450" y="863600"/>
            <a:ext cx="4044950" cy="1644650"/>
            <a:chOff x="9309100" y="869950"/>
            <a:chExt cx="4044950" cy="1644650"/>
          </a:xfrm>
        </xdr:grpSpPr>
        <xdr:sp macro="" textlink="">
          <xdr:nvSpPr>
            <xdr:cNvPr id="32" name="TextBox 31">
              <a:extLst>
                <a:ext uri="{FF2B5EF4-FFF2-40B4-BE49-F238E27FC236}">
                  <a16:creationId xmlns:a16="http://schemas.microsoft.com/office/drawing/2014/main" id="{21BBD11B-F626-1414-5DAA-5CA4C2EA9867}"/>
                </a:ext>
              </a:extLst>
            </xdr:cNvPr>
            <xdr:cNvSpPr txBox="1"/>
          </xdr:nvSpPr>
          <xdr:spPr>
            <a:xfrm>
              <a:off x="9309100" y="1504950"/>
              <a:ext cx="141605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33CC"/>
                  </a:solidFill>
                  <a:effectLst/>
                  <a:latin typeface="+mn-lt"/>
                  <a:ea typeface="+mn-ea"/>
                  <a:cs typeface="+mn-cs"/>
                </a:rPr>
                <a:t>5.</a:t>
              </a:r>
              <a:r>
                <a:rPr lang="en-US" sz="1100" b="1" baseline="0">
                  <a:solidFill>
                    <a:srgbClr val="0033CC"/>
                  </a:solidFill>
                  <a:effectLst/>
                  <a:latin typeface="+mn-lt"/>
                  <a:ea typeface="+mn-ea"/>
                  <a:cs typeface="+mn-cs"/>
                </a:rPr>
                <a:t> Tính đơn giá chi phí </a:t>
              </a:r>
            </a:p>
            <a:p>
              <a:pPr algn="ctr"/>
              <a:endParaRPr lang="en-US" sz="1100" b="1" baseline="0">
                <a:solidFill>
                  <a:srgbClr val="0033CC"/>
                </a:solidFill>
                <a:effectLst/>
                <a:latin typeface="+mn-lt"/>
                <a:ea typeface="+mn-ea"/>
                <a:cs typeface="+mn-cs"/>
              </a:endParaRPr>
            </a:p>
            <a:p>
              <a:pPr algn="ctr"/>
              <a:r>
                <a:rPr lang="en-US" sz="1100" b="1" baseline="0">
                  <a:solidFill>
                    <a:srgbClr val="0033CC"/>
                  </a:solidFill>
                  <a:effectLst/>
                  <a:latin typeface="+mn-lt"/>
                  <a:ea typeface="+mn-ea"/>
                  <a:cs typeface="+mn-cs"/>
                </a:rPr>
                <a:t>cho từng cost center máy PET</a:t>
              </a:r>
            </a:p>
            <a:p>
              <a:pPr algn="ctr"/>
              <a:endParaRPr lang="en-US" sz="1100" b="1" baseline="0">
                <a:solidFill>
                  <a:srgbClr val="0033CC"/>
                </a:solidFill>
                <a:effectLst/>
                <a:latin typeface="+mn-lt"/>
                <a:ea typeface="+mn-ea"/>
                <a:cs typeface="+mn-cs"/>
              </a:endParaRPr>
            </a:p>
          </xdr:txBody>
        </xdr:sp>
        <xdr:cxnSp macro="">
          <xdr:nvCxnSpPr>
            <xdr:cNvPr id="33" name="Straight Arrow Connector 32">
              <a:extLst>
                <a:ext uri="{FF2B5EF4-FFF2-40B4-BE49-F238E27FC236}">
                  <a16:creationId xmlns:a16="http://schemas.microsoft.com/office/drawing/2014/main" id="{72162F97-5178-ACEC-CBA7-99827544A14E}"/>
                </a:ext>
              </a:extLst>
            </xdr:cNvPr>
            <xdr:cNvCxnSpPr/>
          </xdr:nvCxnSpPr>
          <xdr:spPr>
            <a:xfrm>
              <a:off x="9378950" y="1822450"/>
              <a:ext cx="1314450" cy="0"/>
            </a:xfrm>
            <a:prstGeom prst="straightConnector1">
              <a:avLst/>
            </a:prstGeom>
            <a:ln>
              <a:headEnd type="none" w="med" len="med"/>
              <a:tailEnd type="none" w="med" len="med"/>
            </a:ln>
          </xdr:spPr>
          <xdr:style>
            <a:lnRef idx="3">
              <a:schemeClr val="accent5"/>
            </a:lnRef>
            <a:fillRef idx="0">
              <a:schemeClr val="accent5"/>
            </a:fillRef>
            <a:effectRef idx="2">
              <a:schemeClr val="accent5"/>
            </a:effectRef>
            <a:fontRef idx="minor">
              <a:schemeClr val="tx1"/>
            </a:fontRef>
          </xdr:style>
        </xdr:cxnSp>
        <xdr:cxnSp macro="">
          <xdr:nvCxnSpPr>
            <xdr:cNvPr id="34" name="Straight Arrow Connector 33">
              <a:extLst>
                <a:ext uri="{FF2B5EF4-FFF2-40B4-BE49-F238E27FC236}">
                  <a16:creationId xmlns:a16="http://schemas.microsoft.com/office/drawing/2014/main" id="{99523D44-7E0C-2B32-69E8-C1AF4C36203F}"/>
                </a:ext>
              </a:extLst>
            </xdr:cNvPr>
            <xdr:cNvCxnSpPr/>
          </xdr:nvCxnSpPr>
          <xdr:spPr>
            <a:xfrm>
              <a:off x="10699750" y="1085850"/>
              <a:ext cx="2654300" cy="1270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35" name="Straight Arrow Connector 34">
              <a:extLst>
                <a:ext uri="{FF2B5EF4-FFF2-40B4-BE49-F238E27FC236}">
                  <a16:creationId xmlns:a16="http://schemas.microsoft.com/office/drawing/2014/main" id="{CE10F638-46E1-EAA2-DEE8-BAF9D17B1ACC}"/>
                </a:ext>
              </a:extLst>
            </xdr:cNvPr>
            <xdr:cNvCxnSpPr/>
          </xdr:nvCxnSpPr>
          <xdr:spPr>
            <a:xfrm flipV="1">
              <a:off x="10706100" y="1454150"/>
              <a:ext cx="26225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sp macro="" textlink="">
          <xdr:nvSpPr>
            <xdr:cNvPr id="36" name="TextBox 35">
              <a:extLst>
                <a:ext uri="{FF2B5EF4-FFF2-40B4-BE49-F238E27FC236}">
                  <a16:creationId xmlns:a16="http://schemas.microsoft.com/office/drawing/2014/main" id="{A03E0640-04C2-1146-C489-8052F0A16045}"/>
                </a:ext>
              </a:extLst>
            </xdr:cNvPr>
            <xdr:cNvSpPr txBox="1"/>
          </xdr:nvSpPr>
          <xdr:spPr>
            <a:xfrm>
              <a:off x="10731500" y="86995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5.1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37" name="TextBox 36">
              <a:extLst>
                <a:ext uri="{FF2B5EF4-FFF2-40B4-BE49-F238E27FC236}">
                  <a16:creationId xmlns:a16="http://schemas.microsoft.com/office/drawing/2014/main" id="{92FBE309-EDFD-ADE4-E085-C51807D32497}"/>
                </a:ext>
              </a:extLst>
            </xdr:cNvPr>
            <xdr:cNvSpPr txBox="1"/>
          </xdr:nvSpPr>
          <xdr:spPr>
            <a:xfrm>
              <a:off x="10731500" y="1219200"/>
              <a:ext cx="1504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5.2 PB theo số</a:t>
              </a:r>
              <a:r>
                <a:rPr lang="en-US" sz="1100" b="0" baseline="0">
                  <a:solidFill>
                    <a:schemeClr val="accent2">
                      <a:lumMod val="75000"/>
                    </a:schemeClr>
                  </a:solidFill>
                  <a:effectLst/>
                  <a:latin typeface="+mn-lt"/>
                  <a:ea typeface="+mn-ea"/>
                  <a:cs typeface="+mn-cs"/>
                </a:rPr>
                <a:t> KW điện</a:t>
              </a:r>
            </a:p>
            <a:p>
              <a:pPr algn="ctr"/>
              <a:endParaRPr lang="en-US" sz="1100" b="1" baseline="0">
                <a:solidFill>
                  <a:srgbClr val="0033CC"/>
                </a:solidFill>
                <a:effectLst/>
                <a:latin typeface="+mn-lt"/>
                <a:ea typeface="+mn-ea"/>
                <a:cs typeface="+mn-cs"/>
              </a:endParaRPr>
            </a:p>
          </xdr:txBody>
        </xdr:sp>
        <xdr:sp macro="" textlink="">
          <xdr:nvSpPr>
            <xdr:cNvPr id="38" name="TextBox 37">
              <a:extLst>
                <a:ext uri="{FF2B5EF4-FFF2-40B4-BE49-F238E27FC236}">
                  <a16:creationId xmlns:a16="http://schemas.microsoft.com/office/drawing/2014/main" id="{68627A68-D4A6-6C0E-FE5F-98B7F85F2E39}"/>
                </a:ext>
              </a:extLst>
            </xdr:cNvPr>
            <xdr:cNvSpPr txBox="1"/>
          </xdr:nvSpPr>
          <xdr:spPr>
            <a:xfrm>
              <a:off x="10737850" y="191770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5.4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39" name="TextBox 38">
              <a:extLst>
                <a:ext uri="{FF2B5EF4-FFF2-40B4-BE49-F238E27FC236}">
                  <a16:creationId xmlns:a16="http://schemas.microsoft.com/office/drawing/2014/main" id="{32CF8232-552F-97CA-088D-C6BA2587E424}"/>
                </a:ext>
              </a:extLst>
            </xdr:cNvPr>
            <xdr:cNvSpPr txBox="1"/>
          </xdr:nvSpPr>
          <xdr:spPr>
            <a:xfrm>
              <a:off x="10744200" y="222885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5.5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40" name="TextBox 39">
              <a:extLst>
                <a:ext uri="{FF2B5EF4-FFF2-40B4-BE49-F238E27FC236}">
                  <a16:creationId xmlns:a16="http://schemas.microsoft.com/office/drawing/2014/main" id="{7653CFAA-9622-5A10-55CA-824D41ED16F3}"/>
                </a:ext>
              </a:extLst>
            </xdr:cNvPr>
            <xdr:cNvSpPr txBox="1"/>
          </xdr:nvSpPr>
          <xdr:spPr>
            <a:xfrm>
              <a:off x="10725150" y="1587500"/>
              <a:ext cx="2495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5.3 PB theo thời gian nhân</a:t>
              </a:r>
              <a:r>
                <a:rPr lang="en-US" sz="1100" b="0" baseline="0">
                  <a:solidFill>
                    <a:schemeClr val="accent2">
                      <a:lumMod val="75000"/>
                    </a:schemeClr>
                  </a:solidFill>
                  <a:effectLst/>
                  <a:latin typeface="+mn-lt"/>
                  <a:ea typeface="+mn-ea"/>
                  <a:cs typeface="+mn-cs"/>
                </a:rPr>
                <a:t> công đứng máy</a:t>
              </a:r>
            </a:p>
            <a:p>
              <a:pPr algn="ctr"/>
              <a:endParaRPr lang="en-US" sz="1100" b="1" baseline="0">
                <a:solidFill>
                  <a:srgbClr val="0033CC"/>
                </a:solidFill>
                <a:effectLst/>
                <a:latin typeface="+mn-lt"/>
                <a:ea typeface="+mn-ea"/>
                <a:cs typeface="+mn-cs"/>
              </a:endParaRPr>
            </a:p>
          </xdr:txBody>
        </xdr:sp>
        <xdr:cxnSp macro="">
          <xdr:nvCxnSpPr>
            <xdr:cNvPr id="41" name="Straight Arrow Connector 40">
              <a:extLst>
                <a:ext uri="{FF2B5EF4-FFF2-40B4-BE49-F238E27FC236}">
                  <a16:creationId xmlns:a16="http://schemas.microsoft.com/office/drawing/2014/main" id="{522E4612-F2B4-8641-4E7B-CC16E1442574}"/>
                </a:ext>
              </a:extLst>
            </xdr:cNvPr>
            <xdr:cNvCxnSpPr/>
          </xdr:nvCxnSpPr>
          <xdr:spPr>
            <a:xfrm>
              <a:off x="10687050" y="1816100"/>
              <a:ext cx="26225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42" name="Straight Arrow Connector 41">
              <a:extLst>
                <a:ext uri="{FF2B5EF4-FFF2-40B4-BE49-F238E27FC236}">
                  <a16:creationId xmlns:a16="http://schemas.microsoft.com/office/drawing/2014/main" id="{C27368A5-E740-7DB7-80B5-36B23E3B45D4}"/>
                </a:ext>
              </a:extLst>
            </xdr:cNvPr>
            <xdr:cNvCxnSpPr/>
          </xdr:nvCxnSpPr>
          <xdr:spPr>
            <a:xfrm flipV="1">
              <a:off x="10712450" y="2159000"/>
              <a:ext cx="26098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43" name="Straight Arrow Connector 42">
              <a:extLst>
                <a:ext uri="{FF2B5EF4-FFF2-40B4-BE49-F238E27FC236}">
                  <a16:creationId xmlns:a16="http://schemas.microsoft.com/office/drawing/2014/main" id="{6109B516-D48F-014B-FAC5-98FE8B45F20D}"/>
                </a:ext>
              </a:extLst>
            </xdr:cNvPr>
            <xdr:cNvCxnSpPr/>
          </xdr:nvCxnSpPr>
          <xdr:spPr>
            <a:xfrm>
              <a:off x="10687050" y="2489200"/>
              <a:ext cx="260350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grpSp>
    </xdr:grpSp>
    <xdr:clientData/>
  </xdr:twoCellAnchor>
  <xdr:twoCellAnchor>
    <xdr:from>
      <xdr:col>15</xdr:col>
      <xdr:colOff>196850</xdr:colOff>
      <xdr:row>17</xdr:row>
      <xdr:rowOff>82550</xdr:rowOff>
    </xdr:from>
    <xdr:to>
      <xdr:col>21</xdr:col>
      <xdr:colOff>577850</xdr:colOff>
      <xdr:row>26</xdr:row>
      <xdr:rowOff>69850</xdr:rowOff>
    </xdr:to>
    <xdr:grpSp>
      <xdr:nvGrpSpPr>
        <xdr:cNvPr id="44" name="Group 43">
          <a:extLst>
            <a:ext uri="{FF2B5EF4-FFF2-40B4-BE49-F238E27FC236}">
              <a16:creationId xmlns:a16="http://schemas.microsoft.com/office/drawing/2014/main" id="{69B38667-5A68-4A88-9F0F-4BD1ECBAE152}"/>
            </a:ext>
          </a:extLst>
        </xdr:cNvPr>
        <xdr:cNvGrpSpPr/>
      </xdr:nvGrpSpPr>
      <xdr:grpSpPr>
        <a:xfrm>
          <a:off x="11144997" y="3814109"/>
          <a:ext cx="4011706" cy="1701800"/>
          <a:chOff x="9321800" y="2667000"/>
          <a:chExt cx="4038600" cy="1644650"/>
        </a:xfrm>
      </xdr:grpSpPr>
      <xdr:grpSp>
        <xdr:nvGrpSpPr>
          <xdr:cNvPr id="45" name="Group 44">
            <a:extLst>
              <a:ext uri="{FF2B5EF4-FFF2-40B4-BE49-F238E27FC236}">
                <a16:creationId xmlns:a16="http://schemas.microsoft.com/office/drawing/2014/main" id="{5F5ACEAA-AFE6-DFC9-FF6B-0547BD8BDD31}"/>
              </a:ext>
            </a:extLst>
          </xdr:cNvPr>
          <xdr:cNvGrpSpPr/>
        </xdr:nvGrpSpPr>
        <xdr:grpSpPr>
          <a:xfrm>
            <a:off x="9321800" y="2667000"/>
            <a:ext cx="4038600" cy="1644650"/>
            <a:chOff x="9315450" y="869950"/>
            <a:chExt cx="4038600" cy="1644650"/>
          </a:xfrm>
        </xdr:grpSpPr>
        <xdr:sp macro="" textlink="">
          <xdr:nvSpPr>
            <xdr:cNvPr id="47" name="TextBox 46">
              <a:extLst>
                <a:ext uri="{FF2B5EF4-FFF2-40B4-BE49-F238E27FC236}">
                  <a16:creationId xmlns:a16="http://schemas.microsoft.com/office/drawing/2014/main" id="{D9722083-99AB-0B67-A875-38583CC7F603}"/>
                </a:ext>
              </a:extLst>
            </xdr:cNvPr>
            <xdr:cNvSpPr txBox="1"/>
          </xdr:nvSpPr>
          <xdr:spPr>
            <a:xfrm>
              <a:off x="9315450" y="1511300"/>
              <a:ext cx="141605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33CC"/>
                  </a:solidFill>
                  <a:effectLst/>
                  <a:latin typeface="+mn-lt"/>
                  <a:ea typeface="+mn-ea"/>
                  <a:cs typeface="+mn-cs"/>
                </a:rPr>
                <a:t>6.</a:t>
              </a:r>
              <a:r>
                <a:rPr lang="en-US" sz="1100" b="1" baseline="0">
                  <a:solidFill>
                    <a:srgbClr val="0033CC"/>
                  </a:solidFill>
                  <a:effectLst/>
                  <a:latin typeface="+mn-lt"/>
                  <a:ea typeface="+mn-ea"/>
                  <a:cs typeface="+mn-cs"/>
                </a:rPr>
                <a:t> Tính đơn giá chi phí </a:t>
              </a:r>
            </a:p>
            <a:p>
              <a:pPr algn="ctr"/>
              <a:endParaRPr lang="en-US" sz="1100" b="1" baseline="0">
                <a:solidFill>
                  <a:srgbClr val="0033CC"/>
                </a:solidFill>
                <a:effectLst/>
                <a:latin typeface="+mn-lt"/>
                <a:ea typeface="+mn-ea"/>
                <a:cs typeface="+mn-cs"/>
              </a:endParaRPr>
            </a:p>
            <a:p>
              <a:pPr algn="ctr"/>
              <a:r>
                <a:rPr lang="en-US" sz="1100" b="1" baseline="0">
                  <a:solidFill>
                    <a:srgbClr val="0033CC"/>
                  </a:solidFill>
                  <a:effectLst/>
                  <a:latin typeface="+mn-lt"/>
                  <a:ea typeface="+mn-ea"/>
                  <a:cs typeface="+mn-cs"/>
                </a:rPr>
                <a:t>cho từng cost center máy HD + PP</a:t>
              </a:r>
            </a:p>
            <a:p>
              <a:pPr algn="ctr"/>
              <a:endParaRPr lang="en-US" sz="1100" b="1" baseline="0">
                <a:solidFill>
                  <a:srgbClr val="0033CC"/>
                </a:solidFill>
                <a:effectLst/>
                <a:latin typeface="+mn-lt"/>
                <a:ea typeface="+mn-ea"/>
                <a:cs typeface="+mn-cs"/>
              </a:endParaRPr>
            </a:p>
          </xdr:txBody>
        </xdr:sp>
        <xdr:cxnSp macro="">
          <xdr:nvCxnSpPr>
            <xdr:cNvPr id="48" name="Straight Arrow Connector 47">
              <a:extLst>
                <a:ext uri="{FF2B5EF4-FFF2-40B4-BE49-F238E27FC236}">
                  <a16:creationId xmlns:a16="http://schemas.microsoft.com/office/drawing/2014/main" id="{9DAD07A5-EE93-A830-DF31-98FD8535720B}"/>
                </a:ext>
              </a:extLst>
            </xdr:cNvPr>
            <xdr:cNvCxnSpPr/>
          </xdr:nvCxnSpPr>
          <xdr:spPr>
            <a:xfrm>
              <a:off x="9372600" y="1816100"/>
              <a:ext cx="1314450" cy="0"/>
            </a:xfrm>
            <a:prstGeom prst="straightConnector1">
              <a:avLst/>
            </a:prstGeom>
            <a:ln>
              <a:headEnd type="none" w="med" len="med"/>
              <a:tailEnd type="none" w="med" len="med"/>
            </a:ln>
          </xdr:spPr>
          <xdr:style>
            <a:lnRef idx="3">
              <a:schemeClr val="accent5"/>
            </a:lnRef>
            <a:fillRef idx="0">
              <a:schemeClr val="accent5"/>
            </a:fillRef>
            <a:effectRef idx="2">
              <a:schemeClr val="accent5"/>
            </a:effectRef>
            <a:fontRef idx="minor">
              <a:schemeClr val="tx1"/>
            </a:fontRef>
          </xdr:style>
        </xdr:cxnSp>
        <xdr:cxnSp macro="">
          <xdr:nvCxnSpPr>
            <xdr:cNvPr id="49" name="Straight Arrow Connector 48">
              <a:extLst>
                <a:ext uri="{FF2B5EF4-FFF2-40B4-BE49-F238E27FC236}">
                  <a16:creationId xmlns:a16="http://schemas.microsoft.com/office/drawing/2014/main" id="{DCBAAF86-B21F-0E4A-1793-4316D74394FC}"/>
                </a:ext>
              </a:extLst>
            </xdr:cNvPr>
            <xdr:cNvCxnSpPr/>
          </xdr:nvCxnSpPr>
          <xdr:spPr>
            <a:xfrm>
              <a:off x="10699750" y="1085850"/>
              <a:ext cx="2654300" cy="1270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50" name="Straight Arrow Connector 49">
              <a:extLst>
                <a:ext uri="{FF2B5EF4-FFF2-40B4-BE49-F238E27FC236}">
                  <a16:creationId xmlns:a16="http://schemas.microsoft.com/office/drawing/2014/main" id="{E76FE4C2-316B-407A-760F-9E0A8AAFBF5F}"/>
                </a:ext>
              </a:extLst>
            </xdr:cNvPr>
            <xdr:cNvCxnSpPr/>
          </xdr:nvCxnSpPr>
          <xdr:spPr>
            <a:xfrm flipV="1">
              <a:off x="10706100" y="1454150"/>
              <a:ext cx="26225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sp macro="" textlink="">
          <xdr:nvSpPr>
            <xdr:cNvPr id="51" name="TextBox 50">
              <a:extLst>
                <a:ext uri="{FF2B5EF4-FFF2-40B4-BE49-F238E27FC236}">
                  <a16:creationId xmlns:a16="http://schemas.microsoft.com/office/drawing/2014/main" id="{2857888F-3D3C-B1E5-4392-0536BF24C476}"/>
                </a:ext>
              </a:extLst>
            </xdr:cNvPr>
            <xdr:cNvSpPr txBox="1"/>
          </xdr:nvSpPr>
          <xdr:spPr>
            <a:xfrm>
              <a:off x="10731500" y="86995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6.1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52" name="TextBox 51">
              <a:extLst>
                <a:ext uri="{FF2B5EF4-FFF2-40B4-BE49-F238E27FC236}">
                  <a16:creationId xmlns:a16="http://schemas.microsoft.com/office/drawing/2014/main" id="{279CFAED-0EEC-078B-B46D-37A04186E65A}"/>
                </a:ext>
              </a:extLst>
            </xdr:cNvPr>
            <xdr:cNvSpPr txBox="1"/>
          </xdr:nvSpPr>
          <xdr:spPr>
            <a:xfrm>
              <a:off x="10731500" y="1219200"/>
              <a:ext cx="1504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6.2 PB theo số</a:t>
              </a:r>
              <a:r>
                <a:rPr lang="en-US" sz="1100" b="0" baseline="0">
                  <a:solidFill>
                    <a:schemeClr val="accent2">
                      <a:lumMod val="75000"/>
                    </a:schemeClr>
                  </a:solidFill>
                  <a:effectLst/>
                  <a:latin typeface="+mn-lt"/>
                  <a:ea typeface="+mn-ea"/>
                  <a:cs typeface="+mn-cs"/>
                </a:rPr>
                <a:t> KW điện</a:t>
              </a:r>
            </a:p>
            <a:p>
              <a:pPr algn="ctr"/>
              <a:endParaRPr lang="en-US" sz="1100" b="1" baseline="0">
                <a:solidFill>
                  <a:srgbClr val="0033CC"/>
                </a:solidFill>
                <a:effectLst/>
                <a:latin typeface="+mn-lt"/>
                <a:ea typeface="+mn-ea"/>
                <a:cs typeface="+mn-cs"/>
              </a:endParaRPr>
            </a:p>
          </xdr:txBody>
        </xdr:sp>
        <xdr:sp macro="" textlink="">
          <xdr:nvSpPr>
            <xdr:cNvPr id="53" name="TextBox 52">
              <a:extLst>
                <a:ext uri="{FF2B5EF4-FFF2-40B4-BE49-F238E27FC236}">
                  <a16:creationId xmlns:a16="http://schemas.microsoft.com/office/drawing/2014/main" id="{C905693F-C63C-FBBA-65DA-B153B865C292}"/>
                </a:ext>
              </a:extLst>
            </xdr:cNvPr>
            <xdr:cNvSpPr txBox="1"/>
          </xdr:nvSpPr>
          <xdr:spPr>
            <a:xfrm>
              <a:off x="10737850" y="191770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6.4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54" name="TextBox 53">
              <a:extLst>
                <a:ext uri="{FF2B5EF4-FFF2-40B4-BE49-F238E27FC236}">
                  <a16:creationId xmlns:a16="http://schemas.microsoft.com/office/drawing/2014/main" id="{29C3E93E-EAAE-D400-83BD-AE6DDF837DF0}"/>
                </a:ext>
              </a:extLst>
            </xdr:cNvPr>
            <xdr:cNvSpPr txBox="1"/>
          </xdr:nvSpPr>
          <xdr:spPr>
            <a:xfrm>
              <a:off x="10744200" y="2228850"/>
              <a:ext cx="2012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6.5 PB theo thời gian chạy</a:t>
              </a:r>
              <a:r>
                <a:rPr lang="en-US" sz="1100" b="0" baseline="0">
                  <a:solidFill>
                    <a:schemeClr val="accent2">
                      <a:lumMod val="75000"/>
                    </a:schemeClr>
                  </a:solidFill>
                  <a:effectLst/>
                  <a:latin typeface="+mn-lt"/>
                  <a:ea typeface="+mn-ea"/>
                  <a:cs typeface="+mn-cs"/>
                </a:rPr>
                <a:t> máy</a:t>
              </a:r>
            </a:p>
            <a:p>
              <a:pPr algn="ctr"/>
              <a:endParaRPr lang="en-US" sz="1100" b="1" baseline="0">
                <a:solidFill>
                  <a:srgbClr val="0033CC"/>
                </a:solidFill>
                <a:effectLst/>
                <a:latin typeface="+mn-lt"/>
                <a:ea typeface="+mn-ea"/>
                <a:cs typeface="+mn-cs"/>
              </a:endParaRPr>
            </a:p>
          </xdr:txBody>
        </xdr:sp>
        <xdr:sp macro="" textlink="">
          <xdr:nvSpPr>
            <xdr:cNvPr id="55" name="TextBox 54">
              <a:extLst>
                <a:ext uri="{FF2B5EF4-FFF2-40B4-BE49-F238E27FC236}">
                  <a16:creationId xmlns:a16="http://schemas.microsoft.com/office/drawing/2014/main" id="{4F745F13-9A3E-95CB-A4B2-9E175F6C89B6}"/>
                </a:ext>
              </a:extLst>
            </xdr:cNvPr>
            <xdr:cNvSpPr txBox="1"/>
          </xdr:nvSpPr>
          <xdr:spPr>
            <a:xfrm>
              <a:off x="10725150" y="1587500"/>
              <a:ext cx="2495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accent2">
                      <a:lumMod val="75000"/>
                    </a:schemeClr>
                  </a:solidFill>
                  <a:effectLst/>
                  <a:latin typeface="+mn-lt"/>
                  <a:ea typeface="+mn-ea"/>
                  <a:cs typeface="+mn-cs"/>
                </a:rPr>
                <a:t>6.3 PB theo thời gian nhân</a:t>
              </a:r>
              <a:r>
                <a:rPr lang="en-US" sz="1100" b="0" baseline="0">
                  <a:solidFill>
                    <a:schemeClr val="accent2">
                      <a:lumMod val="75000"/>
                    </a:schemeClr>
                  </a:solidFill>
                  <a:effectLst/>
                  <a:latin typeface="+mn-lt"/>
                  <a:ea typeface="+mn-ea"/>
                  <a:cs typeface="+mn-cs"/>
                </a:rPr>
                <a:t> công đứng máy</a:t>
              </a:r>
            </a:p>
            <a:p>
              <a:pPr algn="ctr"/>
              <a:endParaRPr lang="en-US" sz="1100" b="1" baseline="0">
                <a:solidFill>
                  <a:srgbClr val="0033CC"/>
                </a:solidFill>
                <a:effectLst/>
                <a:latin typeface="+mn-lt"/>
                <a:ea typeface="+mn-ea"/>
                <a:cs typeface="+mn-cs"/>
              </a:endParaRPr>
            </a:p>
          </xdr:txBody>
        </xdr:sp>
        <xdr:cxnSp macro="">
          <xdr:nvCxnSpPr>
            <xdr:cNvPr id="56" name="Straight Arrow Connector 55">
              <a:extLst>
                <a:ext uri="{FF2B5EF4-FFF2-40B4-BE49-F238E27FC236}">
                  <a16:creationId xmlns:a16="http://schemas.microsoft.com/office/drawing/2014/main" id="{E5EEEE3C-64DF-42B4-7168-407ED27251E2}"/>
                </a:ext>
              </a:extLst>
            </xdr:cNvPr>
            <xdr:cNvCxnSpPr/>
          </xdr:nvCxnSpPr>
          <xdr:spPr>
            <a:xfrm>
              <a:off x="10687050" y="1816100"/>
              <a:ext cx="26225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57" name="Straight Arrow Connector 56">
              <a:extLst>
                <a:ext uri="{FF2B5EF4-FFF2-40B4-BE49-F238E27FC236}">
                  <a16:creationId xmlns:a16="http://schemas.microsoft.com/office/drawing/2014/main" id="{4FE0A494-96B0-DBF7-9E70-3E821F2F0C8E}"/>
                </a:ext>
              </a:extLst>
            </xdr:cNvPr>
            <xdr:cNvCxnSpPr/>
          </xdr:nvCxnSpPr>
          <xdr:spPr>
            <a:xfrm flipV="1">
              <a:off x="10712450" y="2159000"/>
              <a:ext cx="2609850" cy="635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xnSp macro="">
          <xdr:nvCxnSpPr>
            <xdr:cNvPr id="58" name="Straight Arrow Connector 57">
              <a:extLst>
                <a:ext uri="{FF2B5EF4-FFF2-40B4-BE49-F238E27FC236}">
                  <a16:creationId xmlns:a16="http://schemas.microsoft.com/office/drawing/2014/main" id="{8BE1E6B6-56E6-E3B1-2324-04189FA5E14E}"/>
                </a:ext>
              </a:extLst>
            </xdr:cNvPr>
            <xdr:cNvCxnSpPr/>
          </xdr:nvCxnSpPr>
          <xdr:spPr>
            <a:xfrm>
              <a:off x="10687050" y="2489200"/>
              <a:ext cx="2603500"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grpSp>
      <xdr:cxnSp macro="">
        <xdr:nvCxnSpPr>
          <xdr:cNvPr id="46" name="Straight Arrow Connector 45">
            <a:extLst>
              <a:ext uri="{FF2B5EF4-FFF2-40B4-BE49-F238E27FC236}">
                <a16:creationId xmlns:a16="http://schemas.microsoft.com/office/drawing/2014/main" id="{9A01CF65-4833-5B2A-28B8-1DFE2579C670}"/>
              </a:ext>
            </a:extLst>
          </xdr:cNvPr>
          <xdr:cNvCxnSpPr/>
        </xdr:nvCxnSpPr>
        <xdr:spPr>
          <a:xfrm>
            <a:off x="10693400" y="2863850"/>
            <a:ext cx="0" cy="1403350"/>
          </a:xfrm>
          <a:prstGeom prst="straightConnector1">
            <a:avLst/>
          </a:prstGeom>
          <a:ln>
            <a:headEnd type="none" w="med" len="med"/>
            <a:tailEnd type="none" w="med" len="med"/>
          </a:ln>
        </xdr:spPr>
        <xdr:style>
          <a:lnRef idx="3">
            <a:schemeClr val="accent5"/>
          </a:lnRef>
          <a:fillRef idx="0">
            <a:schemeClr val="accent5"/>
          </a:fillRef>
          <a:effectRef idx="2">
            <a:schemeClr val="accent5"/>
          </a:effectRef>
          <a:fontRef idx="minor">
            <a:schemeClr val="tx1"/>
          </a:fontRef>
        </xdr:style>
      </xdr:cxnSp>
    </xdr:grpSp>
    <xdr:clientData/>
  </xdr:twoCellAnchor>
  <xdr:twoCellAnchor>
    <xdr:from>
      <xdr:col>28</xdr:col>
      <xdr:colOff>395939</xdr:colOff>
      <xdr:row>4</xdr:row>
      <xdr:rowOff>7472</xdr:rowOff>
    </xdr:from>
    <xdr:to>
      <xdr:col>30</xdr:col>
      <xdr:colOff>14940</xdr:colOff>
      <xdr:row>26</xdr:row>
      <xdr:rowOff>149411</xdr:rowOff>
    </xdr:to>
    <xdr:sp macro="" textlink="">
      <xdr:nvSpPr>
        <xdr:cNvPr id="59" name="TextBox 58">
          <a:extLst>
            <a:ext uri="{FF2B5EF4-FFF2-40B4-BE49-F238E27FC236}">
              <a16:creationId xmlns:a16="http://schemas.microsoft.com/office/drawing/2014/main" id="{7F836A38-43ED-4235-94C6-D7D749C089B3}"/>
            </a:ext>
          </a:extLst>
        </xdr:cNvPr>
        <xdr:cNvSpPr txBox="1"/>
      </xdr:nvSpPr>
      <xdr:spPr>
        <a:xfrm>
          <a:off x="19322114" y="1083797"/>
          <a:ext cx="838201" cy="4485339"/>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n-lt"/>
              <a:cs typeface="Arial" panose="020B0604020202020204" pitchFamily="34" charset="0"/>
            </a:rPr>
            <a:t>Lệnh</a:t>
          </a:r>
        </a:p>
        <a:p>
          <a:pPr algn="ctr"/>
          <a:r>
            <a:rPr lang="en-US" sz="1100" baseline="0">
              <a:latin typeface="+mn-lt"/>
              <a:cs typeface="Arial" panose="020B0604020202020204" pitchFamily="34" charset="0"/>
            </a:rPr>
            <a:t>sản xuất</a:t>
          </a:r>
          <a:endParaRPr lang="en-US" sz="1100">
            <a:latin typeface="Arial" panose="020B0604020202020204" pitchFamily="34" charset="0"/>
            <a:cs typeface="Arial" panose="020B0604020202020204" pitchFamily="34" charset="0"/>
          </a:endParaRPr>
        </a:p>
      </xdr:txBody>
    </xdr:sp>
    <xdr:clientData/>
  </xdr:twoCellAnchor>
  <xdr:twoCellAnchor>
    <xdr:from>
      <xdr:col>33</xdr:col>
      <xdr:colOff>22411</xdr:colOff>
      <xdr:row>3</xdr:row>
      <xdr:rowOff>276412</xdr:rowOff>
    </xdr:from>
    <xdr:to>
      <xdr:col>35</xdr:col>
      <xdr:colOff>82176</xdr:colOff>
      <xdr:row>26</xdr:row>
      <xdr:rowOff>164353</xdr:rowOff>
    </xdr:to>
    <xdr:sp macro="" textlink="">
      <xdr:nvSpPr>
        <xdr:cNvPr id="60" name="TextBox 59">
          <a:extLst>
            <a:ext uri="{FF2B5EF4-FFF2-40B4-BE49-F238E27FC236}">
              <a16:creationId xmlns:a16="http://schemas.microsoft.com/office/drawing/2014/main" id="{B53106B0-C1BB-468F-A41E-0B2C47808719}"/>
            </a:ext>
          </a:extLst>
        </xdr:cNvPr>
        <xdr:cNvSpPr txBox="1"/>
      </xdr:nvSpPr>
      <xdr:spPr>
        <a:xfrm>
          <a:off x="21996586" y="1057462"/>
          <a:ext cx="1278965" cy="4526616"/>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latin typeface="+mn-lt"/>
              <a:cs typeface="Arial" panose="020B0604020202020204" pitchFamily="34" charset="0"/>
            </a:rPr>
            <a:t>1. Bán</a:t>
          </a:r>
          <a:r>
            <a:rPr lang="en-US" sz="1100" baseline="0">
              <a:latin typeface="+mn-lt"/>
              <a:cs typeface="Arial" panose="020B0604020202020204" pitchFamily="34" charset="0"/>
            </a:rPr>
            <a:t> thành phẩm</a:t>
          </a:r>
        </a:p>
        <a:p>
          <a:pPr algn="l"/>
          <a:r>
            <a:rPr lang="en-US" sz="1100" baseline="0">
              <a:latin typeface="+mn-lt"/>
              <a:cs typeface="Arial" panose="020B0604020202020204" pitchFamily="34" charset="0"/>
            </a:rPr>
            <a:t>2. Thành phẩm</a:t>
          </a:r>
          <a:endParaRPr lang="en-US" sz="1100">
            <a:latin typeface="Arial" panose="020B0604020202020204" pitchFamily="34" charset="0"/>
            <a:cs typeface="Arial" panose="020B0604020202020204" pitchFamily="34" charset="0"/>
          </a:endParaRPr>
        </a:p>
      </xdr:txBody>
    </xdr:sp>
    <xdr:clientData/>
  </xdr:twoCellAnchor>
  <xdr:twoCellAnchor>
    <xdr:from>
      <xdr:col>26</xdr:col>
      <xdr:colOff>126996</xdr:colOff>
      <xdr:row>8</xdr:row>
      <xdr:rowOff>0</xdr:rowOff>
    </xdr:from>
    <xdr:to>
      <xdr:col>26</xdr:col>
      <xdr:colOff>216643</xdr:colOff>
      <xdr:row>26</xdr:row>
      <xdr:rowOff>149412</xdr:rowOff>
    </xdr:to>
    <xdr:sp macro="" textlink="">
      <xdr:nvSpPr>
        <xdr:cNvPr id="61" name="Right Brace 60">
          <a:extLst>
            <a:ext uri="{FF2B5EF4-FFF2-40B4-BE49-F238E27FC236}">
              <a16:creationId xmlns:a16="http://schemas.microsoft.com/office/drawing/2014/main" id="{D7C9D752-E7F8-4106-81B5-31CEE1060C51}"/>
            </a:ext>
          </a:extLst>
        </xdr:cNvPr>
        <xdr:cNvSpPr/>
      </xdr:nvSpPr>
      <xdr:spPr>
        <a:xfrm>
          <a:off x="17833971" y="1943100"/>
          <a:ext cx="89647" cy="3626037"/>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26</xdr:col>
      <xdr:colOff>156882</xdr:colOff>
      <xdr:row>15</xdr:row>
      <xdr:rowOff>179293</xdr:rowOff>
    </xdr:from>
    <xdr:to>
      <xdr:col>28</xdr:col>
      <xdr:colOff>418353</xdr:colOff>
      <xdr:row>19</xdr:row>
      <xdr:rowOff>112057</xdr:rowOff>
    </xdr:to>
    <xdr:grpSp>
      <xdr:nvGrpSpPr>
        <xdr:cNvPr id="62" name="Group 61">
          <a:extLst>
            <a:ext uri="{FF2B5EF4-FFF2-40B4-BE49-F238E27FC236}">
              <a16:creationId xmlns:a16="http://schemas.microsoft.com/office/drawing/2014/main" id="{C4ADB9C0-47B1-4F23-8E53-4D6B5034CEFD}"/>
            </a:ext>
          </a:extLst>
        </xdr:cNvPr>
        <xdr:cNvGrpSpPr/>
      </xdr:nvGrpSpPr>
      <xdr:grpSpPr>
        <a:xfrm>
          <a:off x="17761323" y="3529852"/>
          <a:ext cx="1471706" cy="694764"/>
          <a:chOff x="15957176" y="1987175"/>
          <a:chExt cx="1486648" cy="679823"/>
        </a:xfrm>
      </xdr:grpSpPr>
      <xdr:cxnSp macro="">
        <xdr:nvCxnSpPr>
          <xdr:cNvPr id="63" name="Straight Arrow Connector 62">
            <a:extLst>
              <a:ext uri="{FF2B5EF4-FFF2-40B4-BE49-F238E27FC236}">
                <a16:creationId xmlns:a16="http://schemas.microsoft.com/office/drawing/2014/main" id="{2C926216-EDB7-3484-9A27-AA469195E772}"/>
              </a:ext>
            </a:extLst>
          </xdr:cNvPr>
          <xdr:cNvCxnSpPr/>
        </xdr:nvCxnSpPr>
        <xdr:spPr>
          <a:xfrm flipV="1">
            <a:off x="16061764" y="2256117"/>
            <a:ext cx="1367118" cy="1"/>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sp macro="" textlink="">
        <xdr:nvSpPr>
          <xdr:cNvPr id="64" name="TextBox 63">
            <a:extLst>
              <a:ext uri="{FF2B5EF4-FFF2-40B4-BE49-F238E27FC236}">
                <a16:creationId xmlns:a16="http://schemas.microsoft.com/office/drawing/2014/main" id="{CB1BFADD-46B6-4A7F-32EF-0FEC5F28E2DF}"/>
              </a:ext>
            </a:extLst>
          </xdr:cNvPr>
          <xdr:cNvSpPr txBox="1"/>
        </xdr:nvSpPr>
        <xdr:spPr>
          <a:xfrm>
            <a:off x="15957176" y="1987175"/>
            <a:ext cx="1486648" cy="679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baseline="0">
                <a:solidFill>
                  <a:srgbClr val="0033CC"/>
                </a:solidFill>
                <a:latin typeface="Arial" panose="020B0604020202020204" pitchFamily="34" charset="0"/>
                <a:ea typeface="+mn-ea"/>
                <a:cs typeface="Arial" panose="020B0604020202020204" pitchFamily="34" charset="0"/>
              </a:rPr>
              <a:t>7. tính chi phí cho</a:t>
            </a:r>
          </a:p>
          <a:p>
            <a:pPr algn="ctr"/>
            <a:endParaRPr lang="en-US" sz="1100" b="1" i="0" baseline="0">
              <a:solidFill>
                <a:srgbClr val="0033CC"/>
              </a:solidFill>
              <a:latin typeface="Arial" panose="020B0604020202020204" pitchFamily="34" charset="0"/>
              <a:ea typeface="+mn-ea"/>
              <a:cs typeface="Arial" panose="020B0604020202020204" pitchFamily="34" charset="0"/>
            </a:endParaRPr>
          </a:p>
          <a:p>
            <a:pPr algn="ctr"/>
            <a:r>
              <a:rPr lang="en-US" sz="1100" b="1" i="0" baseline="0">
                <a:solidFill>
                  <a:srgbClr val="0033CC"/>
                </a:solidFill>
                <a:latin typeface="Arial" panose="020B0604020202020204" pitchFamily="34" charset="0"/>
                <a:ea typeface="+mn-ea"/>
                <a:cs typeface="Arial" panose="020B0604020202020204" pitchFamily="34" charset="0"/>
              </a:rPr>
              <a:t> từng lệnh sản xuất</a:t>
            </a:r>
          </a:p>
        </xdr:txBody>
      </xdr:sp>
    </xdr:grpSp>
    <xdr:clientData/>
  </xdr:twoCellAnchor>
  <xdr:twoCellAnchor>
    <xdr:from>
      <xdr:col>30</xdr:col>
      <xdr:colOff>2986</xdr:colOff>
      <xdr:row>15</xdr:row>
      <xdr:rowOff>134471</xdr:rowOff>
    </xdr:from>
    <xdr:to>
      <xdr:col>33</xdr:col>
      <xdr:colOff>7467</xdr:colOff>
      <xdr:row>19</xdr:row>
      <xdr:rowOff>7471</xdr:rowOff>
    </xdr:to>
    <xdr:grpSp>
      <xdr:nvGrpSpPr>
        <xdr:cNvPr id="65" name="Group 64">
          <a:extLst>
            <a:ext uri="{FF2B5EF4-FFF2-40B4-BE49-F238E27FC236}">
              <a16:creationId xmlns:a16="http://schemas.microsoft.com/office/drawing/2014/main" id="{902B679C-1608-4463-9BD7-7552AB6767E9}"/>
            </a:ext>
          </a:extLst>
        </xdr:cNvPr>
        <xdr:cNvGrpSpPr/>
      </xdr:nvGrpSpPr>
      <xdr:grpSpPr>
        <a:xfrm>
          <a:off x="20027898" y="3485030"/>
          <a:ext cx="1819834" cy="635000"/>
          <a:chOff x="18377646" y="2420471"/>
          <a:chExt cx="2035300" cy="620059"/>
        </a:xfrm>
      </xdr:grpSpPr>
      <xdr:sp macro="" textlink="">
        <xdr:nvSpPr>
          <xdr:cNvPr id="66" name="TextBox 65">
            <a:extLst>
              <a:ext uri="{FF2B5EF4-FFF2-40B4-BE49-F238E27FC236}">
                <a16:creationId xmlns:a16="http://schemas.microsoft.com/office/drawing/2014/main" id="{C5558695-C35B-74D6-A0BD-8F3F4CDB25B6}"/>
              </a:ext>
            </a:extLst>
          </xdr:cNvPr>
          <xdr:cNvSpPr txBox="1"/>
        </xdr:nvSpPr>
        <xdr:spPr>
          <a:xfrm>
            <a:off x="18377646" y="2420471"/>
            <a:ext cx="1919941" cy="620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baseline="0">
                <a:solidFill>
                  <a:srgbClr val="0033CC"/>
                </a:solidFill>
                <a:latin typeface="Arial" panose="020B0604020202020204" pitchFamily="34" charset="0"/>
                <a:ea typeface="+mn-ea"/>
                <a:cs typeface="Arial" panose="020B0604020202020204" pitchFamily="34" charset="0"/>
              </a:rPr>
              <a:t>8. tính chi phí cho từng</a:t>
            </a:r>
          </a:p>
          <a:p>
            <a:pPr algn="ctr"/>
            <a:endParaRPr lang="en-US" sz="1100" b="1" i="0" baseline="0">
              <a:solidFill>
                <a:srgbClr val="0033CC"/>
              </a:solidFill>
              <a:latin typeface="Arial" panose="020B0604020202020204" pitchFamily="34" charset="0"/>
              <a:ea typeface="+mn-ea"/>
              <a:cs typeface="Arial" panose="020B0604020202020204" pitchFamily="34" charset="0"/>
            </a:endParaRPr>
          </a:p>
          <a:p>
            <a:pPr algn="ctr"/>
            <a:r>
              <a:rPr lang="en-US" sz="1100" b="1" i="0" baseline="0">
                <a:solidFill>
                  <a:srgbClr val="0033CC"/>
                </a:solidFill>
                <a:latin typeface="Arial" panose="020B0604020202020204" pitchFamily="34" charset="0"/>
                <a:ea typeface="+mn-ea"/>
                <a:cs typeface="Arial" panose="020B0604020202020204" pitchFamily="34" charset="0"/>
              </a:rPr>
              <a:t> Bán TP, thành phẩm</a:t>
            </a:r>
          </a:p>
        </xdr:txBody>
      </xdr:sp>
      <xdr:cxnSp macro="">
        <xdr:nvCxnSpPr>
          <xdr:cNvPr id="67" name="Straight Arrow Connector 66">
            <a:extLst>
              <a:ext uri="{FF2B5EF4-FFF2-40B4-BE49-F238E27FC236}">
                <a16:creationId xmlns:a16="http://schemas.microsoft.com/office/drawing/2014/main" id="{B85A0472-2E03-2B61-5849-C5C7680248F8}"/>
              </a:ext>
            </a:extLst>
          </xdr:cNvPr>
          <xdr:cNvCxnSpPr/>
        </xdr:nvCxnSpPr>
        <xdr:spPr>
          <a:xfrm>
            <a:off x="18415001" y="2689412"/>
            <a:ext cx="1997945"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grpSp>
    <xdr:clientData/>
  </xdr:twoCellAnchor>
  <xdr:twoCellAnchor>
    <xdr:from>
      <xdr:col>22</xdr:col>
      <xdr:colOff>1</xdr:colOff>
      <xdr:row>4</xdr:row>
      <xdr:rowOff>14941</xdr:rowOff>
    </xdr:from>
    <xdr:to>
      <xdr:col>25</xdr:col>
      <xdr:colOff>403412</xdr:colOff>
      <xdr:row>5</xdr:row>
      <xdr:rowOff>150160</xdr:rowOff>
    </xdr:to>
    <xdr:sp macro="" textlink="">
      <xdr:nvSpPr>
        <xdr:cNvPr id="68" name="TextBox 67">
          <a:extLst>
            <a:ext uri="{FF2B5EF4-FFF2-40B4-BE49-F238E27FC236}">
              <a16:creationId xmlns:a16="http://schemas.microsoft.com/office/drawing/2014/main" id="{CA42D5D4-57FF-4EB6-8718-D22962AC18E1}"/>
            </a:ext>
          </a:extLst>
        </xdr:cNvPr>
        <xdr:cNvSpPr txBox="1"/>
      </xdr:nvSpPr>
      <xdr:spPr>
        <a:xfrm>
          <a:off x="15268576" y="1091266"/>
          <a:ext cx="2232211" cy="430494"/>
        </a:xfrm>
        <a:prstGeom prst="rect">
          <a:avLst/>
        </a:prstGeom>
        <a:solidFill>
          <a:schemeClr val="tx2">
            <a:lumMod val="10000"/>
            <a:lumOff val="90000"/>
          </a:schemeClr>
        </a:solidFill>
        <a:ln w="9525" cmpd="sng">
          <a:solidFill>
            <a:srgbClr val="0033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dk1"/>
              </a:solidFill>
              <a:latin typeface="Arial" panose="020B0604020202020204" pitchFamily="34" charset="0"/>
              <a:ea typeface="+mn-ea"/>
              <a:cs typeface="Arial" panose="020B0604020202020204" pitchFamily="34" charset="0"/>
            </a:rPr>
            <a:t>Chi phí nguyên vật liệu</a:t>
          </a:r>
        </a:p>
      </xdr:txBody>
    </xdr:sp>
    <xdr:clientData/>
  </xdr:twoCellAnchor>
  <xdr:twoCellAnchor>
    <xdr:from>
      <xdr:col>25</xdr:col>
      <xdr:colOff>410882</xdr:colOff>
      <xdr:row>4</xdr:row>
      <xdr:rowOff>201706</xdr:rowOff>
    </xdr:from>
    <xdr:to>
      <xdr:col>28</xdr:col>
      <xdr:colOff>384484</xdr:colOff>
      <xdr:row>4</xdr:row>
      <xdr:rowOff>201706</xdr:rowOff>
    </xdr:to>
    <xdr:cxnSp macro="">
      <xdr:nvCxnSpPr>
        <xdr:cNvPr id="69" name="Straight Arrow Connector 68">
          <a:extLst>
            <a:ext uri="{FF2B5EF4-FFF2-40B4-BE49-F238E27FC236}">
              <a16:creationId xmlns:a16="http://schemas.microsoft.com/office/drawing/2014/main" id="{89918F88-0580-48BC-8CDA-0F83F4807D1B}"/>
            </a:ext>
          </a:extLst>
        </xdr:cNvPr>
        <xdr:cNvCxnSpPr/>
      </xdr:nvCxnSpPr>
      <xdr:spPr>
        <a:xfrm>
          <a:off x="17508257" y="1278031"/>
          <a:ext cx="1802402" cy="0"/>
        </a:xfrm>
        <a:prstGeom prst="straightConnector1">
          <a:avLst/>
        </a:prstGeom>
        <a:ln>
          <a:headEnd type="none" w="med" len="med"/>
          <a:tailEnd type="arrow" w="med" len="med"/>
        </a:ln>
      </xdr:spPr>
      <xdr:style>
        <a:lnRef idx="3">
          <a:schemeClr val="accent5"/>
        </a:lnRef>
        <a:fillRef idx="0">
          <a:schemeClr val="accent5"/>
        </a:fillRef>
        <a:effectRef idx="2">
          <a:schemeClr val="accent5"/>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55.62836145833" createdVersion="8" refreshedVersion="8" minRefreshableVersion="3" recordCount="126" xr:uid="{86003EA8-4B74-41B6-AB5C-4DB896BDCF0B}">
  <cacheSource type="worksheet">
    <worksheetSource ref="A75:AV201" sheet="EX-2.1 Chai &amp; vảy"/>
  </cacheSource>
  <cacheFields count="48">
    <cacheField name="PERIOD OF INVESTIGATION" numFmtId="0">
      <sharedItems containsBlank="1" count="2">
        <s v="Y"/>
        <m/>
      </sharedItems>
    </cacheField>
    <cacheField name="typeCode" numFmtId="0">
      <sharedItems/>
    </cacheField>
    <cacheField name="freqCode" numFmtId="0">
      <sharedItems/>
    </cacheField>
    <cacheField name="refPeriodId" numFmtId="0">
      <sharedItems containsSemiMixedTypes="0" containsString="0" containsNumber="1" containsInteger="1" minValue="20230101" maxValue="20240601"/>
    </cacheField>
    <cacheField name="refYear" numFmtId="0">
      <sharedItems containsSemiMixedTypes="0" containsString="0" containsNumber="1" containsInteger="1" minValue="2023" maxValue="2024" count="2">
        <n v="2024"/>
        <n v="2023"/>
      </sharedItems>
    </cacheField>
    <cacheField name="refMonth" numFmtId="0">
      <sharedItems containsSemiMixedTypes="0" containsString="0" containsNumber="1" containsInteger="1" minValue="1" maxValue="12" count="12">
        <n v="1"/>
        <n v="2"/>
        <n v="3"/>
        <n v="4"/>
        <n v="5"/>
        <n v="6"/>
        <n v="7"/>
        <n v="8"/>
        <n v="9"/>
        <n v="10"/>
        <n v="11"/>
        <n v="12"/>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ount="2">
        <s v="Import"/>
        <s v="Export"/>
      </sharedItems>
    </cacheField>
    <cacheField name="partnerCode" numFmtId="0">
      <sharedItems containsSemiMixedTypes="0" containsString="0" containsNumber="1" containsInteger="1" minValue="0" maxValue="887"/>
    </cacheField>
    <cacheField name="partnerISO" numFmtId="0">
      <sharedItems/>
    </cacheField>
    <cacheField name="partnerDesc" numFmtId="0">
      <sharedItems count="25">
        <s v="World"/>
        <s v="Germany"/>
        <s v="Other Europe, nes"/>
        <s v="Spain"/>
        <s v="United Kingdom"/>
        <s v="Yemen"/>
        <s v="France"/>
        <s v="Italy"/>
        <s v="Senegal"/>
        <s v="Türkiye"/>
        <s v="Portugal"/>
        <s v="United Arab Emirates"/>
        <s v="Belgium"/>
        <s v="Lebanon"/>
        <s v="Netherlands"/>
        <s v="Bulgaria"/>
        <s v="Nigeria"/>
        <s v="Sudan"/>
        <s v="United Rep. of Tanzania"/>
        <s v="China"/>
        <s v="Kenya"/>
        <s v="USA"/>
        <s v="Greece"/>
        <s v="Iraq"/>
        <s v="Malaysia"/>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1" maxValue="8"/>
    </cacheField>
    <cacheField name="qtyUnitAbbr" numFmtId="0">
      <sharedItems/>
    </cacheField>
    <cacheField name="qty" numFmtId="0">
      <sharedItems containsSemiMixedTypes="0" containsString="0" containsNumber="1" minValue="0" maxValue="4611465.3030000003"/>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tring="0" containsBlank="1" containsNumber="1" minValue="702.49" maxValue="4611465.3030000003"/>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tring="0" containsBlank="1" containsNumber="1" minValue="387.61500000000001" maxValue="2544480.3620000002"/>
    </cacheField>
    <cacheField name="fobvalue" numFmtId="0">
      <sharedItems containsString="0" containsBlank="1" containsNumber="1" minValue="12547" maxValue="23370"/>
    </cacheField>
    <cacheField name="primaryValue" numFmtId="0">
      <sharedItems containsSemiMixedTypes="0" containsString="0" containsNumber="1" minValue="387.61500000000001" maxValue="2544480.3620000002"/>
    </cacheField>
    <cacheField name="legacyEstimationFlag" numFmtId="0">
      <sharedItems containsSemiMixedTypes="0" containsString="0" containsNumber="1" containsInteger="1" minValue="0"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58.421199999997" createdVersion="8" refreshedVersion="8" minRefreshableVersion="3" recordCount="320" xr:uid="{2EB7E235-5548-45BC-A0F0-D9A31D354D50}">
  <cacheSource type="worksheet">
    <worksheetSource ref="A85:AV405" sheet="EX-2.3 Phụ gia 409"/>
  </cacheSource>
  <cacheFields count="48">
    <cacheField name="PERIOD OF INVESTIGATION" numFmtId="0">
      <sharedItems containsBlank="1" count="2">
        <m/>
        <s v="Y"/>
      </sharedItems>
    </cacheField>
    <cacheField name="typeCode" numFmtId="0">
      <sharedItems/>
    </cacheField>
    <cacheField name="freqCode" numFmtId="0">
      <sharedItems/>
    </cacheField>
    <cacheField name="refPeriodId" numFmtId="0">
      <sharedItems containsSemiMixedTypes="0" containsString="0" containsNumber="1" containsInteger="1" minValue="202301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2">
        <n v="1"/>
        <n v="2"/>
        <n v="3"/>
        <n v="4"/>
        <n v="5"/>
        <n v="6"/>
        <n v="7"/>
        <n v="8"/>
        <n v="9"/>
        <n v="10"/>
        <n v="11"/>
        <n v="12"/>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ount="2">
        <s v="Import"/>
        <s v="Export"/>
      </sharedItems>
    </cacheField>
    <cacheField name="partnerCode" numFmtId="0">
      <sharedItems containsSemiMixedTypes="0" containsString="0" containsNumber="1" containsInteger="1" minValue="0" maxValue="842"/>
    </cacheField>
    <cacheField name="partnerISO" numFmtId="0">
      <sharedItems/>
    </cacheField>
    <cacheField name="partnerDesc" numFmtId="0">
      <sharedItems count="31">
        <s v="World"/>
        <s v="China"/>
        <s v="Germany"/>
        <s v="Italy"/>
        <s v="Japan"/>
        <s v="India"/>
        <s v="Türkiye"/>
        <s v="United Kingdom"/>
        <s v="USA"/>
        <s v="France"/>
        <s v="Other Europe, nes"/>
        <s v="Thailand"/>
        <s v="Austria"/>
        <s v="Belgium"/>
        <s v="Finland"/>
        <s v="Netherlands"/>
        <s v="Sudan"/>
        <s v="Czechia"/>
        <s v="Rep. of Korea"/>
        <s v="Spain"/>
        <s v="Viet Nam"/>
        <s v="Hungary"/>
        <s v="Saudi Arabia"/>
        <s v="United Arab Emirates"/>
        <s v="Luxembourg"/>
        <s v="Oman"/>
        <s v="Russian Federation"/>
        <s v="Other Asia, nes"/>
        <s v="Pakistan"/>
        <s v="Greece"/>
        <s v="Australia"/>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1.3380000000000001" maxValue="291428.636"/>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1.3380000000000001" maxValue="291428.636"/>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tring="0" containsBlank="1" containsNumber="1" minValue="6.46" maxValue="1406683.933"/>
    </cacheField>
    <cacheField name="fobvalue" numFmtId="0">
      <sharedItems containsString="0" containsBlank="1" containsNumber="1" containsInteger="1" minValue="395" maxValue="274812"/>
    </cacheField>
    <cacheField name="primaryValue" numFmtId="0">
      <sharedItems containsSemiMixedTypes="0" containsString="0" containsNumber="1" minValue="6.46" maxValue="1406683.933"/>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569317592592" createdVersion="8" refreshedVersion="8" minRefreshableVersion="3" recordCount="404" xr:uid="{0D64016B-054B-49D7-94BF-9E4BD4474CB5}">
  <cacheSource type="worksheet">
    <worksheetSource ref="B147:AV551" sheet="EX-2.6 Phá bọt"/>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2">
        <n v="7"/>
        <n v="8"/>
        <n v="9"/>
        <n v="10"/>
        <n v="11"/>
        <n v="12"/>
        <n v="6"/>
        <n v="3"/>
        <n v="1"/>
        <n v="2"/>
        <n v="4"/>
        <n v="5"/>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acheField>
    <cacheField name="partnerCode" numFmtId="0">
      <sharedItems containsSemiMixedTypes="0" containsString="0" containsNumber="1" containsInteger="1" minValue="0" maxValue="842"/>
    </cacheField>
    <cacheField name="partnerISO" numFmtId="0">
      <sharedItems/>
    </cacheField>
    <cacheField name="partnerDesc" numFmtId="0">
      <sharedItems count="59">
        <s v="World"/>
        <s v="Argentina"/>
        <s v="Australia"/>
        <s v="Austria"/>
        <s v="Belgium"/>
        <s v="Brazil"/>
        <s v="China"/>
        <s v="Denmark"/>
        <s v="France"/>
        <s v="Germany"/>
        <s v="China, Hong Kong SAR"/>
        <s v="Israel"/>
        <s v="Italy"/>
        <s v="Rep. of Korea"/>
        <s v="Malaysia"/>
        <s v="Other Asia, nes"/>
        <s v="Norway"/>
        <s v="Qatar"/>
        <s v="Saudi Arabia"/>
        <s v="India"/>
        <s v="Singapore"/>
        <s v="South Africa"/>
        <s v="Spain"/>
        <s v="Switzerland"/>
        <s v="Thailand"/>
        <s v="United Arab Emirates"/>
        <s v="Türkiye"/>
        <s v="United Kingdom"/>
        <s v="USA"/>
        <s v="Estonia"/>
        <s v="Japan"/>
        <s v="Luxembourg"/>
        <s v="Mexico"/>
        <s v="Netherlands"/>
        <s v="Other Europe, nes"/>
        <s v="Poland"/>
        <s v="Slovakia"/>
        <s v="Sweden"/>
        <s v="Greece"/>
        <s v="Ireland"/>
        <s v="Jordan"/>
        <s v="Portugal"/>
        <s v="Slovenia"/>
        <s v="Ukraine"/>
        <s v="Indonesia"/>
        <s v="Philippines"/>
        <s v="Russian Federation"/>
        <s v="Viet Nam"/>
        <s v="Canada"/>
        <s v="Georgia"/>
        <s v="Romania"/>
        <s v="Bulgaria"/>
        <s v="Chile"/>
        <s v="Czechia"/>
        <s v="Finland"/>
        <s v="Hungary"/>
        <s v="Lithuania"/>
        <s v="New Zealand"/>
        <s v="Serbia"/>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3.423" maxValue="23209335.420000002"/>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3.423" maxValue="23209335.420000002"/>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16.151" maxValue="109523138.295"/>
    </cacheField>
    <cacheField name="fobvalue" numFmtId="0">
      <sharedItems containsNonDate="0" containsString="0" containsBlank="1"/>
    </cacheField>
    <cacheField name="primaryValue" numFmtId="0">
      <sharedItems containsSemiMixedTypes="0" containsString="0" containsNumber="1" minValue="16.151" maxValue="109523138.295"/>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582915277781" createdVersion="8" refreshedVersion="8" minRefreshableVersion="3" recordCount="38" xr:uid="{6BCDE912-E324-4B39-A346-FB27530C90D3}">
  <cacheSource type="worksheet">
    <worksheetSource ref="B47:AV85" sheet="EX-2.7- Thủy tinh lỏng"/>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501"/>
    </cacheField>
    <cacheField name="refYear" numFmtId="0">
      <sharedItems containsSemiMixedTypes="0" containsString="0" containsNumber="1" containsInteger="1" minValue="2023" maxValue="2024" count="2">
        <n v="2024"/>
        <n v="2023"/>
      </sharedItems>
    </cacheField>
    <cacheField name="refMonth" numFmtId="0">
      <sharedItems containsSemiMixedTypes="0" containsString="0" containsNumber="1" containsInteger="1" minValue="1" maxValue="12" count="10">
        <n v="3"/>
        <n v="4"/>
        <n v="5"/>
        <n v="1"/>
        <n v="2"/>
        <n v="7"/>
        <n v="8"/>
        <n v="9"/>
        <n v="10"/>
        <n v="12"/>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acheField>
    <cacheField name="partnerCode" numFmtId="0">
      <sharedItems containsSemiMixedTypes="0" containsString="0" containsNumber="1" containsInteger="1" minValue="0" maxValue="842"/>
    </cacheField>
    <cacheField name="partnerISO" numFmtId="0">
      <sharedItems/>
    </cacheField>
    <cacheField name="partnerDesc" numFmtId="0">
      <sharedItems count="10">
        <s v="World"/>
        <s v="India"/>
        <s v="USA"/>
        <s v="China"/>
        <s v="United Arab Emirates"/>
        <s v="Spain"/>
        <s v="Saudi Arabia"/>
        <s v="Türkiye"/>
        <s v="Germany"/>
        <s v="China, Hong Kong SAR"/>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571.18600000000004" maxValue="166291.06099999999"/>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571.18600000000004" maxValue="166291.06099999999"/>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331.387" maxValue="96477.751000000004"/>
    </cacheField>
    <cacheField name="fobvalue" numFmtId="0">
      <sharedItems containsNonDate="0" containsString="0" containsBlank="1"/>
    </cacheField>
    <cacheField name="primaryValue" numFmtId="0">
      <sharedItems containsSemiMixedTypes="0" containsString="0" containsNumber="1" minValue="331.387" maxValue="96477.751000000004"/>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591059143517" createdVersion="8" refreshedVersion="8" minRefreshableVersion="3" recordCount="51" xr:uid="{051C1E9C-54B8-4144-BE5D-78043D349048}">
  <cacheSource type="worksheet">
    <worksheetSource ref="B50:AV101" sheet="EX-2.8 Sodium 281511"/>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1">
        <n v="7"/>
        <n v="8"/>
        <n v="9"/>
        <n v="10"/>
        <n v="11"/>
        <n v="12"/>
        <n v="6"/>
        <n v="2"/>
        <n v="4"/>
        <n v="5"/>
        <n v="1"/>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acheField>
    <cacheField name="partnerCode" numFmtId="0">
      <sharedItems containsSemiMixedTypes="0" containsString="0" containsNumber="1" containsInteger="1" minValue="0" maxValue="792"/>
    </cacheField>
    <cacheField name="partnerISO" numFmtId="0">
      <sharedItems/>
    </cacheField>
    <cacheField name="partnerDesc" numFmtId="0">
      <sharedItems count="12">
        <s v="Kuwait"/>
        <s v="Qatar"/>
        <s v="Türkiye"/>
        <s v="Germany"/>
        <s v="World"/>
        <s v="Russian Federation"/>
        <s v="India"/>
        <s v="China"/>
        <s v="Saudi Arabia"/>
        <s v="United Arab Emirates"/>
        <s v="Argentina"/>
        <s v="Czechia"/>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110.038" maxValue="969732.34600000002"/>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110.038" maxValue="969732.34600000002"/>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95.86" maxValue="844781.15300000005"/>
    </cacheField>
    <cacheField name="fobvalue" numFmtId="0">
      <sharedItems containsNonDate="0" containsString="0" containsBlank="1"/>
    </cacheField>
    <cacheField name="primaryValue" numFmtId="0">
      <sharedItems containsSemiMixedTypes="0" containsString="0" containsNumber="1" minValue="95.86" maxValue="844781.15300000005"/>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598427430552" createdVersion="8" refreshedVersion="8" minRefreshableVersion="3" recordCount="29" xr:uid="{CCBB95D6-744A-4217-9B93-3B11D3CE4F83}">
  <cacheSource type="worksheet">
    <worksheetSource ref="B43:AV72" sheet="EX-2.9 Sodium 281512"/>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1">
        <n v="7"/>
        <n v="9"/>
        <n v="10"/>
        <n v="11"/>
        <n v="12"/>
        <n v="2"/>
        <n v="3"/>
        <n v="4"/>
        <n v="5"/>
        <n v="6"/>
        <n v="1"/>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acheField>
    <cacheField name="partnerCode" numFmtId="0">
      <sharedItems containsSemiMixedTypes="0" containsString="0" containsNumber="1" containsInteger="1" minValue="0" maxValue="792"/>
    </cacheField>
    <cacheField name="partnerISO" numFmtId="0">
      <sharedItems/>
    </cacheField>
    <cacheField name="partnerDesc" numFmtId="0">
      <sharedItems count="8">
        <s v="World"/>
        <s v="France"/>
        <s v="Germany"/>
        <s v="China"/>
        <s v="Kuwait"/>
        <s v="Belgium"/>
        <s v="United Arab Emirates"/>
        <s v="Türkiye"/>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2221.6959999999999" maxValue="556698.91700000002"/>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2221.6959999999999" maxValue="556698.91700000002"/>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1003.747" maxValue="251512.64499999999"/>
    </cacheField>
    <cacheField name="fobvalue" numFmtId="0">
      <sharedItems containsNonDate="0" containsString="0" containsBlank="1"/>
    </cacheField>
    <cacheField name="primaryValue" numFmtId="0">
      <sharedItems containsSemiMixedTypes="0" containsString="0" containsNumber="1" minValue="1003.747" maxValue="251512.64499999999"/>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604866898146" createdVersion="8" refreshedVersion="8" minRefreshableVersion="3" recordCount="146" xr:uid="{9ACC30DF-A97A-489C-9E99-B817728C0DC0}">
  <cacheSource type="worksheet">
    <worksheetSource ref="B88:AV234" sheet="EX-2.10 Pallet gỗ"/>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2">
        <n v="7"/>
        <n v="8"/>
        <n v="9"/>
        <n v="10"/>
        <n v="11"/>
        <n v="12"/>
        <n v="5"/>
        <n v="6"/>
        <n v="4"/>
        <n v="2"/>
        <n v="3"/>
        <n v="1"/>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ount="1">
        <s v="Egypt"/>
      </sharedItems>
    </cacheField>
    <cacheField name="flowCode" numFmtId="0">
      <sharedItems/>
    </cacheField>
    <cacheField name="flowDesc" numFmtId="0">
      <sharedItems/>
    </cacheField>
    <cacheField name="partnerCode" numFmtId="0">
      <sharedItems containsSemiMixedTypes="0" containsString="0" containsNumber="1" containsInteger="1" minValue="0" maxValue="842"/>
    </cacheField>
    <cacheField name="partnerISO" numFmtId="0">
      <sharedItems/>
    </cacheField>
    <cacheField name="partnerDesc" numFmtId="0">
      <sharedItems count="31">
        <s v="World"/>
        <s v="South Africa"/>
        <s v="India"/>
        <s v="China"/>
        <s v="Switzerland"/>
        <s v="Spain"/>
        <s v="Finland"/>
        <s v="Ireland"/>
        <s v="Sweden"/>
        <s v="France"/>
        <s v="Netherlands"/>
        <s v="Germany"/>
        <s v="Italy"/>
        <s v="USA"/>
        <s v="Brazil"/>
        <s v="Luxembourg"/>
        <s v="Türkiye"/>
        <s v="Estonia"/>
        <s v="Poland"/>
        <s v="Israel"/>
        <s v="Sudan"/>
        <s v="Czechia"/>
        <s v="United Arab Emirates"/>
        <s v="Belgium"/>
        <s v="Other Europe, nes"/>
        <s v="Thailand"/>
        <s v="Côte d'Ivoire"/>
        <s v="Morocco"/>
        <s v="New Zealand"/>
        <s v="Portugal"/>
        <s v="United Kingdom"/>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5" maxValue="5"/>
    </cacheField>
    <cacheField name="qtyUnitAbbr" numFmtId="0">
      <sharedItems/>
    </cacheField>
    <cacheField name="qty" numFmtId="0">
      <sharedItems containsSemiMixedTypes="0" containsString="0" containsNumber="1" minValue="1.323" maxValue="12312.782999999999"/>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23.07" maxValue="214751.693"/>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16" maxValue="148939.76199999999"/>
    </cacheField>
    <cacheField name="fobvalue" numFmtId="0">
      <sharedItems containsNonDate="0" containsString="0" containsBlank="1"/>
    </cacheField>
    <cacheField name="primaryValue" numFmtId="0">
      <sharedItems containsSemiMixedTypes="0" containsString="0" containsNumber="1" minValue="16" maxValue="148939.76199999999"/>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Ngoc Mai" refreshedDate="45582.610035300924" createdVersion="8" refreshedVersion="8" minRefreshableVersion="3" recordCount="213" xr:uid="{0763DCCF-BBEC-4934-A813-ACB5EBB0FF37}">
  <cacheSource type="worksheet">
    <worksheetSource ref="B111:AV324" sheet="EX-2.11 Bao bì"/>
  </cacheSource>
  <cacheFields count="47">
    <cacheField name="typeCode" numFmtId="0">
      <sharedItems/>
    </cacheField>
    <cacheField name="freqCode" numFmtId="0">
      <sharedItems/>
    </cacheField>
    <cacheField name="refPeriodId" numFmtId="0">
      <sharedItems containsSemiMixedTypes="0" containsString="0" containsNumber="1" containsInteger="1" minValue="20230701" maxValue="20240601"/>
    </cacheField>
    <cacheField name="refYear" numFmtId="0">
      <sharedItems containsSemiMixedTypes="0" containsString="0" containsNumber="1" containsInteger="1" minValue="2023" maxValue="2024" count="2">
        <n v="2023"/>
        <n v="2024"/>
      </sharedItems>
    </cacheField>
    <cacheField name="refMonth" numFmtId="0">
      <sharedItems containsSemiMixedTypes="0" containsString="0" containsNumber="1" containsInteger="1" minValue="1" maxValue="12" count="12">
        <n v="7"/>
        <n v="8"/>
        <n v="9"/>
        <n v="10"/>
        <n v="11"/>
        <n v="12"/>
        <n v="1"/>
        <n v="2"/>
        <n v="3"/>
        <n v="4"/>
        <n v="5"/>
        <n v="6"/>
      </sharedItems>
    </cacheField>
    <cacheField name="period" numFmtId="0">
      <sharedItems/>
    </cacheField>
    <cacheField name="reporterCode" numFmtId="0">
      <sharedItems containsSemiMixedTypes="0" containsString="0" containsNumber="1" containsInteger="1" minValue="818" maxValue="818"/>
    </cacheField>
    <cacheField name="reporterISO" numFmtId="0">
      <sharedItems/>
    </cacheField>
    <cacheField name="reporterDesc" numFmtId="0">
      <sharedItems/>
    </cacheField>
    <cacheField name="flowCode" numFmtId="0">
      <sharedItems/>
    </cacheField>
    <cacheField name="flowDesc" numFmtId="0">
      <sharedItems/>
    </cacheField>
    <cacheField name="partnerCode" numFmtId="0">
      <sharedItems containsSemiMixedTypes="0" containsString="0" containsNumber="1" containsInteger="1" minValue="0" maxValue="899"/>
    </cacheField>
    <cacheField name="partnerISO" numFmtId="0">
      <sharedItems/>
    </cacheField>
    <cacheField name="partnerDesc" numFmtId="0">
      <sharedItems count="42">
        <s v="World"/>
        <s v="Sri Lanka"/>
        <s v="China"/>
        <s v="China, Hong Kong SAR"/>
        <s v="Italy"/>
        <s v="Japan"/>
        <s v="Rep. of Korea"/>
        <s v="Other Asia, nes"/>
        <s v="Netherlands"/>
        <s v="Saudi Arabia"/>
        <s v="India"/>
        <s v="Viet Nam"/>
        <s v="Spain"/>
        <s v="Thailand"/>
        <s v="United Arab Emirates"/>
        <s v="Türkiye"/>
        <s v="USA"/>
        <s v="Austria"/>
        <s v="France"/>
        <s v="Germany"/>
        <s v="Greece"/>
        <s v="Israel"/>
        <s v="Jordan"/>
        <s v="Other Europe, nes"/>
        <s v="Switzerland"/>
        <s v="Areas, nes"/>
        <s v="Belgium"/>
        <s v="Hungary"/>
        <s v="Russian Federation"/>
        <s v="Denmark"/>
        <s v="Pakistan"/>
        <s v="Portugal"/>
        <s v="United Kingdom"/>
        <s v="Poland"/>
        <s v="Romania"/>
        <s v="Lebanon"/>
        <s v="Ireland"/>
        <s v="Kenya"/>
        <s v="Qatar"/>
        <s v="Bulgaria"/>
        <s v="Chile"/>
        <s v="Czechia"/>
      </sharedItems>
    </cacheField>
    <cacheField name="partner2Code" numFmtId="0">
      <sharedItems containsSemiMixedTypes="0" containsString="0" containsNumber="1" containsInteger="1" minValue="0" maxValue="0"/>
    </cacheField>
    <cacheField name="partner2ISO" numFmtId="0">
      <sharedItems/>
    </cacheField>
    <cacheField name="partner2Desc" numFmtId="0">
      <sharedItems/>
    </cacheField>
    <cacheField name="classificationCode" numFmtId="0">
      <sharedItems/>
    </cacheField>
    <cacheField name="classificationSearchCode" numFmtId="0">
      <sharedItems/>
    </cacheField>
    <cacheField name="isOriginalClassification" numFmtId="0">
      <sharedItems/>
    </cacheField>
    <cacheField name="cmdCode" numFmtId="0">
      <sharedItems/>
    </cacheField>
    <cacheField name="cmdDesc" numFmtId="0">
      <sharedItems/>
    </cacheField>
    <cacheField name="aggrLevel" numFmtId="0">
      <sharedItems containsSemiMixedTypes="0" containsString="0" containsNumber="1" containsInteger="1" minValue="6" maxValue="6"/>
    </cacheField>
    <cacheField name="isLeaf" numFmtId="0">
      <sharedItems/>
    </cacheField>
    <cacheField name="customsCode" numFmtId="0">
      <sharedItems/>
    </cacheField>
    <cacheField name="customsDesc" numFmtId="0">
      <sharedItems/>
    </cacheField>
    <cacheField name="mosCode" numFmtId="0">
      <sharedItems/>
    </cacheField>
    <cacheField name="motCode" numFmtId="0">
      <sharedItems containsSemiMixedTypes="0" containsString="0" containsNumber="1" containsInteger="1" minValue="0" maxValue="0"/>
    </cacheField>
    <cacheField name="motDesc" numFmtId="0">
      <sharedItems/>
    </cacheField>
    <cacheField name="qtyUnitCode" numFmtId="0">
      <sharedItems containsSemiMixedTypes="0" containsString="0" containsNumber="1" containsInteger="1" minValue="8" maxValue="8"/>
    </cacheField>
    <cacheField name="qtyUnitAbbr" numFmtId="0">
      <sharedItems/>
    </cacheField>
    <cacheField name="qty" numFmtId="0">
      <sharedItems containsSemiMixedTypes="0" containsString="0" containsNumber="1" minValue="0.51100000000000001" maxValue="282208.24099999998"/>
    </cacheField>
    <cacheField name="isQtyEstimated" numFmtId="0">
      <sharedItems/>
    </cacheField>
    <cacheField name="altQtyUnitCode" numFmtId="0">
      <sharedItems containsSemiMixedTypes="0" containsString="0" containsNumber="1" containsInteger="1" minValue="-1" maxValue="-1"/>
    </cacheField>
    <cacheField name="altQtyUnitAbbr" numFmtId="0">
      <sharedItems/>
    </cacheField>
    <cacheField name="altQty" numFmtId="0">
      <sharedItems containsSemiMixedTypes="0" containsString="0" containsNumber="1" containsInteger="1" minValue="0" maxValue="0"/>
    </cacheField>
    <cacheField name="isAltQtyEstimated" numFmtId="0">
      <sharedItems/>
    </cacheField>
    <cacheField name="netWgt" numFmtId="0">
      <sharedItems containsSemiMixedTypes="0" containsString="0" containsNumber="1" minValue="0.51100000000000001" maxValue="282208.24099999998"/>
    </cacheField>
    <cacheField name="isNetWgtEstimated" numFmtId="0">
      <sharedItems/>
    </cacheField>
    <cacheField name="grossWgt" numFmtId="0">
      <sharedItems containsSemiMixedTypes="0" containsString="0" containsNumber="1" containsInteger="1" minValue="0" maxValue="0"/>
    </cacheField>
    <cacheField name="isGrossWgtEstimated" numFmtId="0">
      <sharedItems/>
    </cacheField>
    <cacheField name="cifvalue" numFmtId="0">
      <sharedItems containsSemiMixedTypes="0" containsString="0" containsNumber="1" minValue="3.262" maxValue="1802515.0349999999"/>
    </cacheField>
    <cacheField name="fobvalue" numFmtId="0">
      <sharedItems containsNonDate="0" containsString="0" containsBlank="1"/>
    </cacheField>
    <cacheField name="primaryValue" numFmtId="0">
      <sharedItems containsSemiMixedTypes="0" containsString="0" containsNumber="1" minValue="3.262" maxValue="1802515.0349999999"/>
    </cacheField>
    <cacheField name="legacyEstimationFlag" numFmtId="0">
      <sharedItems containsSemiMixedTypes="0" containsString="0" containsNumber="1" containsInteger="1" minValue="6" maxValue="6"/>
    </cacheField>
    <cacheField name="isReported" numFmtId="0">
      <sharedItems/>
    </cacheField>
    <cacheField name="isAggrega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s v="C"/>
    <s v="M"/>
    <n v="20240101"/>
    <x v="0"/>
    <x v="0"/>
    <s v="202401"/>
    <n v="818"/>
    <s v="EGY"/>
    <x v="0"/>
    <s v="M"/>
    <x v="0"/>
    <n v="0"/>
    <s v="W00"/>
    <x v="0"/>
    <n v="0"/>
    <s v="W00"/>
    <s v="World"/>
    <s v="H6"/>
    <s v="HS"/>
    <b v="1"/>
    <s v="391590"/>
    <s v="Plastics n.e.c. in heading no. 3915; waste, parings and scrap"/>
    <n v="6"/>
    <b v="1"/>
    <s v="C00"/>
    <s v="TOTAL CPC"/>
    <s v="0"/>
    <n v="0"/>
    <s v="TOTAL MOT"/>
    <n v="8"/>
    <s v="kg"/>
    <n v="2857655.8539999998"/>
    <b v="1"/>
    <n v="-1"/>
    <s v="N/A"/>
    <n v="0"/>
    <b v="0"/>
    <n v="2857655.8539999998"/>
    <b v="1"/>
    <n v="0"/>
    <b v="0"/>
    <n v="1576776.301"/>
    <m/>
    <n v="1576776.301"/>
    <n v="6"/>
    <b v="0"/>
    <b v="1"/>
  </r>
  <r>
    <x v="0"/>
    <s v="C"/>
    <s v="M"/>
    <n v="20240101"/>
    <x v="0"/>
    <x v="0"/>
    <s v="202401"/>
    <n v="818"/>
    <s v="EGY"/>
    <x v="0"/>
    <s v="M"/>
    <x v="0"/>
    <n v="276"/>
    <s v="DEU"/>
    <x v="1"/>
    <n v="0"/>
    <s v="W00"/>
    <s v="World"/>
    <s v="H6"/>
    <s v="HS"/>
    <b v="1"/>
    <s v="391590"/>
    <s v="Plastics n.e.c. in heading no. 3915; waste, parings and scrap"/>
    <n v="6"/>
    <b v="1"/>
    <s v="C00"/>
    <s v="TOTAL CPC"/>
    <s v="0"/>
    <n v="0"/>
    <s v="TOTAL MOT"/>
    <n v="8"/>
    <s v="kg"/>
    <n v="73351.926999999996"/>
    <b v="1"/>
    <n v="-1"/>
    <s v="N/A"/>
    <n v="0"/>
    <b v="0"/>
    <n v="73351.926999999996"/>
    <b v="1"/>
    <n v="0"/>
    <b v="0"/>
    <n v="40473.586000000003"/>
    <m/>
    <n v="40473.586000000003"/>
    <n v="6"/>
    <b v="1"/>
    <b v="0"/>
  </r>
  <r>
    <x v="0"/>
    <s v="C"/>
    <s v="M"/>
    <n v="20240101"/>
    <x v="0"/>
    <x v="0"/>
    <s v="202401"/>
    <n v="818"/>
    <s v="EGY"/>
    <x v="0"/>
    <s v="M"/>
    <x v="0"/>
    <n v="568"/>
    <s v="E19"/>
    <x v="2"/>
    <n v="0"/>
    <s v="W00"/>
    <s v="World"/>
    <s v="H6"/>
    <s v="HS"/>
    <b v="1"/>
    <s v="391590"/>
    <s v="Plastics n.e.c. in heading no. 3915; waste, parings and scrap"/>
    <n v="6"/>
    <b v="1"/>
    <s v="C00"/>
    <s v="TOTAL CPC"/>
    <s v="0"/>
    <n v="0"/>
    <s v="TOTAL MOT"/>
    <n v="8"/>
    <s v="kg"/>
    <n v="41420.707000000002"/>
    <b v="1"/>
    <n v="-1"/>
    <s v="N/A"/>
    <n v="0"/>
    <b v="0"/>
    <n v="41420.707000000002"/>
    <b v="1"/>
    <n v="0"/>
    <b v="0"/>
    <n v="22854.812999999998"/>
    <m/>
    <n v="22854.812999999998"/>
    <n v="6"/>
    <b v="1"/>
    <b v="0"/>
  </r>
  <r>
    <x v="0"/>
    <s v="C"/>
    <s v="M"/>
    <n v="20240101"/>
    <x v="0"/>
    <x v="0"/>
    <s v="202401"/>
    <n v="818"/>
    <s v="EGY"/>
    <x v="0"/>
    <s v="M"/>
    <x v="0"/>
    <n v="724"/>
    <s v="ESP"/>
    <x v="3"/>
    <n v="0"/>
    <s v="W00"/>
    <s v="World"/>
    <s v="H6"/>
    <s v="HS"/>
    <b v="1"/>
    <s v="391590"/>
    <s v="Plastics n.e.c. in heading no. 3915; waste, parings and scrap"/>
    <n v="6"/>
    <b v="1"/>
    <s v="C00"/>
    <s v="TOTAL CPC"/>
    <s v="0"/>
    <n v="0"/>
    <s v="TOTAL MOT"/>
    <n v="8"/>
    <s v="kg"/>
    <n v="1554447.402"/>
    <b v="1"/>
    <n v="-1"/>
    <s v="N/A"/>
    <n v="0"/>
    <b v="0"/>
    <n v="1554447.402"/>
    <b v="1"/>
    <n v="0"/>
    <b v="0"/>
    <n v="857701.53899999999"/>
    <m/>
    <n v="857701.53899999999"/>
    <n v="6"/>
    <b v="1"/>
    <b v="0"/>
  </r>
  <r>
    <x v="0"/>
    <s v="C"/>
    <s v="M"/>
    <n v="20240101"/>
    <x v="0"/>
    <x v="0"/>
    <s v="202401"/>
    <n v="818"/>
    <s v="EGY"/>
    <x v="0"/>
    <s v="M"/>
    <x v="0"/>
    <n v="826"/>
    <s v="GBR"/>
    <x v="4"/>
    <n v="0"/>
    <s v="W00"/>
    <s v="World"/>
    <s v="H6"/>
    <s v="HS"/>
    <b v="1"/>
    <s v="391590"/>
    <s v="Plastics n.e.c. in heading no. 3915; waste, parings and scrap"/>
    <n v="6"/>
    <b v="1"/>
    <s v="C00"/>
    <s v="TOTAL CPC"/>
    <s v="0"/>
    <n v="0"/>
    <s v="TOTAL MOT"/>
    <n v="8"/>
    <s v="kg"/>
    <n v="105431.31299999999"/>
    <b v="1"/>
    <n v="-1"/>
    <s v="N/A"/>
    <n v="0"/>
    <b v="0"/>
    <n v="105431.31299999999"/>
    <b v="1"/>
    <n v="0"/>
    <b v="0"/>
    <n v="58174.112999999998"/>
    <m/>
    <n v="58174.112999999998"/>
    <n v="6"/>
    <b v="1"/>
    <b v="0"/>
  </r>
  <r>
    <x v="0"/>
    <s v="C"/>
    <s v="M"/>
    <n v="20240101"/>
    <x v="0"/>
    <x v="0"/>
    <s v="202401"/>
    <n v="818"/>
    <s v="EGY"/>
    <x v="0"/>
    <s v="M"/>
    <x v="0"/>
    <n v="887"/>
    <s v="YEM"/>
    <x v="5"/>
    <n v="0"/>
    <s v="W00"/>
    <s v="World"/>
    <s v="H6"/>
    <s v="HS"/>
    <b v="1"/>
    <s v="391590"/>
    <s v="Plastics n.e.c. in heading no. 3915; waste, parings and scrap"/>
    <n v="6"/>
    <b v="1"/>
    <s v="C00"/>
    <s v="TOTAL CPC"/>
    <s v="0"/>
    <n v="0"/>
    <s v="TOTAL MOT"/>
    <n v="8"/>
    <s v="kg"/>
    <n v="1083004.5060000001"/>
    <b v="1"/>
    <n v="-1"/>
    <s v="N/A"/>
    <n v="0"/>
    <b v="0"/>
    <n v="1083004.5060000001"/>
    <b v="1"/>
    <n v="0"/>
    <b v="0"/>
    <n v="597572.25"/>
    <m/>
    <n v="597572.25"/>
    <n v="6"/>
    <b v="1"/>
    <b v="0"/>
  </r>
  <r>
    <x v="0"/>
    <s v="C"/>
    <s v="M"/>
    <n v="20240201"/>
    <x v="0"/>
    <x v="1"/>
    <s v="202402"/>
    <n v="818"/>
    <s v="EGY"/>
    <x v="0"/>
    <s v="M"/>
    <x v="0"/>
    <n v="0"/>
    <s v="W00"/>
    <x v="0"/>
    <n v="0"/>
    <s v="W00"/>
    <s v="World"/>
    <s v="H6"/>
    <s v="HS"/>
    <b v="1"/>
    <s v="391590"/>
    <s v="Plastics n.e.c. in heading no. 3915; waste, parings and scrap"/>
    <n v="6"/>
    <b v="1"/>
    <s v="C00"/>
    <s v="TOTAL CPC"/>
    <s v="0"/>
    <n v="0"/>
    <s v="TOTAL MOT"/>
    <n v="8"/>
    <s v="kg"/>
    <n v="2209982.9739999999"/>
    <b v="1"/>
    <n v="-1"/>
    <s v="N/A"/>
    <n v="0"/>
    <b v="0"/>
    <n v="2209982.9739999999"/>
    <b v="1"/>
    <n v="0"/>
    <b v="0"/>
    <n v="1219408.129"/>
    <m/>
    <n v="1219408.129"/>
    <n v="6"/>
    <b v="0"/>
    <b v="1"/>
  </r>
  <r>
    <x v="0"/>
    <s v="C"/>
    <s v="M"/>
    <n v="20240201"/>
    <x v="0"/>
    <x v="1"/>
    <s v="202402"/>
    <n v="818"/>
    <s v="EGY"/>
    <x v="0"/>
    <s v="M"/>
    <x v="0"/>
    <n v="251"/>
    <s v="FRA"/>
    <x v="6"/>
    <n v="0"/>
    <s v="W00"/>
    <s v="World"/>
    <s v="H6"/>
    <s v="HS"/>
    <b v="1"/>
    <s v="391590"/>
    <s v="Plastics n.e.c. in heading no. 3915; waste, parings and scrap"/>
    <n v="6"/>
    <b v="1"/>
    <s v="C00"/>
    <s v="TOTAL CPC"/>
    <s v="0"/>
    <n v="0"/>
    <s v="TOTAL MOT"/>
    <n v="8"/>
    <s v="kg"/>
    <n v="39534.404000000002"/>
    <b v="1"/>
    <n v="-1"/>
    <s v="N/A"/>
    <n v="0"/>
    <b v="0"/>
    <n v="39534.404000000002"/>
    <b v="1"/>
    <n v="0"/>
    <b v="0"/>
    <n v="21814.002"/>
    <m/>
    <n v="21814.002"/>
    <n v="6"/>
    <b v="1"/>
    <b v="0"/>
  </r>
  <r>
    <x v="0"/>
    <s v="C"/>
    <s v="M"/>
    <n v="20240201"/>
    <x v="0"/>
    <x v="1"/>
    <s v="202402"/>
    <n v="818"/>
    <s v="EGY"/>
    <x v="0"/>
    <s v="M"/>
    <x v="0"/>
    <n v="380"/>
    <s v="ITA"/>
    <x v="7"/>
    <n v="0"/>
    <s v="W00"/>
    <s v="World"/>
    <s v="H6"/>
    <s v="HS"/>
    <b v="1"/>
    <s v="391590"/>
    <s v="Plastics n.e.c. in heading no. 3915; waste, parings and scrap"/>
    <n v="6"/>
    <b v="1"/>
    <s v="C00"/>
    <s v="TOTAL CPC"/>
    <s v="0"/>
    <n v="0"/>
    <s v="TOTAL MOT"/>
    <n v="8"/>
    <s v="kg"/>
    <n v="154701.26"/>
    <b v="1"/>
    <n v="-1"/>
    <s v="N/A"/>
    <n v="0"/>
    <b v="0"/>
    <n v="154701.26"/>
    <b v="1"/>
    <n v="0"/>
    <b v="0"/>
    <n v="85359.922000000006"/>
    <m/>
    <n v="85359.922000000006"/>
    <n v="6"/>
    <b v="1"/>
    <b v="0"/>
  </r>
  <r>
    <x v="0"/>
    <s v="C"/>
    <s v="M"/>
    <n v="20240201"/>
    <x v="0"/>
    <x v="1"/>
    <s v="202402"/>
    <n v="818"/>
    <s v="EGY"/>
    <x v="0"/>
    <s v="M"/>
    <x v="0"/>
    <n v="686"/>
    <s v="SEN"/>
    <x v="8"/>
    <n v="0"/>
    <s v="W00"/>
    <s v="World"/>
    <s v="H6"/>
    <s v="HS"/>
    <b v="1"/>
    <s v="391590"/>
    <s v="Plastics n.e.c. in heading no. 3915; waste, parings and scrap"/>
    <n v="6"/>
    <b v="1"/>
    <s v="C00"/>
    <s v="TOTAL CPC"/>
    <s v="0"/>
    <n v="0"/>
    <s v="TOTAL MOT"/>
    <n v="8"/>
    <s v="kg"/>
    <n v="434372.614"/>
    <b v="1"/>
    <n v="-1"/>
    <s v="N/A"/>
    <n v="0"/>
    <b v="0"/>
    <n v="434372.614"/>
    <b v="1"/>
    <n v="0"/>
    <b v="0"/>
    <n v="239674.92199999999"/>
    <m/>
    <n v="239674.92199999999"/>
    <n v="6"/>
    <b v="1"/>
    <b v="0"/>
  </r>
  <r>
    <x v="0"/>
    <s v="C"/>
    <s v="M"/>
    <n v="20240201"/>
    <x v="0"/>
    <x v="1"/>
    <s v="202402"/>
    <n v="818"/>
    <s v="EGY"/>
    <x v="0"/>
    <s v="M"/>
    <x v="0"/>
    <n v="724"/>
    <s v="ESP"/>
    <x v="3"/>
    <n v="0"/>
    <s v="W00"/>
    <s v="World"/>
    <s v="H6"/>
    <s v="HS"/>
    <b v="1"/>
    <s v="391590"/>
    <s v="Plastics n.e.c. in heading no. 3915; waste, parings and scrap"/>
    <n v="6"/>
    <b v="1"/>
    <s v="C00"/>
    <s v="TOTAL CPC"/>
    <s v="0"/>
    <n v="0"/>
    <s v="TOTAL MOT"/>
    <n v="8"/>
    <s v="kg"/>
    <n v="1309526.0560000001"/>
    <b v="1"/>
    <n v="-1"/>
    <s v="N/A"/>
    <n v="0"/>
    <b v="0"/>
    <n v="1309526.0560000001"/>
    <b v="1"/>
    <n v="0"/>
    <b v="0"/>
    <n v="722560.64300000004"/>
    <m/>
    <n v="722560.64300000004"/>
    <n v="6"/>
    <b v="1"/>
    <b v="0"/>
  </r>
  <r>
    <x v="0"/>
    <s v="C"/>
    <s v="M"/>
    <n v="20240201"/>
    <x v="0"/>
    <x v="1"/>
    <s v="202402"/>
    <n v="818"/>
    <s v="EGY"/>
    <x v="0"/>
    <s v="M"/>
    <x v="0"/>
    <n v="792"/>
    <s v="TUR"/>
    <x v="9"/>
    <n v="0"/>
    <s v="W00"/>
    <s v="World"/>
    <s v="H6"/>
    <s v="HS"/>
    <b v="1"/>
    <s v="391590"/>
    <s v="Plastics n.e.c. in heading no. 3915; waste, parings and scrap"/>
    <n v="6"/>
    <b v="1"/>
    <s v="C00"/>
    <s v="TOTAL CPC"/>
    <s v="0"/>
    <n v="0"/>
    <s v="TOTAL MOT"/>
    <n v="8"/>
    <s v="kg"/>
    <n v="271848.64"/>
    <b v="1"/>
    <n v="-1"/>
    <s v="N/A"/>
    <n v="0"/>
    <b v="0"/>
    <n v="271848.64"/>
    <b v="1"/>
    <n v="0"/>
    <b v="0"/>
    <n v="149998.641"/>
    <m/>
    <n v="149998.641"/>
    <n v="6"/>
    <b v="1"/>
    <b v="0"/>
  </r>
  <r>
    <x v="0"/>
    <s v="C"/>
    <s v="M"/>
    <n v="20240301"/>
    <x v="0"/>
    <x v="2"/>
    <s v="202403"/>
    <n v="818"/>
    <s v="EGY"/>
    <x v="0"/>
    <s v="M"/>
    <x v="0"/>
    <n v="0"/>
    <s v="W00"/>
    <x v="0"/>
    <n v="0"/>
    <s v="W00"/>
    <s v="World"/>
    <s v="H6"/>
    <s v="HS"/>
    <b v="1"/>
    <s v="391590"/>
    <s v="Plastics n.e.c. in heading no. 3915; waste, parings and scrap"/>
    <n v="6"/>
    <b v="1"/>
    <s v="C00"/>
    <s v="TOTAL CPC"/>
    <s v="0"/>
    <n v="0"/>
    <s v="TOTAL MOT"/>
    <n v="8"/>
    <s v="kg"/>
    <n v="3903209.6409999998"/>
    <b v="1"/>
    <n v="-1"/>
    <s v="N/A"/>
    <n v="0"/>
    <b v="0"/>
    <n v="3903209.6409999998"/>
    <b v="1"/>
    <n v="0"/>
    <b v="0"/>
    <n v="2153684.2689999999"/>
    <m/>
    <n v="2153684.2689999999"/>
    <n v="6"/>
    <b v="0"/>
    <b v="1"/>
  </r>
  <r>
    <x v="0"/>
    <s v="C"/>
    <s v="M"/>
    <n v="20240301"/>
    <x v="0"/>
    <x v="2"/>
    <s v="202403"/>
    <n v="818"/>
    <s v="EGY"/>
    <x v="0"/>
    <s v="M"/>
    <x v="0"/>
    <n v="276"/>
    <s v="DEU"/>
    <x v="1"/>
    <n v="0"/>
    <s v="W00"/>
    <s v="World"/>
    <s v="H6"/>
    <s v="HS"/>
    <b v="1"/>
    <s v="391590"/>
    <s v="Plastics n.e.c. in heading no. 3915; waste, parings and scrap"/>
    <n v="6"/>
    <b v="1"/>
    <s v="C00"/>
    <s v="TOTAL CPC"/>
    <s v="0"/>
    <n v="0"/>
    <s v="TOTAL MOT"/>
    <n v="8"/>
    <s v="kg"/>
    <n v="206114.12299999999"/>
    <b v="1"/>
    <n v="-1"/>
    <s v="N/A"/>
    <n v="0"/>
    <b v="0"/>
    <n v="206114.12299999999"/>
    <b v="1"/>
    <n v="0"/>
    <b v="0"/>
    <n v="113728.133"/>
    <m/>
    <n v="113728.133"/>
    <n v="6"/>
    <b v="1"/>
    <b v="0"/>
  </r>
  <r>
    <x v="0"/>
    <s v="C"/>
    <s v="M"/>
    <n v="20240301"/>
    <x v="0"/>
    <x v="2"/>
    <s v="202403"/>
    <n v="818"/>
    <s v="EGY"/>
    <x v="0"/>
    <s v="M"/>
    <x v="0"/>
    <n v="380"/>
    <s v="ITA"/>
    <x v="7"/>
    <n v="0"/>
    <s v="W00"/>
    <s v="World"/>
    <s v="H6"/>
    <s v="HS"/>
    <b v="1"/>
    <s v="391590"/>
    <s v="Plastics n.e.c. in heading no. 3915; waste, parings and scrap"/>
    <n v="6"/>
    <b v="1"/>
    <s v="C00"/>
    <s v="TOTAL CPC"/>
    <s v="0"/>
    <n v="0"/>
    <s v="TOTAL MOT"/>
    <n v="8"/>
    <s v="kg"/>
    <n v="55098.784"/>
    <b v="1"/>
    <n v="-1"/>
    <s v="N/A"/>
    <n v="0"/>
    <b v="0"/>
    <n v="55098.784"/>
    <b v="1"/>
    <n v="0"/>
    <b v="0"/>
    <n v="30402.001"/>
    <m/>
    <n v="30402.001"/>
    <n v="6"/>
    <b v="1"/>
    <b v="0"/>
  </r>
  <r>
    <x v="0"/>
    <s v="C"/>
    <s v="M"/>
    <n v="20240301"/>
    <x v="0"/>
    <x v="2"/>
    <s v="202403"/>
    <n v="818"/>
    <s v="EGY"/>
    <x v="0"/>
    <s v="M"/>
    <x v="0"/>
    <n v="620"/>
    <s v="PRT"/>
    <x v="10"/>
    <n v="0"/>
    <s v="W00"/>
    <s v="World"/>
    <s v="H6"/>
    <s v="HS"/>
    <b v="1"/>
    <s v="391590"/>
    <s v="Plastics n.e.c. in heading no. 3915; waste, parings and scrap"/>
    <n v="6"/>
    <b v="1"/>
    <s v="C00"/>
    <s v="TOTAL CPC"/>
    <s v="0"/>
    <n v="0"/>
    <s v="TOTAL MOT"/>
    <n v="8"/>
    <s v="kg"/>
    <n v="24649.646000000001"/>
    <b v="1"/>
    <n v="-1"/>
    <s v="N/A"/>
    <n v="0"/>
    <b v="0"/>
    <n v="24649.646000000001"/>
    <b v="1"/>
    <n v="0"/>
    <b v="0"/>
    <n v="13601"/>
    <m/>
    <n v="13601"/>
    <n v="6"/>
    <b v="1"/>
    <b v="0"/>
  </r>
  <r>
    <x v="0"/>
    <s v="C"/>
    <s v="M"/>
    <n v="20240301"/>
    <x v="0"/>
    <x v="2"/>
    <s v="202403"/>
    <n v="818"/>
    <s v="EGY"/>
    <x v="0"/>
    <s v="M"/>
    <x v="0"/>
    <n v="724"/>
    <s v="ESP"/>
    <x v="3"/>
    <n v="0"/>
    <s v="W00"/>
    <s v="World"/>
    <s v="H6"/>
    <s v="HS"/>
    <b v="1"/>
    <s v="391590"/>
    <s v="Plastics n.e.c. in heading no. 3915; waste, parings and scrap"/>
    <n v="6"/>
    <b v="1"/>
    <s v="C00"/>
    <s v="TOTAL CPC"/>
    <s v="0"/>
    <n v="0"/>
    <s v="TOTAL MOT"/>
    <n v="8"/>
    <s v="kg"/>
    <n v="1709751.0530000001"/>
    <b v="1"/>
    <n v="-1"/>
    <s v="N/A"/>
    <n v="0"/>
    <b v="0"/>
    <n v="1709751.0530000001"/>
    <b v="1"/>
    <n v="0"/>
    <b v="0"/>
    <n v="943393.84400000004"/>
    <m/>
    <n v="943393.84400000004"/>
    <n v="6"/>
    <b v="1"/>
    <b v="0"/>
  </r>
  <r>
    <x v="0"/>
    <s v="C"/>
    <s v="M"/>
    <n v="20240301"/>
    <x v="0"/>
    <x v="2"/>
    <s v="202403"/>
    <n v="818"/>
    <s v="EGY"/>
    <x v="0"/>
    <s v="M"/>
    <x v="0"/>
    <n v="784"/>
    <s v="ARE"/>
    <x v="11"/>
    <n v="0"/>
    <s v="W00"/>
    <s v="World"/>
    <s v="H6"/>
    <s v="HS"/>
    <b v="1"/>
    <s v="391590"/>
    <s v="Plastics n.e.c. in heading no. 3915; waste, parings and scrap"/>
    <n v="6"/>
    <b v="1"/>
    <s v="C00"/>
    <s v="TOTAL CPC"/>
    <s v="0"/>
    <n v="0"/>
    <s v="TOTAL MOT"/>
    <n v="8"/>
    <s v="kg"/>
    <n v="117126.13099999999"/>
    <b v="1"/>
    <n v="-1"/>
    <s v="N/A"/>
    <n v="0"/>
    <b v="0"/>
    <n v="117126.13099999999"/>
    <b v="1"/>
    <n v="0"/>
    <b v="0"/>
    <n v="64626.993999999999"/>
    <m/>
    <n v="64626.993999999999"/>
    <n v="6"/>
    <b v="1"/>
    <b v="0"/>
  </r>
  <r>
    <x v="0"/>
    <s v="C"/>
    <s v="M"/>
    <n v="20240301"/>
    <x v="0"/>
    <x v="2"/>
    <s v="202403"/>
    <n v="818"/>
    <s v="EGY"/>
    <x v="0"/>
    <s v="M"/>
    <x v="0"/>
    <n v="792"/>
    <s v="TUR"/>
    <x v="9"/>
    <n v="0"/>
    <s v="W00"/>
    <s v="World"/>
    <s v="H6"/>
    <s v="HS"/>
    <b v="1"/>
    <s v="391590"/>
    <s v="Plastics n.e.c. in heading no. 3915; waste, parings and scrap"/>
    <n v="6"/>
    <b v="1"/>
    <s v="C00"/>
    <s v="TOTAL CPC"/>
    <s v="0"/>
    <n v="0"/>
    <s v="TOTAL MOT"/>
    <n v="8"/>
    <s v="kg"/>
    <n v="248505.579"/>
    <b v="1"/>
    <n v="-1"/>
    <s v="N/A"/>
    <n v="0"/>
    <b v="0"/>
    <n v="248505.579"/>
    <b v="1"/>
    <n v="0"/>
    <b v="0"/>
    <n v="137118.57800000001"/>
    <m/>
    <n v="137118.57800000001"/>
    <n v="6"/>
    <b v="1"/>
    <b v="0"/>
  </r>
  <r>
    <x v="0"/>
    <s v="C"/>
    <s v="M"/>
    <n v="20240301"/>
    <x v="0"/>
    <x v="2"/>
    <s v="202403"/>
    <n v="818"/>
    <s v="EGY"/>
    <x v="0"/>
    <s v="M"/>
    <x v="0"/>
    <n v="887"/>
    <s v="YEM"/>
    <x v="5"/>
    <n v="0"/>
    <s v="W00"/>
    <s v="World"/>
    <s v="H6"/>
    <s v="HS"/>
    <b v="1"/>
    <s v="391590"/>
    <s v="Plastics n.e.c. in heading no. 3915; waste, parings and scrap"/>
    <n v="6"/>
    <b v="1"/>
    <s v="C00"/>
    <s v="TOTAL CPC"/>
    <s v="0"/>
    <n v="0"/>
    <s v="TOTAL MOT"/>
    <n v="8"/>
    <s v="kg"/>
    <n v="1541964.325"/>
    <b v="1"/>
    <n v="-1"/>
    <s v="N/A"/>
    <n v="0"/>
    <b v="0"/>
    <n v="1541964.325"/>
    <b v="1"/>
    <n v="0"/>
    <b v="0"/>
    <n v="850813.71900000004"/>
    <m/>
    <n v="850813.71900000004"/>
    <n v="6"/>
    <b v="1"/>
    <b v="0"/>
  </r>
  <r>
    <x v="0"/>
    <s v="C"/>
    <s v="M"/>
    <n v="20240401"/>
    <x v="0"/>
    <x v="3"/>
    <s v="202404"/>
    <n v="818"/>
    <s v="EGY"/>
    <x v="0"/>
    <s v="M"/>
    <x v="0"/>
    <n v="0"/>
    <s v="W00"/>
    <x v="0"/>
    <n v="0"/>
    <s v="W00"/>
    <s v="World"/>
    <s v="H6"/>
    <s v="HS"/>
    <b v="1"/>
    <s v="391590"/>
    <s v="Plastics n.e.c. in heading no. 3915; waste, parings and scrap"/>
    <n v="6"/>
    <b v="1"/>
    <s v="C00"/>
    <s v="TOTAL CPC"/>
    <s v="0"/>
    <n v="0"/>
    <s v="TOTAL MOT"/>
    <n v="8"/>
    <s v="kg"/>
    <n v="3086149.889"/>
    <b v="1"/>
    <n v="-1"/>
    <s v="N/A"/>
    <n v="0"/>
    <b v="0"/>
    <n v="3086149.889"/>
    <b v="1"/>
    <n v="0"/>
    <b v="0"/>
    <n v="1702853.057"/>
    <m/>
    <n v="1702853.057"/>
    <n v="6"/>
    <b v="0"/>
    <b v="1"/>
  </r>
  <r>
    <x v="0"/>
    <s v="C"/>
    <s v="M"/>
    <n v="20240401"/>
    <x v="0"/>
    <x v="3"/>
    <s v="202404"/>
    <n v="818"/>
    <s v="EGY"/>
    <x v="0"/>
    <s v="M"/>
    <x v="0"/>
    <n v="56"/>
    <s v="BEL"/>
    <x v="12"/>
    <n v="0"/>
    <s v="W00"/>
    <s v="World"/>
    <s v="H6"/>
    <s v="HS"/>
    <b v="1"/>
    <s v="391590"/>
    <s v="Plastics n.e.c. in heading no. 3915; waste, parings and scrap"/>
    <n v="6"/>
    <b v="1"/>
    <s v="C00"/>
    <s v="TOTAL CPC"/>
    <s v="0"/>
    <n v="0"/>
    <s v="TOTAL MOT"/>
    <n v="8"/>
    <s v="kg"/>
    <n v="24111.398000000001"/>
    <b v="1"/>
    <n v="-1"/>
    <s v="N/A"/>
    <n v="0"/>
    <b v="0"/>
    <n v="24111.398000000001"/>
    <b v="1"/>
    <n v="0"/>
    <b v="0"/>
    <n v="13304.01"/>
    <m/>
    <n v="13304.01"/>
    <n v="6"/>
    <b v="1"/>
    <b v="0"/>
  </r>
  <r>
    <x v="0"/>
    <s v="C"/>
    <s v="M"/>
    <n v="20240401"/>
    <x v="0"/>
    <x v="3"/>
    <s v="202404"/>
    <n v="818"/>
    <s v="EGY"/>
    <x v="0"/>
    <s v="M"/>
    <x v="0"/>
    <n v="422"/>
    <s v="LBN"/>
    <x v="13"/>
    <n v="0"/>
    <s v="W00"/>
    <s v="World"/>
    <s v="H6"/>
    <s v="HS"/>
    <b v="1"/>
    <s v="391590"/>
    <s v="Plastics n.e.c. in heading no. 3915; waste, parings and scrap"/>
    <n v="6"/>
    <b v="1"/>
    <s v="C00"/>
    <s v="TOTAL CPC"/>
    <s v="0"/>
    <n v="0"/>
    <s v="TOTAL MOT"/>
    <n v="8"/>
    <s v="kg"/>
    <n v="285950.77500000002"/>
    <b v="1"/>
    <n v="-1"/>
    <s v="N/A"/>
    <n v="0"/>
    <b v="0"/>
    <n v="285950.77500000002"/>
    <b v="1"/>
    <n v="0"/>
    <b v="0"/>
    <n v="157779.81299999999"/>
    <m/>
    <n v="157779.81299999999"/>
    <n v="6"/>
    <b v="1"/>
    <b v="0"/>
  </r>
  <r>
    <x v="0"/>
    <s v="C"/>
    <s v="M"/>
    <n v="20240401"/>
    <x v="0"/>
    <x v="3"/>
    <s v="202404"/>
    <n v="818"/>
    <s v="EGY"/>
    <x v="0"/>
    <s v="M"/>
    <x v="0"/>
    <n v="528"/>
    <s v="NLD"/>
    <x v="14"/>
    <n v="0"/>
    <s v="W00"/>
    <s v="World"/>
    <s v="H6"/>
    <s v="HS"/>
    <b v="1"/>
    <s v="391590"/>
    <s v="Plastics n.e.c. in heading no. 3915; waste, parings and scrap"/>
    <n v="6"/>
    <b v="1"/>
    <s v="C00"/>
    <s v="TOTAL CPC"/>
    <s v="0"/>
    <n v="0"/>
    <s v="TOTAL MOT"/>
    <n v="8"/>
    <s v="kg"/>
    <n v="201119.935"/>
    <b v="1"/>
    <n v="-1"/>
    <s v="N/A"/>
    <n v="0"/>
    <b v="0"/>
    <n v="201119.935"/>
    <b v="1"/>
    <n v="0"/>
    <b v="0"/>
    <n v="110972.477"/>
    <m/>
    <n v="110972.477"/>
    <n v="6"/>
    <b v="1"/>
    <b v="0"/>
  </r>
  <r>
    <x v="0"/>
    <s v="C"/>
    <s v="M"/>
    <n v="20240401"/>
    <x v="0"/>
    <x v="3"/>
    <s v="202404"/>
    <n v="818"/>
    <s v="EGY"/>
    <x v="0"/>
    <s v="M"/>
    <x v="0"/>
    <n v="724"/>
    <s v="ESP"/>
    <x v="3"/>
    <n v="0"/>
    <s v="W00"/>
    <s v="World"/>
    <s v="H6"/>
    <s v="HS"/>
    <b v="1"/>
    <s v="391590"/>
    <s v="Plastics n.e.c. in heading no. 3915; waste, parings and scrap"/>
    <n v="6"/>
    <b v="1"/>
    <s v="C00"/>
    <s v="TOTAL CPC"/>
    <s v="0"/>
    <n v="0"/>
    <s v="TOTAL MOT"/>
    <n v="8"/>
    <s v="kg"/>
    <n v="1305342.8160000001"/>
    <b v="1"/>
    <n v="-1"/>
    <s v="N/A"/>
    <n v="0"/>
    <b v="0"/>
    <n v="1305342.8160000001"/>
    <b v="1"/>
    <n v="0"/>
    <b v="0"/>
    <n v="720252.44499999995"/>
    <m/>
    <n v="720252.44499999995"/>
    <n v="6"/>
    <b v="1"/>
    <b v="0"/>
  </r>
  <r>
    <x v="0"/>
    <s v="C"/>
    <s v="M"/>
    <n v="20240401"/>
    <x v="0"/>
    <x v="3"/>
    <s v="202404"/>
    <n v="818"/>
    <s v="EGY"/>
    <x v="0"/>
    <s v="M"/>
    <x v="0"/>
    <n v="792"/>
    <s v="TUR"/>
    <x v="9"/>
    <n v="0"/>
    <s v="W00"/>
    <s v="World"/>
    <s v="H6"/>
    <s v="HS"/>
    <b v="1"/>
    <s v="391590"/>
    <s v="Plastics n.e.c. in heading no. 3915; waste, parings and scrap"/>
    <n v="6"/>
    <b v="1"/>
    <s v="C00"/>
    <s v="TOTAL CPC"/>
    <s v="0"/>
    <n v="0"/>
    <s v="TOTAL MOT"/>
    <n v="8"/>
    <s v="kg"/>
    <n v="297114.45400000003"/>
    <b v="1"/>
    <n v="-1"/>
    <s v="N/A"/>
    <n v="0"/>
    <b v="0"/>
    <n v="297114.45400000003"/>
    <b v="1"/>
    <n v="0"/>
    <b v="0"/>
    <n v="163939.625"/>
    <m/>
    <n v="163939.625"/>
    <n v="6"/>
    <b v="1"/>
    <b v="0"/>
  </r>
  <r>
    <x v="0"/>
    <s v="C"/>
    <s v="M"/>
    <n v="20240401"/>
    <x v="0"/>
    <x v="3"/>
    <s v="202404"/>
    <n v="818"/>
    <s v="EGY"/>
    <x v="0"/>
    <s v="M"/>
    <x v="0"/>
    <n v="887"/>
    <s v="YEM"/>
    <x v="5"/>
    <n v="0"/>
    <s v="W00"/>
    <s v="World"/>
    <s v="H6"/>
    <s v="HS"/>
    <b v="1"/>
    <s v="391590"/>
    <s v="Plastics n.e.c. in heading no. 3915; waste, parings and scrap"/>
    <n v="6"/>
    <b v="1"/>
    <s v="C00"/>
    <s v="TOTAL CPC"/>
    <s v="0"/>
    <n v="0"/>
    <s v="TOTAL MOT"/>
    <n v="8"/>
    <s v="kg"/>
    <n v="972510.51100000006"/>
    <b v="1"/>
    <n v="-1"/>
    <s v="N/A"/>
    <n v="0"/>
    <b v="0"/>
    <n v="972510.51100000006"/>
    <b v="1"/>
    <n v="0"/>
    <b v="0"/>
    <n v="536604.68799999997"/>
    <m/>
    <n v="536604.68799999997"/>
    <n v="6"/>
    <b v="1"/>
    <b v="0"/>
  </r>
  <r>
    <x v="0"/>
    <s v="C"/>
    <s v="M"/>
    <n v="20240501"/>
    <x v="0"/>
    <x v="4"/>
    <s v="202405"/>
    <n v="818"/>
    <s v="EGY"/>
    <x v="0"/>
    <s v="M"/>
    <x v="0"/>
    <n v="0"/>
    <s v="W00"/>
    <x v="0"/>
    <n v="0"/>
    <s v="W00"/>
    <s v="World"/>
    <s v="H6"/>
    <s v="HS"/>
    <b v="1"/>
    <s v="391590"/>
    <s v="Plastics n.e.c. in heading no. 3915; waste, parings and scrap"/>
    <n v="6"/>
    <b v="1"/>
    <s v="C00"/>
    <s v="TOTAL CPC"/>
    <s v="0"/>
    <n v="0"/>
    <s v="TOTAL MOT"/>
    <n v="8"/>
    <s v="kg"/>
    <n v="776351.348"/>
    <b v="1"/>
    <n v="-1"/>
    <s v="N/A"/>
    <n v="0"/>
    <b v="0"/>
    <n v="776351.348"/>
    <b v="1"/>
    <n v="0"/>
    <b v="0"/>
    <n v="428369.429"/>
    <m/>
    <n v="428369.429"/>
    <n v="6"/>
    <b v="0"/>
    <b v="1"/>
  </r>
  <r>
    <x v="0"/>
    <s v="C"/>
    <s v="M"/>
    <n v="20240501"/>
    <x v="0"/>
    <x v="4"/>
    <s v="202405"/>
    <n v="818"/>
    <s v="EGY"/>
    <x v="0"/>
    <s v="M"/>
    <x v="0"/>
    <n v="380"/>
    <s v="ITA"/>
    <x v="7"/>
    <n v="0"/>
    <s v="W00"/>
    <s v="World"/>
    <s v="H6"/>
    <s v="HS"/>
    <b v="1"/>
    <s v="391590"/>
    <s v="Plastics n.e.c. in heading no. 3915; waste, parings and scrap"/>
    <n v="6"/>
    <b v="1"/>
    <s v="C00"/>
    <s v="TOTAL CPC"/>
    <s v="0"/>
    <n v="0"/>
    <s v="TOTAL MOT"/>
    <n v="8"/>
    <s v="kg"/>
    <n v="58671.56"/>
    <b v="1"/>
    <n v="-1"/>
    <s v="N/A"/>
    <n v="0"/>
    <b v="0"/>
    <n v="58671.56"/>
    <b v="1"/>
    <n v="0"/>
    <b v="0"/>
    <n v="32373.361000000001"/>
    <m/>
    <n v="32373.361000000001"/>
    <n v="6"/>
    <b v="1"/>
    <b v="0"/>
  </r>
  <r>
    <x v="0"/>
    <s v="C"/>
    <s v="M"/>
    <n v="20240501"/>
    <x v="0"/>
    <x v="4"/>
    <s v="202405"/>
    <n v="818"/>
    <s v="EGY"/>
    <x v="0"/>
    <s v="M"/>
    <x v="0"/>
    <n v="686"/>
    <s v="SEN"/>
    <x v="8"/>
    <n v="0"/>
    <s v="W00"/>
    <s v="World"/>
    <s v="H6"/>
    <s v="HS"/>
    <b v="1"/>
    <s v="391590"/>
    <s v="Plastics n.e.c. in heading no. 3915; waste, parings and scrap"/>
    <n v="6"/>
    <b v="1"/>
    <s v="C00"/>
    <s v="TOTAL CPC"/>
    <s v="0"/>
    <n v="0"/>
    <s v="TOTAL MOT"/>
    <n v="8"/>
    <s v="kg"/>
    <n v="461061.17099999997"/>
    <b v="1"/>
    <n v="-1"/>
    <s v="N/A"/>
    <n v="0"/>
    <b v="0"/>
    <n v="461061.17099999997"/>
    <b v="1"/>
    <n v="0"/>
    <b v="0"/>
    <n v="254400.93799999999"/>
    <m/>
    <n v="254400.93799999999"/>
    <n v="6"/>
    <b v="1"/>
    <b v="0"/>
  </r>
  <r>
    <x v="0"/>
    <s v="C"/>
    <s v="M"/>
    <n v="20240501"/>
    <x v="0"/>
    <x v="4"/>
    <s v="202405"/>
    <n v="818"/>
    <s v="EGY"/>
    <x v="0"/>
    <s v="M"/>
    <x v="0"/>
    <n v="724"/>
    <s v="ESP"/>
    <x v="3"/>
    <n v="0"/>
    <s v="W00"/>
    <s v="World"/>
    <s v="H6"/>
    <s v="HS"/>
    <b v="1"/>
    <s v="391590"/>
    <s v="Plastics n.e.c. in heading no. 3915; waste, parings and scrap"/>
    <n v="6"/>
    <b v="1"/>
    <s v="C00"/>
    <s v="TOTAL CPC"/>
    <s v="0"/>
    <n v="0"/>
    <s v="TOTAL MOT"/>
    <n v="8"/>
    <s v="kg"/>
    <n v="55817.315999999999"/>
    <b v="1"/>
    <n v="-1"/>
    <s v="N/A"/>
    <n v="0"/>
    <b v="0"/>
    <n v="55817.315999999999"/>
    <b v="1"/>
    <n v="0"/>
    <b v="0"/>
    <n v="30798.468000000001"/>
    <m/>
    <n v="30798.468000000001"/>
    <n v="6"/>
    <b v="1"/>
    <b v="0"/>
  </r>
  <r>
    <x v="0"/>
    <s v="C"/>
    <s v="M"/>
    <n v="20240501"/>
    <x v="0"/>
    <x v="4"/>
    <s v="202405"/>
    <n v="818"/>
    <s v="EGY"/>
    <x v="0"/>
    <s v="M"/>
    <x v="0"/>
    <n v="792"/>
    <s v="TUR"/>
    <x v="9"/>
    <n v="0"/>
    <s v="W00"/>
    <s v="World"/>
    <s v="H6"/>
    <s v="HS"/>
    <b v="1"/>
    <s v="391590"/>
    <s v="Plastics n.e.c. in heading no. 3915; waste, parings and scrap"/>
    <n v="6"/>
    <b v="1"/>
    <s v="C00"/>
    <s v="TOTAL CPC"/>
    <s v="0"/>
    <n v="0"/>
    <s v="TOTAL MOT"/>
    <n v="8"/>
    <s v="kg"/>
    <n v="187705.03200000001"/>
    <b v="1"/>
    <n v="-1"/>
    <s v="N/A"/>
    <n v="0"/>
    <b v="0"/>
    <n v="187705.03200000001"/>
    <b v="1"/>
    <n v="0"/>
    <b v="0"/>
    <n v="103570.5"/>
    <m/>
    <n v="103570.5"/>
    <n v="6"/>
    <b v="1"/>
    <b v="0"/>
  </r>
  <r>
    <x v="0"/>
    <s v="C"/>
    <s v="M"/>
    <n v="20240501"/>
    <x v="0"/>
    <x v="4"/>
    <s v="202405"/>
    <n v="818"/>
    <s v="EGY"/>
    <x v="0"/>
    <s v="M"/>
    <x v="0"/>
    <n v="826"/>
    <s v="GBR"/>
    <x v="4"/>
    <n v="0"/>
    <s v="W00"/>
    <s v="World"/>
    <s v="H6"/>
    <s v="HS"/>
    <b v="1"/>
    <s v="391590"/>
    <s v="Plastics n.e.c. in heading no. 3915; waste, parings and scrap"/>
    <n v="6"/>
    <b v="1"/>
    <s v="C00"/>
    <s v="TOTAL CPC"/>
    <s v="0"/>
    <n v="0"/>
    <s v="TOTAL MOT"/>
    <n v="8"/>
    <s v="kg"/>
    <n v="13096.269"/>
    <b v="1"/>
    <n v="-1"/>
    <s v="N/A"/>
    <n v="0"/>
    <b v="0"/>
    <n v="13096.269"/>
    <b v="1"/>
    <n v="0"/>
    <b v="0"/>
    <n v="7226.1629999999996"/>
    <m/>
    <n v="7226.1629999999996"/>
    <n v="6"/>
    <b v="1"/>
    <b v="0"/>
  </r>
  <r>
    <x v="0"/>
    <s v="C"/>
    <s v="M"/>
    <n v="20240601"/>
    <x v="0"/>
    <x v="5"/>
    <s v="202406"/>
    <n v="818"/>
    <s v="EGY"/>
    <x v="0"/>
    <s v="M"/>
    <x v="0"/>
    <n v="0"/>
    <s v="W00"/>
    <x v="0"/>
    <n v="0"/>
    <s v="W00"/>
    <s v="World"/>
    <s v="H6"/>
    <s v="HS"/>
    <b v="1"/>
    <s v="391590"/>
    <s v="Plastics n.e.c. in heading no. 3915; waste, parings and scrap"/>
    <n v="6"/>
    <b v="1"/>
    <s v="C00"/>
    <s v="TOTAL CPC"/>
    <s v="0"/>
    <n v="0"/>
    <s v="TOTAL MOT"/>
    <n v="8"/>
    <s v="kg"/>
    <n v="899867.07700000005"/>
    <b v="1"/>
    <n v="-1"/>
    <s v="N/A"/>
    <n v="0"/>
    <b v="0"/>
    <n v="899867.07700000005"/>
    <b v="1"/>
    <n v="0"/>
    <b v="0"/>
    <n v="496522.02799999999"/>
    <m/>
    <n v="496522.02799999999"/>
    <n v="6"/>
    <b v="0"/>
    <b v="1"/>
  </r>
  <r>
    <x v="0"/>
    <s v="C"/>
    <s v="M"/>
    <n v="20240601"/>
    <x v="0"/>
    <x v="5"/>
    <s v="202406"/>
    <n v="818"/>
    <s v="EGY"/>
    <x v="0"/>
    <s v="M"/>
    <x v="0"/>
    <n v="380"/>
    <s v="ITA"/>
    <x v="7"/>
    <n v="0"/>
    <s v="W00"/>
    <s v="World"/>
    <s v="H6"/>
    <s v="HS"/>
    <b v="1"/>
    <s v="391590"/>
    <s v="Plastics n.e.c. in heading no. 3915; waste, parings and scrap"/>
    <n v="6"/>
    <b v="1"/>
    <s v="C00"/>
    <s v="TOTAL CPC"/>
    <s v="0"/>
    <n v="0"/>
    <s v="TOTAL MOT"/>
    <n v="8"/>
    <s v="kg"/>
    <n v="5960.7889999999998"/>
    <b v="1"/>
    <n v="-1"/>
    <s v="N/A"/>
    <n v="0"/>
    <b v="0"/>
    <n v="5960.7889999999998"/>
    <b v="1"/>
    <n v="0"/>
    <b v="0"/>
    <n v="3289"/>
    <m/>
    <n v="3289"/>
    <n v="6"/>
    <b v="1"/>
    <b v="0"/>
  </r>
  <r>
    <x v="0"/>
    <s v="C"/>
    <s v="M"/>
    <n v="20240601"/>
    <x v="0"/>
    <x v="5"/>
    <s v="202406"/>
    <n v="818"/>
    <s v="EGY"/>
    <x v="0"/>
    <s v="M"/>
    <x v="0"/>
    <n v="724"/>
    <s v="ESP"/>
    <x v="3"/>
    <n v="0"/>
    <s v="W00"/>
    <s v="World"/>
    <s v="H6"/>
    <s v="HS"/>
    <b v="1"/>
    <s v="391590"/>
    <s v="Plastics n.e.c. in heading no. 3915; waste, parings and scrap"/>
    <n v="6"/>
    <b v="1"/>
    <s v="C00"/>
    <s v="TOTAL CPC"/>
    <s v="0"/>
    <n v="0"/>
    <s v="TOTAL MOT"/>
    <n v="8"/>
    <s v="kg"/>
    <n v="85018.433000000005"/>
    <b v="1"/>
    <n v="-1"/>
    <s v="N/A"/>
    <n v="0"/>
    <b v="0"/>
    <n v="85018.433000000005"/>
    <b v="1"/>
    <n v="0"/>
    <b v="0"/>
    <n v="46910.845000000001"/>
    <m/>
    <n v="46910.845000000001"/>
    <n v="6"/>
    <b v="1"/>
    <b v="0"/>
  </r>
  <r>
    <x v="0"/>
    <s v="C"/>
    <s v="M"/>
    <n v="20240601"/>
    <x v="0"/>
    <x v="5"/>
    <s v="202406"/>
    <n v="818"/>
    <s v="EGY"/>
    <x v="0"/>
    <s v="M"/>
    <x v="0"/>
    <n v="887"/>
    <s v="YEM"/>
    <x v="5"/>
    <n v="0"/>
    <s v="W00"/>
    <s v="World"/>
    <s v="H6"/>
    <s v="HS"/>
    <b v="1"/>
    <s v="391590"/>
    <s v="Plastics n.e.c. in heading no. 3915; waste, parings and scrap"/>
    <n v="6"/>
    <b v="1"/>
    <s v="C00"/>
    <s v="TOTAL CPC"/>
    <s v="0"/>
    <n v="0"/>
    <s v="TOTAL MOT"/>
    <n v="8"/>
    <s v="kg"/>
    <n v="808887.85600000003"/>
    <b v="1"/>
    <n v="-1"/>
    <s v="N/A"/>
    <n v="0"/>
    <b v="0"/>
    <n v="808887.85600000003"/>
    <b v="1"/>
    <n v="0"/>
    <b v="0"/>
    <n v="446322.18400000001"/>
    <m/>
    <n v="446322.18400000001"/>
    <n v="6"/>
    <b v="1"/>
    <b v="0"/>
  </r>
  <r>
    <x v="0"/>
    <s v="C"/>
    <s v="M"/>
    <n v="20240601"/>
    <x v="0"/>
    <x v="5"/>
    <s v="202406"/>
    <n v="818"/>
    <s v="EGY"/>
    <x v="0"/>
    <s v="X"/>
    <x v="1"/>
    <n v="0"/>
    <s v="W00"/>
    <x v="0"/>
    <n v="0"/>
    <s v="W00"/>
    <s v="World"/>
    <s v="H6"/>
    <s v="HS"/>
    <b v="1"/>
    <s v="391590"/>
    <s v="Plastics n.e.c. in heading no. 3915; waste, parings and scrap"/>
    <n v="6"/>
    <b v="1"/>
    <s v="C00"/>
    <s v="TOTAL CPC"/>
    <s v="0"/>
    <n v="0"/>
    <s v="TOTAL MOT"/>
    <n v="-1"/>
    <s v="N/A"/>
    <n v="0"/>
    <b v="0"/>
    <n v="-1"/>
    <s v="N/A"/>
    <n v="0"/>
    <b v="0"/>
    <m/>
    <b v="0"/>
    <n v="0"/>
    <b v="0"/>
    <m/>
    <n v="20564.75"/>
    <n v="20564.75"/>
    <n v="0"/>
    <b v="0"/>
    <b v="1"/>
  </r>
  <r>
    <x v="0"/>
    <s v="C"/>
    <s v="M"/>
    <n v="20240601"/>
    <x v="0"/>
    <x v="5"/>
    <s v="202406"/>
    <n v="818"/>
    <s v="EGY"/>
    <x v="0"/>
    <s v="X"/>
    <x v="1"/>
    <n v="380"/>
    <s v="ITA"/>
    <x v="7"/>
    <n v="0"/>
    <s v="W00"/>
    <s v="World"/>
    <s v="H6"/>
    <s v="HS"/>
    <b v="1"/>
    <s v="391590"/>
    <s v="Plastics n.e.c. in heading no. 3915; waste, parings and scrap"/>
    <n v="6"/>
    <b v="1"/>
    <s v="C00"/>
    <s v="TOTAL CPC"/>
    <s v="0"/>
    <n v="0"/>
    <s v="TOTAL MOT"/>
    <n v="-1"/>
    <s v="N/A"/>
    <n v="0"/>
    <b v="0"/>
    <n v="-1"/>
    <s v="N/A"/>
    <n v="0"/>
    <b v="0"/>
    <m/>
    <b v="0"/>
    <n v="0"/>
    <b v="0"/>
    <m/>
    <n v="20564.75"/>
    <n v="20564.75"/>
    <n v="0"/>
    <b v="1"/>
    <b v="0"/>
  </r>
  <r>
    <x v="1"/>
    <s v="C"/>
    <s v="M"/>
    <n v="20230101"/>
    <x v="1"/>
    <x v="0"/>
    <s v="202301"/>
    <n v="818"/>
    <s v="EGY"/>
    <x v="0"/>
    <s v="M"/>
    <x v="0"/>
    <n v="0"/>
    <s v="W00"/>
    <x v="0"/>
    <n v="0"/>
    <s v="W00"/>
    <s v="World"/>
    <s v="H6"/>
    <s v="HS"/>
    <b v="1"/>
    <s v="391590"/>
    <s v="Plastics n.e.c. in heading no. 3915; waste, parings and scrap"/>
    <n v="6"/>
    <b v="1"/>
    <s v="C00"/>
    <s v="TOTAL CPC"/>
    <s v="0"/>
    <n v="0"/>
    <s v="TOTAL MOT"/>
    <n v="8"/>
    <s v="kg"/>
    <n v="4611465.3030000003"/>
    <b v="1"/>
    <n v="-1"/>
    <s v="N/A"/>
    <n v="0"/>
    <b v="0"/>
    <n v="4611465.3030000003"/>
    <b v="1"/>
    <n v="0"/>
    <b v="0"/>
    <n v="2544480.3620000002"/>
    <m/>
    <n v="2544480.3620000002"/>
    <n v="6"/>
    <b v="0"/>
    <b v="1"/>
  </r>
  <r>
    <x v="1"/>
    <s v="C"/>
    <s v="M"/>
    <n v="20230101"/>
    <x v="1"/>
    <x v="0"/>
    <s v="202301"/>
    <n v="818"/>
    <s v="EGY"/>
    <x v="0"/>
    <s v="M"/>
    <x v="0"/>
    <n v="100"/>
    <s v="BGR"/>
    <x v="15"/>
    <n v="0"/>
    <s v="W00"/>
    <s v="World"/>
    <s v="H6"/>
    <s v="HS"/>
    <b v="1"/>
    <s v="391590"/>
    <s v="Plastics n.e.c. in heading no. 3915; waste, parings and scrap"/>
    <n v="6"/>
    <b v="1"/>
    <s v="C00"/>
    <s v="TOTAL CPC"/>
    <s v="0"/>
    <n v="0"/>
    <s v="TOTAL MOT"/>
    <n v="8"/>
    <s v="kg"/>
    <n v="63395.925000000003"/>
    <b v="1"/>
    <n v="-1"/>
    <s v="N/A"/>
    <n v="0"/>
    <b v="0"/>
    <n v="63395.925000000003"/>
    <b v="1"/>
    <n v="0"/>
    <b v="0"/>
    <n v="34980.137000000002"/>
    <m/>
    <n v="34980.137000000002"/>
    <n v="6"/>
    <b v="1"/>
    <b v="0"/>
  </r>
  <r>
    <x v="1"/>
    <s v="C"/>
    <s v="M"/>
    <n v="20230101"/>
    <x v="1"/>
    <x v="0"/>
    <s v="202301"/>
    <n v="818"/>
    <s v="EGY"/>
    <x v="0"/>
    <s v="M"/>
    <x v="0"/>
    <n v="380"/>
    <s v="ITA"/>
    <x v="7"/>
    <n v="0"/>
    <s v="W00"/>
    <s v="World"/>
    <s v="H6"/>
    <s v="HS"/>
    <b v="1"/>
    <s v="391590"/>
    <s v="Plastics n.e.c. in heading no. 3915; waste, parings and scrap"/>
    <n v="6"/>
    <b v="1"/>
    <s v="C00"/>
    <s v="TOTAL CPC"/>
    <s v="0"/>
    <n v="0"/>
    <s v="TOTAL MOT"/>
    <n v="8"/>
    <s v="kg"/>
    <n v="158985.91699999999"/>
    <b v="1"/>
    <n v="-1"/>
    <s v="N/A"/>
    <n v="0"/>
    <b v="0"/>
    <n v="158985.91699999999"/>
    <b v="1"/>
    <n v="0"/>
    <b v="0"/>
    <n v="87724.077999999994"/>
    <m/>
    <n v="87724.077999999994"/>
    <n v="6"/>
    <b v="1"/>
    <b v="0"/>
  </r>
  <r>
    <x v="1"/>
    <s v="C"/>
    <s v="M"/>
    <n v="20230101"/>
    <x v="1"/>
    <x v="0"/>
    <s v="202301"/>
    <n v="818"/>
    <s v="EGY"/>
    <x v="0"/>
    <s v="M"/>
    <x v="0"/>
    <n v="566"/>
    <s v="NGA"/>
    <x v="16"/>
    <n v="0"/>
    <s v="W00"/>
    <s v="World"/>
    <s v="H6"/>
    <s v="HS"/>
    <b v="1"/>
    <s v="391590"/>
    <s v="Plastics n.e.c. in heading no. 3915; waste, parings and scrap"/>
    <n v="6"/>
    <b v="1"/>
    <s v="C00"/>
    <s v="TOTAL CPC"/>
    <s v="0"/>
    <n v="0"/>
    <s v="TOTAL MOT"/>
    <n v="8"/>
    <s v="kg"/>
    <n v="562531.81900000002"/>
    <b v="1"/>
    <n v="-1"/>
    <s v="N/A"/>
    <n v="0"/>
    <b v="0"/>
    <n v="562531.81900000002"/>
    <b v="1"/>
    <n v="0"/>
    <b v="0"/>
    <n v="310389.66399999999"/>
    <m/>
    <n v="310389.66399999999"/>
    <n v="6"/>
    <b v="1"/>
    <b v="0"/>
  </r>
  <r>
    <x v="1"/>
    <s v="C"/>
    <s v="M"/>
    <n v="20230101"/>
    <x v="1"/>
    <x v="0"/>
    <s v="202301"/>
    <n v="818"/>
    <s v="EGY"/>
    <x v="0"/>
    <s v="M"/>
    <x v="0"/>
    <n v="724"/>
    <s v="ESP"/>
    <x v="3"/>
    <n v="0"/>
    <s v="W00"/>
    <s v="World"/>
    <s v="H6"/>
    <s v="HS"/>
    <b v="1"/>
    <s v="391590"/>
    <s v="Plastics n.e.c. in heading no. 3915; waste, parings and scrap"/>
    <n v="6"/>
    <b v="1"/>
    <s v="C00"/>
    <s v="TOTAL CPC"/>
    <s v="0"/>
    <n v="0"/>
    <s v="TOTAL MOT"/>
    <n v="8"/>
    <s v="kg"/>
    <n v="1095865.4129999999"/>
    <b v="1"/>
    <n v="-1"/>
    <s v="N/A"/>
    <n v="0"/>
    <b v="0"/>
    <n v="1095865.4129999999"/>
    <b v="1"/>
    <n v="0"/>
    <b v="0"/>
    <n v="604668.54700000002"/>
    <m/>
    <n v="604668.54700000002"/>
    <n v="6"/>
    <b v="1"/>
    <b v="0"/>
  </r>
  <r>
    <x v="1"/>
    <s v="C"/>
    <s v="M"/>
    <n v="20230101"/>
    <x v="1"/>
    <x v="0"/>
    <s v="202301"/>
    <n v="818"/>
    <s v="EGY"/>
    <x v="0"/>
    <s v="M"/>
    <x v="0"/>
    <n v="729"/>
    <s v="SDN"/>
    <x v="17"/>
    <n v="0"/>
    <s v="W00"/>
    <s v="World"/>
    <s v="H6"/>
    <s v="HS"/>
    <b v="1"/>
    <s v="391590"/>
    <s v="Plastics n.e.c. in heading no. 3915; waste, parings and scrap"/>
    <n v="6"/>
    <b v="1"/>
    <s v="C00"/>
    <s v="TOTAL CPC"/>
    <s v="0"/>
    <n v="0"/>
    <s v="TOTAL MOT"/>
    <n v="8"/>
    <s v="kg"/>
    <n v="246083.98"/>
    <b v="1"/>
    <n v="-1"/>
    <s v="N/A"/>
    <n v="0"/>
    <b v="0"/>
    <n v="246083.98"/>
    <b v="1"/>
    <n v="0"/>
    <b v="0"/>
    <n v="135782.40599999999"/>
    <m/>
    <n v="135782.40599999999"/>
    <n v="6"/>
    <b v="1"/>
    <b v="0"/>
  </r>
  <r>
    <x v="1"/>
    <s v="C"/>
    <s v="M"/>
    <n v="20230101"/>
    <x v="1"/>
    <x v="0"/>
    <s v="202301"/>
    <n v="818"/>
    <s v="EGY"/>
    <x v="0"/>
    <s v="M"/>
    <x v="0"/>
    <n v="784"/>
    <s v="ARE"/>
    <x v="11"/>
    <n v="0"/>
    <s v="W00"/>
    <s v="World"/>
    <s v="H6"/>
    <s v="HS"/>
    <b v="1"/>
    <s v="391590"/>
    <s v="Plastics n.e.c. in heading no. 3915; waste, parings and scrap"/>
    <n v="6"/>
    <b v="1"/>
    <s v="C00"/>
    <s v="TOTAL CPC"/>
    <s v="0"/>
    <n v="0"/>
    <s v="TOTAL MOT"/>
    <n v="8"/>
    <s v="kg"/>
    <n v="569487.34199999995"/>
    <b v="1"/>
    <n v="-1"/>
    <s v="N/A"/>
    <n v="0"/>
    <b v="0"/>
    <n v="569487.34199999995"/>
    <b v="1"/>
    <n v="0"/>
    <b v="0"/>
    <n v="314227.53100000002"/>
    <m/>
    <n v="314227.53100000002"/>
    <n v="6"/>
    <b v="1"/>
    <b v="0"/>
  </r>
  <r>
    <x v="1"/>
    <s v="C"/>
    <s v="M"/>
    <n v="20230101"/>
    <x v="1"/>
    <x v="0"/>
    <s v="202301"/>
    <n v="818"/>
    <s v="EGY"/>
    <x v="0"/>
    <s v="M"/>
    <x v="0"/>
    <n v="792"/>
    <s v="TUR"/>
    <x v="9"/>
    <n v="0"/>
    <s v="W00"/>
    <s v="World"/>
    <s v="H6"/>
    <s v="HS"/>
    <b v="1"/>
    <s v="391590"/>
    <s v="Plastics n.e.c. in heading no. 3915; waste, parings and scrap"/>
    <n v="6"/>
    <b v="1"/>
    <s v="C00"/>
    <s v="TOTAL CPC"/>
    <s v="0"/>
    <n v="0"/>
    <s v="TOTAL MOT"/>
    <n v="8"/>
    <s v="kg"/>
    <n v="281347.20299999998"/>
    <b v="1"/>
    <n v="-1"/>
    <s v="N/A"/>
    <n v="0"/>
    <b v="0"/>
    <n v="281347.20299999998"/>
    <b v="1"/>
    <n v="0"/>
    <b v="0"/>
    <n v="155239.68799999999"/>
    <m/>
    <n v="155239.68799999999"/>
    <n v="6"/>
    <b v="1"/>
    <b v="0"/>
  </r>
  <r>
    <x v="1"/>
    <s v="C"/>
    <s v="M"/>
    <n v="20230101"/>
    <x v="1"/>
    <x v="0"/>
    <s v="202301"/>
    <n v="818"/>
    <s v="EGY"/>
    <x v="0"/>
    <s v="M"/>
    <x v="0"/>
    <n v="834"/>
    <s v="TZA"/>
    <x v="18"/>
    <n v="0"/>
    <s v="W00"/>
    <s v="World"/>
    <s v="H6"/>
    <s v="HS"/>
    <b v="1"/>
    <s v="391590"/>
    <s v="Plastics n.e.c. in heading no. 3915; waste, parings and scrap"/>
    <n v="6"/>
    <b v="1"/>
    <s v="C00"/>
    <s v="TOTAL CPC"/>
    <s v="0"/>
    <n v="0"/>
    <s v="TOTAL MOT"/>
    <n v="8"/>
    <s v="kg"/>
    <n v="212849.432"/>
    <b v="1"/>
    <n v="-1"/>
    <s v="N/A"/>
    <n v="0"/>
    <b v="0"/>
    <n v="212849.432"/>
    <b v="1"/>
    <n v="0"/>
    <b v="0"/>
    <n v="117444.492"/>
    <m/>
    <n v="117444.492"/>
    <n v="6"/>
    <b v="1"/>
    <b v="0"/>
  </r>
  <r>
    <x v="1"/>
    <s v="C"/>
    <s v="M"/>
    <n v="20230101"/>
    <x v="1"/>
    <x v="0"/>
    <s v="202301"/>
    <n v="818"/>
    <s v="EGY"/>
    <x v="0"/>
    <s v="M"/>
    <x v="0"/>
    <n v="887"/>
    <s v="YEM"/>
    <x v="5"/>
    <n v="0"/>
    <s v="W00"/>
    <s v="World"/>
    <s v="H6"/>
    <s v="HS"/>
    <b v="1"/>
    <s v="391590"/>
    <s v="Plastics n.e.c. in heading no. 3915; waste, parings and scrap"/>
    <n v="6"/>
    <b v="1"/>
    <s v="C00"/>
    <s v="TOTAL CPC"/>
    <s v="0"/>
    <n v="0"/>
    <s v="TOTAL MOT"/>
    <n v="8"/>
    <s v="kg"/>
    <n v="1420918.2720000001"/>
    <b v="1"/>
    <n v="-1"/>
    <s v="N/A"/>
    <n v="0"/>
    <b v="0"/>
    <n v="1420918.2720000001"/>
    <b v="1"/>
    <n v="0"/>
    <b v="0"/>
    <n v="784023.81900000002"/>
    <m/>
    <n v="784023.81900000002"/>
    <n v="6"/>
    <b v="1"/>
    <b v="0"/>
  </r>
  <r>
    <x v="1"/>
    <s v="C"/>
    <s v="M"/>
    <n v="20230201"/>
    <x v="1"/>
    <x v="1"/>
    <s v="202302"/>
    <n v="818"/>
    <s v="EGY"/>
    <x v="0"/>
    <s v="M"/>
    <x v="0"/>
    <n v="0"/>
    <s v="W00"/>
    <x v="0"/>
    <n v="0"/>
    <s v="W00"/>
    <s v="World"/>
    <s v="H6"/>
    <s v="HS"/>
    <b v="1"/>
    <s v="391590"/>
    <s v="Plastics n.e.c. in heading no. 3915; waste, parings and scrap"/>
    <n v="6"/>
    <b v="1"/>
    <s v="C00"/>
    <s v="TOTAL CPC"/>
    <s v="0"/>
    <n v="0"/>
    <s v="TOTAL MOT"/>
    <n v="8"/>
    <s v="kg"/>
    <n v="2988664.048"/>
    <b v="1"/>
    <n v="-1"/>
    <s v="N/A"/>
    <n v="0"/>
    <b v="0"/>
    <n v="2988664.048"/>
    <b v="1"/>
    <n v="0"/>
    <b v="0"/>
    <n v="1649063.037"/>
    <m/>
    <n v="1649063.037"/>
    <n v="6"/>
    <b v="0"/>
    <b v="1"/>
  </r>
  <r>
    <x v="1"/>
    <s v="C"/>
    <s v="M"/>
    <n v="20230201"/>
    <x v="1"/>
    <x v="1"/>
    <s v="202302"/>
    <n v="818"/>
    <s v="EGY"/>
    <x v="0"/>
    <s v="M"/>
    <x v="0"/>
    <n v="156"/>
    <s v="CHN"/>
    <x v="19"/>
    <n v="0"/>
    <s v="W00"/>
    <s v="World"/>
    <s v="H6"/>
    <s v="HS"/>
    <b v="1"/>
    <s v="391590"/>
    <s v="Plastics n.e.c. in heading no. 3915; waste, parings and scrap"/>
    <n v="6"/>
    <b v="1"/>
    <s v="C00"/>
    <s v="TOTAL CPC"/>
    <s v="0"/>
    <n v="0"/>
    <s v="TOTAL MOT"/>
    <n v="8"/>
    <s v="kg"/>
    <n v="196637.15299999999"/>
    <b v="1"/>
    <n v="-1"/>
    <s v="N/A"/>
    <n v="0"/>
    <b v="0"/>
    <n v="196637.15299999999"/>
    <b v="1"/>
    <n v="0"/>
    <b v="0"/>
    <n v="108499"/>
    <m/>
    <n v="108499"/>
    <n v="6"/>
    <b v="1"/>
    <b v="0"/>
  </r>
  <r>
    <x v="1"/>
    <s v="C"/>
    <s v="M"/>
    <n v="20230201"/>
    <x v="1"/>
    <x v="1"/>
    <s v="202302"/>
    <n v="818"/>
    <s v="EGY"/>
    <x v="0"/>
    <s v="M"/>
    <x v="0"/>
    <n v="380"/>
    <s v="ITA"/>
    <x v="7"/>
    <n v="0"/>
    <s v="W00"/>
    <s v="World"/>
    <s v="H6"/>
    <s v="HS"/>
    <b v="1"/>
    <s v="391590"/>
    <s v="Plastics n.e.c. in heading no. 3915; waste, parings and scrap"/>
    <n v="6"/>
    <b v="1"/>
    <s v="C00"/>
    <s v="TOTAL CPC"/>
    <s v="0"/>
    <n v="0"/>
    <s v="TOTAL MOT"/>
    <n v="8"/>
    <s v="kg"/>
    <n v="158152.084"/>
    <b v="1"/>
    <n v="-1"/>
    <s v="N/A"/>
    <n v="0"/>
    <b v="0"/>
    <n v="158152.084"/>
    <b v="1"/>
    <n v="0"/>
    <b v="0"/>
    <n v="87263.991999999998"/>
    <m/>
    <n v="87263.991999999998"/>
    <n v="6"/>
    <b v="1"/>
    <b v="0"/>
  </r>
  <r>
    <x v="1"/>
    <s v="C"/>
    <s v="M"/>
    <n v="20230201"/>
    <x v="1"/>
    <x v="1"/>
    <s v="202302"/>
    <n v="818"/>
    <s v="EGY"/>
    <x v="0"/>
    <s v="M"/>
    <x v="0"/>
    <n v="404"/>
    <s v="KEN"/>
    <x v="20"/>
    <n v="0"/>
    <s v="W00"/>
    <s v="World"/>
    <s v="H6"/>
    <s v="HS"/>
    <b v="1"/>
    <s v="391590"/>
    <s v="Plastics n.e.c. in heading no. 3915; waste, parings and scrap"/>
    <n v="6"/>
    <b v="1"/>
    <s v="C00"/>
    <s v="TOTAL CPC"/>
    <s v="0"/>
    <n v="0"/>
    <s v="TOTAL MOT"/>
    <n v="8"/>
    <s v="kg"/>
    <n v="348014.72200000001"/>
    <b v="1"/>
    <n v="-1"/>
    <s v="N/A"/>
    <n v="0"/>
    <b v="0"/>
    <n v="348014.72200000001"/>
    <b v="1"/>
    <n v="0"/>
    <b v="0"/>
    <n v="192025"/>
    <m/>
    <n v="192025"/>
    <n v="6"/>
    <b v="1"/>
    <b v="0"/>
  </r>
  <r>
    <x v="1"/>
    <s v="C"/>
    <s v="M"/>
    <n v="20230201"/>
    <x v="1"/>
    <x v="1"/>
    <s v="202302"/>
    <n v="818"/>
    <s v="EGY"/>
    <x v="0"/>
    <s v="M"/>
    <x v="0"/>
    <n v="566"/>
    <s v="NGA"/>
    <x v="16"/>
    <n v="0"/>
    <s v="W00"/>
    <s v="World"/>
    <s v="H6"/>
    <s v="HS"/>
    <b v="1"/>
    <s v="391590"/>
    <s v="Plastics n.e.c. in heading no. 3915; waste, parings and scrap"/>
    <n v="6"/>
    <b v="1"/>
    <s v="C00"/>
    <s v="TOTAL CPC"/>
    <s v="0"/>
    <n v="0"/>
    <s v="TOTAL MOT"/>
    <n v="8"/>
    <s v="kg"/>
    <n v="264462.30099999998"/>
    <b v="1"/>
    <n v="-1"/>
    <s v="N/A"/>
    <n v="0"/>
    <b v="0"/>
    <n v="264462.30099999998"/>
    <b v="1"/>
    <n v="0"/>
    <b v="0"/>
    <n v="145923.06099999999"/>
    <m/>
    <n v="145923.06099999999"/>
    <n v="6"/>
    <b v="1"/>
    <b v="0"/>
  </r>
  <r>
    <x v="1"/>
    <s v="C"/>
    <s v="M"/>
    <n v="20230201"/>
    <x v="1"/>
    <x v="1"/>
    <s v="202302"/>
    <n v="818"/>
    <s v="EGY"/>
    <x v="0"/>
    <s v="M"/>
    <x v="0"/>
    <n v="724"/>
    <s v="ESP"/>
    <x v="3"/>
    <n v="0"/>
    <s v="W00"/>
    <s v="World"/>
    <s v="H6"/>
    <s v="HS"/>
    <b v="1"/>
    <s v="391590"/>
    <s v="Plastics n.e.c. in heading no. 3915; waste, parings and scrap"/>
    <n v="6"/>
    <b v="1"/>
    <s v="C00"/>
    <s v="TOTAL CPC"/>
    <s v="0"/>
    <n v="0"/>
    <s v="TOTAL MOT"/>
    <n v="8"/>
    <s v="kg"/>
    <n v="138490.014"/>
    <b v="1"/>
    <n v="-1"/>
    <s v="N/A"/>
    <n v="0"/>
    <b v="0"/>
    <n v="138490.014"/>
    <b v="1"/>
    <n v="0"/>
    <b v="0"/>
    <n v="76415"/>
    <m/>
    <n v="76415"/>
    <n v="6"/>
    <b v="1"/>
    <b v="0"/>
  </r>
  <r>
    <x v="1"/>
    <s v="C"/>
    <s v="M"/>
    <n v="20230201"/>
    <x v="1"/>
    <x v="1"/>
    <s v="202302"/>
    <n v="818"/>
    <s v="EGY"/>
    <x v="0"/>
    <s v="M"/>
    <x v="0"/>
    <n v="729"/>
    <s v="SDN"/>
    <x v="17"/>
    <n v="0"/>
    <s v="W00"/>
    <s v="World"/>
    <s v="H6"/>
    <s v="HS"/>
    <b v="1"/>
    <s v="391590"/>
    <s v="Plastics n.e.c. in heading no. 3915; waste, parings and scrap"/>
    <n v="6"/>
    <b v="1"/>
    <s v="C00"/>
    <s v="TOTAL CPC"/>
    <s v="0"/>
    <n v="0"/>
    <s v="TOTAL MOT"/>
    <n v="8"/>
    <s v="kg"/>
    <n v="576759.30200000003"/>
    <b v="1"/>
    <n v="-1"/>
    <s v="N/A"/>
    <n v="0"/>
    <b v="0"/>
    <n v="576759.30200000003"/>
    <b v="1"/>
    <n v="0"/>
    <b v="0"/>
    <n v="318240"/>
    <m/>
    <n v="318240"/>
    <n v="6"/>
    <b v="1"/>
    <b v="0"/>
  </r>
  <r>
    <x v="1"/>
    <s v="C"/>
    <s v="M"/>
    <n v="20230201"/>
    <x v="1"/>
    <x v="1"/>
    <s v="202302"/>
    <n v="818"/>
    <s v="EGY"/>
    <x v="0"/>
    <s v="M"/>
    <x v="0"/>
    <n v="842"/>
    <s v="USA"/>
    <x v="21"/>
    <n v="0"/>
    <s v="W00"/>
    <s v="World"/>
    <s v="H6"/>
    <s v="HS"/>
    <b v="1"/>
    <s v="391590"/>
    <s v="Plastics n.e.c. in heading no. 3915; waste, parings and scrap"/>
    <n v="6"/>
    <b v="1"/>
    <s v="C00"/>
    <s v="TOTAL CPC"/>
    <s v="0"/>
    <n v="0"/>
    <s v="TOTAL MOT"/>
    <n v="8"/>
    <s v="kg"/>
    <n v="28678.451000000001"/>
    <b v="1"/>
    <n v="-1"/>
    <s v="N/A"/>
    <n v="0"/>
    <b v="0"/>
    <n v="28678.451000000001"/>
    <b v="1"/>
    <n v="0"/>
    <b v="0"/>
    <n v="15823.984"/>
    <m/>
    <n v="15823.984"/>
    <n v="6"/>
    <b v="1"/>
    <b v="0"/>
  </r>
  <r>
    <x v="1"/>
    <s v="C"/>
    <s v="M"/>
    <n v="20230201"/>
    <x v="1"/>
    <x v="1"/>
    <s v="202302"/>
    <n v="818"/>
    <s v="EGY"/>
    <x v="0"/>
    <s v="M"/>
    <x v="0"/>
    <n v="887"/>
    <s v="YEM"/>
    <x v="5"/>
    <n v="0"/>
    <s v="W00"/>
    <s v="World"/>
    <s v="H6"/>
    <s v="HS"/>
    <b v="1"/>
    <s v="391590"/>
    <s v="Plastics n.e.c. in heading no. 3915; waste, parings and scrap"/>
    <n v="6"/>
    <b v="1"/>
    <s v="C00"/>
    <s v="TOTAL CPC"/>
    <s v="0"/>
    <n v="0"/>
    <s v="TOTAL MOT"/>
    <n v="8"/>
    <s v="kg"/>
    <n v="1277470.0209999999"/>
    <b v="1"/>
    <n v="-1"/>
    <s v="N/A"/>
    <n v="0"/>
    <b v="0"/>
    <n v="1277470.0209999999"/>
    <b v="1"/>
    <n v="0"/>
    <b v="0"/>
    <n v="704873"/>
    <m/>
    <n v="704873"/>
    <n v="6"/>
    <b v="1"/>
    <b v="0"/>
  </r>
  <r>
    <x v="1"/>
    <s v="C"/>
    <s v="M"/>
    <n v="20230301"/>
    <x v="1"/>
    <x v="2"/>
    <s v="202303"/>
    <n v="818"/>
    <s v="EGY"/>
    <x v="0"/>
    <s v="M"/>
    <x v="0"/>
    <n v="0"/>
    <s v="W00"/>
    <x v="0"/>
    <n v="0"/>
    <s v="W00"/>
    <s v="World"/>
    <s v="H6"/>
    <s v="HS"/>
    <b v="1"/>
    <s v="391590"/>
    <s v="Plastics n.e.c. in heading no. 3915; waste, parings and scrap"/>
    <n v="6"/>
    <b v="1"/>
    <s v="C00"/>
    <s v="TOTAL CPC"/>
    <s v="0"/>
    <n v="0"/>
    <s v="TOTAL MOT"/>
    <n v="8"/>
    <s v="kg"/>
    <n v="4352290.4289999995"/>
    <b v="1"/>
    <n v="-1"/>
    <s v="N/A"/>
    <n v="0"/>
    <b v="0"/>
    <n v="4352290.4289999995"/>
    <b v="1"/>
    <n v="0"/>
    <b v="0"/>
    <n v="2401474.7590000001"/>
    <m/>
    <n v="2401474.7590000001"/>
    <n v="6"/>
    <b v="0"/>
    <b v="1"/>
  </r>
  <r>
    <x v="1"/>
    <s v="C"/>
    <s v="M"/>
    <n v="20230301"/>
    <x v="1"/>
    <x v="2"/>
    <s v="202303"/>
    <n v="818"/>
    <s v="EGY"/>
    <x v="0"/>
    <s v="M"/>
    <x v="0"/>
    <n v="566"/>
    <s v="NGA"/>
    <x v="16"/>
    <n v="0"/>
    <s v="W00"/>
    <s v="World"/>
    <s v="H6"/>
    <s v="HS"/>
    <b v="1"/>
    <s v="391590"/>
    <s v="Plastics n.e.c. in heading no. 3915; waste, parings and scrap"/>
    <n v="6"/>
    <b v="1"/>
    <s v="C00"/>
    <s v="TOTAL CPC"/>
    <s v="0"/>
    <n v="0"/>
    <s v="TOTAL MOT"/>
    <n v="8"/>
    <s v="kg"/>
    <n v="132478.73499999999"/>
    <b v="1"/>
    <n v="-1"/>
    <s v="N/A"/>
    <n v="0"/>
    <b v="0"/>
    <n v="132478.73499999999"/>
    <b v="1"/>
    <n v="0"/>
    <b v="0"/>
    <n v="73098.141000000003"/>
    <m/>
    <n v="73098.141000000003"/>
    <n v="6"/>
    <b v="1"/>
    <b v="0"/>
  </r>
  <r>
    <x v="1"/>
    <s v="C"/>
    <s v="M"/>
    <n v="20230301"/>
    <x v="1"/>
    <x v="2"/>
    <s v="202303"/>
    <n v="818"/>
    <s v="EGY"/>
    <x v="0"/>
    <s v="M"/>
    <x v="0"/>
    <n v="620"/>
    <s v="PRT"/>
    <x v="10"/>
    <n v="0"/>
    <s v="W00"/>
    <s v="World"/>
    <s v="H6"/>
    <s v="HS"/>
    <b v="1"/>
    <s v="391590"/>
    <s v="Plastics n.e.c. in heading no. 3915; waste, parings and scrap"/>
    <n v="6"/>
    <b v="1"/>
    <s v="C00"/>
    <s v="TOTAL CPC"/>
    <s v="0"/>
    <n v="0"/>
    <s v="TOTAL MOT"/>
    <n v="8"/>
    <s v="kg"/>
    <n v="205438.785"/>
    <b v="1"/>
    <n v="-1"/>
    <s v="N/A"/>
    <n v="0"/>
    <b v="0"/>
    <n v="205438.785"/>
    <b v="1"/>
    <n v="0"/>
    <b v="0"/>
    <n v="113355.5"/>
    <m/>
    <n v="113355.5"/>
    <n v="6"/>
    <b v="1"/>
    <b v="0"/>
  </r>
  <r>
    <x v="1"/>
    <s v="C"/>
    <s v="M"/>
    <n v="20230301"/>
    <x v="1"/>
    <x v="2"/>
    <s v="202303"/>
    <n v="818"/>
    <s v="EGY"/>
    <x v="0"/>
    <s v="M"/>
    <x v="0"/>
    <n v="686"/>
    <s v="SEN"/>
    <x v="8"/>
    <n v="0"/>
    <s v="W00"/>
    <s v="World"/>
    <s v="H6"/>
    <s v="HS"/>
    <b v="1"/>
    <s v="391590"/>
    <s v="Plastics n.e.c. in heading no. 3915; waste, parings and scrap"/>
    <n v="6"/>
    <b v="1"/>
    <s v="C00"/>
    <s v="TOTAL CPC"/>
    <s v="0"/>
    <n v="0"/>
    <s v="TOTAL MOT"/>
    <n v="8"/>
    <s v="kg"/>
    <n v="442024.31599999999"/>
    <b v="1"/>
    <n v="-1"/>
    <s v="N/A"/>
    <n v="0"/>
    <b v="0"/>
    <n v="442024.31599999999"/>
    <b v="1"/>
    <n v="0"/>
    <b v="0"/>
    <n v="243896.92199999999"/>
    <m/>
    <n v="243896.92199999999"/>
    <n v="6"/>
    <b v="1"/>
    <b v="0"/>
  </r>
  <r>
    <x v="1"/>
    <s v="C"/>
    <s v="M"/>
    <n v="20230301"/>
    <x v="1"/>
    <x v="2"/>
    <s v="202303"/>
    <n v="818"/>
    <s v="EGY"/>
    <x v="0"/>
    <s v="M"/>
    <x v="0"/>
    <n v="724"/>
    <s v="ESP"/>
    <x v="3"/>
    <n v="0"/>
    <s v="W00"/>
    <s v="World"/>
    <s v="H6"/>
    <s v="HS"/>
    <b v="1"/>
    <s v="391590"/>
    <s v="Plastics n.e.c. in heading no. 3915; waste, parings and scrap"/>
    <n v="6"/>
    <b v="1"/>
    <s v="C00"/>
    <s v="TOTAL CPC"/>
    <s v="0"/>
    <n v="0"/>
    <s v="TOTAL MOT"/>
    <n v="8"/>
    <s v="kg"/>
    <n v="62644.506000000001"/>
    <b v="1"/>
    <n v="-1"/>
    <s v="N/A"/>
    <n v="0"/>
    <b v="0"/>
    <n v="62644.506000000001"/>
    <b v="1"/>
    <n v="0"/>
    <b v="0"/>
    <n v="34565.523999999998"/>
    <m/>
    <n v="34565.523999999998"/>
    <n v="6"/>
    <b v="1"/>
    <b v="0"/>
  </r>
  <r>
    <x v="1"/>
    <s v="C"/>
    <s v="M"/>
    <n v="20230301"/>
    <x v="1"/>
    <x v="2"/>
    <s v="202303"/>
    <n v="818"/>
    <s v="EGY"/>
    <x v="0"/>
    <s v="M"/>
    <x v="0"/>
    <n v="729"/>
    <s v="SDN"/>
    <x v="17"/>
    <n v="0"/>
    <s v="W00"/>
    <s v="World"/>
    <s v="H6"/>
    <s v="HS"/>
    <b v="1"/>
    <s v="391590"/>
    <s v="Plastics n.e.c. in heading no. 3915; waste, parings and scrap"/>
    <n v="6"/>
    <b v="1"/>
    <s v="C00"/>
    <s v="TOTAL CPC"/>
    <s v="0"/>
    <n v="0"/>
    <s v="TOTAL MOT"/>
    <n v="8"/>
    <s v="kg"/>
    <n v="188555.92600000001"/>
    <b v="1"/>
    <n v="-1"/>
    <s v="N/A"/>
    <n v="0"/>
    <b v="0"/>
    <n v="188555.92600000001"/>
    <b v="1"/>
    <n v="0"/>
    <b v="0"/>
    <n v="104040"/>
    <m/>
    <n v="104040"/>
    <n v="6"/>
    <b v="1"/>
    <b v="0"/>
  </r>
  <r>
    <x v="1"/>
    <s v="C"/>
    <s v="M"/>
    <n v="20230301"/>
    <x v="1"/>
    <x v="2"/>
    <s v="202303"/>
    <n v="818"/>
    <s v="EGY"/>
    <x v="0"/>
    <s v="M"/>
    <x v="0"/>
    <n v="792"/>
    <s v="TUR"/>
    <x v="9"/>
    <n v="0"/>
    <s v="W00"/>
    <s v="World"/>
    <s v="H6"/>
    <s v="HS"/>
    <b v="1"/>
    <s v="391590"/>
    <s v="Plastics n.e.c. in heading no. 3915; waste, parings and scrap"/>
    <n v="6"/>
    <b v="1"/>
    <s v="C00"/>
    <s v="TOTAL CPC"/>
    <s v="0"/>
    <n v="0"/>
    <s v="TOTAL MOT"/>
    <n v="8"/>
    <s v="kg"/>
    <n v="273671.09100000001"/>
    <b v="1"/>
    <n v="-1"/>
    <s v="N/A"/>
    <n v="0"/>
    <b v="0"/>
    <n v="273671.09100000001"/>
    <b v="1"/>
    <n v="0"/>
    <b v="0"/>
    <n v="151004.21900000001"/>
    <m/>
    <n v="151004.21900000001"/>
    <n v="6"/>
    <b v="1"/>
    <b v="0"/>
  </r>
  <r>
    <x v="1"/>
    <s v="C"/>
    <s v="M"/>
    <n v="20230301"/>
    <x v="1"/>
    <x v="2"/>
    <s v="202303"/>
    <n v="818"/>
    <s v="EGY"/>
    <x v="0"/>
    <s v="M"/>
    <x v="0"/>
    <n v="887"/>
    <s v="YEM"/>
    <x v="5"/>
    <n v="0"/>
    <s v="W00"/>
    <s v="World"/>
    <s v="H6"/>
    <s v="HS"/>
    <b v="1"/>
    <s v="391590"/>
    <s v="Plastics n.e.c. in heading no. 3915; waste, parings and scrap"/>
    <n v="6"/>
    <b v="1"/>
    <s v="C00"/>
    <s v="TOTAL CPC"/>
    <s v="0"/>
    <n v="0"/>
    <s v="TOTAL MOT"/>
    <n v="8"/>
    <s v="kg"/>
    <n v="3047477.07"/>
    <b v="1"/>
    <n v="-1"/>
    <s v="N/A"/>
    <n v="0"/>
    <b v="0"/>
    <n v="3047477.07"/>
    <b v="1"/>
    <n v="0"/>
    <b v="0"/>
    <n v="1681514.453"/>
    <m/>
    <n v="1681514.453"/>
    <n v="6"/>
    <b v="1"/>
    <b v="0"/>
  </r>
  <r>
    <x v="1"/>
    <s v="C"/>
    <s v="M"/>
    <n v="20230401"/>
    <x v="1"/>
    <x v="3"/>
    <s v="202304"/>
    <n v="818"/>
    <s v="EGY"/>
    <x v="0"/>
    <s v="M"/>
    <x v="0"/>
    <n v="0"/>
    <s v="W00"/>
    <x v="0"/>
    <n v="0"/>
    <s v="W00"/>
    <s v="World"/>
    <s v="H6"/>
    <s v="HS"/>
    <b v="1"/>
    <s v="391590"/>
    <s v="Plastics n.e.c. in heading no. 3915; waste, parings and scrap"/>
    <n v="6"/>
    <b v="1"/>
    <s v="C00"/>
    <s v="TOTAL CPC"/>
    <s v="0"/>
    <n v="0"/>
    <s v="TOTAL MOT"/>
    <n v="8"/>
    <s v="kg"/>
    <n v="919730.348"/>
    <b v="1"/>
    <n v="-1"/>
    <s v="N/A"/>
    <n v="0"/>
    <b v="0"/>
    <n v="919730.348"/>
    <b v="1"/>
    <n v="0"/>
    <b v="0"/>
    <n v="507482.038"/>
    <m/>
    <n v="507482.038"/>
    <n v="6"/>
    <b v="0"/>
    <b v="1"/>
  </r>
  <r>
    <x v="1"/>
    <s v="C"/>
    <s v="M"/>
    <n v="20230401"/>
    <x v="1"/>
    <x v="3"/>
    <s v="202304"/>
    <n v="818"/>
    <s v="EGY"/>
    <x v="0"/>
    <s v="M"/>
    <x v="0"/>
    <n v="380"/>
    <s v="ITA"/>
    <x v="7"/>
    <n v="0"/>
    <s v="W00"/>
    <s v="World"/>
    <s v="H6"/>
    <s v="HS"/>
    <b v="1"/>
    <s v="391590"/>
    <s v="Plastics n.e.c. in heading no. 3915; waste, parings and scrap"/>
    <n v="6"/>
    <b v="1"/>
    <s v="C00"/>
    <s v="TOTAL CPC"/>
    <s v="0"/>
    <n v="0"/>
    <s v="TOTAL MOT"/>
    <n v="8"/>
    <s v="kg"/>
    <n v="330125.10700000002"/>
    <b v="1"/>
    <n v="-1"/>
    <s v="N/A"/>
    <n v="0"/>
    <b v="0"/>
    <n v="330125.10700000002"/>
    <b v="1"/>
    <n v="0"/>
    <b v="0"/>
    <n v="182154"/>
    <m/>
    <n v="182154"/>
    <n v="6"/>
    <b v="1"/>
    <b v="0"/>
  </r>
  <r>
    <x v="1"/>
    <s v="C"/>
    <s v="M"/>
    <n v="20230401"/>
    <x v="1"/>
    <x v="3"/>
    <s v="202304"/>
    <n v="818"/>
    <s v="EGY"/>
    <x v="0"/>
    <s v="M"/>
    <x v="0"/>
    <n v="729"/>
    <s v="SDN"/>
    <x v="17"/>
    <n v="0"/>
    <s v="W00"/>
    <s v="World"/>
    <s v="H6"/>
    <s v="HS"/>
    <b v="1"/>
    <s v="391590"/>
    <s v="Plastics n.e.c. in heading no. 3915; waste, parings and scrap"/>
    <n v="6"/>
    <b v="1"/>
    <s v="C00"/>
    <s v="TOTAL CPC"/>
    <s v="0"/>
    <n v="0"/>
    <s v="TOTAL MOT"/>
    <n v="8"/>
    <s v="kg"/>
    <n v="226267.111"/>
    <b v="1"/>
    <n v="-1"/>
    <s v="N/A"/>
    <n v="0"/>
    <b v="0"/>
    <n v="226267.111"/>
    <b v="1"/>
    <n v="0"/>
    <b v="0"/>
    <n v="124848"/>
    <m/>
    <n v="124848"/>
    <n v="6"/>
    <b v="1"/>
    <b v="0"/>
  </r>
  <r>
    <x v="1"/>
    <s v="C"/>
    <s v="M"/>
    <n v="20230401"/>
    <x v="1"/>
    <x v="3"/>
    <s v="202304"/>
    <n v="818"/>
    <s v="EGY"/>
    <x v="0"/>
    <s v="M"/>
    <x v="0"/>
    <n v="842"/>
    <s v="USA"/>
    <x v="21"/>
    <n v="0"/>
    <s v="W00"/>
    <s v="World"/>
    <s v="H6"/>
    <s v="HS"/>
    <b v="1"/>
    <s v="391590"/>
    <s v="Plastics n.e.c. in heading no. 3915; waste, parings and scrap"/>
    <n v="6"/>
    <b v="1"/>
    <s v="C00"/>
    <s v="TOTAL CPC"/>
    <s v="0"/>
    <n v="0"/>
    <s v="TOTAL MOT"/>
    <n v="8"/>
    <s v="kg"/>
    <n v="102807.246"/>
    <b v="1"/>
    <n v="-1"/>
    <s v="N/A"/>
    <n v="0"/>
    <b v="0"/>
    <n v="102807.246"/>
    <b v="1"/>
    <n v="0"/>
    <b v="0"/>
    <n v="56726.224999999999"/>
    <m/>
    <n v="56726.224999999999"/>
    <n v="6"/>
    <b v="1"/>
    <b v="0"/>
  </r>
  <r>
    <x v="1"/>
    <s v="C"/>
    <s v="M"/>
    <n v="20230401"/>
    <x v="1"/>
    <x v="3"/>
    <s v="202304"/>
    <n v="818"/>
    <s v="EGY"/>
    <x v="0"/>
    <s v="M"/>
    <x v="0"/>
    <n v="887"/>
    <s v="YEM"/>
    <x v="5"/>
    <n v="0"/>
    <s v="W00"/>
    <s v="World"/>
    <s v="H6"/>
    <s v="HS"/>
    <b v="1"/>
    <s v="391590"/>
    <s v="Plastics n.e.c. in heading no. 3915; waste, parings and scrap"/>
    <n v="6"/>
    <b v="1"/>
    <s v="C00"/>
    <s v="TOTAL CPC"/>
    <s v="0"/>
    <n v="0"/>
    <s v="TOTAL MOT"/>
    <n v="8"/>
    <s v="kg"/>
    <n v="260530.88399999999"/>
    <b v="1"/>
    <n v="-1"/>
    <s v="N/A"/>
    <n v="0"/>
    <b v="0"/>
    <n v="260530.88399999999"/>
    <b v="1"/>
    <n v="0"/>
    <b v="0"/>
    <n v="143753.81299999999"/>
    <m/>
    <n v="143753.81299999999"/>
    <n v="6"/>
    <b v="1"/>
    <b v="0"/>
  </r>
  <r>
    <x v="1"/>
    <s v="C"/>
    <s v="M"/>
    <n v="20230501"/>
    <x v="1"/>
    <x v="4"/>
    <s v="202305"/>
    <n v="818"/>
    <s v="EGY"/>
    <x v="0"/>
    <s v="M"/>
    <x v="0"/>
    <n v="0"/>
    <s v="W00"/>
    <x v="0"/>
    <n v="0"/>
    <s v="W00"/>
    <s v="World"/>
    <s v="H6"/>
    <s v="HS"/>
    <b v="1"/>
    <s v="391590"/>
    <s v="Plastics n.e.c. in heading no. 3915; waste, parings and scrap"/>
    <n v="6"/>
    <b v="1"/>
    <s v="C00"/>
    <s v="TOTAL CPC"/>
    <s v="0"/>
    <n v="0"/>
    <s v="TOTAL MOT"/>
    <n v="8"/>
    <s v="kg"/>
    <n v="917489.11499999999"/>
    <b v="1"/>
    <n v="-1"/>
    <s v="N/A"/>
    <n v="0"/>
    <b v="0"/>
    <n v="917489.11499999999"/>
    <b v="1"/>
    <n v="0"/>
    <b v="0"/>
    <n v="506245.38699999999"/>
    <m/>
    <n v="506245.38699999999"/>
    <n v="6"/>
    <b v="0"/>
    <b v="1"/>
  </r>
  <r>
    <x v="1"/>
    <s v="C"/>
    <s v="M"/>
    <n v="20230501"/>
    <x v="1"/>
    <x v="4"/>
    <s v="202305"/>
    <n v="818"/>
    <s v="EGY"/>
    <x v="0"/>
    <s v="M"/>
    <x v="0"/>
    <n v="528"/>
    <s v="NLD"/>
    <x v="14"/>
    <n v="0"/>
    <s v="W00"/>
    <s v="World"/>
    <s v="H6"/>
    <s v="HS"/>
    <b v="1"/>
    <s v="391590"/>
    <s v="Plastics n.e.c. in heading no. 3915; waste, parings and scrap"/>
    <n v="6"/>
    <b v="1"/>
    <s v="C00"/>
    <s v="TOTAL CPC"/>
    <s v="0"/>
    <n v="0"/>
    <s v="TOTAL MOT"/>
    <n v="8"/>
    <s v="kg"/>
    <n v="193929.774"/>
    <b v="1"/>
    <n v="-1"/>
    <s v="N/A"/>
    <n v="0"/>
    <b v="0"/>
    <n v="193929.774"/>
    <b v="1"/>
    <n v="0"/>
    <b v="0"/>
    <n v="107005.143"/>
    <m/>
    <n v="107005.143"/>
    <n v="6"/>
    <b v="1"/>
    <b v="0"/>
  </r>
  <r>
    <x v="1"/>
    <s v="C"/>
    <s v="M"/>
    <n v="20230501"/>
    <x v="1"/>
    <x v="4"/>
    <s v="202305"/>
    <n v="818"/>
    <s v="EGY"/>
    <x v="0"/>
    <s v="M"/>
    <x v="0"/>
    <n v="724"/>
    <s v="ESP"/>
    <x v="3"/>
    <n v="0"/>
    <s v="W00"/>
    <s v="World"/>
    <s v="H6"/>
    <s v="HS"/>
    <b v="1"/>
    <s v="391590"/>
    <s v="Plastics n.e.c. in heading no. 3915; waste, parings and scrap"/>
    <n v="6"/>
    <b v="1"/>
    <s v="C00"/>
    <s v="TOTAL CPC"/>
    <s v="0"/>
    <n v="0"/>
    <s v="TOTAL MOT"/>
    <n v="8"/>
    <s v="kg"/>
    <n v="203353.378"/>
    <b v="1"/>
    <n v="-1"/>
    <s v="N/A"/>
    <n v="0"/>
    <b v="0"/>
    <n v="203353.378"/>
    <b v="1"/>
    <n v="0"/>
    <b v="0"/>
    <n v="112204.829"/>
    <m/>
    <n v="112204.829"/>
    <n v="6"/>
    <b v="1"/>
    <b v="0"/>
  </r>
  <r>
    <x v="1"/>
    <s v="C"/>
    <s v="M"/>
    <n v="20230501"/>
    <x v="1"/>
    <x v="4"/>
    <s v="202305"/>
    <n v="818"/>
    <s v="EGY"/>
    <x v="0"/>
    <s v="M"/>
    <x v="0"/>
    <n v="792"/>
    <s v="TUR"/>
    <x v="9"/>
    <n v="0"/>
    <s v="W00"/>
    <s v="World"/>
    <s v="H6"/>
    <s v="HS"/>
    <b v="1"/>
    <s v="391590"/>
    <s v="Plastics n.e.c. in heading no. 3915; waste, parings and scrap"/>
    <n v="6"/>
    <b v="1"/>
    <s v="C00"/>
    <s v="TOTAL CPC"/>
    <s v="0"/>
    <n v="0"/>
    <s v="TOTAL MOT"/>
    <n v="8"/>
    <s v="kg"/>
    <n v="190766.103"/>
    <b v="1"/>
    <n v="-1"/>
    <s v="N/A"/>
    <n v="0"/>
    <b v="0"/>
    <n v="190766.103"/>
    <b v="1"/>
    <n v="0"/>
    <b v="0"/>
    <n v="105259.516"/>
    <m/>
    <n v="105259.516"/>
    <n v="6"/>
    <b v="1"/>
    <b v="0"/>
  </r>
  <r>
    <x v="1"/>
    <s v="C"/>
    <s v="M"/>
    <n v="20230501"/>
    <x v="1"/>
    <x v="4"/>
    <s v="202305"/>
    <n v="818"/>
    <s v="EGY"/>
    <x v="0"/>
    <s v="M"/>
    <x v="0"/>
    <n v="842"/>
    <s v="USA"/>
    <x v="21"/>
    <n v="0"/>
    <s v="W00"/>
    <s v="World"/>
    <s v="H6"/>
    <s v="HS"/>
    <b v="1"/>
    <s v="391590"/>
    <s v="Plastics n.e.c. in heading no. 3915; waste, parings and scrap"/>
    <n v="6"/>
    <b v="1"/>
    <s v="C00"/>
    <s v="TOTAL CPC"/>
    <s v="0"/>
    <n v="0"/>
    <s v="TOTAL MOT"/>
    <n v="8"/>
    <s v="kg"/>
    <n v="83545.524000000005"/>
    <b v="1"/>
    <n v="-1"/>
    <s v="N/A"/>
    <n v="0"/>
    <b v="0"/>
    <n v="83545.524000000005"/>
    <b v="1"/>
    <n v="0"/>
    <b v="0"/>
    <n v="46098.133999999998"/>
    <m/>
    <n v="46098.133999999998"/>
    <n v="6"/>
    <b v="1"/>
    <b v="0"/>
  </r>
  <r>
    <x v="1"/>
    <s v="C"/>
    <s v="M"/>
    <n v="20230501"/>
    <x v="1"/>
    <x v="4"/>
    <s v="202305"/>
    <n v="818"/>
    <s v="EGY"/>
    <x v="0"/>
    <s v="M"/>
    <x v="0"/>
    <n v="887"/>
    <s v="YEM"/>
    <x v="5"/>
    <n v="0"/>
    <s v="W00"/>
    <s v="World"/>
    <s v="H6"/>
    <s v="HS"/>
    <b v="1"/>
    <s v="391590"/>
    <s v="Plastics n.e.c. in heading no. 3915; waste, parings and scrap"/>
    <n v="6"/>
    <b v="1"/>
    <s v="C00"/>
    <s v="TOTAL CPC"/>
    <s v="0"/>
    <n v="0"/>
    <s v="TOTAL MOT"/>
    <n v="8"/>
    <s v="kg"/>
    <n v="245894.33600000001"/>
    <b v="1"/>
    <n v="-1"/>
    <s v="N/A"/>
    <n v="0"/>
    <b v="0"/>
    <n v="245894.33600000001"/>
    <b v="1"/>
    <n v="0"/>
    <b v="0"/>
    <n v="135677.766"/>
    <m/>
    <n v="135677.766"/>
    <n v="6"/>
    <b v="1"/>
    <b v="0"/>
  </r>
  <r>
    <x v="1"/>
    <s v="C"/>
    <s v="M"/>
    <n v="20230601"/>
    <x v="1"/>
    <x v="5"/>
    <s v="202306"/>
    <n v="818"/>
    <s v="EGY"/>
    <x v="0"/>
    <s v="M"/>
    <x v="0"/>
    <n v="0"/>
    <s v="W00"/>
    <x v="0"/>
    <n v="0"/>
    <s v="W00"/>
    <s v="World"/>
    <s v="H6"/>
    <s v="HS"/>
    <b v="1"/>
    <s v="391590"/>
    <s v="Plastics n.e.c. in heading no. 3915; waste, parings and scrap"/>
    <n v="6"/>
    <b v="1"/>
    <s v="C00"/>
    <s v="TOTAL CPC"/>
    <s v="0"/>
    <n v="0"/>
    <s v="TOTAL MOT"/>
    <n v="8"/>
    <s v="kg"/>
    <n v="815339.41700000002"/>
    <b v="1"/>
    <n v="-1"/>
    <s v="N/A"/>
    <n v="0"/>
    <b v="0"/>
    <n v="815339.41700000002"/>
    <b v="1"/>
    <n v="0"/>
    <b v="0"/>
    <n v="449881.97899999999"/>
    <m/>
    <n v="449881.97899999999"/>
    <n v="6"/>
    <b v="0"/>
    <b v="1"/>
  </r>
  <r>
    <x v="1"/>
    <s v="C"/>
    <s v="M"/>
    <n v="20230601"/>
    <x v="1"/>
    <x v="5"/>
    <s v="202306"/>
    <n v="818"/>
    <s v="EGY"/>
    <x v="0"/>
    <s v="M"/>
    <x v="0"/>
    <n v="686"/>
    <s v="SEN"/>
    <x v="8"/>
    <n v="0"/>
    <s v="W00"/>
    <s v="World"/>
    <s v="H6"/>
    <s v="HS"/>
    <b v="1"/>
    <s v="391590"/>
    <s v="Plastics n.e.c. in heading no. 3915; waste, parings and scrap"/>
    <n v="6"/>
    <b v="1"/>
    <s v="C00"/>
    <s v="TOTAL CPC"/>
    <s v="0"/>
    <n v="0"/>
    <s v="TOTAL MOT"/>
    <n v="8"/>
    <s v="kg"/>
    <n v="461301.39199999999"/>
    <b v="1"/>
    <n v="-1"/>
    <s v="N/A"/>
    <n v="0"/>
    <b v="0"/>
    <n v="461301.39199999999"/>
    <b v="1"/>
    <n v="0"/>
    <b v="0"/>
    <n v="254533.484"/>
    <m/>
    <n v="254533.484"/>
    <n v="6"/>
    <b v="1"/>
    <b v="0"/>
  </r>
  <r>
    <x v="1"/>
    <s v="C"/>
    <s v="M"/>
    <n v="20230601"/>
    <x v="1"/>
    <x v="5"/>
    <s v="202306"/>
    <n v="818"/>
    <s v="EGY"/>
    <x v="0"/>
    <s v="M"/>
    <x v="0"/>
    <n v="724"/>
    <s v="ESP"/>
    <x v="3"/>
    <n v="0"/>
    <s v="W00"/>
    <s v="World"/>
    <s v="H6"/>
    <s v="HS"/>
    <b v="1"/>
    <s v="391590"/>
    <s v="Plastics n.e.c. in heading no. 3915; waste, parings and scrap"/>
    <n v="6"/>
    <b v="1"/>
    <s v="C00"/>
    <s v="TOTAL CPC"/>
    <s v="0"/>
    <n v="0"/>
    <s v="TOTAL MOT"/>
    <n v="8"/>
    <s v="kg"/>
    <n v="309779.43599999999"/>
    <b v="1"/>
    <n v="-1"/>
    <s v="N/A"/>
    <n v="0"/>
    <b v="0"/>
    <n v="309779.43599999999"/>
    <b v="1"/>
    <n v="0"/>
    <b v="0"/>
    <n v="170927.815"/>
    <m/>
    <n v="170927.815"/>
    <n v="6"/>
    <b v="1"/>
    <b v="0"/>
  </r>
  <r>
    <x v="1"/>
    <s v="C"/>
    <s v="M"/>
    <n v="20230601"/>
    <x v="1"/>
    <x v="5"/>
    <s v="202306"/>
    <n v="818"/>
    <s v="EGY"/>
    <x v="0"/>
    <s v="M"/>
    <x v="0"/>
    <n v="842"/>
    <s v="USA"/>
    <x v="21"/>
    <n v="0"/>
    <s v="W00"/>
    <s v="World"/>
    <s v="H6"/>
    <s v="HS"/>
    <b v="1"/>
    <s v="391590"/>
    <s v="Plastics n.e.c. in heading no. 3915; waste, parings and scrap"/>
    <n v="6"/>
    <b v="1"/>
    <s v="C00"/>
    <s v="TOTAL CPC"/>
    <s v="0"/>
    <n v="0"/>
    <s v="TOTAL MOT"/>
    <n v="8"/>
    <s v="kg"/>
    <n v="44258.59"/>
    <b v="1"/>
    <n v="-1"/>
    <s v="N/A"/>
    <n v="0"/>
    <b v="0"/>
    <n v="44258.59"/>
    <b v="1"/>
    <n v="0"/>
    <b v="0"/>
    <n v="24420.679"/>
    <m/>
    <n v="24420.679"/>
    <n v="6"/>
    <b v="1"/>
    <b v="0"/>
  </r>
  <r>
    <x v="0"/>
    <s v="C"/>
    <s v="M"/>
    <n v="20230701"/>
    <x v="1"/>
    <x v="6"/>
    <s v="202307"/>
    <n v="818"/>
    <s v="EGY"/>
    <x v="0"/>
    <s v="M"/>
    <x v="0"/>
    <n v="0"/>
    <s v="W00"/>
    <x v="0"/>
    <n v="0"/>
    <s v="W00"/>
    <s v="World"/>
    <s v="H6"/>
    <s v="HS"/>
    <b v="1"/>
    <s v="391590"/>
    <s v="Plastics n.e.c. in heading no. 3915; waste, parings and scrap"/>
    <n v="6"/>
    <b v="1"/>
    <s v="C00"/>
    <s v="TOTAL CPC"/>
    <s v="0"/>
    <n v="0"/>
    <s v="TOTAL MOT"/>
    <n v="8"/>
    <s v="kg"/>
    <n v="1798598.4140000001"/>
    <b v="1"/>
    <n v="-1"/>
    <s v="N/A"/>
    <n v="0"/>
    <b v="0"/>
    <n v="1798598.4140000001"/>
    <b v="1"/>
    <n v="0"/>
    <b v="0"/>
    <n v="992417.38699999999"/>
    <m/>
    <n v="992417.38699999999"/>
    <n v="6"/>
    <b v="0"/>
    <b v="1"/>
  </r>
  <r>
    <x v="0"/>
    <s v="C"/>
    <s v="M"/>
    <n v="20230701"/>
    <x v="1"/>
    <x v="6"/>
    <s v="202307"/>
    <n v="818"/>
    <s v="EGY"/>
    <x v="0"/>
    <s v="M"/>
    <x v="0"/>
    <n v="156"/>
    <s v="CHN"/>
    <x v="19"/>
    <n v="0"/>
    <s v="W00"/>
    <s v="World"/>
    <s v="H6"/>
    <s v="HS"/>
    <b v="1"/>
    <s v="391590"/>
    <s v="Plastics n.e.c. in heading no. 3915; waste, parings and scrap"/>
    <n v="6"/>
    <b v="1"/>
    <s v="C00"/>
    <s v="TOTAL CPC"/>
    <s v="0"/>
    <n v="0"/>
    <s v="TOTAL MOT"/>
    <n v="8"/>
    <s v="kg"/>
    <n v="27166.987000000001"/>
    <b v="1"/>
    <n v="-1"/>
    <s v="N/A"/>
    <n v="0"/>
    <b v="0"/>
    <n v="27166.987000000001"/>
    <b v="1"/>
    <n v="0"/>
    <b v="0"/>
    <n v="14990"/>
    <m/>
    <n v="14990"/>
    <n v="6"/>
    <b v="1"/>
    <b v="0"/>
  </r>
  <r>
    <x v="0"/>
    <s v="C"/>
    <s v="M"/>
    <n v="20230701"/>
    <x v="1"/>
    <x v="6"/>
    <s v="202307"/>
    <n v="818"/>
    <s v="EGY"/>
    <x v="0"/>
    <s v="M"/>
    <x v="0"/>
    <n v="300"/>
    <s v="GRC"/>
    <x v="22"/>
    <n v="0"/>
    <s v="W00"/>
    <s v="World"/>
    <s v="H6"/>
    <s v="HS"/>
    <b v="1"/>
    <s v="391590"/>
    <s v="Plastics n.e.c. in heading no. 3915; waste, parings and scrap"/>
    <n v="6"/>
    <b v="1"/>
    <s v="C00"/>
    <s v="TOTAL CPC"/>
    <s v="0"/>
    <n v="0"/>
    <s v="TOTAL MOT"/>
    <n v="8"/>
    <s v="kg"/>
    <n v="56074.631999999998"/>
    <b v="1"/>
    <n v="-1"/>
    <s v="N/A"/>
    <n v="0"/>
    <b v="0"/>
    <n v="56074.631999999998"/>
    <b v="1"/>
    <n v="0"/>
    <b v="0"/>
    <n v="30940.447"/>
    <m/>
    <n v="30940.447"/>
    <n v="6"/>
    <b v="1"/>
    <b v="0"/>
  </r>
  <r>
    <x v="0"/>
    <s v="C"/>
    <s v="M"/>
    <n v="20230701"/>
    <x v="1"/>
    <x v="6"/>
    <s v="202307"/>
    <n v="818"/>
    <s v="EGY"/>
    <x v="0"/>
    <s v="M"/>
    <x v="0"/>
    <n v="380"/>
    <s v="ITA"/>
    <x v="7"/>
    <n v="0"/>
    <s v="W00"/>
    <s v="World"/>
    <s v="H6"/>
    <s v="HS"/>
    <b v="1"/>
    <s v="391590"/>
    <s v="Plastics n.e.c. in heading no. 3915; waste, parings and scrap"/>
    <n v="6"/>
    <b v="1"/>
    <s v="C00"/>
    <s v="TOTAL CPC"/>
    <s v="0"/>
    <n v="0"/>
    <s v="TOTAL MOT"/>
    <n v="8"/>
    <s v="kg"/>
    <n v="410741.674"/>
    <b v="1"/>
    <n v="-1"/>
    <s v="N/A"/>
    <n v="0"/>
    <b v="0"/>
    <n v="410741.674"/>
    <b v="1"/>
    <n v="0"/>
    <b v="0"/>
    <n v="226636.016"/>
    <m/>
    <n v="226636.016"/>
    <n v="6"/>
    <b v="1"/>
    <b v="0"/>
  </r>
  <r>
    <x v="0"/>
    <s v="C"/>
    <s v="M"/>
    <n v="20230701"/>
    <x v="1"/>
    <x v="6"/>
    <s v="202307"/>
    <n v="818"/>
    <s v="EGY"/>
    <x v="0"/>
    <s v="M"/>
    <x v="0"/>
    <n v="528"/>
    <s v="NLD"/>
    <x v="14"/>
    <n v="0"/>
    <s v="W00"/>
    <s v="World"/>
    <s v="H6"/>
    <s v="HS"/>
    <b v="1"/>
    <s v="391590"/>
    <s v="Plastics n.e.c. in heading no. 3915; waste, parings and scrap"/>
    <n v="6"/>
    <b v="1"/>
    <s v="C00"/>
    <s v="TOTAL CPC"/>
    <s v="0"/>
    <n v="0"/>
    <s v="TOTAL MOT"/>
    <n v="8"/>
    <s v="kg"/>
    <n v="91298.79"/>
    <b v="1"/>
    <n v="-1"/>
    <s v="N/A"/>
    <n v="0"/>
    <b v="0"/>
    <n v="91298.79"/>
    <b v="1"/>
    <n v="0"/>
    <b v="0"/>
    <n v="50376.173999999999"/>
    <m/>
    <n v="50376.173999999999"/>
    <n v="6"/>
    <b v="1"/>
    <b v="0"/>
  </r>
  <r>
    <x v="0"/>
    <s v="C"/>
    <s v="M"/>
    <n v="20230701"/>
    <x v="1"/>
    <x v="6"/>
    <s v="202307"/>
    <n v="818"/>
    <s v="EGY"/>
    <x v="0"/>
    <s v="M"/>
    <x v="0"/>
    <n v="887"/>
    <s v="YEM"/>
    <x v="5"/>
    <n v="0"/>
    <s v="W00"/>
    <s v="World"/>
    <s v="H6"/>
    <s v="HS"/>
    <b v="1"/>
    <s v="391590"/>
    <s v="Plastics n.e.c. in heading no. 3915; waste, parings and scrap"/>
    <n v="6"/>
    <b v="1"/>
    <s v="C00"/>
    <s v="TOTAL CPC"/>
    <s v="0"/>
    <n v="0"/>
    <s v="TOTAL MOT"/>
    <n v="8"/>
    <s v="kg"/>
    <n v="1213316.3319999999"/>
    <b v="1"/>
    <n v="-1"/>
    <s v="N/A"/>
    <n v="0"/>
    <b v="0"/>
    <n v="1213316.3319999999"/>
    <b v="1"/>
    <n v="0"/>
    <b v="0"/>
    <n v="669474.75"/>
    <m/>
    <n v="669474.75"/>
    <n v="6"/>
    <b v="1"/>
    <b v="0"/>
  </r>
  <r>
    <x v="0"/>
    <s v="C"/>
    <s v="M"/>
    <n v="20230701"/>
    <x v="1"/>
    <x v="6"/>
    <s v="202307"/>
    <n v="818"/>
    <s v="EGY"/>
    <x v="0"/>
    <s v="X"/>
    <x v="1"/>
    <n v="0"/>
    <s v="W00"/>
    <x v="0"/>
    <n v="0"/>
    <s v="W00"/>
    <s v="World"/>
    <s v="H6"/>
    <s v="HS"/>
    <b v="1"/>
    <s v="391590"/>
    <s v="Plastics n.e.c. in heading no. 3915; waste, parings and scrap"/>
    <n v="6"/>
    <b v="1"/>
    <s v="C00"/>
    <s v="TOTAL CPC"/>
    <s v="0"/>
    <n v="0"/>
    <s v="TOTAL MOT"/>
    <n v="-1"/>
    <s v="N/A"/>
    <n v="0"/>
    <b v="0"/>
    <n v="-1"/>
    <s v="N/A"/>
    <n v="0"/>
    <b v="0"/>
    <m/>
    <b v="0"/>
    <n v="0"/>
    <b v="0"/>
    <m/>
    <n v="23370"/>
    <n v="23370"/>
    <n v="0"/>
    <b v="0"/>
    <b v="1"/>
  </r>
  <r>
    <x v="0"/>
    <s v="C"/>
    <s v="M"/>
    <n v="20230701"/>
    <x v="1"/>
    <x v="6"/>
    <s v="202307"/>
    <n v="818"/>
    <s v="EGY"/>
    <x v="0"/>
    <s v="X"/>
    <x v="1"/>
    <n v="368"/>
    <s v="IRQ"/>
    <x v="23"/>
    <n v="0"/>
    <s v="W00"/>
    <s v="World"/>
    <s v="H6"/>
    <s v="HS"/>
    <b v="1"/>
    <s v="391590"/>
    <s v="Plastics n.e.c. in heading no. 3915; waste, parings and scrap"/>
    <n v="6"/>
    <b v="1"/>
    <s v="C00"/>
    <s v="TOTAL CPC"/>
    <s v="0"/>
    <n v="0"/>
    <s v="TOTAL MOT"/>
    <n v="-1"/>
    <s v="N/A"/>
    <n v="0"/>
    <b v="0"/>
    <n v="-1"/>
    <s v="N/A"/>
    <n v="0"/>
    <b v="0"/>
    <m/>
    <b v="0"/>
    <n v="0"/>
    <b v="0"/>
    <m/>
    <n v="23370"/>
    <n v="23370"/>
    <n v="0"/>
    <b v="1"/>
    <b v="0"/>
  </r>
  <r>
    <x v="0"/>
    <s v="C"/>
    <s v="M"/>
    <n v="20230801"/>
    <x v="1"/>
    <x v="7"/>
    <s v="202308"/>
    <n v="818"/>
    <s v="EGY"/>
    <x v="0"/>
    <s v="M"/>
    <x v="0"/>
    <n v="0"/>
    <s v="W00"/>
    <x v="0"/>
    <n v="0"/>
    <s v="W00"/>
    <s v="World"/>
    <s v="H6"/>
    <s v="HS"/>
    <b v="1"/>
    <s v="391590"/>
    <s v="Plastics n.e.c. in heading no. 3915; waste, parings and scrap"/>
    <n v="6"/>
    <b v="1"/>
    <s v="C00"/>
    <s v="TOTAL CPC"/>
    <s v="0"/>
    <n v="0"/>
    <s v="TOTAL MOT"/>
    <n v="8"/>
    <s v="kg"/>
    <n v="1150297.317"/>
    <b v="1"/>
    <n v="-1"/>
    <s v="N/A"/>
    <n v="0"/>
    <b v="0"/>
    <n v="1150297.317"/>
    <b v="1"/>
    <n v="0"/>
    <b v="0"/>
    <n v="634702.58200000005"/>
    <m/>
    <n v="634702.58200000005"/>
    <n v="6"/>
    <b v="0"/>
    <b v="1"/>
  </r>
  <r>
    <x v="0"/>
    <s v="C"/>
    <s v="M"/>
    <n v="20230801"/>
    <x v="1"/>
    <x v="7"/>
    <s v="202308"/>
    <n v="818"/>
    <s v="EGY"/>
    <x v="0"/>
    <s v="M"/>
    <x v="0"/>
    <n v="566"/>
    <s v="NGA"/>
    <x v="16"/>
    <n v="0"/>
    <s v="W00"/>
    <s v="World"/>
    <s v="H6"/>
    <s v="HS"/>
    <b v="1"/>
    <s v="391590"/>
    <s v="Plastics n.e.c. in heading no. 3915; waste, parings and scrap"/>
    <n v="6"/>
    <b v="1"/>
    <s v="C00"/>
    <s v="TOTAL CPC"/>
    <s v="0"/>
    <n v="0"/>
    <s v="TOTAL MOT"/>
    <n v="8"/>
    <s v="kg"/>
    <n v="138642.024"/>
    <b v="1"/>
    <n v="-1"/>
    <s v="N/A"/>
    <n v="0"/>
    <b v="0"/>
    <n v="138642.024"/>
    <b v="1"/>
    <n v="0"/>
    <b v="0"/>
    <n v="76498.875"/>
    <m/>
    <n v="76498.875"/>
    <n v="6"/>
    <b v="1"/>
    <b v="0"/>
  </r>
  <r>
    <x v="0"/>
    <s v="C"/>
    <s v="M"/>
    <n v="20230801"/>
    <x v="1"/>
    <x v="7"/>
    <s v="202308"/>
    <n v="818"/>
    <s v="EGY"/>
    <x v="0"/>
    <s v="M"/>
    <x v="0"/>
    <n v="686"/>
    <s v="SEN"/>
    <x v="8"/>
    <n v="0"/>
    <s v="W00"/>
    <s v="World"/>
    <s v="H6"/>
    <s v="HS"/>
    <b v="1"/>
    <s v="391590"/>
    <s v="Plastics n.e.c. in heading no. 3915; waste, parings and scrap"/>
    <n v="6"/>
    <b v="1"/>
    <s v="C00"/>
    <s v="TOTAL CPC"/>
    <s v="0"/>
    <n v="0"/>
    <s v="TOTAL MOT"/>
    <n v="8"/>
    <s v="kg"/>
    <n v="555376.429"/>
    <b v="1"/>
    <n v="-1"/>
    <s v="N/A"/>
    <n v="0"/>
    <b v="0"/>
    <n v="555376.429"/>
    <b v="1"/>
    <n v="0"/>
    <b v="0"/>
    <n v="306441.516"/>
    <m/>
    <n v="306441.516"/>
    <n v="6"/>
    <b v="1"/>
    <b v="0"/>
  </r>
  <r>
    <x v="0"/>
    <s v="C"/>
    <s v="M"/>
    <n v="20230801"/>
    <x v="1"/>
    <x v="7"/>
    <s v="202308"/>
    <n v="818"/>
    <s v="EGY"/>
    <x v="0"/>
    <s v="M"/>
    <x v="0"/>
    <n v="724"/>
    <s v="ESP"/>
    <x v="3"/>
    <n v="0"/>
    <s v="W00"/>
    <s v="World"/>
    <s v="H6"/>
    <s v="HS"/>
    <b v="1"/>
    <s v="391590"/>
    <s v="Plastics n.e.c. in heading no. 3915; waste, parings and scrap"/>
    <n v="6"/>
    <b v="1"/>
    <s v="C00"/>
    <s v="TOTAL CPC"/>
    <s v="0"/>
    <n v="0"/>
    <s v="TOTAL MOT"/>
    <n v="8"/>
    <s v="kg"/>
    <n v="112718.338"/>
    <b v="1"/>
    <n v="-1"/>
    <s v="N/A"/>
    <n v="0"/>
    <b v="0"/>
    <n v="112718.338"/>
    <b v="1"/>
    <n v="0"/>
    <b v="0"/>
    <n v="62194.894999999997"/>
    <m/>
    <n v="62194.894999999997"/>
    <n v="6"/>
    <b v="1"/>
    <b v="0"/>
  </r>
  <r>
    <x v="0"/>
    <s v="C"/>
    <s v="M"/>
    <n v="20230801"/>
    <x v="1"/>
    <x v="7"/>
    <s v="202308"/>
    <n v="818"/>
    <s v="EGY"/>
    <x v="0"/>
    <s v="M"/>
    <x v="0"/>
    <n v="792"/>
    <s v="TUR"/>
    <x v="9"/>
    <n v="0"/>
    <s v="W00"/>
    <s v="World"/>
    <s v="H6"/>
    <s v="HS"/>
    <b v="1"/>
    <s v="391590"/>
    <s v="Plastics n.e.c. in heading no. 3915; waste, parings and scrap"/>
    <n v="6"/>
    <b v="1"/>
    <s v="C00"/>
    <s v="TOTAL CPC"/>
    <s v="0"/>
    <n v="0"/>
    <s v="TOTAL MOT"/>
    <n v="8"/>
    <s v="kg"/>
    <n v="252442.14600000001"/>
    <b v="1"/>
    <n v="-1"/>
    <s v="N/A"/>
    <n v="0"/>
    <b v="0"/>
    <n v="252442.14600000001"/>
    <b v="1"/>
    <n v="0"/>
    <b v="0"/>
    <n v="139290.66800000001"/>
    <m/>
    <n v="139290.66800000001"/>
    <n v="6"/>
    <b v="1"/>
    <b v="0"/>
  </r>
  <r>
    <x v="0"/>
    <s v="C"/>
    <s v="M"/>
    <n v="20230801"/>
    <x v="1"/>
    <x v="7"/>
    <s v="202308"/>
    <n v="818"/>
    <s v="EGY"/>
    <x v="0"/>
    <s v="M"/>
    <x v="0"/>
    <n v="834"/>
    <s v="TZA"/>
    <x v="18"/>
    <n v="0"/>
    <s v="W00"/>
    <s v="World"/>
    <s v="H6"/>
    <s v="HS"/>
    <b v="1"/>
    <s v="391590"/>
    <s v="Plastics n.e.c. in heading no. 3915; waste, parings and scrap"/>
    <n v="6"/>
    <b v="1"/>
    <s v="C00"/>
    <s v="TOTAL CPC"/>
    <s v="0"/>
    <n v="0"/>
    <s v="TOTAL MOT"/>
    <n v="8"/>
    <s v="kg"/>
    <n v="91118.38"/>
    <b v="1"/>
    <n v="-1"/>
    <s v="N/A"/>
    <n v="0"/>
    <b v="0"/>
    <n v="91118.38"/>
    <b v="1"/>
    <n v="0"/>
    <b v="0"/>
    <n v="50276.629000000001"/>
    <m/>
    <n v="50276.629000000001"/>
    <n v="6"/>
    <b v="1"/>
    <b v="0"/>
  </r>
  <r>
    <x v="0"/>
    <s v="C"/>
    <s v="M"/>
    <n v="20230801"/>
    <x v="1"/>
    <x v="7"/>
    <s v="202308"/>
    <n v="818"/>
    <s v="EGY"/>
    <x v="0"/>
    <s v="X"/>
    <x v="1"/>
    <n v="0"/>
    <s v="W00"/>
    <x v="0"/>
    <n v="0"/>
    <s v="W00"/>
    <s v="World"/>
    <s v="H6"/>
    <s v="HS"/>
    <b v="1"/>
    <s v="391590"/>
    <s v="Plastics n.e.c. in heading no. 3915; waste, parings and scrap"/>
    <n v="6"/>
    <b v="1"/>
    <s v="C00"/>
    <s v="TOTAL CPC"/>
    <s v="0"/>
    <n v="0"/>
    <s v="TOTAL MOT"/>
    <n v="-1"/>
    <s v="N/A"/>
    <n v="0"/>
    <b v="0"/>
    <n v="-1"/>
    <s v="N/A"/>
    <n v="0"/>
    <b v="0"/>
    <m/>
    <b v="0"/>
    <n v="0"/>
    <b v="0"/>
    <m/>
    <n v="12547"/>
    <n v="12547"/>
    <n v="0"/>
    <b v="0"/>
    <b v="1"/>
  </r>
  <r>
    <x v="0"/>
    <s v="C"/>
    <s v="M"/>
    <n v="20230801"/>
    <x v="1"/>
    <x v="7"/>
    <s v="202308"/>
    <n v="818"/>
    <s v="EGY"/>
    <x v="0"/>
    <s v="X"/>
    <x v="1"/>
    <n v="458"/>
    <s v="MYS"/>
    <x v="24"/>
    <n v="0"/>
    <s v="W00"/>
    <s v="World"/>
    <s v="H6"/>
    <s v="HS"/>
    <b v="1"/>
    <s v="391590"/>
    <s v="Plastics n.e.c. in heading no. 3915; waste, parings and scrap"/>
    <n v="6"/>
    <b v="1"/>
    <s v="C00"/>
    <s v="TOTAL CPC"/>
    <s v="0"/>
    <n v="0"/>
    <s v="TOTAL MOT"/>
    <n v="-1"/>
    <s v="N/A"/>
    <n v="0"/>
    <b v="0"/>
    <n v="-1"/>
    <s v="N/A"/>
    <n v="0"/>
    <b v="0"/>
    <m/>
    <b v="0"/>
    <n v="0"/>
    <b v="0"/>
    <m/>
    <n v="12547"/>
    <n v="12547"/>
    <n v="0"/>
    <b v="1"/>
    <b v="0"/>
  </r>
  <r>
    <x v="0"/>
    <s v="C"/>
    <s v="M"/>
    <n v="20230901"/>
    <x v="1"/>
    <x v="8"/>
    <s v="202309"/>
    <n v="818"/>
    <s v="EGY"/>
    <x v="0"/>
    <s v="M"/>
    <x v="0"/>
    <n v="0"/>
    <s v="W00"/>
    <x v="0"/>
    <n v="0"/>
    <s v="W00"/>
    <s v="World"/>
    <s v="H6"/>
    <s v="HS"/>
    <b v="1"/>
    <s v="391590"/>
    <s v="Plastics n.e.c. in heading no. 3915; waste, parings and scrap"/>
    <n v="6"/>
    <b v="1"/>
    <s v="C00"/>
    <s v="TOTAL CPC"/>
    <s v="0"/>
    <n v="0"/>
    <s v="TOTAL MOT"/>
    <n v="8"/>
    <s v="kg"/>
    <n v="1594909.625"/>
    <b v="1"/>
    <n v="-1"/>
    <s v="N/A"/>
    <n v="0"/>
    <b v="0"/>
    <n v="1594909.625"/>
    <b v="1"/>
    <n v="0"/>
    <b v="0"/>
    <n v="880027.48600000003"/>
    <m/>
    <n v="880027.48600000003"/>
    <n v="6"/>
    <b v="0"/>
    <b v="1"/>
  </r>
  <r>
    <x v="0"/>
    <s v="C"/>
    <s v="M"/>
    <n v="20230901"/>
    <x v="1"/>
    <x v="8"/>
    <s v="202309"/>
    <n v="818"/>
    <s v="EGY"/>
    <x v="0"/>
    <s v="M"/>
    <x v="0"/>
    <n v="156"/>
    <s v="CHN"/>
    <x v="19"/>
    <n v="0"/>
    <s v="W00"/>
    <s v="World"/>
    <s v="H6"/>
    <s v="HS"/>
    <b v="1"/>
    <s v="391590"/>
    <s v="Plastics n.e.c. in heading no. 3915; waste, parings and scrap"/>
    <n v="6"/>
    <b v="1"/>
    <s v="C00"/>
    <s v="TOTAL CPC"/>
    <s v="0"/>
    <n v="0"/>
    <s v="TOTAL MOT"/>
    <n v="8"/>
    <s v="kg"/>
    <n v="136443.88800000001"/>
    <b v="1"/>
    <n v="-1"/>
    <s v="N/A"/>
    <n v="0"/>
    <b v="0"/>
    <n v="136443.88800000001"/>
    <b v="1"/>
    <n v="0"/>
    <b v="0"/>
    <n v="75286.004000000001"/>
    <m/>
    <n v="75286.004000000001"/>
    <n v="6"/>
    <b v="1"/>
    <b v="0"/>
  </r>
  <r>
    <x v="0"/>
    <s v="C"/>
    <s v="M"/>
    <n v="20230901"/>
    <x v="1"/>
    <x v="8"/>
    <s v="202309"/>
    <n v="818"/>
    <s v="EGY"/>
    <x v="0"/>
    <s v="M"/>
    <x v="0"/>
    <n v="724"/>
    <s v="ESP"/>
    <x v="3"/>
    <n v="0"/>
    <s v="W00"/>
    <s v="World"/>
    <s v="H6"/>
    <s v="HS"/>
    <b v="1"/>
    <s v="391590"/>
    <s v="Plastics n.e.c. in heading no. 3915; waste, parings and scrap"/>
    <n v="6"/>
    <b v="1"/>
    <s v="C00"/>
    <s v="TOTAL CPC"/>
    <s v="0"/>
    <n v="0"/>
    <s v="TOTAL MOT"/>
    <n v="8"/>
    <s v="kg"/>
    <n v="186577.66699999999"/>
    <b v="1"/>
    <n v="-1"/>
    <s v="N/A"/>
    <n v="0"/>
    <b v="0"/>
    <n v="186577.66699999999"/>
    <b v="1"/>
    <n v="0"/>
    <b v="0"/>
    <n v="102948.451"/>
    <m/>
    <n v="102948.451"/>
    <n v="6"/>
    <b v="1"/>
    <b v="0"/>
  </r>
  <r>
    <x v="0"/>
    <s v="C"/>
    <s v="M"/>
    <n v="20230901"/>
    <x v="1"/>
    <x v="8"/>
    <s v="202309"/>
    <n v="818"/>
    <s v="EGY"/>
    <x v="0"/>
    <s v="M"/>
    <x v="0"/>
    <n v="784"/>
    <s v="ARE"/>
    <x v="11"/>
    <n v="0"/>
    <s v="W00"/>
    <s v="World"/>
    <s v="H6"/>
    <s v="HS"/>
    <b v="1"/>
    <s v="391590"/>
    <s v="Plastics n.e.c. in heading no. 3915; waste, parings and scrap"/>
    <n v="6"/>
    <b v="1"/>
    <s v="C00"/>
    <s v="TOTAL CPC"/>
    <s v="0"/>
    <n v="0"/>
    <s v="TOTAL MOT"/>
    <n v="8"/>
    <s v="kg"/>
    <n v="198360.68900000001"/>
    <b v="1"/>
    <n v="-1"/>
    <s v="N/A"/>
    <n v="0"/>
    <b v="0"/>
    <n v="198360.68900000001"/>
    <b v="1"/>
    <n v="0"/>
    <b v="0"/>
    <n v="109450"/>
    <m/>
    <n v="109450"/>
    <n v="6"/>
    <b v="1"/>
    <b v="0"/>
  </r>
  <r>
    <x v="0"/>
    <s v="C"/>
    <s v="M"/>
    <n v="20230901"/>
    <x v="1"/>
    <x v="8"/>
    <s v="202309"/>
    <n v="818"/>
    <s v="EGY"/>
    <x v="0"/>
    <s v="M"/>
    <x v="0"/>
    <n v="792"/>
    <s v="TUR"/>
    <x v="9"/>
    <n v="0"/>
    <s v="W00"/>
    <s v="World"/>
    <s v="H6"/>
    <s v="HS"/>
    <b v="1"/>
    <s v="391590"/>
    <s v="Plastics n.e.c. in heading no. 3915; waste, parings and scrap"/>
    <n v="6"/>
    <b v="1"/>
    <s v="C00"/>
    <s v="TOTAL CPC"/>
    <s v="0"/>
    <n v="0"/>
    <s v="TOTAL MOT"/>
    <n v="8"/>
    <s v="kg"/>
    <n v="162114.01699999999"/>
    <b v="1"/>
    <n v="-1"/>
    <s v="N/A"/>
    <n v="0"/>
    <b v="0"/>
    <n v="162114.01699999999"/>
    <b v="1"/>
    <n v="0"/>
    <b v="0"/>
    <n v="89450.077999999994"/>
    <m/>
    <n v="89450.077999999994"/>
    <n v="6"/>
    <b v="1"/>
    <b v="0"/>
  </r>
  <r>
    <x v="0"/>
    <s v="C"/>
    <s v="M"/>
    <n v="20230901"/>
    <x v="1"/>
    <x v="8"/>
    <s v="202309"/>
    <n v="818"/>
    <s v="EGY"/>
    <x v="0"/>
    <s v="M"/>
    <x v="0"/>
    <n v="826"/>
    <s v="GBR"/>
    <x v="4"/>
    <n v="0"/>
    <s v="W00"/>
    <s v="World"/>
    <s v="H6"/>
    <s v="HS"/>
    <b v="1"/>
    <s v="391590"/>
    <s v="Plastics n.e.c. in heading no. 3915; waste, parings and scrap"/>
    <n v="6"/>
    <b v="1"/>
    <s v="C00"/>
    <s v="TOTAL CPC"/>
    <s v="0"/>
    <n v="0"/>
    <s v="TOTAL MOT"/>
    <n v="8"/>
    <s v="kg"/>
    <n v="120527.33900000001"/>
    <b v="1"/>
    <n v="-1"/>
    <s v="N/A"/>
    <n v="0"/>
    <b v="0"/>
    <n v="120527.33900000001"/>
    <b v="1"/>
    <n v="0"/>
    <b v="0"/>
    <n v="66503.687999999995"/>
    <m/>
    <n v="66503.687999999995"/>
    <n v="6"/>
    <b v="1"/>
    <b v="0"/>
  </r>
  <r>
    <x v="0"/>
    <s v="C"/>
    <s v="M"/>
    <n v="20230901"/>
    <x v="1"/>
    <x v="8"/>
    <s v="202309"/>
    <n v="818"/>
    <s v="EGY"/>
    <x v="0"/>
    <s v="M"/>
    <x v="0"/>
    <n v="887"/>
    <s v="YEM"/>
    <x v="5"/>
    <n v="0"/>
    <s v="W00"/>
    <s v="World"/>
    <s v="H6"/>
    <s v="HS"/>
    <b v="1"/>
    <s v="391590"/>
    <s v="Plastics n.e.c. in heading no. 3915; waste, parings and scrap"/>
    <n v="6"/>
    <b v="1"/>
    <s v="C00"/>
    <s v="TOTAL CPC"/>
    <s v="0"/>
    <n v="0"/>
    <s v="TOTAL MOT"/>
    <n v="8"/>
    <s v="kg"/>
    <n v="790886.02399999998"/>
    <b v="1"/>
    <n v="-1"/>
    <s v="N/A"/>
    <n v="0"/>
    <b v="0"/>
    <n v="790886.02399999998"/>
    <b v="1"/>
    <n v="0"/>
    <b v="0"/>
    <n v="436389.266"/>
    <m/>
    <n v="436389.266"/>
    <n v="6"/>
    <b v="1"/>
    <b v="0"/>
  </r>
  <r>
    <x v="0"/>
    <s v="C"/>
    <s v="M"/>
    <n v="20231001"/>
    <x v="1"/>
    <x v="9"/>
    <s v="202310"/>
    <n v="818"/>
    <s v="EGY"/>
    <x v="0"/>
    <s v="M"/>
    <x v="0"/>
    <n v="0"/>
    <s v="W00"/>
    <x v="0"/>
    <n v="0"/>
    <s v="W00"/>
    <s v="World"/>
    <s v="H6"/>
    <s v="HS"/>
    <b v="1"/>
    <s v="391590"/>
    <s v="Plastics n.e.c. in heading no. 3915; waste, parings and scrap"/>
    <n v="6"/>
    <b v="1"/>
    <s v="C00"/>
    <s v="TOTAL CPC"/>
    <s v="0"/>
    <n v="0"/>
    <s v="TOTAL MOT"/>
    <n v="8"/>
    <s v="kg"/>
    <n v="1886942.6329999999"/>
    <b v="1"/>
    <n v="-1"/>
    <s v="N/A"/>
    <n v="0"/>
    <b v="0"/>
    <n v="1886942.6329999999"/>
    <b v="1"/>
    <n v="0"/>
    <b v="0"/>
    <n v="1041163.309"/>
    <m/>
    <n v="1041163.309"/>
    <n v="6"/>
    <b v="0"/>
    <b v="1"/>
  </r>
  <r>
    <x v="0"/>
    <s v="C"/>
    <s v="M"/>
    <n v="20231001"/>
    <x v="1"/>
    <x v="9"/>
    <s v="202310"/>
    <n v="818"/>
    <s v="EGY"/>
    <x v="0"/>
    <s v="M"/>
    <x v="0"/>
    <n v="300"/>
    <s v="GRC"/>
    <x v="22"/>
    <n v="0"/>
    <s v="W00"/>
    <s v="World"/>
    <s v="H6"/>
    <s v="HS"/>
    <b v="1"/>
    <s v="391590"/>
    <s v="Plastics n.e.c. in heading no. 3915; waste, parings and scrap"/>
    <n v="6"/>
    <b v="1"/>
    <s v="C00"/>
    <s v="TOTAL CPC"/>
    <s v="0"/>
    <n v="0"/>
    <s v="TOTAL MOT"/>
    <n v="8"/>
    <s v="kg"/>
    <n v="22844.554"/>
    <b v="1"/>
    <n v="-1"/>
    <s v="N/A"/>
    <n v="0"/>
    <b v="0"/>
    <n v="22844.554"/>
    <b v="1"/>
    <n v="0"/>
    <b v="0"/>
    <n v="12605"/>
    <m/>
    <n v="12605"/>
    <n v="6"/>
    <b v="1"/>
    <b v="0"/>
  </r>
  <r>
    <x v="0"/>
    <s v="C"/>
    <s v="M"/>
    <n v="20231001"/>
    <x v="1"/>
    <x v="9"/>
    <s v="202310"/>
    <n v="818"/>
    <s v="EGY"/>
    <x v="0"/>
    <s v="M"/>
    <x v="0"/>
    <n v="380"/>
    <s v="ITA"/>
    <x v="7"/>
    <n v="0"/>
    <s v="W00"/>
    <s v="World"/>
    <s v="H6"/>
    <s v="HS"/>
    <b v="1"/>
    <s v="391590"/>
    <s v="Plastics n.e.c. in heading no. 3915; waste, parings and scrap"/>
    <n v="6"/>
    <b v="1"/>
    <s v="C00"/>
    <s v="TOTAL CPC"/>
    <s v="0"/>
    <n v="0"/>
    <s v="TOTAL MOT"/>
    <n v="8"/>
    <s v="kg"/>
    <n v="16060.965"/>
    <b v="1"/>
    <n v="-1"/>
    <s v="N/A"/>
    <n v="0"/>
    <b v="0"/>
    <n v="16060.965"/>
    <b v="1"/>
    <n v="0"/>
    <b v="0"/>
    <n v="8862.0010000000002"/>
    <m/>
    <n v="8862.0010000000002"/>
    <n v="6"/>
    <b v="1"/>
    <b v="0"/>
  </r>
  <r>
    <x v="0"/>
    <s v="C"/>
    <s v="M"/>
    <n v="20231001"/>
    <x v="1"/>
    <x v="9"/>
    <s v="202310"/>
    <n v="818"/>
    <s v="EGY"/>
    <x v="0"/>
    <s v="M"/>
    <x v="0"/>
    <n v="528"/>
    <s v="NLD"/>
    <x v="14"/>
    <n v="0"/>
    <s v="W00"/>
    <s v="World"/>
    <s v="H6"/>
    <s v="HS"/>
    <b v="1"/>
    <s v="391590"/>
    <s v="Plastics n.e.c. in heading no. 3915; waste, parings and scrap"/>
    <n v="6"/>
    <b v="1"/>
    <s v="C00"/>
    <s v="TOTAL CPC"/>
    <s v="0"/>
    <n v="0"/>
    <s v="TOTAL MOT"/>
    <n v="8"/>
    <s v="kg"/>
    <n v="231700.508"/>
    <b v="1"/>
    <n v="-1"/>
    <s v="N/A"/>
    <n v="0"/>
    <b v="0"/>
    <n v="231700.508"/>
    <b v="1"/>
    <n v="0"/>
    <b v="0"/>
    <n v="127846"/>
    <m/>
    <n v="127846"/>
    <n v="6"/>
    <b v="1"/>
    <b v="0"/>
  </r>
  <r>
    <x v="0"/>
    <s v="C"/>
    <s v="M"/>
    <n v="20231001"/>
    <x v="1"/>
    <x v="9"/>
    <s v="202310"/>
    <n v="818"/>
    <s v="EGY"/>
    <x v="0"/>
    <s v="M"/>
    <x v="0"/>
    <n v="724"/>
    <s v="ESP"/>
    <x v="3"/>
    <n v="0"/>
    <s v="W00"/>
    <s v="World"/>
    <s v="H6"/>
    <s v="HS"/>
    <b v="1"/>
    <s v="391590"/>
    <s v="Plastics n.e.c. in heading no. 3915; waste, parings and scrap"/>
    <n v="6"/>
    <b v="1"/>
    <s v="C00"/>
    <s v="TOTAL CPC"/>
    <s v="0"/>
    <n v="0"/>
    <s v="TOTAL MOT"/>
    <n v="8"/>
    <s v="kg"/>
    <n v="741812.50699999998"/>
    <b v="1"/>
    <n v="-1"/>
    <s v="N/A"/>
    <n v="0"/>
    <b v="0"/>
    <n v="741812.50699999998"/>
    <b v="1"/>
    <n v="0"/>
    <b v="0"/>
    <n v="409311.842"/>
    <m/>
    <n v="409311.842"/>
    <n v="6"/>
    <b v="1"/>
    <b v="0"/>
  </r>
  <r>
    <x v="0"/>
    <s v="C"/>
    <s v="M"/>
    <n v="20231001"/>
    <x v="1"/>
    <x v="9"/>
    <s v="202310"/>
    <n v="818"/>
    <s v="EGY"/>
    <x v="0"/>
    <s v="M"/>
    <x v="0"/>
    <n v="784"/>
    <s v="ARE"/>
    <x v="11"/>
    <n v="0"/>
    <s v="W00"/>
    <s v="World"/>
    <s v="H6"/>
    <s v="HS"/>
    <b v="1"/>
    <s v="391590"/>
    <s v="Plastics n.e.c. in heading no. 3915; waste, parings and scrap"/>
    <n v="6"/>
    <b v="1"/>
    <s v="C00"/>
    <s v="TOTAL CPC"/>
    <s v="0"/>
    <n v="0"/>
    <s v="TOTAL MOT"/>
    <n v="8"/>
    <s v="kg"/>
    <n v="16039.217000000001"/>
    <b v="1"/>
    <n v="-1"/>
    <s v="N/A"/>
    <n v="0"/>
    <b v="0"/>
    <n v="16039.217000000001"/>
    <b v="1"/>
    <n v="0"/>
    <b v="0"/>
    <n v="8850.0010000000002"/>
    <m/>
    <n v="8850.0010000000002"/>
    <n v="6"/>
    <b v="1"/>
    <b v="0"/>
  </r>
  <r>
    <x v="0"/>
    <s v="C"/>
    <s v="M"/>
    <n v="20231001"/>
    <x v="1"/>
    <x v="9"/>
    <s v="202310"/>
    <n v="818"/>
    <s v="EGY"/>
    <x v="0"/>
    <s v="M"/>
    <x v="0"/>
    <n v="792"/>
    <s v="TUR"/>
    <x v="9"/>
    <n v="0"/>
    <s v="W00"/>
    <s v="World"/>
    <s v="H6"/>
    <s v="HS"/>
    <b v="1"/>
    <s v="391590"/>
    <s v="Plastics n.e.c. in heading no. 3915; waste, parings and scrap"/>
    <n v="6"/>
    <b v="1"/>
    <s v="C00"/>
    <s v="TOTAL CPC"/>
    <s v="0"/>
    <n v="0"/>
    <s v="TOTAL MOT"/>
    <n v="8"/>
    <s v="kg"/>
    <n v="194420.91500000001"/>
    <b v="1"/>
    <n v="-1"/>
    <s v="N/A"/>
    <n v="0"/>
    <b v="0"/>
    <n v="194420.91500000001"/>
    <b v="1"/>
    <n v="0"/>
    <b v="0"/>
    <n v="107276.141"/>
    <m/>
    <n v="107276.141"/>
    <n v="6"/>
    <b v="1"/>
    <b v="0"/>
  </r>
  <r>
    <x v="0"/>
    <s v="C"/>
    <s v="M"/>
    <n v="20231001"/>
    <x v="1"/>
    <x v="9"/>
    <s v="202310"/>
    <n v="818"/>
    <s v="EGY"/>
    <x v="0"/>
    <s v="M"/>
    <x v="0"/>
    <n v="826"/>
    <s v="GBR"/>
    <x v="4"/>
    <n v="0"/>
    <s v="W00"/>
    <s v="World"/>
    <s v="H6"/>
    <s v="HS"/>
    <b v="1"/>
    <s v="391590"/>
    <s v="Plastics n.e.c. in heading no. 3915; waste, parings and scrap"/>
    <n v="6"/>
    <b v="1"/>
    <s v="C00"/>
    <s v="TOTAL CPC"/>
    <s v="0"/>
    <n v="0"/>
    <s v="TOTAL MOT"/>
    <n v="8"/>
    <s v="kg"/>
    <n v="286475.90000000002"/>
    <b v="1"/>
    <n v="-1"/>
    <s v="N/A"/>
    <n v="0"/>
    <b v="0"/>
    <n v="286475.90000000002"/>
    <b v="1"/>
    <n v="0"/>
    <b v="0"/>
    <n v="158069.56299999999"/>
    <m/>
    <n v="158069.56299999999"/>
    <n v="6"/>
    <b v="1"/>
    <b v="0"/>
  </r>
  <r>
    <x v="0"/>
    <s v="C"/>
    <s v="M"/>
    <n v="20231001"/>
    <x v="1"/>
    <x v="9"/>
    <s v="202310"/>
    <n v="818"/>
    <s v="EGY"/>
    <x v="0"/>
    <s v="M"/>
    <x v="0"/>
    <n v="887"/>
    <s v="YEM"/>
    <x v="5"/>
    <n v="0"/>
    <s v="W00"/>
    <s v="World"/>
    <s v="H6"/>
    <s v="HS"/>
    <b v="1"/>
    <s v="391590"/>
    <s v="Plastics n.e.c. in heading no. 3915; waste, parings and scrap"/>
    <n v="6"/>
    <b v="1"/>
    <s v="C00"/>
    <s v="TOTAL CPC"/>
    <s v="0"/>
    <n v="0"/>
    <s v="TOTAL MOT"/>
    <n v="8"/>
    <s v="kg"/>
    <n v="377588.065"/>
    <b v="1"/>
    <n v="-1"/>
    <s v="N/A"/>
    <n v="0"/>
    <b v="0"/>
    <n v="377588.065"/>
    <b v="1"/>
    <n v="0"/>
    <b v="0"/>
    <n v="208342.76199999999"/>
    <m/>
    <n v="208342.76199999999"/>
    <n v="6"/>
    <b v="1"/>
    <b v="0"/>
  </r>
  <r>
    <x v="0"/>
    <s v="C"/>
    <s v="M"/>
    <n v="20231101"/>
    <x v="1"/>
    <x v="10"/>
    <s v="202311"/>
    <n v="818"/>
    <s v="EGY"/>
    <x v="0"/>
    <s v="M"/>
    <x v="0"/>
    <n v="0"/>
    <s v="W00"/>
    <x v="0"/>
    <n v="0"/>
    <s v="W00"/>
    <s v="World"/>
    <s v="H6"/>
    <s v="HS"/>
    <b v="1"/>
    <s v="391590"/>
    <s v="Plastics n.e.c. in heading no. 3915; waste, parings and scrap"/>
    <n v="6"/>
    <b v="1"/>
    <s v="C00"/>
    <s v="TOTAL CPC"/>
    <s v="0"/>
    <n v="0"/>
    <s v="TOTAL MOT"/>
    <n v="8"/>
    <s v="kg"/>
    <n v="2965111.8530000001"/>
    <b v="1"/>
    <n v="-1"/>
    <s v="N/A"/>
    <n v="0"/>
    <b v="0"/>
    <n v="2965111.8530000001"/>
    <b v="1"/>
    <n v="0"/>
    <b v="0"/>
    <n v="1636067.58"/>
    <m/>
    <n v="1636067.58"/>
    <n v="6"/>
    <b v="0"/>
    <b v="1"/>
  </r>
  <r>
    <x v="0"/>
    <s v="C"/>
    <s v="M"/>
    <n v="20231101"/>
    <x v="1"/>
    <x v="10"/>
    <s v="202311"/>
    <n v="818"/>
    <s v="EGY"/>
    <x v="0"/>
    <s v="M"/>
    <x v="0"/>
    <n v="276"/>
    <s v="DEU"/>
    <x v="1"/>
    <n v="0"/>
    <s v="W00"/>
    <s v="World"/>
    <s v="H6"/>
    <s v="HS"/>
    <b v="1"/>
    <s v="391590"/>
    <s v="Plastics n.e.c. in heading no. 3915; waste, parings and scrap"/>
    <n v="6"/>
    <b v="1"/>
    <s v="C00"/>
    <s v="TOTAL CPC"/>
    <s v="0"/>
    <n v="0"/>
    <s v="TOTAL MOT"/>
    <n v="8"/>
    <s v="kg"/>
    <n v="38390.017"/>
    <b v="1"/>
    <n v="-1"/>
    <s v="N/A"/>
    <n v="0"/>
    <b v="0"/>
    <n v="38390.017"/>
    <b v="1"/>
    <n v="0"/>
    <b v="0"/>
    <n v="21182.561000000002"/>
    <m/>
    <n v="21182.561000000002"/>
    <n v="6"/>
    <b v="1"/>
    <b v="0"/>
  </r>
  <r>
    <x v="0"/>
    <s v="C"/>
    <s v="M"/>
    <n v="20231101"/>
    <x v="1"/>
    <x v="10"/>
    <s v="202311"/>
    <n v="818"/>
    <s v="EGY"/>
    <x v="0"/>
    <s v="M"/>
    <x v="0"/>
    <n v="686"/>
    <s v="SEN"/>
    <x v="8"/>
    <n v="0"/>
    <s v="W00"/>
    <s v="World"/>
    <s v="H6"/>
    <s v="HS"/>
    <b v="1"/>
    <s v="391590"/>
    <s v="Plastics n.e.c. in heading no. 3915; waste, parings and scrap"/>
    <n v="6"/>
    <b v="1"/>
    <s v="C00"/>
    <s v="TOTAL CPC"/>
    <s v="0"/>
    <n v="0"/>
    <s v="TOTAL MOT"/>
    <n v="8"/>
    <s v="kg"/>
    <n v="174744.247"/>
    <b v="1"/>
    <n v="-1"/>
    <s v="N/A"/>
    <n v="0"/>
    <b v="0"/>
    <n v="174744.247"/>
    <b v="1"/>
    <n v="0"/>
    <b v="0"/>
    <n v="96419.093999999997"/>
    <m/>
    <n v="96419.093999999997"/>
    <n v="6"/>
    <b v="1"/>
    <b v="0"/>
  </r>
  <r>
    <x v="0"/>
    <s v="C"/>
    <s v="M"/>
    <n v="20231101"/>
    <x v="1"/>
    <x v="10"/>
    <s v="202311"/>
    <n v="818"/>
    <s v="EGY"/>
    <x v="0"/>
    <s v="M"/>
    <x v="0"/>
    <n v="724"/>
    <s v="ESP"/>
    <x v="3"/>
    <n v="0"/>
    <s v="W00"/>
    <s v="World"/>
    <s v="H6"/>
    <s v="HS"/>
    <b v="1"/>
    <s v="391590"/>
    <s v="Plastics n.e.c. in heading no. 3915; waste, parings and scrap"/>
    <n v="6"/>
    <b v="1"/>
    <s v="C00"/>
    <s v="TOTAL CPC"/>
    <s v="0"/>
    <n v="0"/>
    <s v="TOTAL MOT"/>
    <n v="8"/>
    <s v="kg"/>
    <n v="2003614.7290000001"/>
    <b v="1"/>
    <n v="-1"/>
    <s v="N/A"/>
    <n v="0"/>
    <b v="0"/>
    <n v="2003614.7290000001"/>
    <b v="1"/>
    <n v="0"/>
    <b v="0"/>
    <n v="1105539.7790000001"/>
    <m/>
    <n v="1105539.7790000001"/>
    <n v="6"/>
    <b v="1"/>
    <b v="0"/>
  </r>
  <r>
    <x v="0"/>
    <s v="C"/>
    <s v="M"/>
    <n v="20231101"/>
    <x v="1"/>
    <x v="10"/>
    <s v="202311"/>
    <n v="818"/>
    <s v="EGY"/>
    <x v="0"/>
    <s v="M"/>
    <x v="0"/>
    <n v="784"/>
    <s v="ARE"/>
    <x v="11"/>
    <n v="0"/>
    <s v="W00"/>
    <s v="World"/>
    <s v="H6"/>
    <s v="HS"/>
    <b v="1"/>
    <s v="391590"/>
    <s v="Plastics n.e.c. in heading no. 3915; waste, parings and scrap"/>
    <n v="6"/>
    <b v="1"/>
    <s v="C00"/>
    <s v="TOTAL CPC"/>
    <s v="0"/>
    <n v="0"/>
    <s v="TOTAL MOT"/>
    <n v="8"/>
    <s v="kg"/>
    <n v="463874.94500000001"/>
    <b v="1"/>
    <n v="-1"/>
    <s v="N/A"/>
    <n v="0"/>
    <b v="0"/>
    <n v="463874.94500000001"/>
    <b v="1"/>
    <n v="0"/>
    <b v="0"/>
    <n v="255953.50099999999"/>
    <m/>
    <n v="255953.50099999999"/>
    <n v="6"/>
    <b v="1"/>
    <b v="0"/>
  </r>
  <r>
    <x v="0"/>
    <s v="C"/>
    <s v="M"/>
    <n v="20231101"/>
    <x v="1"/>
    <x v="10"/>
    <s v="202311"/>
    <n v="818"/>
    <s v="EGY"/>
    <x v="0"/>
    <s v="M"/>
    <x v="0"/>
    <n v="792"/>
    <s v="TUR"/>
    <x v="9"/>
    <n v="0"/>
    <s v="W00"/>
    <s v="World"/>
    <s v="H6"/>
    <s v="HS"/>
    <b v="1"/>
    <s v="391590"/>
    <s v="Plastics n.e.c. in heading no. 3915; waste, parings and scrap"/>
    <n v="6"/>
    <b v="1"/>
    <s v="C00"/>
    <s v="TOTAL CPC"/>
    <s v="0"/>
    <n v="0"/>
    <s v="TOTAL MOT"/>
    <n v="8"/>
    <s v="kg"/>
    <n v="283785.424"/>
    <b v="1"/>
    <n v="-1"/>
    <s v="N/A"/>
    <n v="0"/>
    <b v="0"/>
    <n v="283785.424"/>
    <b v="1"/>
    <n v="0"/>
    <b v="0"/>
    <n v="156585.03099999999"/>
    <m/>
    <n v="156585.03099999999"/>
    <n v="6"/>
    <b v="1"/>
    <b v="0"/>
  </r>
  <r>
    <x v="0"/>
    <s v="C"/>
    <s v="M"/>
    <n v="20231101"/>
    <x v="1"/>
    <x v="10"/>
    <s v="202311"/>
    <n v="818"/>
    <s v="EGY"/>
    <x v="0"/>
    <s v="M"/>
    <x v="0"/>
    <n v="842"/>
    <s v="USA"/>
    <x v="21"/>
    <n v="0"/>
    <s v="W00"/>
    <s v="World"/>
    <s v="H6"/>
    <s v="HS"/>
    <b v="1"/>
    <s v="391590"/>
    <s v="Plastics n.e.c. in heading no. 3915; waste, parings and scrap"/>
    <n v="6"/>
    <b v="1"/>
    <s v="C00"/>
    <s v="TOTAL CPC"/>
    <s v="0"/>
    <n v="0"/>
    <s v="TOTAL MOT"/>
    <n v="8"/>
    <s v="kg"/>
    <n v="702.49"/>
    <b v="1"/>
    <n v="-1"/>
    <s v="N/A"/>
    <n v="0"/>
    <b v="0"/>
    <n v="702.49"/>
    <b v="1"/>
    <n v="0"/>
    <b v="0"/>
    <n v="387.61500000000001"/>
    <m/>
    <n v="387.61500000000001"/>
    <n v="6"/>
    <b v="1"/>
    <b v="0"/>
  </r>
  <r>
    <x v="0"/>
    <s v="C"/>
    <s v="M"/>
    <n v="20231201"/>
    <x v="1"/>
    <x v="11"/>
    <s v="202312"/>
    <n v="818"/>
    <s v="EGY"/>
    <x v="0"/>
    <s v="M"/>
    <x v="0"/>
    <n v="0"/>
    <s v="W00"/>
    <x v="0"/>
    <n v="0"/>
    <s v="W00"/>
    <s v="World"/>
    <s v="H6"/>
    <s v="HS"/>
    <b v="1"/>
    <s v="391590"/>
    <s v="Plastics n.e.c. in heading no. 3915; waste, parings and scrap"/>
    <n v="6"/>
    <b v="1"/>
    <s v="C00"/>
    <s v="TOTAL CPC"/>
    <s v="0"/>
    <n v="0"/>
    <s v="TOTAL MOT"/>
    <n v="8"/>
    <s v="kg"/>
    <n v="401290.56599999999"/>
    <b v="1"/>
    <n v="-1"/>
    <s v="N/A"/>
    <n v="0"/>
    <b v="0"/>
    <n v="401290.56599999999"/>
    <b v="1"/>
    <n v="0"/>
    <b v="0"/>
    <n v="221421.15299999999"/>
    <m/>
    <n v="221421.15299999999"/>
    <n v="6"/>
    <b v="0"/>
    <b v="1"/>
  </r>
  <r>
    <x v="0"/>
    <s v="C"/>
    <s v="M"/>
    <n v="20231201"/>
    <x v="1"/>
    <x v="11"/>
    <s v="202312"/>
    <n v="818"/>
    <s v="EGY"/>
    <x v="0"/>
    <s v="M"/>
    <x v="0"/>
    <n v="156"/>
    <s v="CHN"/>
    <x v="19"/>
    <n v="0"/>
    <s v="W00"/>
    <s v="World"/>
    <s v="H6"/>
    <s v="HS"/>
    <b v="1"/>
    <s v="391590"/>
    <s v="Plastics n.e.c. in heading no. 3915; waste, parings and scrap"/>
    <n v="6"/>
    <b v="1"/>
    <s v="C00"/>
    <s v="TOTAL CPC"/>
    <s v="0"/>
    <n v="0"/>
    <s v="TOTAL MOT"/>
    <n v="8"/>
    <s v="kg"/>
    <n v="60920.02"/>
    <b v="1"/>
    <n v="-1"/>
    <s v="N/A"/>
    <n v="0"/>
    <b v="0"/>
    <n v="60920.02"/>
    <b v="1"/>
    <n v="0"/>
    <b v="0"/>
    <n v="33614"/>
    <m/>
    <n v="33614"/>
    <n v="6"/>
    <b v="1"/>
    <b v="0"/>
  </r>
  <r>
    <x v="0"/>
    <s v="C"/>
    <s v="M"/>
    <n v="20231201"/>
    <x v="1"/>
    <x v="11"/>
    <s v="202312"/>
    <n v="818"/>
    <s v="EGY"/>
    <x v="0"/>
    <s v="M"/>
    <x v="0"/>
    <n v="276"/>
    <s v="DEU"/>
    <x v="1"/>
    <n v="0"/>
    <s v="W00"/>
    <s v="World"/>
    <s v="H6"/>
    <s v="HS"/>
    <b v="1"/>
    <s v="391590"/>
    <s v="Plastics n.e.c. in heading no. 3915; waste, parings and scrap"/>
    <n v="6"/>
    <b v="1"/>
    <s v="C00"/>
    <s v="TOTAL CPC"/>
    <s v="0"/>
    <n v="0"/>
    <s v="TOTAL MOT"/>
    <n v="8"/>
    <s v="kg"/>
    <n v="22186.674999999999"/>
    <b v="1"/>
    <n v="-1"/>
    <s v="N/A"/>
    <n v="0"/>
    <b v="0"/>
    <n v="22186.674999999999"/>
    <b v="1"/>
    <n v="0"/>
    <b v="0"/>
    <n v="12242"/>
    <m/>
    <n v="12242"/>
    <n v="6"/>
    <b v="1"/>
    <b v="0"/>
  </r>
  <r>
    <x v="0"/>
    <s v="C"/>
    <s v="M"/>
    <n v="20231201"/>
    <x v="1"/>
    <x v="11"/>
    <s v="202312"/>
    <n v="818"/>
    <s v="EGY"/>
    <x v="0"/>
    <s v="M"/>
    <x v="0"/>
    <n v="724"/>
    <s v="ESP"/>
    <x v="3"/>
    <n v="0"/>
    <s v="W00"/>
    <s v="World"/>
    <s v="H6"/>
    <s v="HS"/>
    <b v="1"/>
    <s v="391590"/>
    <s v="Plastics n.e.c. in heading no. 3915; waste, parings and scrap"/>
    <n v="6"/>
    <b v="1"/>
    <s v="C00"/>
    <s v="TOTAL CPC"/>
    <s v="0"/>
    <n v="0"/>
    <s v="TOTAL MOT"/>
    <n v="8"/>
    <s v="kg"/>
    <n v="116959.414"/>
    <b v="1"/>
    <n v="-1"/>
    <s v="N/A"/>
    <n v="0"/>
    <b v="0"/>
    <n v="116959.414"/>
    <b v="1"/>
    <n v="0"/>
    <b v="0"/>
    <n v="64535.004000000001"/>
    <m/>
    <n v="64535.004000000001"/>
    <n v="6"/>
    <b v="1"/>
    <b v="0"/>
  </r>
  <r>
    <x v="0"/>
    <s v="C"/>
    <s v="M"/>
    <n v="20231201"/>
    <x v="1"/>
    <x v="11"/>
    <s v="202312"/>
    <n v="818"/>
    <s v="EGY"/>
    <x v="0"/>
    <s v="M"/>
    <x v="0"/>
    <n v="784"/>
    <s v="ARE"/>
    <x v="11"/>
    <n v="0"/>
    <s v="W00"/>
    <s v="World"/>
    <s v="H6"/>
    <s v="HS"/>
    <b v="1"/>
    <s v="391590"/>
    <s v="Plastics n.e.c. in heading no. 3915; waste, parings and scrap"/>
    <n v="6"/>
    <b v="1"/>
    <s v="C00"/>
    <s v="TOTAL CPC"/>
    <s v="0"/>
    <n v="0"/>
    <s v="TOTAL MOT"/>
    <n v="8"/>
    <s v="kg"/>
    <n v="9991.4349999999995"/>
    <b v="1"/>
    <n v="-1"/>
    <s v="N/A"/>
    <n v="0"/>
    <b v="0"/>
    <n v="9991.4349999999995"/>
    <b v="1"/>
    <n v="0"/>
    <b v="0"/>
    <n v="5513.0010000000002"/>
    <m/>
    <n v="5513.0010000000002"/>
    <n v="6"/>
    <b v="1"/>
    <b v="0"/>
  </r>
  <r>
    <x v="0"/>
    <s v="C"/>
    <s v="M"/>
    <n v="20231201"/>
    <x v="1"/>
    <x v="11"/>
    <s v="202312"/>
    <n v="818"/>
    <s v="EGY"/>
    <x v="0"/>
    <s v="M"/>
    <x v="0"/>
    <n v="792"/>
    <s v="TUR"/>
    <x v="9"/>
    <n v="0"/>
    <s v="W00"/>
    <s v="World"/>
    <s v="H6"/>
    <s v="HS"/>
    <b v="1"/>
    <s v="391590"/>
    <s v="Plastics n.e.c. in heading no. 3915; waste, parings and scrap"/>
    <n v="6"/>
    <b v="1"/>
    <s v="C00"/>
    <s v="TOTAL CPC"/>
    <s v="0"/>
    <n v="0"/>
    <s v="TOTAL MOT"/>
    <n v="8"/>
    <s v="kg"/>
    <n v="191233.022"/>
    <b v="1"/>
    <n v="-1"/>
    <s v="N/A"/>
    <n v="0"/>
    <b v="0"/>
    <n v="191233.022"/>
    <b v="1"/>
    <n v="0"/>
    <b v="0"/>
    <n v="105517.148"/>
    <m/>
    <n v="105517.148"/>
    <n v="6"/>
    <b v="1"/>
    <b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s v="C"/>
    <s v="M"/>
    <n v="20230101"/>
    <x v="0"/>
    <x v="0"/>
    <s v="202301"/>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08649.62400000001"/>
    <b v="1"/>
    <n v="-1"/>
    <s v="N/A"/>
    <n v="0"/>
    <b v="0"/>
    <n v="208649.62400000001"/>
    <b v="1"/>
    <n v="0"/>
    <b v="0"/>
    <n v="1007121.599"/>
    <m/>
    <n v="1007121.599"/>
    <n v="6"/>
    <b v="0"/>
    <b v="1"/>
  </r>
  <r>
    <x v="0"/>
    <s v="C"/>
    <s v="M"/>
    <n v="20230101"/>
    <x v="0"/>
    <x v="0"/>
    <s v="202301"/>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37358.425999999999"/>
    <b v="1"/>
    <n v="-1"/>
    <s v="N/A"/>
    <n v="0"/>
    <b v="0"/>
    <n v="37358.425999999999"/>
    <b v="1"/>
    <n v="0"/>
    <b v="0"/>
    <n v="180323.72500000001"/>
    <m/>
    <n v="180323.72500000001"/>
    <n v="6"/>
    <b v="1"/>
    <b v="0"/>
  </r>
  <r>
    <x v="0"/>
    <s v="C"/>
    <s v="M"/>
    <n v="20230101"/>
    <x v="0"/>
    <x v="0"/>
    <s v="202301"/>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5214.175999999999"/>
    <b v="1"/>
    <n v="-1"/>
    <s v="N/A"/>
    <n v="0"/>
    <b v="0"/>
    <n v="25214.175999999999"/>
    <b v="1"/>
    <n v="0"/>
    <b v="0"/>
    <n v="121705.18799999999"/>
    <m/>
    <n v="121705.18799999999"/>
    <n v="6"/>
    <b v="1"/>
    <b v="0"/>
  </r>
  <r>
    <x v="0"/>
    <s v="C"/>
    <s v="M"/>
    <n v="20230101"/>
    <x v="0"/>
    <x v="0"/>
    <s v="202301"/>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4805.2650000000003"/>
    <b v="1"/>
    <n v="-1"/>
    <s v="N/A"/>
    <n v="0"/>
    <b v="0"/>
    <n v="4805.2650000000003"/>
    <b v="1"/>
    <n v="0"/>
    <b v="0"/>
    <n v="23194.322"/>
    <m/>
    <n v="23194.322"/>
    <n v="6"/>
    <b v="1"/>
    <b v="0"/>
  </r>
  <r>
    <x v="0"/>
    <s v="C"/>
    <s v="M"/>
    <n v="20230101"/>
    <x v="0"/>
    <x v="0"/>
    <s v="202301"/>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1720.222000000002"/>
    <b v="1"/>
    <n v="-1"/>
    <s v="N/A"/>
    <n v="0"/>
    <b v="0"/>
    <n v="31720.222000000002"/>
    <b v="1"/>
    <n v="0"/>
    <b v="0"/>
    <n v="153108.929"/>
    <m/>
    <n v="153108.929"/>
    <n v="6"/>
    <b v="1"/>
    <b v="0"/>
  </r>
  <r>
    <x v="0"/>
    <s v="C"/>
    <s v="M"/>
    <n v="20230101"/>
    <x v="0"/>
    <x v="0"/>
    <s v="202301"/>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015.8530000000001"/>
    <b v="1"/>
    <n v="-1"/>
    <s v="N/A"/>
    <n v="0"/>
    <b v="0"/>
    <n v="2015.8530000000001"/>
    <b v="1"/>
    <n v="0"/>
    <b v="0"/>
    <n v="9730.23"/>
    <m/>
    <n v="9730.23"/>
    <n v="6"/>
    <b v="1"/>
    <b v="0"/>
  </r>
  <r>
    <x v="0"/>
    <s v="C"/>
    <s v="M"/>
    <n v="20230101"/>
    <x v="0"/>
    <x v="0"/>
    <s v="202301"/>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41353.029000000002"/>
    <b v="1"/>
    <n v="-1"/>
    <s v="N/A"/>
    <n v="0"/>
    <b v="0"/>
    <n v="41353.029000000002"/>
    <b v="1"/>
    <n v="0"/>
    <b v="0"/>
    <n v="199605.09599999999"/>
    <m/>
    <n v="199605.09599999999"/>
    <n v="6"/>
    <b v="1"/>
    <b v="0"/>
  </r>
  <r>
    <x v="0"/>
    <s v="C"/>
    <s v="M"/>
    <n v="20230101"/>
    <x v="0"/>
    <x v="0"/>
    <s v="202301"/>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51725.237999999998"/>
    <b v="1"/>
    <n v="-1"/>
    <s v="N/A"/>
    <n v="0"/>
    <b v="0"/>
    <n v="51725.237999999998"/>
    <b v="1"/>
    <n v="0"/>
    <b v="0"/>
    <n v="249670.25399999999"/>
    <m/>
    <n v="249670.25399999999"/>
    <n v="6"/>
    <b v="1"/>
    <b v="0"/>
  </r>
  <r>
    <x v="0"/>
    <s v="C"/>
    <s v="M"/>
    <n v="20230101"/>
    <x v="0"/>
    <x v="0"/>
    <s v="202301"/>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14457.415000000001"/>
    <b v="1"/>
    <n v="-1"/>
    <s v="N/A"/>
    <n v="0"/>
    <b v="0"/>
    <n v="14457.415000000001"/>
    <b v="1"/>
    <n v="0"/>
    <b v="0"/>
    <n v="69783.856"/>
    <m/>
    <n v="69783.856"/>
    <n v="6"/>
    <b v="1"/>
    <b v="0"/>
  </r>
  <r>
    <x v="0"/>
    <s v="C"/>
    <s v="M"/>
    <n v="20230101"/>
    <x v="0"/>
    <x v="0"/>
    <s v="202301"/>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6412.538"/>
    <b v="1"/>
    <n v="-1"/>
    <s v="N/A"/>
    <n v="0"/>
    <b v="0"/>
    <n v="26412.538"/>
    <b v="1"/>
    <n v="0"/>
    <b v="0"/>
    <m/>
    <n v="136656"/>
    <n v="136656"/>
    <n v="6"/>
    <b v="0"/>
    <b v="1"/>
  </r>
  <r>
    <x v="0"/>
    <s v="C"/>
    <s v="M"/>
    <n v="20230101"/>
    <x v="0"/>
    <x v="0"/>
    <s v="202301"/>
    <n v="818"/>
    <s v="EGY"/>
    <x v="0"/>
    <s v="X"/>
    <x v="1"/>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412.538"/>
    <b v="1"/>
    <n v="-1"/>
    <s v="N/A"/>
    <n v="0"/>
    <b v="0"/>
    <n v="26412.538"/>
    <b v="1"/>
    <n v="0"/>
    <b v="0"/>
    <m/>
    <n v="136656"/>
    <n v="136656"/>
    <n v="6"/>
    <b v="1"/>
    <b v="0"/>
  </r>
  <r>
    <x v="0"/>
    <s v="C"/>
    <s v="M"/>
    <n v="20230201"/>
    <x v="0"/>
    <x v="1"/>
    <s v="202302"/>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10014.12"/>
    <b v="1"/>
    <n v="-1"/>
    <s v="N/A"/>
    <n v="0"/>
    <b v="0"/>
    <n v="110014.12"/>
    <b v="1"/>
    <n v="0"/>
    <b v="0"/>
    <n v="531022.26899999997"/>
    <m/>
    <n v="531022.26899999997"/>
    <n v="6"/>
    <b v="0"/>
    <b v="1"/>
  </r>
  <r>
    <x v="0"/>
    <s v="C"/>
    <s v="M"/>
    <n v="20230201"/>
    <x v="0"/>
    <x v="1"/>
    <s v="202302"/>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4022.2869999999998"/>
    <b v="1"/>
    <n v="-1"/>
    <s v="N/A"/>
    <n v="0"/>
    <b v="0"/>
    <n v="4022.2869999999998"/>
    <b v="1"/>
    <n v="0"/>
    <b v="0"/>
    <n v="19415"/>
    <m/>
    <n v="19415"/>
    <n v="6"/>
    <b v="1"/>
    <b v="0"/>
  </r>
  <r>
    <x v="0"/>
    <s v="C"/>
    <s v="M"/>
    <n v="20230201"/>
    <x v="0"/>
    <x v="1"/>
    <s v="202302"/>
    <n v="818"/>
    <s v="EGY"/>
    <x v="0"/>
    <s v="M"/>
    <x v="0"/>
    <n v="251"/>
    <s v="FRA"/>
    <x v="9"/>
    <n v="0"/>
    <s v="W00"/>
    <s v="World"/>
    <s v="H6"/>
    <s v="HS"/>
    <b v="1"/>
    <s v="320619"/>
    <s v="Colouring matter; pigments and preparations based on titanium dioxide, containing less than 80% by weight of titanium dioxide calculated on the dry weight"/>
    <n v="6"/>
    <b v="1"/>
    <s v="C00"/>
    <s v="TOTAL CPC"/>
    <s v="0"/>
    <n v="0"/>
    <s v="TOTAL MOT"/>
    <n v="8"/>
    <s v="kg"/>
    <n v="1965.999"/>
    <b v="1"/>
    <n v="-1"/>
    <s v="N/A"/>
    <n v="0"/>
    <b v="0"/>
    <n v="1965.999"/>
    <b v="1"/>
    <n v="0"/>
    <b v="0"/>
    <n v="9489.5930000000008"/>
    <m/>
    <n v="9489.5930000000008"/>
    <n v="6"/>
    <b v="1"/>
    <b v="0"/>
  </r>
  <r>
    <x v="0"/>
    <s v="C"/>
    <s v="M"/>
    <n v="20230201"/>
    <x v="0"/>
    <x v="1"/>
    <s v="202302"/>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955.80200000000002"/>
    <b v="1"/>
    <n v="-1"/>
    <s v="N/A"/>
    <n v="0"/>
    <b v="0"/>
    <n v="955.80200000000002"/>
    <b v="1"/>
    <n v="0"/>
    <b v="0"/>
    <n v="4613.5200000000004"/>
    <m/>
    <n v="4613.5200000000004"/>
    <n v="6"/>
    <b v="1"/>
    <b v="0"/>
  </r>
  <r>
    <x v="0"/>
    <s v="C"/>
    <s v="M"/>
    <n v="20230201"/>
    <x v="0"/>
    <x v="1"/>
    <s v="202302"/>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25902.633000000002"/>
    <b v="1"/>
    <n v="-1"/>
    <s v="N/A"/>
    <n v="0"/>
    <b v="0"/>
    <n v="25902.633000000002"/>
    <b v="1"/>
    <n v="0"/>
    <b v="0"/>
    <n v="125028.269"/>
    <m/>
    <n v="125028.269"/>
    <n v="6"/>
    <b v="1"/>
    <b v="0"/>
  </r>
  <r>
    <x v="0"/>
    <s v="C"/>
    <s v="M"/>
    <n v="20230201"/>
    <x v="0"/>
    <x v="1"/>
    <s v="202302"/>
    <n v="818"/>
    <s v="EGY"/>
    <x v="0"/>
    <s v="M"/>
    <x v="0"/>
    <n v="568"/>
    <s v="E19"/>
    <x v="10"/>
    <n v="0"/>
    <s v="W00"/>
    <s v="World"/>
    <s v="H6"/>
    <s v="HS"/>
    <b v="1"/>
    <s v="320619"/>
    <s v="Colouring matter; pigments and preparations based on titanium dioxide, containing less than 80% by weight of titanium dioxide calculated on the dry weight"/>
    <n v="6"/>
    <b v="1"/>
    <s v="C00"/>
    <s v="TOTAL CPC"/>
    <s v="0"/>
    <n v="0"/>
    <s v="TOTAL MOT"/>
    <n v="8"/>
    <s v="kg"/>
    <n v="687.74800000000005"/>
    <b v="1"/>
    <n v="-1"/>
    <s v="N/A"/>
    <n v="0"/>
    <b v="0"/>
    <n v="687.74800000000005"/>
    <b v="1"/>
    <n v="0"/>
    <b v="0"/>
    <n v="3319.6619999999998"/>
    <m/>
    <n v="3319.6619999999998"/>
    <n v="6"/>
    <b v="1"/>
    <b v="0"/>
  </r>
  <r>
    <x v="0"/>
    <s v="C"/>
    <s v="M"/>
    <n v="20230201"/>
    <x v="0"/>
    <x v="1"/>
    <s v="202302"/>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8958.0370000000003"/>
    <b v="1"/>
    <n v="-1"/>
    <s v="N/A"/>
    <n v="0"/>
    <b v="0"/>
    <n v="8958.0370000000003"/>
    <b v="1"/>
    <n v="0"/>
    <b v="0"/>
    <n v="43239.148999999998"/>
    <m/>
    <n v="43239.148999999998"/>
    <n v="6"/>
    <b v="1"/>
    <b v="0"/>
  </r>
  <r>
    <x v="0"/>
    <s v="C"/>
    <s v="M"/>
    <n v="20230201"/>
    <x v="0"/>
    <x v="1"/>
    <s v="202302"/>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17009.454000000002"/>
    <b v="1"/>
    <n v="-1"/>
    <s v="N/A"/>
    <n v="0"/>
    <b v="0"/>
    <n v="17009.454000000002"/>
    <b v="1"/>
    <n v="0"/>
    <b v="0"/>
    <n v="82102.179999999993"/>
    <m/>
    <n v="82102.179999999993"/>
    <n v="6"/>
    <b v="1"/>
    <b v="0"/>
  </r>
  <r>
    <x v="0"/>
    <s v="C"/>
    <s v="M"/>
    <n v="20230201"/>
    <x v="0"/>
    <x v="1"/>
    <s v="202302"/>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50512.159"/>
    <b v="1"/>
    <n v="-1"/>
    <s v="N/A"/>
    <n v="0"/>
    <b v="0"/>
    <n v="50512.159"/>
    <b v="1"/>
    <n v="0"/>
    <b v="0"/>
    <n v="243814.89600000001"/>
    <m/>
    <n v="243814.89600000001"/>
    <n v="6"/>
    <b v="1"/>
    <b v="0"/>
  </r>
  <r>
    <x v="0"/>
    <s v="C"/>
    <s v="M"/>
    <n v="20230301"/>
    <x v="0"/>
    <x v="2"/>
    <s v="202303"/>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91053.751999999993"/>
    <b v="1"/>
    <n v="-1"/>
    <s v="N/A"/>
    <n v="0"/>
    <b v="0"/>
    <n v="91053.751999999993"/>
    <b v="1"/>
    <n v="0"/>
    <b v="0"/>
    <n v="439503.31099999999"/>
    <m/>
    <n v="439503.31099999999"/>
    <n v="6"/>
    <b v="0"/>
    <b v="1"/>
  </r>
  <r>
    <x v="0"/>
    <s v="C"/>
    <s v="M"/>
    <n v="20230301"/>
    <x v="0"/>
    <x v="2"/>
    <s v="202303"/>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2866.3040000000001"/>
    <b v="1"/>
    <n v="-1"/>
    <s v="N/A"/>
    <n v="0"/>
    <b v="0"/>
    <n v="2866.3040000000001"/>
    <b v="1"/>
    <n v="0"/>
    <b v="0"/>
    <n v="13835.236000000001"/>
    <m/>
    <n v="13835.236000000001"/>
    <n v="6"/>
    <b v="1"/>
    <b v="0"/>
  </r>
  <r>
    <x v="0"/>
    <s v="C"/>
    <s v="M"/>
    <n v="20230301"/>
    <x v="0"/>
    <x v="2"/>
    <s v="202303"/>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20371.370999999999"/>
    <b v="1"/>
    <n v="-1"/>
    <s v="N/A"/>
    <n v="0"/>
    <b v="0"/>
    <n v="20371.370999999999"/>
    <b v="1"/>
    <n v="0"/>
    <b v="0"/>
    <n v="98329.664000000004"/>
    <m/>
    <n v="98329.664000000004"/>
    <n v="6"/>
    <b v="1"/>
    <b v="0"/>
  </r>
  <r>
    <x v="0"/>
    <s v="C"/>
    <s v="M"/>
    <n v="20230301"/>
    <x v="0"/>
    <x v="2"/>
    <s v="202303"/>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18345.933000000001"/>
    <b v="1"/>
    <n v="-1"/>
    <s v="N/A"/>
    <n v="0"/>
    <b v="0"/>
    <n v="18345.933000000001"/>
    <b v="1"/>
    <n v="0"/>
    <b v="0"/>
    <n v="88553.17"/>
    <m/>
    <n v="88553.17"/>
    <n v="6"/>
    <b v="1"/>
    <b v="0"/>
  </r>
  <r>
    <x v="0"/>
    <s v="C"/>
    <s v="M"/>
    <n v="20230301"/>
    <x v="0"/>
    <x v="2"/>
    <s v="202303"/>
    <n v="818"/>
    <s v="EGY"/>
    <x v="0"/>
    <s v="M"/>
    <x v="0"/>
    <n v="246"/>
    <s v="FIN"/>
    <x v="14"/>
    <n v="0"/>
    <s v="W00"/>
    <s v="World"/>
    <s v="H6"/>
    <s v="HS"/>
    <b v="1"/>
    <s v="320619"/>
    <s v="Colouring matter; pigments and preparations based on titanium dioxide, containing less than 80% by weight of titanium dioxide calculated on the dry weight"/>
    <n v="6"/>
    <b v="1"/>
    <s v="C00"/>
    <s v="TOTAL CPC"/>
    <s v="0"/>
    <n v="0"/>
    <s v="TOTAL MOT"/>
    <n v="8"/>
    <s v="kg"/>
    <n v="1023.9"/>
    <b v="1"/>
    <n v="-1"/>
    <s v="N/A"/>
    <n v="0"/>
    <b v="0"/>
    <n v="1023.9"/>
    <b v="1"/>
    <n v="0"/>
    <b v="0"/>
    <n v="4942.2179999999998"/>
    <m/>
    <n v="4942.2179999999998"/>
    <n v="6"/>
    <b v="1"/>
    <b v="0"/>
  </r>
  <r>
    <x v="0"/>
    <s v="C"/>
    <s v="M"/>
    <n v="20230301"/>
    <x v="0"/>
    <x v="2"/>
    <s v="202303"/>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8109.3879999999999"/>
    <b v="1"/>
    <n v="-1"/>
    <s v="N/A"/>
    <n v="0"/>
    <b v="0"/>
    <n v="8109.3879999999999"/>
    <b v="1"/>
    <n v="0"/>
    <b v="0"/>
    <n v="39142.843999999997"/>
    <m/>
    <n v="39142.843999999997"/>
    <n v="6"/>
    <b v="1"/>
    <b v="0"/>
  </r>
  <r>
    <x v="0"/>
    <s v="C"/>
    <s v="M"/>
    <n v="20230301"/>
    <x v="0"/>
    <x v="2"/>
    <s v="202303"/>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6528.8779999999997"/>
    <b v="1"/>
    <n v="-1"/>
    <s v="N/A"/>
    <n v="0"/>
    <b v="0"/>
    <n v="6528.8779999999997"/>
    <b v="1"/>
    <n v="0"/>
    <b v="0"/>
    <n v="31513.951000000001"/>
    <m/>
    <n v="31513.951000000001"/>
    <n v="6"/>
    <b v="1"/>
    <b v="0"/>
  </r>
  <r>
    <x v="0"/>
    <s v="C"/>
    <s v="M"/>
    <n v="20230301"/>
    <x v="0"/>
    <x v="2"/>
    <s v="202303"/>
    <n v="818"/>
    <s v="EGY"/>
    <x v="0"/>
    <s v="M"/>
    <x v="0"/>
    <n v="528"/>
    <s v="NLD"/>
    <x v="15"/>
    <n v="0"/>
    <s v="W00"/>
    <s v="World"/>
    <s v="H6"/>
    <s v="HS"/>
    <b v="1"/>
    <s v="320619"/>
    <s v="Colouring matter; pigments and preparations based on titanium dioxide, containing less than 80% by weight of titanium dioxide calculated on the dry weight"/>
    <n v="6"/>
    <b v="1"/>
    <s v="C00"/>
    <s v="TOTAL CPC"/>
    <s v="0"/>
    <n v="0"/>
    <s v="TOTAL MOT"/>
    <n v="8"/>
    <s v="kg"/>
    <n v="4.3499999999999996"/>
    <b v="1"/>
    <n v="-1"/>
    <s v="N/A"/>
    <n v="0"/>
    <b v="0"/>
    <n v="4.3499999999999996"/>
    <b v="1"/>
    <n v="0"/>
    <b v="0"/>
    <n v="20.998000000000001"/>
    <m/>
    <n v="20.998000000000001"/>
    <n v="6"/>
    <b v="1"/>
    <b v="0"/>
  </r>
  <r>
    <x v="0"/>
    <s v="C"/>
    <s v="M"/>
    <n v="20230301"/>
    <x v="0"/>
    <x v="2"/>
    <s v="202303"/>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4076.263999999999"/>
    <b v="1"/>
    <n v="-1"/>
    <s v="N/A"/>
    <n v="0"/>
    <b v="0"/>
    <n v="24076.263999999999"/>
    <b v="1"/>
    <n v="0"/>
    <b v="0"/>
    <n v="116212.648"/>
    <m/>
    <n v="116212.648"/>
    <n v="6"/>
    <b v="1"/>
    <b v="0"/>
  </r>
  <r>
    <x v="0"/>
    <s v="C"/>
    <s v="M"/>
    <n v="20230301"/>
    <x v="0"/>
    <x v="2"/>
    <s v="202303"/>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8114.683"/>
    <b v="1"/>
    <n v="-1"/>
    <s v="N/A"/>
    <n v="0"/>
    <b v="0"/>
    <n v="8114.683"/>
    <b v="1"/>
    <n v="0"/>
    <b v="0"/>
    <n v="39168.400999999998"/>
    <m/>
    <n v="39168.400999999998"/>
    <n v="6"/>
    <b v="1"/>
    <b v="0"/>
  </r>
  <r>
    <x v="0"/>
    <s v="C"/>
    <s v="M"/>
    <n v="20230301"/>
    <x v="0"/>
    <x v="2"/>
    <s v="202303"/>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1612.682"/>
    <b v="1"/>
    <n v="-1"/>
    <s v="N/A"/>
    <n v="0"/>
    <b v="0"/>
    <n v="1612.682"/>
    <b v="1"/>
    <n v="0"/>
    <b v="0"/>
    <n v="7784.1809999999996"/>
    <m/>
    <n v="7784.1809999999996"/>
    <n v="6"/>
    <b v="1"/>
    <b v="0"/>
  </r>
  <r>
    <x v="0"/>
    <s v="C"/>
    <s v="M"/>
    <n v="20230301"/>
    <x v="0"/>
    <x v="2"/>
    <s v="202303"/>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53114.991999999998"/>
    <b v="1"/>
    <n v="-1"/>
    <s v="N/A"/>
    <n v="0"/>
    <b v="0"/>
    <n v="53114.991999999998"/>
    <b v="1"/>
    <n v="0"/>
    <b v="0"/>
    <m/>
    <n v="274812"/>
    <n v="274812"/>
    <n v="6"/>
    <b v="0"/>
    <b v="1"/>
  </r>
  <r>
    <x v="0"/>
    <s v="C"/>
    <s v="M"/>
    <n v="20230301"/>
    <x v="0"/>
    <x v="2"/>
    <s v="202303"/>
    <n v="818"/>
    <s v="EGY"/>
    <x v="0"/>
    <s v="X"/>
    <x v="1"/>
    <n v="729"/>
    <s v="SDN"/>
    <x v="16"/>
    <n v="0"/>
    <s v="W00"/>
    <s v="World"/>
    <s v="H6"/>
    <s v="HS"/>
    <b v="1"/>
    <s v="320619"/>
    <s v="Colouring matter; pigments and preparations based on titanium dioxide, containing less than 80% by weight of titanium dioxide calculated on the dry weight"/>
    <n v="6"/>
    <b v="1"/>
    <s v="C00"/>
    <s v="TOTAL CPC"/>
    <s v="0"/>
    <n v="0"/>
    <s v="TOTAL MOT"/>
    <n v="8"/>
    <s v="kg"/>
    <n v="289.916"/>
    <b v="1"/>
    <n v="-1"/>
    <s v="N/A"/>
    <n v="0"/>
    <b v="0"/>
    <n v="289.916"/>
    <b v="1"/>
    <n v="0"/>
    <b v="0"/>
    <m/>
    <n v="1500"/>
    <n v="1500"/>
    <n v="6"/>
    <b v="1"/>
    <b v="0"/>
  </r>
  <r>
    <x v="0"/>
    <s v="C"/>
    <s v="M"/>
    <n v="20230301"/>
    <x v="0"/>
    <x v="2"/>
    <s v="202303"/>
    <n v="818"/>
    <s v="EGY"/>
    <x v="0"/>
    <s v="X"/>
    <x v="1"/>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52825.076000000001"/>
    <b v="1"/>
    <n v="-1"/>
    <s v="N/A"/>
    <n v="0"/>
    <b v="0"/>
    <n v="52825.076000000001"/>
    <b v="1"/>
    <n v="0"/>
    <b v="0"/>
    <m/>
    <n v="273312"/>
    <n v="273312"/>
    <n v="6"/>
    <b v="1"/>
    <b v="0"/>
  </r>
  <r>
    <x v="0"/>
    <s v="C"/>
    <s v="M"/>
    <n v="20230401"/>
    <x v="0"/>
    <x v="3"/>
    <s v="202304"/>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78739.42600000001"/>
    <b v="1"/>
    <n v="-1"/>
    <s v="N/A"/>
    <n v="0"/>
    <b v="0"/>
    <n v="178739.42600000001"/>
    <b v="1"/>
    <n v="0"/>
    <b v="0"/>
    <n v="862749.39300000004"/>
    <m/>
    <n v="862749.39300000004"/>
    <n v="6"/>
    <b v="0"/>
    <b v="1"/>
  </r>
  <r>
    <x v="0"/>
    <s v="C"/>
    <s v="M"/>
    <n v="20230401"/>
    <x v="0"/>
    <x v="3"/>
    <s v="202304"/>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373.7619999999999"/>
    <b v="1"/>
    <n v="-1"/>
    <s v="N/A"/>
    <n v="0"/>
    <b v="0"/>
    <n v="1373.7619999999999"/>
    <b v="1"/>
    <n v="0"/>
    <b v="0"/>
    <n v="6630.9520000000002"/>
    <m/>
    <n v="6630.9520000000002"/>
    <n v="6"/>
    <b v="1"/>
    <b v="0"/>
  </r>
  <r>
    <x v="0"/>
    <s v="C"/>
    <s v="M"/>
    <n v="20230401"/>
    <x v="0"/>
    <x v="3"/>
    <s v="202304"/>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34539.01"/>
    <b v="1"/>
    <n v="-1"/>
    <s v="N/A"/>
    <n v="0"/>
    <b v="0"/>
    <n v="34539.01"/>
    <b v="1"/>
    <n v="0"/>
    <b v="0"/>
    <n v="166714.81400000001"/>
    <m/>
    <n v="166714.81400000001"/>
    <n v="6"/>
    <b v="1"/>
    <b v="0"/>
  </r>
  <r>
    <x v="0"/>
    <s v="C"/>
    <s v="M"/>
    <n v="20230401"/>
    <x v="0"/>
    <x v="3"/>
    <s v="202304"/>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9727.519"/>
    <b v="1"/>
    <n v="-1"/>
    <s v="N/A"/>
    <n v="0"/>
    <b v="0"/>
    <n v="19727.519"/>
    <b v="1"/>
    <n v="0"/>
    <b v="0"/>
    <n v="95221.883000000002"/>
    <m/>
    <n v="95221.883000000002"/>
    <n v="6"/>
    <b v="1"/>
    <b v="0"/>
  </r>
  <r>
    <x v="0"/>
    <s v="C"/>
    <s v="M"/>
    <n v="20230401"/>
    <x v="0"/>
    <x v="3"/>
    <s v="202304"/>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45713.847999999998"/>
    <b v="1"/>
    <n v="-1"/>
    <s v="N/A"/>
    <n v="0"/>
    <b v="0"/>
    <n v="45713.847999999998"/>
    <b v="1"/>
    <n v="0"/>
    <b v="0"/>
    <n v="220654.14300000001"/>
    <m/>
    <n v="220654.14300000001"/>
    <n v="6"/>
    <b v="1"/>
    <b v="0"/>
  </r>
  <r>
    <x v="0"/>
    <s v="C"/>
    <s v="M"/>
    <n v="20230401"/>
    <x v="0"/>
    <x v="3"/>
    <s v="202304"/>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4546.607"/>
    <b v="1"/>
    <n v="-1"/>
    <s v="N/A"/>
    <n v="0"/>
    <b v="0"/>
    <n v="4546.607"/>
    <b v="1"/>
    <n v="0"/>
    <b v="0"/>
    <n v="21945.812999999998"/>
    <m/>
    <n v="21945.812999999998"/>
    <n v="6"/>
    <b v="1"/>
    <b v="0"/>
  </r>
  <r>
    <x v="0"/>
    <s v="C"/>
    <s v="M"/>
    <n v="20230401"/>
    <x v="0"/>
    <x v="3"/>
    <s v="202304"/>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3570.699999999997"/>
    <b v="1"/>
    <n v="-1"/>
    <s v="N/A"/>
    <n v="0"/>
    <b v="0"/>
    <n v="33570.699999999997"/>
    <b v="1"/>
    <n v="0"/>
    <b v="0"/>
    <n v="162040.92199999999"/>
    <m/>
    <n v="162040.92199999999"/>
    <n v="6"/>
    <b v="1"/>
    <b v="0"/>
  </r>
  <r>
    <x v="0"/>
    <s v="C"/>
    <s v="M"/>
    <n v="20230401"/>
    <x v="0"/>
    <x v="3"/>
    <s v="202304"/>
    <n v="818"/>
    <s v="EGY"/>
    <x v="0"/>
    <s v="M"/>
    <x v="0"/>
    <n v="410"/>
    <s v="KOR"/>
    <x v="18"/>
    <n v="0"/>
    <s v="W00"/>
    <s v="World"/>
    <s v="H6"/>
    <s v="HS"/>
    <b v="1"/>
    <s v="320619"/>
    <s v="Colouring matter; pigments and preparations based on titanium dioxide, containing less than 80% by weight of titanium dioxide calculated on the dry weight"/>
    <n v="6"/>
    <b v="1"/>
    <s v="C00"/>
    <s v="TOTAL CPC"/>
    <s v="0"/>
    <n v="0"/>
    <s v="TOTAL MOT"/>
    <n v="8"/>
    <s v="kg"/>
    <n v="796.60799999999995"/>
    <b v="1"/>
    <n v="-1"/>
    <s v="N/A"/>
    <n v="0"/>
    <b v="0"/>
    <n v="796.60799999999995"/>
    <b v="1"/>
    <n v="0"/>
    <b v="0"/>
    <n v="3845.114"/>
    <m/>
    <n v="3845.114"/>
    <n v="6"/>
    <b v="1"/>
    <b v="0"/>
  </r>
  <r>
    <x v="0"/>
    <s v="C"/>
    <s v="M"/>
    <n v="20230401"/>
    <x v="0"/>
    <x v="3"/>
    <s v="202304"/>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4353.3980000000001"/>
    <b v="1"/>
    <n v="-1"/>
    <s v="N/A"/>
    <n v="0"/>
    <b v="0"/>
    <n v="4353.3980000000001"/>
    <b v="1"/>
    <n v="0"/>
    <b v="0"/>
    <n v="21013.223000000002"/>
    <m/>
    <n v="21013.223000000002"/>
    <n v="6"/>
    <b v="1"/>
    <b v="0"/>
  </r>
  <r>
    <x v="0"/>
    <s v="C"/>
    <s v="M"/>
    <n v="20230401"/>
    <x v="0"/>
    <x v="3"/>
    <s v="202304"/>
    <n v="818"/>
    <s v="EGY"/>
    <x v="0"/>
    <s v="M"/>
    <x v="0"/>
    <n v="724"/>
    <s v="ESP"/>
    <x v="19"/>
    <n v="0"/>
    <s v="W00"/>
    <s v="World"/>
    <s v="H6"/>
    <s v="HS"/>
    <b v="1"/>
    <s v="320619"/>
    <s v="Colouring matter; pigments and preparations based on titanium dioxide, containing less than 80% by weight of titanium dioxide calculated on the dry weight"/>
    <n v="6"/>
    <b v="1"/>
    <s v="C00"/>
    <s v="TOTAL CPC"/>
    <s v="0"/>
    <n v="0"/>
    <s v="TOTAL MOT"/>
    <n v="8"/>
    <s v="kg"/>
    <n v="1503.0219999999999"/>
    <b v="1"/>
    <n v="-1"/>
    <s v="N/A"/>
    <n v="0"/>
    <b v="0"/>
    <n v="1503.0219999999999"/>
    <b v="1"/>
    <n v="0"/>
    <b v="0"/>
    <n v="7254.8680000000004"/>
    <m/>
    <n v="7254.8680000000004"/>
    <n v="6"/>
    <b v="1"/>
    <b v="0"/>
  </r>
  <r>
    <x v="0"/>
    <s v="C"/>
    <s v="M"/>
    <n v="20230401"/>
    <x v="0"/>
    <x v="3"/>
    <s v="202304"/>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16893.827000000001"/>
    <b v="1"/>
    <n v="-1"/>
    <s v="N/A"/>
    <n v="0"/>
    <b v="0"/>
    <n v="16893.827000000001"/>
    <b v="1"/>
    <n v="0"/>
    <b v="0"/>
    <n v="81544.062999999995"/>
    <m/>
    <n v="81544.062999999995"/>
    <n v="6"/>
    <b v="1"/>
    <b v="0"/>
  </r>
  <r>
    <x v="0"/>
    <s v="C"/>
    <s v="M"/>
    <n v="20230401"/>
    <x v="0"/>
    <x v="3"/>
    <s v="202304"/>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8972.9850000000006"/>
    <b v="1"/>
    <n v="-1"/>
    <s v="N/A"/>
    <n v="0"/>
    <b v="0"/>
    <n v="8972.9850000000006"/>
    <b v="1"/>
    <n v="0"/>
    <b v="0"/>
    <n v="43311.300999999999"/>
    <m/>
    <n v="43311.300999999999"/>
    <n v="6"/>
    <b v="1"/>
    <b v="0"/>
  </r>
  <r>
    <x v="0"/>
    <s v="C"/>
    <s v="M"/>
    <n v="20230401"/>
    <x v="0"/>
    <x v="3"/>
    <s v="202304"/>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6748.14"/>
    <b v="1"/>
    <n v="-1"/>
    <s v="N/A"/>
    <n v="0"/>
    <b v="0"/>
    <n v="6748.14"/>
    <b v="1"/>
    <n v="0"/>
    <b v="0"/>
    <n v="32572.298999999999"/>
    <m/>
    <n v="32572.298999999999"/>
    <n v="6"/>
    <b v="1"/>
    <b v="0"/>
  </r>
  <r>
    <x v="0"/>
    <s v="C"/>
    <s v="M"/>
    <n v="20230401"/>
    <x v="0"/>
    <x v="3"/>
    <s v="202304"/>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3206.269"/>
    <b v="1"/>
    <n v="-1"/>
    <s v="N/A"/>
    <n v="0"/>
    <b v="0"/>
    <n v="13206.269"/>
    <b v="1"/>
    <n v="0"/>
    <b v="0"/>
    <m/>
    <n v="68328"/>
    <n v="68328"/>
    <n v="6"/>
    <b v="0"/>
    <b v="1"/>
  </r>
  <r>
    <x v="0"/>
    <s v="C"/>
    <s v="M"/>
    <n v="20230401"/>
    <x v="0"/>
    <x v="3"/>
    <s v="202304"/>
    <n v="818"/>
    <s v="EGY"/>
    <x v="0"/>
    <s v="X"/>
    <x v="1"/>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13206.269"/>
    <b v="1"/>
    <n v="-1"/>
    <s v="N/A"/>
    <n v="0"/>
    <b v="0"/>
    <n v="13206.269"/>
    <b v="1"/>
    <n v="0"/>
    <b v="0"/>
    <m/>
    <n v="68328"/>
    <n v="68328"/>
    <n v="6"/>
    <b v="1"/>
    <b v="0"/>
  </r>
  <r>
    <x v="0"/>
    <s v="C"/>
    <s v="M"/>
    <n v="20230501"/>
    <x v="0"/>
    <x v="4"/>
    <s v="202305"/>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95852.967000000004"/>
    <b v="1"/>
    <n v="-1"/>
    <s v="N/A"/>
    <n v="0"/>
    <b v="0"/>
    <n v="95852.967000000004"/>
    <b v="1"/>
    <n v="0"/>
    <b v="0"/>
    <n v="462668.42800000001"/>
    <m/>
    <n v="462668.42800000001"/>
    <n v="6"/>
    <b v="0"/>
    <b v="1"/>
  </r>
  <r>
    <x v="0"/>
    <s v="C"/>
    <s v="M"/>
    <n v="20230501"/>
    <x v="0"/>
    <x v="4"/>
    <s v="202305"/>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967.65499999999997"/>
    <b v="1"/>
    <n v="-1"/>
    <s v="N/A"/>
    <n v="0"/>
    <b v="0"/>
    <n v="967.65499999999997"/>
    <b v="1"/>
    <n v="0"/>
    <b v="0"/>
    <n v="4670.732"/>
    <m/>
    <n v="4670.732"/>
    <n v="6"/>
    <b v="1"/>
    <b v="0"/>
  </r>
  <r>
    <x v="0"/>
    <s v="C"/>
    <s v="M"/>
    <n v="20230501"/>
    <x v="0"/>
    <x v="4"/>
    <s v="202305"/>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44687.936999999998"/>
    <b v="1"/>
    <n v="-1"/>
    <s v="N/A"/>
    <n v="0"/>
    <b v="0"/>
    <n v="44687.936999999998"/>
    <b v="1"/>
    <n v="0"/>
    <b v="0"/>
    <n v="215702.21900000001"/>
    <m/>
    <n v="215702.21900000001"/>
    <n v="6"/>
    <b v="1"/>
    <b v="0"/>
  </r>
  <r>
    <x v="0"/>
    <s v="C"/>
    <s v="M"/>
    <n v="20230501"/>
    <x v="0"/>
    <x v="4"/>
    <s v="202305"/>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95.726"/>
    <b v="1"/>
    <n v="-1"/>
    <s v="N/A"/>
    <n v="0"/>
    <b v="0"/>
    <n v="295.726"/>
    <b v="1"/>
    <n v="0"/>
    <b v="0"/>
    <n v="1427.4269999999999"/>
    <m/>
    <n v="1427.4269999999999"/>
    <n v="6"/>
    <b v="1"/>
    <b v="0"/>
  </r>
  <r>
    <x v="0"/>
    <s v="C"/>
    <s v="M"/>
    <n v="20230501"/>
    <x v="0"/>
    <x v="4"/>
    <s v="202305"/>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6256.86"/>
    <b v="1"/>
    <n v="-1"/>
    <s v="N/A"/>
    <n v="0"/>
    <b v="0"/>
    <n v="6256.86"/>
    <b v="1"/>
    <n v="0"/>
    <b v="0"/>
    <n v="30200.960999999999"/>
    <m/>
    <n v="30200.960999999999"/>
    <n v="6"/>
    <b v="1"/>
    <b v="0"/>
  </r>
  <r>
    <x v="0"/>
    <s v="C"/>
    <s v="M"/>
    <n v="20230501"/>
    <x v="0"/>
    <x v="4"/>
    <s v="202305"/>
    <n v="818"/>
    <s v="EGY"/>
    <x v="0"/>
    <s v="M"/>
    <x v="0"/>
    <n v="528"/>
    <s v="NLD"/>
    <x v="15"/>
    <n v="0"/>
    <s v="W00"/>
    <s v="World"/>
    <s v="H6"/>
    <s v="HS"/>
    <b v="1"/>
    <s v="320619"/>
    <s v="Colouring matter; pigments and preparations based on titanium dioxide, containing less than 80% by weight of titanium dioxide calculated on the dry weight"/>
    <n v="6"/>
    <b v="1"/>
    <s v="C00"/>
    <s v="TOTAL CPC"/>
    <s v="0"/>
    <n v="0"/>
    <s v="TOTAL MOT"/>
    <n v="8"/>
    <s v="kg"/>
    <n v="5165.5469999999996"/>
    <b v="1"/>
    <n v="-1"/>
    <s v="N/A"/>
    <n v="0"/>
    <b v="0"/>
    <n v="5165.5469999999996"/>
    <b v="1"/>
    <n v="0"/>
    <b v="0"/>
    <n v="24933.35"/>
    <m/>
    <n v="24933.35"/>
    <n v="6"/>
    <b v="1"/>
    <b v="0"/>
  </r>
  <r>
    <x v="0"/>
    <s v="C"/>
    <s v="M"/>
    <n v="20230501"/>
    <x v="0"/>
    <x v="4"/>
    <s v="202305"/>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7549.2560000000003"/>
    <b v="1"/>
    <n v="-1"/>
    <s v="N/A"/>
    <n v="0"/>
    <b v="0"/>
    <n v="7549.2560000000003"/>
    <b v="1"/>
    <n v="0"/>
    <b v="0"/>
    <n v="36439.167999999998"/>
    <m/>
    <n v="36439.167999999998"/>
    <n v="6"/>
    <b v="1"/>
    <b v="0"/>
  </r>
  <r>
    <x v="0"/>
    <s v="C"/>
    <s v="M"/>
    <n v="20230501"/>
    <x v="0"/>
    <x v="4"/>
    <s v="202305"/>
    <n v="818"/>
    <s v="EGY"/>
    <x v="0"/>
    <s v="M"/>
    <x v="0"/>
    <n v="704"/>
    <s v="VNM"/>
    <x v="20"/>
    <n v="0"/>
    <s v="W00"/>
    <s v="World"/>
    <s v="H6"/>
    <s v="HS"/>
    <b v="1"/>
    <s v="320619"/>
    <s v="Colouring matter; pigments and preparations based on titanium dioxide, containing less than 80% by weight of titanium dioxide calculated on the dry weight"/>
    <n v="6"/>
    <b v="1"/>
    <s v="C00"/>
    <s v="TOTAL CPC"/>
    <s v="0"/>
    <n v="0"/>
    <s v="TOTAL MOT"/>
    <n v="8"/>
    <s v="kg"/>
    <n v="7910.326"/>
    <b v="1"/>
    <n v="-1"/>
    <s v="N/A"/>
    <n v="0"/>
    <b v="0"/>
    <n v="7910.326"/>
    <b v="1"/>
    <n v="0"/>
    <b v="0"/>
    <n v="38182"/>
    <m/>
    <n v="38182"/>
    <n v="6"/>
    <b v="1"/>
    <b v="0"/>
  </r>
  <r>
    <x v="0"/>
    <s v="C"/>
    <s v="M"/>
    <n v="20230501"/>
    <x v="0"/>
    <x v="4"/>
    <s v="202305"/>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6524.3180000000002"/>
    <b v="1"/>
    <n v="-1"/>
    <s v="N/A"/>
    <n v="0"/>
    <b v="0"/>
    <n v="6524.3180000000002"/>
    <b v="1"/>
    <n v="0"/>
    <b v="0"/>
    <n v="31491.940999999999"/>
    <m/>
    <n v="31491.940999999999"/>
    <n v="6"/>
    <b v="1"/>
    <b v="0"/>
  </r>
  <r>
    <x v="0"/>
    <s v="C"/>
    <s v="M"/>
    <n v="20230501"/>
    <x v="0"/>
    <x v="4"/>
    <s v="202305"/>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16495.341"/>
    <b v="1"/>
    <n v="-1"/>
    <s v="N/A"/>
    <n v="0"/>
    <b v="0"/>
    <n v="16495.341"/>
    <b v="1"/>
    <n v="0"/>
    <b v="0"/>
    <n v="79620.63"/>
    <m/>
    <n v="79620.63"/>
    <n v="6"/>
    <b v="1"/>
    <b v="0"/>
  </r>
  <r>
    <x v="0"/>
    <s v="C"/>
    <s v="M"/>
    <n v="20230501"/>
    <x v="0"/>
    <x v="4"/>
    <s v="202305"/>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6412.538"/>
    <b v="1"/>
    <n v="-1"/>
    <s v="N/A"/>
    <n v="0"/>
    <b v="0"/>
    <n v="26412.538"/>
    <b v="1"/>
    <n v="0"/>
    <b v="0"/>
    <m/>
    <n v="136656"/>
    <n v="136656"/>
    <n v="6"/>
    <b v="0"/>
    <b v="1"/>
  </r>
  <r>
    <x v="0"/>
    <s v="C"/>
    <s v="M"/>
    <n v="20230501"/>
    <x v="0"/>
    <x v="4"/>
    <s v="202305"/>
    <n v="818"/>
    <s v="EGY"/>
    <x v="0"/>
    <s v="X"/>
    <x v="1"/>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412.538"/>
    <b v="1"/>
    <n v="-1"/>
    <s v="N/A"/>
    <n v="0"/>
    <b v="0"/>
    <n v="26412.538"/>
    <b v="1"/>
    <n v="0"/>
    <b v="0"/>
    <m/>
    <n v="136656"/>
    <n v="136656"/>
    <n v="6"/>
    <b v="1"/>
    <b v="0"/>
  </r>
  <r>
    <x v="0"/>
    <s v="C"/>
    <s v="M"/>
    <n v="20230601"/>
    <x v="0"/>
    <x v="5"/>
    <s v="202306"/>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73018.486"/>
    <b v="1"/>
    <n v="-1"/>
    <s v="N/A"/>
    <n v="0"/>
    <b v="0"/>
    <n v="173018.486"/>
    <b v="1"/>
    <n v="0"/>
    <b v="0"/>
    <n v="835135.24399999995"/>
    <m/>
    <n v="835135.24399999995"/>
    <n v="6"/>
    <b v="0"/>
    <b v="1"/>
  </r>
  <r>
    <x v="0"/>
    <s v="C"/>
    <s v="M"/>
    <n v="20230601"/>
    <x v="0"/>
    <x v="5"/>
    <s v="202306"/>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38299.332000000002"/>
    <b v="1"/>
    <n v="-1"/>
    <s v="N/A"/>
    <n v="0"/>
    <b v="0"/>
    <n v="38299.332000000002"/>
    <b v="1"/>
    <n v="0"/>
    <b v="0"/>
    <n v="184865.34400000001"/>
    <m/>
    <n v="184865.34400000001"/>
    <n v="6"/>
    <b v="1"/>
    <b v="0"/>
  </r>
  <r>
    <x v="0"/>
    <s v="C"/>
    <s v="M"/>
    <n v="20230601"/>
    <x v="0"/>
    <x v="5"/>
    <s v="202306"/>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11051.214"/>
    <b v="1"/>
    <n v="-1"/>
    <s v="N/A"/>
    <n v="0"/>
    <b v="0"/>
    <n v="11051.214"/>
    <b v="1"/>
    <n v="0"/>
    <b v="0"/>
    <n v="53342.610999999997"/>
    <m/>
    <n v="53342.610999999997"/>
    <n v="6"/>
    <b v="1"/>
    <b v="0"/>
  </r>
  <r>
    <x v="0"/>
    <s v="C"/>
    <s v="M"/>
    <n v="20230601"/>
    <x v="0"/>
    <x v="5"/>
    <s v="202306"/>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8706.062999999998"/>
    <b v="1"/>
    <n v="-1"/>
    <s v="N/A"/>
    <n v="0"/>
    <b v="0"/>
    <n v="28706.062999999998"/>
    <b v="1"/>
    <n v="0"/>
    <b v="0"/>
    <n v="138560.019"/>
    <m/>
    <n v="138560.019"/>
    <n v="6"/>
    <b v="1"/>
    <b v="0"/>
  </r>
  <r>
    <x v="0"/>
    <s v="C"/>
    <s v="M"/>
    <n v="20230601"/>
    <x v="0"/>
    <x v="5"/>
    <s v="202306"/>
    <n v="818"/>
    <s v="EGY"/>
    <x v="0"/>
    <s v="M"/>
    <x v="0"/>
    <n v="348"/>
    <s v="HUN"/>
    <x v="21"/>
    <n v="0"/>
    <s v="W00"/>
    <s v="World"/>
    <s v="H6"/>
    <s v="HS"/>
    <b v="1"/>
    <s v="320619"/>
    <s v="Colouring matter; pigments and preparations based on titanium dioxide, containing less than 80% by weight of titanium dioxide calculated on the dry weight"/>
    <n v="6"/>
    <b v="1"/>
    <s v="C00"/>
    <s v="TOTAL CPC"/>
    <s v="0"/>
    <n v="0"/>
    <s v="TOTAL MOT"/>
    <n v="8"/>
    <s v="kg"/>
    <n v="11867.778"/>
    <b v="1"/>
    <n v="-1"/>
    <s v="N/A"/>
    <n v="0"/>
    <b v="0"/>
    <n v="11867.778"/>
    <b v="1"/>
    <n v="0"/>
    <b v="0"/>
    <n v="57284.050999999999"/>
    <m/>
    <n v="57284.050999999999"/>
    <n v="6"/>
    <b v="1"/>
    <b v="0"/>
  </r>
  <r>
    <x v="0"/>
    <s v="C"/>
    <s v="M"/>
    <n v="20230601"/>
    <x v="0"/>
    <x v="5"/>
    <s v="202306"/>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3603.8440000000001"/>
    <b v="1"/>
    <n v="-1"/>
    <s v="N/A"/>
    <n v="0"/>
    <b v="0"/>
    <n v="3603.8440000000001"/>
    <b v="1"/>
    <n v="0"/>
    <b v="0"/>
    <n v="17395.237000000001"/>
    <m/>
    <n v="17395.237000000001"/>
    <n v="6"/>
    <b v="1"/>
    <b v="0"/>
  </r>
  <r>
    <x v="0"/>
    <s v="C"/>
    <s v="M"/>
    <n v="20230601"/>
    <x v="0"/>
    <x v="5"/>
    <s v="202306"/>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24100.578000000001"/>
    <b v="1"/>
    <n v="-1"/>
    <s v="N/A"/>
    <n v="0"/>
    <b v="0"/>
    <n v="24100.578000000001"/>
    <b v="1"/>
    <n v="0"/>
    <b v="0"/>
    <n v="116330.008"/>
    <m/>
    <n v="116330.008"/>
    <n v="6"/>
    <b v="1"/>
    <b v="0"/>
  </r>
  <r>
    <x v="0"/>
    <s v="C"/>
    <s v="M"/>
    <n v="20230601"/>
    <x v="0"/>
    <x v="5"/>
    <s v="202306"/>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6753.0870000000004"/>
    <b v="1"/>
    <n v="-1"/>
    <s v="N/A"/>
    <n v="0"/>
    <b v="0"/>
    <n v="6753.0870000000004"/>
    <b v="1"/>
    <n v="0"/>
    <b v="0"/>
    <n v="32596.178"/>
    <m/>
    <n v="32596.178"/>
    <n v="6"/>
    <b v="1"/>
    <b v="0"/>
  </r>
  <r>
    <x v="0"/>
    <s v="C"/>
    <s v="M"/>
    <n v="20230601"/>
    <x v="0"/>
    <x v="5"/>
    <s v="202306"/>
    <n v="818"/>
    <s v="EGY"/>
    <x v="0"/>
    <s v="M"/>
    <x v="0"/>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6516.4089999999997"/>
    <b v="1"/>
    <n v="-1"/>
    <s v="N/A"/>
    <n v="0"/>
    <b v="0"/>
    <n v="6516.4089999999997"/>
    <b v="1"/>
    <n v="0"/>
    <b v="0"/>
    <n v="31453.766"/>
    <m/>
    <n v="31453.766"/>
    <n v="6"/>
    <b v="1"/>
    <b v="0"/>
  </r>
  <r>
    <x v="0"/>
    <s v="C"/>
    <s v="M"/>
    <n v="20230601"/>
    <x v="0"/>
    <x v="5"/>
    <s v="202306"/>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42120.180999999997"/>
    <b v="1"/>
    <n v="-1"/>
    <s v="N/A"/>
    <n v="0"/>
    <b v="0"/>
    <n v="42120.180999999997"/>
    <b v="1"/>
    <n v="0"/>
    <b v="0"/>
    <n v="203308.03099999999"/>
    <m/>
    <n v="203308.03099999999"/>
    <n v="6"/>
    <b v="1"/>
    <b v="0"/>
  </r>
  <r>
    <x v="1"/>
    <s v="C"/>
    <s v="M"/>
    <n v="20230701"/>
    <x v="0"/>
    <x v="6"/>
    <s v="202307"/>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48866.28"/>
    <b v="1"/>
    <n v="-1"/>
    <s v="N/A"/>
    <n v="0"/>
    <b v="0"/>
    <n v="148866.28"/>
    <b v="1"/>
    <n v="0"/>
    <b v="0"/>
    <n v="718556.03200000001"/>
    <m/>
    <n v="718556.03200000001"/>
    <n v="6"/>
    <b v="0"/>
    <b v="1"/>
  </r>
  <r>
    <x v="1"/>
    <s v="C"/>
    <s v="M"/>
    <n v="20230701"/>
    <x v="0"/>
    <x v="6"/>
    <s v="202307"/>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60470.218000000001"/>
    <b v="1"/>
    <n v="-1"/>
    <s v="N/A"/>
    <n v="0"/>
    <b v="0"/>
    <n v="60470.218000000001"/>
    <b v="1"/>
    <n v="0"/>
    <b v="0"/>
    <n v="291881.00799999997"/>
    <m/>
    <n v="291881.00799999997"/>
    <n v="6"/>
    <b v="1"/>
    <b v="0"/>
  </r>
  <r>
    <x v="1"/>
    <s v="C"/>
    <s v="M"/>
    <n v="20230701"/>
    <x v="0"/>
    <x v="6"/>
    <s v="202307"/>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3200.08"/>
    <b v="1"/>
    <n v="-1"/>
    <s v="N/A"/>
    <n v="0"/>
    <b v="0"/>
    <n v="13200.08"/>
    <b v="1"/>
    <n v="0"/>
    <b v="0"/>
    <n v="63714.881999999998"/>
    <m/>
    <n v="63714.881999999998"/>
    <n v="6"/>
    <b v="1"/>
    <b v="0"/>
  </r>
  <r>
    <x v="1"/>
    <s v="C"/>
    <s v="M"/>
    <n v="20230701"/>
    <x v="0"/>
    <x v="6"/>
    <s v="202307"/>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581.4760000000001"/>
    <b v="1"/>
    <n v="-1"/>
    <s v="N/A"/>
    <n v="0"/>
    <b v="0"/>
    <n v="1581.4760000000001"/>
    <b v="1"/>
    <n v="0"/>
    <b v="0"/>
    <n v="7633.5569999999998"/>
    <m/>
    <n v="7633.5569999999998"/>
    <n v="6"/>
    <b v="1"/>
    <b v="0"/>
  </r>
  <r>
    <x v="1"/>
    <s v="C"/>
    <s v="M"/>
    <n v="20230701"/>
    <x v="0"/>
    <x v="6"/>
    <s v="202307"/>
    <n v="818"/>
    <s v="EGY"/>
    <x v="0"/>
    <s v="M"/>
    <x v="0"/>
    <n v="410"/>
    <s v="KOR"/>
    <x v="18"/>
    <n v="0"/>
    <s v="W00"/>
    <s v="World"/>
    <s v="H6"/>
    <s v="HS"/>
    <b v="1"/>
    <s v="320619"/>
    <s v="Colouring matter; pigments and preparations based on titanium dioxide, containing less than 80% by weight of titanium dioxide calculated on the dry weight"/>
    <n v="6"/>
    <b v="1"/>
    <s v="C00"/>
    <s v="TOTAL CPC"/>
    <s v="0"/>
    <n v="0"/>
    <s v="TOTAL MOT"/>
    <n v="8"/>
    <s v="kg"/>
    <n v="1088.1500000000001"/>
    <b v="1"/>
    <n v="-1"/>
    <s v="N/A"/>
    <n v="0"/>
    <b v="0"/>
    <n v="1088.1500000000001"/>
    <b v="1"/>
    <n v="0"/>
    <b v="0"/>
    <n v="5252.3419999999996"/>
    <m/>
    <n v="5252.3419999999996"/>
    <n v="6"/>
    <b v="1"/>
    <b v="0"/>
  </r>
  <r>
    <x v="1"/>
    <s v="C"/>
    <s v="M"/>
    <n v="20230701"/>
    <x v="0"/>
    <x v="6"/>
    <s v="202307"/>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575.97299999999996"/>
    <b v="1"/>
    <n v="-1"/>
    <s v="N/A"/>
    <n v="0"/>
    <b v="0"/>
    <n v="575.97299999999996"/>
    <b v="1"/>
    <n v="0"/>
    <b v="0"/>
    <n v="2780.1370000000002"/>
    <m/>
    <n v="2780.1370000000002"/>
    <n v="6"/>
    <b v="1"/>
    <b v="0"/>
  </r>
  <r>
    <x v="1"/>
    <s v="C"/>
    <s v="M"/>
    <n v="20230701"/>
    <x v="0"/>
    <x v="6"/>
    <s v="202307"/>
    <n v="818"/>
    <s v="EGY"/>
    <x v="0"/>
    <s v="M"/>
    <x v="0"/>
    <n v="724"/>
    <s v="ESP"/>
    <x v="19"/>
    <n v="0"/>
    <s v="W00"/>
    <s v="World"/>
    <s v="H6"/>
    <s v="HS"/>
    <b v="1"/>
    <s v="320619"/>
    <s v="Colouring matter; pigments and preparations based on titanium dioxide, containing less than 80% by weight of titanium dioxide calculated on the dry weight"/>
    <n v="6"/>
    <b v="1"/>
    <s v="C00"/>
    <s v="TOTAL CPC"/>
    <s v="0"/>
    <n v="0"/>
    <s v="TOTAL MOT"/>
    <n v="8"/>
    <s v="kg"/>
    <n v="23806.866000000002"/>
    <b v="1"/>
    <n v="-1"/>
    <s v="N/A"/>
    <n v="0"/>
    <b v="0"/>
    <n v="23806.866000000002"/>
    <b v="1"/>
    <n v="0"/>
    <b v="0"/>
    <n v="114912.30499999999"/>
    <m/>
    <n v="114912.30499999999"/>
    <n v="6"/>
    <b v="1"/>
    <b v="0"/>
  </r>
  <r>
    <x v="1"/>
    <s v="C"/>
    <s v="M"/>
    <n v="20230701"/>
    <x v="0"/>
    <x v="6"/>
    <s v="202307"/>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6019.192"/>
    <b v="1"/>
    <n v="-1"/>
    <s v="N/A"/>
    <n v="0"/>
    <b v="0"/>
    <n v="6019.192"/>
    <b v="1"/>
    <n v="0"/>
    <b v="0"/>
    <n v="29053.77"/>
    <m/>
    <n v="29053.77"/>
    <n v="6"/>
    <b v="1"/>
    <b v="0"/>
  </r>
  <r>
    <x v="1"/>
    <s v="C"/>
    <s v="M"/>
    <n v="20230701"/>
    <x v="0"/>
    <x v="6"/>
    <s v="202307"/>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42124.324999999997"/>
    <b v="1"/>
    <n v="-1"/>
    <s v="N/A"/>
    <n v="0"/>
    <b v="0"/>
    <n v="42124.324999999997"/>
    <b v="1"/>
    <n v="0"/>
    <b v="0"/>
    <n v="203328.03099999999"/>
    <m/>
    <n v="203328.03099999999"/>
    <n v="6"/>
    <b v="1"/>
    <b v="0"/>
  </r>
  <r>
    <x v="1"/>
    <s v="C"/>
    <s v="M"/>
    <n v="20230701"/>
    <x v="0"/>
    <x v="6"/>
    <s v="202307"/>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39618.807000000001"/>
    <b v="1"/>
    <n v="-1"/>
    <s v="N/A"/>
    <n v="0"/>
    <b v="0"/>
    <n v="39618.807000000001"/>
    <b v="1"/>
    <n v="0"/>
    <b v="0"/>
    <m/>
    <n v="204984"/>
    <n v="204984"/>
    <n v="6"/>
    <b v="0"/>
    <b v="1"/>
  </r>
  <r>
    <x v="1"/>
    <s v="C"/>
    <s v="M"/>
    <n v="20230701"/>
    <x v="0"/>
    <x v="6"/>
    <s v="202307"/>
    <n v="818"/>
    <s v="EGY"/>
    <x v="0"/>
    <s v="X"/>
    <x v="1"/>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39618.807000000001"/>
    <b v="1"/>
    <n v="-1"/>
    <s v="N/A"/>
    <n v="0"/>
    <b v="0"/>
    <n v="39618.807000000001"/>
    <b v="1"/>
    <n v="0"/>
    <b v="0"/>
    <m/>
    <n v="204984"/>
    <n v="204984"/>
    <n v="6"/>
    <b v="1"/>
    <b v="0"/>
  </r>
  <r>
    <x v="1"/>
    <s v="C"/>
    <s v="M"/>
    <n v="20230801"/>
    <x v="0"/>
    <x v="7"/>
    <s v="202308"/>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42976.81200000001"/>
    <b v="1"/>
    <n v="-1"/>
    <s v="N/A"/>
    <n v="0"/>
    <b v="0"/>
    <n v="242976.81200000001"/>
    <b v="1"/>
    <n v="0"/>
    <b v="0"/>
    <n v="1172813.977"/>
    <m/>
    <n v="1172813.977"/>
    <n v="6"/>
    <b v="0"/>
    <b v="1"/>
  </r>
  <r>
    <x v="1"/>
    <s v="C"/>
    <s v="M"/>
    <n v="20230801"/>
    <x v="0"/>
    <x v="7"/>
    <s v="202308"/>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1926.2850000000001"/>
    <b v="1"/>
    <n v="-1"/>
    <s v="N/A"/>
    <n v="0"/>
    <b v="0"/>
    <n v="1926.2850000000001"/>
    <b v="1"/>
    <n v="0"/>
    <b v="0"/>
    <n v="9297.9009999999998"/>
    <m/>
    <n v="9297.9009999999998"/>
    <n v="6"/>
    <b v="1"/>
    <b v="0"/>
  </r>
  <r>
    <x v="1"/>
    <s v="C"/>
    <s v="M"/>
    <n v="20230801"/>
    <x v="0"/>
    <x v="7"/>
    <s v="202308"/>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125472.412"/>
    <b v="1"/>
    <n v="-1"/>
    <s v="N/A"/>
    <n v="0"/>
    <b v="0"/>
    <n v="125472.412"/>
    <b v="1"/>
    <n v="0"/>
    <b v="0"/>
    <n v="605637.20799999998"/>
    <m/>
    <n v="605637.20799999998"/>
    <n v="6"/>
    <b v="1"/>
    <b v="0"/>
  </r>
  <r>
    <x v="1"/>
    <s v="C"/>
    <s v="M"/>
    <n v="20230801"/>
    <x v="0"/>
    <x v="7"/>
    <s v="202308"/>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135.7579999999998"/>
    <b v="1"/>
    <n v="-1"/>
    <s v="N/A"/>
    <n v="0"/>
    <b v="0"/>
    <n v="2135.7579999999998"/>
    <b v="1"/>
    <n v="0"/>
    <b v="0"/>
    <n v="10308.993"/>
    <m/>
    <n v="10308.993"/>
    <n v="6"/>
    <b v="1"/>
    <b v="0"/>
  </r>
  <r>
    <x v="1"/>
    <s v="C"/>
    <s v="M"/>
    <n v="20230801"/>
    <x v="0"/>
    <x v="7"/>
    <s v="202308"/>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660.6590000000001"/>
    <b v="1"/>
    <n v="-1"/>
    <s v="N/A"/>
    <n v="0"/>
    <b v="0"/>
    <n v="1660.6590000000001"/>
    <b v="1"/>
    <n v="0"/>
    <b v="0"/>
    <n v="8015.7619999999997"/>
    <m/>
    <n v="8015.7619999999997"/>
    <n v="6"/>
    <b v="1"/>
    <b v="0"/>
  </r>
  <r>
    <x v="1"/>
    <s v="C"/>
    <s v="M"/>
    <n v="20230801"/>
    <x v="0"/>
    <x v="7"/>
    <s v="202308"/>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15859.173000000001"/>
    <b v="1"/>
    <n v="-1"/>
    <s v="N/A"/>
    <n v="0"/>
    <b v="0"/>
    <n v="15859.173000000001"/>
    <b v="1"/>
    <n v="0"/>
    <b v="0"/>
    <n v="76549.937999999995"/>
    <m/>
    <n v="76549.937999999995"/>
    <n v="6"/>
    <b v="1"/>
    <b v="0"/>
  </r>
  <r>
    <x v="1"/>
    <s v="C"/>
    <s v="M"/>
    <n v="20230801"/>
    <x v="0"/>
    <x v="7"/>
    <s v="202308"/>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11221.22"/>
    <b v="1"/>
    <n v="-1"/>
    <s v="N/A"/>
    <n v="0"/>
    <b v="0"/>
    <n v="11221.22"/>
    <b v="1"/>
    <n v="0"/>
    <b v="0"/>
    <n v="54163.207999999999"/>
    <m/>
    <n v="54163.207999999999"/>
    <n v="6"/>
    <b v="1"/>
    <b v="0"/>
  </r>
  <r>
    <x v="1"/>
    <s v="C"/>
    <s v="M"/>
    <n v="20230801"/>
    <x v="0"/>
    <x v="7"/>
    <s v="202308"/>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216.97200000000001"/>
    <b v="1"/>
    <n v="-1"/>
    <s v="N/A"/>
    <n v="0"/>
    <b v="0"/>
    <n v="216.97200000000001"/>
    <b v="1"/>
    <n v="0"/>
    <b v="0"/>
    <n v="1047.2909999999999"/>
    <m/>
    <n v="1047.2909999999999"/>
    <n v="6"/>
    <b v="1"/>
    <b v="0"/>
  </r>
  <r>
    <x v="1"/>
    <s v="C"/>
    <s v="M"/>
    <n v="20230801"/>
    <x v="0"/>
    <x v="7"/>
    <s v="202308"/>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55105.968000000001"/>
    <b v="1"/>
    <n v="-1"/>
    <s v="N/A"/>
    <n v="0"/>
    <b v="0"/>
    <n v="55105.968000000001"/>
    <b v="1"/>
    <n v="0"/>
    <b v="0"/>
    <n v="265988.54599999997"/>
    <m/>
    <n v="265988.54599999997"/>
    <n v="6"/>
    <b v="1"/>
    <b v="0"/>
  </r>
  <r>
    <x v="1"/>
    <s v="C"/>
    <s v="M"/>
    <n v="20230801"/>
    <x v="0"/>
    <x v="7"/>
    <s v="202308"/>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9378.366000000002"/>
    <b v="1"/>
    <n v="-1"/>
    <s v="N/A"/>
    <n v="0"/>
    <b v="0"/>
    <n v="29378.366000000002"/>
    <b v="1"/>
    <n v="0"/>
    <b v="0"/>
    <n v="141805.13"/>
    <m/>
    <n v="141805.13"/>
    <n v="6"/>
    <b v="1"/>
    <b v="0"/>
  </r>
  <r>
    <x v="1"/>
    <s v="C"/>
    <s v="M"/>
    <n v="20230801"/>
    <x v="0"/>
    <x v="7"/>
    <s v="202308"/>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0019.509"/>
    <b v="1"/>
    <n v="-1"/>
    <s v="N/A"/>
    <n v="0"/>
    <b v="0"/>
    <n v="10019.509"/>
    <b v="1"/>
    <n v="0"/>
    <b v="0"/>
    <m/>
    <n v="51840"/>
    <n v="51840"/>
    <n v="6"/>
    <b v="0"/>
    <b v="1"/>
  </r>
  <r>
    <x v="1"/>
    <s v="C"/>
    <s v="M"/>
    <n v="20230801"/>
    <x v="0"/>
    <x v="7"/>
    <s v="202308"/>
    <n v="818"/>
    <s v="EGY"/>
    <x v="0"/>
    <s v="X"/>
    <x v="1"/>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10019.509"/>
    <b v="1"/>
    <n v="-1"/>
    <s v="N/A"/>
    <n v="0"/>
    <b v="0"/>
    <n v="10019.509"/>
    <b v="1"/>
    <n v="0"/>
    <b v="0"/>
    <m/>
    <n v="51840"/>
    <n v="51840"/>
    <n v="6"/>
    <b v="1"/>
    <b v="0"/>
  </r>
  <r>
    <x v="1"/>
    <s v="C"/>
    <s v="M"/>
    <n v="20230901"/>
    <x v="0"/>
    <x v="8"/>
    <s v="202309"/>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38958.90299999999"/>
    <b v="1"/>
    <n v="-1"/>
    <s v="N/A"/>
    <n v="0"/>
    <b v="0"/>
    <n v="238958.90299999999"/>
    <b v="1"/>
    <n v="0"/>
    <b v="0"/>
    <n v="1153420.108"/>
    <m/>
    <n v="1153420.108"/>
    <n v="6"/>
    <b v="0"/>
    <b v="1"/>
  </r>
  <r>
    <x v="1"/>
    <s v="C"/>
    <s v="M"/>
    <n v="20230901"/>
    <x v="0"/>
    <x v="8"/>
    <s v="202309"/>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17235.185000000001"/>
    <b v="1"/>
    <n v="-1"/>
    <s v="N/A"/>
    <n v="0"/>
    <b v="0"/>
    <n v="17235.185000000001"/>
    <b v="1"/>
    <n v="0"/>
    <b v="0"/>
    <n v="83191.75"/>
    <m/>
    <n v="83191.75"/>
    <n v="6"/>
    <b v="1"/>
    <b v="0"/>
  </r>
  <r>
    <x v="1"/>
    <s v="C"/>
    <s v="M"/>
    <n v="20230901"/>
    <x v="0"/>
    <x v="8"/>
    <s v="202309"/>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66745.385999999999"/>
    <b v="1"/>
    <n v="-1"/>
    <s v="N/A"/>
    <n v="0"/>
    <b v="0"/>
    <n v="66745.385999999999"/>
    <b v="1"/>
    <n v="0"/>
    <b v="0"/>
    <n v="322170.33799999999"/>
    <m/>
    <n v="322170.33799999999"/>
    <n v="6"/>
    <b v="1"/>
    <b v="0"/>
  </r>
  <r>
    <x v="1"/>
    <s v="C"/>
    <s v="M"/>
    <n v="20230901"/>
    <x v="0"/>
    <x v="8"/>
    <s v="202309"/>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9509.245999999999"/>
    <b v="1"/>
    <n v="-1"/>
    <s v="N/A"/>
    <n v="0"/>
    <b v="0"/>
    <n v="19509.245999999999"/>
    <b v="1"/>
    <n v="0"/>
    <b v="0"/>
    <n v="94168.312999999995"/>
    <m/>
    <n v="94168.312999999995"/>
    <n v="6"/>
    <b v="1"/>
    <b v="0"/>
  </r>
  <r>
    <x v="1"/>
    <s v="C"/>
    <s v="M"/>
    <n v="20230901"/>
    <x v="0"/>
    <x v="8"/>
    <s v="202309"/>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32506.109"/>
    <b v="1"/>
    <n v="-1"/>
    <s v="N/A"/>
    <n v="0"/>
    <b v="0"/>
    <n v="32506.109"/>
    <b v="1"/>
    <n v="0"/>
    <b v="0"/>
    <n v="156902.29399999999"/>
    <m/>
    <n v="156902.29399999999"/>
    <n v="6"/>
    <b v="1"/>
    <b v="0"/>
  </r>
  <r>
    <x v="1"/>
    <s v="C"/>
    <s v="M"/>
    <n v="20230901"/>
    <x v="0"/>
    <x v="8"/>
    <s v="202309"/>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993.90499999999997"/>
    <b v="1"/>
    <n v="-1"/>
    <s v="N/A"/>
    <n v="0"/>
    <b v="0"/>
    <n v="993.90499999999997"/>
    <b v="1"/>
    <n v="0"/>
    <b v="0"/>
    <n v="4797.4369999999999"/>
    <m/>
    <n v="4797.4369999999999"/>
    <n v="6"/>
    <b v="1"/>
    <b v="0"/>
  </r>
  <r>
    <x v="1"/>
    <s v="C"/>
    <s v="M"/>
    <n v="20230901"/>
    <x v="0"/>
    <x v="8"/>
    <s v="202309"/>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3910.737999999998"/>
    <b v="1"/>
    <n v="-1"/>
    <s v="N/A"/>
    <n v="0"/>
    <b v="0"/>
    <n v="33910.737999999998"/>
    <b v="1"/>
    <n v="0"/>
    <b v="0"/>
    <n v="163682.234"/>
    <m/>
    <n v="163682.234"/>
    <n v="6"/>
    <b v="1"/>
    <b v="0"/>
  </r>
  <r>
    <x v="1"/>
    <s v="C"/>
    <s v="M"/>
    <n v="20230901"/>
    <x v="0"/>
    <x v="8"/>
    <s v="202309"/>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19444.268"/>
    <b v="1"/>
    <n v="-1"/>
    <s v="N/A"/>
    <n v="0"/>
    <b v="0"/>
    <n v="19444.268"/>
    <b v="1"/>
    <n v="0"/>
    <b v="0"/>
    <n v="93854.672000000006"/>
    <m/>
    <n v="93854.672000000006"/>
    <n v="6"/>
    <b v="1"/>
    <b v="0"/>
  </r>
  <r>
    <x v="1"/>
    <s v="C"/>
    <s v="M"/>
    <n v="20230901"/>
    <x v="0"/>
    <x v="8"/>
    <s v="202309"/>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916.08600000000001"/>
    <b v="1"/>
    <n v="-1"/>
    <s v="N/A"/>
    <n v="0"/>
    <b v="0"/>
    <n v="916.08600000000001"/>
    <b v="1"/>
    <n v="0"/>
    <b v="0"/>
    <n v="4421.8130000000001"/>
    <m/>
    <n v="4421.8130000000001"/>
    <n v="6"/>
    <b v="1"/>
    <b v="0"/>
  </r>
  <r>
    <x v="1"/>
    <s v="C"/>
    <s v="M"/>
    <n v="20230901"/>
    <x v="0"/>
    <x v="8"/>
    <s v="202309"/>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1.3380000000000001"/>
    <b v="1"/>
    <n v="-1"/>
    <s v="N/A"/>
    <n v="0"/>
    <b v="0"/>
    <n v="1.3380000000000001"/>
    <b v="1"/>
    <n v="0"/>
    <b v="0"/>
    <n v="6.46"/>
    <m/>
    <n v="6.46"/>
    <n v="6"/>
    <b v="1"/>
    <b v="0"/>
  </r>
  <r>
    <x v="1"/>
    <s v="C"/>
    <s v="M"/>
    <n v="20230901"/>
    <x v="0"/>
    <x v="8"/>
    <s v="202309"/>
    <n v="818"/>
    <s v="EGY"/>
    <x v="0"/>
    <s v="M"/>
    <x v="0"/>
    <n v="704"/>
    <s v="VNM"/>
    <x v="20"/>
    <n v="0"/>
    <s v="W00"/>
    <s v="World"/>
    <s v="H6"/>
    <s v="HS"/>
    <b v="1"/>
    <s v="320619"/>
    <s v="Colouring matter; pigments and preparations based on titanium dioxide, containing less than 80% by weight of titanium dioxide calculated on the dry weight"/>
    <n v="6"/>
    <b v="1"/>
    <s v="C00"/>
    <s v="TOTAL CPC"/>
    <s v="0"/>
    <n v="0"/>
    <s v="TOTAL MOT"/>
    <n v="8"/>
    <s v="kg"/>
    <n v="15570.589"/>
    <b v="1"/>
    <n v="-1"/>
    <s v="N/A"/>
    <n v="0"/>
    <b v="0"/>
    <n v="15570.589"/>
    <b v="1"/>
    <n v="0"/>
    <b v="0"/>
    <n v="75156.983999999997"/>
    <m/>
    <n v="75156.983999999997"/>
    <n v="6"/>
    <b v="1"/>
    <b v="0"/>
  </r>
  <r>
    <x v="1"/>
    <s v="C"/>
    <s v="M"/>
    <n v="20230901"/>
    <x v="0"/>
    <x v="8"/>
    <s v="202309"/>
    <n v="818"/>
    <s v="EGY"/>
    <x v="0"/>
    <s v="M"/>
    <x v="0"/>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312.19099999999997"/>
    <b v="1"/>
    <n v="-1"/>
    <s v="N/A"/>
    <n v="0"/>
    <b v="0"/>
    <n v="312.19099999999997"/>
    <b v="1"/>
    <n v="0"/>
    <b v="0"/>
    <n v="1506.8989999999999"/>
    <m/>
    <n v="1506.8989999999999"/>
    <n v="6"/>
    <b v="1"/>
    <b v="0"/>
  </r>
  <r>
    <x v="1"/>
    <s v="C"/>
    <s v="M"/>
    <n v="20230901"/>
    <x v="0"/>
    <x v="8"/>
    <s v="202309"/>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2496.0729999999999"/>
    <b v="1"/>
    <n v="-1"/>
    <s v="N/A"/>
    <n v="0"/>
    <b v="0"/>
    <n v="2496.0729999999999"/>
    <b v="1"/>
    <n v="0"/>
    <b v="0"/>
    <n v="12048.183999999999"/>
    <m/>
    <n v="12048.183999999999"/>
    <n v="6"/>
    <b v="1"/>
    <b v="0"/>
  </r>
  <r>
    <x v="1"/>
    <s v="C"/>
    <s v="M"/>
    <n v="20230901"/>
    <x v="0"/>
    <x v="8"/>
    <s v="202309"/>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1313.6420000000001"/>
    <b v="1"/>
    <n v="-1"/>
    <s v="N/A"/>
    <n v="0"/>
    <b v="0"/>
    <n v="1313.6420000000001"/>
    <b v="1"/>
    <n v="0"/>
    <b v="0"/>
    <n v="6340.7610000000004"/>
    <m/>
    <n v="6340.7610000000004"/>
    <n v="6"/>
    <b v="1"/>
    <b v="0"/>
  </r>
  <r>
    <x v="1"/>
    <s v="C"/>
    <s v="M"/>
    <n v="20230901"/>
    <x v="0"/>
    <x v="8"/>
    <s v="202309"/>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8004.146000000001"/>
    <b v="1"/>
    <n v="-1"/>
    <s v="N/A"/>
    <n v="0"/>
    <b v="0"/>
    <n v="28004.146000000001"/>
    <b v="1"/>
    <n v="0"/>
    <b v="0"/>
    <n v="135171.96900000001"/>
    <m/>
    <n v="135171.96900000001"/>
    <n v="6"/>
    <b v="1"/>
    <b v="0"/>
  </r>
  <r>
    <x v="1"/>
    <s v="C"/>
    <s v="M"/>
    <n v="20230901"/>
    <x v="0"/>
    <x v="8"/>
    <s v="202309"/>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715.12699999999995"/>
    <b v="1"/>
    <n v="-1"/>
    <s v="N/A"/>
    <n v="0"/>
    <b v="0"/>
    <n v="715.12699999999995"/>
    <b v="1"/>
    <n v="0"/>
    <b v="0"/>
    <m/>
    <n v="3700"/>
    <n v="3700"/>
    <n v="6"/>
    <b v="0"/>
    <b v="1"/>
  </r>
  <r>
    <x v="1"/>
    <s v="C"/>
    <s v="M"/>
    <n v="20230901"/>
    <x v="0"/>
    <x v="8"/>
    <s v="202309"/>
    <n v="818"/>
    <s v="EGY"/>
    <x v="0"/>
    <s v="X"/>
    <x v="1"/>
    <n v="512"/>
    <s v="OMN"/>
    <x v="25"/>
    <n v="0"/>
    <s v="W00"/>
    <s v="World"/>
    <s v="H6"/>
    <s v="HS"/>
    <b v="1"/>
    <s v="320619"/>
    <s v="Colouring matter; pigments and preparations based on titanium dioxide, containing less than 80% by weight of titanium dioxide calculated on the dry weight"/>
    <n v="6"/>
    <b v="1"/>
    <s v="C00"/>
    <s v="TOTAL CPC"/>
    <s v="0"/>
    <n v="0"/>
    <s v="TOTAL MOT"/>
    <n v="8"/>
    <s v="kg"/>
    <n v="715.12699999999995"/>
    <b v="1"/>
    <n v="-1"/>
    <s v="N/A"/>
    <n v="0"/>
    <b v="0"/>
    <n v="715.12699999999995"/>
    <b v="1"/>
    <n v="0"/>
    <b v="0"/>
    <m/>
    <n v="3700"/>
    <n v="3700"/>
    <n v="6"/>
    <b v="1"/>
    <b v="0"/>
  </r>
  <r>
    <x v="1"/>
    <s v="C"/>
    <s v="M"/>
    <n v="20231001"/>
    <x v="0"/>
    <x v="9"/>
    <s v="202310"/>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38007.976"/>
    <b v="1"/>
    <n v="-1"/>
    <s v="N/A"/>
    <n v="0"/>
    <b v="0"/>
    <n v="138007.976"/>
    <b v="1"/>
    <n v="0"/>
    <b v="0"/>
    <n v="666144.56599999999"/>
    <m/>
    <n v="666144.56599999999"/>
    <n v="6"/>
    <b v="0"/>
    <b v="1"/>
  </r>
  <r>
    <x v="1"/>
    <s v="C"/>
    <s v="M"/>
    <n v="20231001"/>
    <x v="0"/>
    <x v="9"/>
    <s v="202310"/>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219.049"/>
    <b v="1"/>
    <n v="-1"/>
    <s v="N/A"/>
    <n v="0"/>
    <b v="0"/>
    <n v="1219.049"/>
    <b v="1"/>
    <n v="0"/>
    <b v="0"/>
    <n v="5884.1719999999996"/>
    <m/>
    <n v="5884.1719999999996"/>
    <n v="6"/>
    <b v="1"/>
    <b v="0"/>
  </r>
  <r>
    <x v="1"/>
    <s v="C"/>
    <s v="M"/>
    <n v="20231001"/>
    <x v="0"/>
    <x v="9"/>
    <s v="202310"/>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8837.53"/>
    <b v="1"/>
    <n v="-1"/>
    <s v="N/A"/>
    <n v="0"/>
    <b v="0"/>
    <n v="28837.53"/>
    <b v="1"/>
    <n v="0"/>
    <b v="0"/>
    <n v="139194.59400000001"/>
    <m/>
    <n v="139194.59400000001"/>
    <n v="6"/>
    <b v="1"/>
    <b v="0"/>
  </r>
  <r>
    <x v="1"/>
    <s v="C"/>
    <s v="M"/>
    <n v="20231001"/>
    <x v="0"/>
    <x v="9"/>
    <s v="202310"/>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853.604"/>
    <b v="1"/>
    <n v="-1"/>
    <s v="N/A"/>
    <n v="0"/>
    <b v="0"/>
    <n v="1853.604"/>
    <b v="1"/>
    <n v="0"/>
    <b v="0"/>
    <n v="8947.0810000000001"/>
    <m/>
    <n v="8947.0810000000001"/>
    <n v="6"/>
    <b v="1"/>
    <b v="0"/>
  </r>
  <r>
    <x v="1"/>
    <s v="C"/>
    <s v="M"/>
    <n v="20231001"/>
    <x v="0"/>
    <x v="9"/>
    <s v="202310"/>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391.435"/>
    <b v="1"/>
    <n v="-1"/>
    <s v="N/A"/>
    <n v="0"/>
    <b v="0"/>
    <n v="391.435"/>
    <b v="1"/>
    <n v="0"/>
    <b v="0"/>
    <n v="1889.3979999999999"/>
    <m/>
    <n v="1889.3979999999999"/>
    <n v="6"/>
    <b v="1"/>
    <b v="0"/>
  </r>
  <r>
    <x v="1"/>
    <s v="C"/>
    <s v="M"/>
    <n v="20231001"/>
    <x v="0"/>
    <x v="9"/>
    <s v="202310"/>
    <n v="818"/>
    <s v="EGY"/>
    <x v="0"/>
    <s v="M"/>
    <x v="0"/>
    <n v="410"/>
    <s v="KOR"/>
    <x v="18"/>
    <n v="0"/>
    <s v="W00"/>
    <s v="World"/>
    <s v="H6"/>
    <s v="HS"/>
    <b v="1"/>
    <s v="320619"/>
    <s v="Colouring matter; pigments and preparations based on titanium dioxide, containing less than 80% by weight of titanium dioxide calculated on the dry weight"/>
    <n v="6"/>
    <b v="1"/>
    <s v="C00"/>
    <s v="TOTAL CPC"/>
    <s v="0"/>
    <n v="0"/>
    <s v="TOTAL MOT"/>
    <n v="8"/>
    <s v="kg"/>
    <n v="602.77300000000002"/>
    <b v="1"/>
    <n v="-1"/>
    <s v="N/A"/>
    <n v="0"/>
    <b v="0"/>
    <n v="602.77300000000002"/>
    <b v="1"/>
    <n v="0"/>
    <b v="0"/>
    <n v="2909.4969999999998"/>
    <m/>
    <n v="2909.4969999999998"/>
    <n v="6"/>
    <b v="1"/>
    <b v="0"/>
  </r>
  <r>
    <x v="1"/>
    <s v="C"/>
    <s v="M"/>
    <n v="20231001"/>
    <x v="0"/>
    <x v="9"/>
    <s v="202310"/>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15747.175999999999"/>
    <b v="1"/>
    <n v="-1"/>
    <s v="N/A"/>
    <n v="0"/>
    <b v="0"/>
    <n v="15747.175999999999"/>
    <b v="1"/>
    <n v="0"/>
    <b v="0"/>
    <n v="76009.342000000004"/>
    <m/>
    <n v="76009.342000000004"/>
    <n v="6"/>
    <b v="1"/>
    <b v="0"/>
  </r>
  <r>
    <x v="1"/>
    <s v="C"/>
    <s v="M"/>
    <n v="20231001"/>
    <x v="0"/>
    <x v="9"/>
    <s v="202310"/>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6845.9589999999998"/>
    <b v="1"/>
    <n v="-1"/>
    <s v="N/A"/>
    <n v="0"/>
    <b v="0"/>
    <n v="6845.9589999999998"/>
    <b v="1"/>
    <n v="0"/>
    <b v="0"/>
    <n v="33044.453000000001"/>
    <m/>
    <n v="33044.453000000001"/>
    <n v="6"/>
    <b v="1"/>
    <b v="0"/>
  </r>
  <r>
    <x v="1"/>
    <s v="C"/>
    <s v="M"/>
    <n v="20231001"/>
    <x v="0"/>
    <x v="9"/>
    <s v="202310"/>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29062.582999999999"/>
    <b v="1"/>
    <n v="-1"/>
    <s v="N/A"/>
    <n v="0"/>
    <b v="0"/>
    <n v="29062.582999999999"/>
    <b v="1"/>
    <n v="0"/>
    <b v="0"/>
    <n v="140280.891"/>
    <m/>
    <n v="140280.891"/>
    <n v="6"/>
    <b v="1"/>
    <b v="0"/>
  </r>
  <r>
    <x v="1"/>
    <s v="C"/>
    <s v="M"/>
    <n v="20231001"/>
    <x v="0"/>
    <x v="9"/>
    <s v="202310"/>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6718.026000000002"/>
    <b v="1"/>
    <n v="-1"/>
    <s v="N/A"/>
    <n v="0"/>
    <b v="0"/>
    <n v="26718.026000000002"/>
    <b v="1"/>
    <n v="0"/>
    <b v="0"/>
    <n v="128964.053"/>
    <m/>
    <n v="128964.053"/>
    <n v="6"/>
    <b v="1"/>
    <b v="0"/>
  </r>
  <r>
    <x v="1"/>
    <s v="C"/>
    <s v="M"/>
    <n v="20231001"/>
    <x v="0"/>
    <x v="9"/>
    <s v="202310"/>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729.842000000001"/>
    <b v="1"/>
    <n v="-1"/>
    <s v="N/A"/>
    <n v="0"/>
    <b v="0"/>
    <n v="26729.842000000001"/>
    <b v="1"/>
    <n v="0"/>
    <b v="0"/>
    <n v="129021.087"/>
    <m/>
    <n v="129021.087"/>
    <n v="6"/>
    <b v="1"/>
    <b v="0"/>
  </r>
  <r>
    <x v="1"/>
    <s v="C"/>
    <s v="M"/>
    <n v="20231101"/>
    <x v="0"/>
    <x v="10"/>
    <s v="202311"/>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94562.94200000001"/>
    <b v="1"/>
    <n v="-1"/>
    <s v="N/A"/>
    <n v="0"/>
    <b v="0"/>
    <n v="194562.94200000001"/>
    <b v="1"/>
    <n v="0"/>
    <b v="0"/>
    <n v="939127.21799999999"/>
    <m/>
    <n v="939127.21799999999"/>
    <n v="6"/>
    <b v="0"/>
    <b v="1"/>
  </r>
  <r>
    <x v="1"/>
    <s v="C"/>
    <s v="M"/>
    <n v="20231101"/>
    <x v="0"/>
    <x v="10"/>
    <s v="202311"/>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36.62799999999999"/>
    <b v="1"/>
    <n v="-1"/>
    <s v="N/A"/>
    <n v="0"/>
    <b v="0"/>
    <n v="136.62799999999999"/>
    <b v="1"/>
    <n v="0"/>
    <b v="0"/>
    <n v="659.48199999999997"/>
    <m/>
    <n v="659.48199999999997"/>
    <n v="6"/>
    <b v="1"/>
    <b v="0"/>
  </r>
  <r>
    <x v="1"/>
    <s v="C"/>
    <s v="M"/>
    <n v="20231101"/>
    <x v="0"/>
    <x v="10"/>
    <s v="202311"/>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11192.427"/>
    <b v="1"/>
    <n v="-1"/>
    <s v="N/A"/>
    <n v="0"/>
    <b v="0"/>
    <n v="11192.427"/>
    <b v="1"/>
    <n v="0"/>
    <b v="0"/>
    <n v="54024.23"/>
    <m/>
    <n v="54024.23"/>
    <n v="6"/>
    <b v="1"/>
    <b v="0"/>
  </r>
  <r>
    <x v="1"/>
    <s v="C"/>
    <s v="M"/>
    <n v="20231101"/>
    <x v="0"/>
    <x v="10"/>
    <s v="202311"/>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88164.406000000003"/>
    <b v="1"/>
    <n v="-1"/>
    <s v="N/A"/>
    <n v="0"/>
    <b v="0"/>
    <n v="88164.406000000003"/>
    <b v="1"/>
    <n v="0"/>
    <b v="0"/>
    <n v="425556.85399999999"/>
    <m/>
    <n v="425556.85399999999"/>
    <n v="6"/>
    <b v="1"/>
    <b v="0"/>
  </r>
  <r>
    <x v="1"/>
    <s v="C"/>
    <s v="M"/>
    <n v="20231101"/>
    <x v="0"/>
    <x v="10"/>
    <s v="202311"/>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30878.744999999999"/>
    <b v="1"/>
    <n v="-1"/>
    <s v="N/A"/>
    <n v="0"/>
    <b v="0"/>
    <n v="30878.744999999999"/>
    <b v="1"/>
    <n v="0"/>
    <b v="0"/>
    <n v="149047.24"/>
    <m/>
    <n v="149047.24"/>
    <n v="6"/>
    <b v="1"/>
    <b v="0"/>
  </r>
  <r>
    <x v="1"/>
    <s v="C"/>
    <s v="M"/>
    <n v="20231101"/>
    <x v="0"/>
    <x v="10"/>
    <s v="202311"/>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203.221"/>
    <b v="1"/>
    <n v="-1"/>
    <s v="N/A"/>
    <n v="0"/>
    <b v="0"/>
    <n v="1203.221"/>
    <b v="1"/>
    <n v="0"/>
    <b v="0"/>
    <n v="5807.7730000000001"/>
    <m/>
    <n v="5807.7730000000001"/>
    <n v="6"/>
    <b v="1"/>
    <b v="0"/>
  </r>
  <r>
    <x v="1"/>
    <s v="C"/>
    <s v="M"/>
    <n v="20231101"/>
    <x v="0"/>
    <x v="10"/>
    <s v="202311"/>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8905.606"/>
    <b v="1"/>
    <n v="-1"/>
    <s v="N/A"/>
    <n v="0"/>
    <b v="0"/>
    <n v="38905.606"/>
    <b v="1"/>
    <n v="0"/>
    <b v="0"/>
    <n v="187791.742"/>
    <m/>
    <n v="187791.742"/>
    <n v="6"/>
    <b v="1"/>
    <b v="0"/>
  </r>
  <r>
    <x v="1"/>
    <s v="C"/>
    <s v="M"/>
    <n v="20231101"/>
    <x v="0"/>
    <x v="10"/>
    <s v="202311"/>
    <n v="818"/>
    <s v="EGY"/>
    <x v="0"/>
    <s v="M"/>
    <x v="0"/>
    <n v="643"/>
    <s v="RUS"/>
    <x v="26"/>
    <n v="0"/>
    <s v="W00"/>
    <s v="World"/>
    <s v="H6"/>
    <s v="HS"/>
    <b v="1"/>
    <s v="320619"/>
    <s v="Colouring matter; pigments and preparations based on titanium dioxide, containing less than 80% by weight of titanium dioxide calculated on the dry weight"/>
    <n v="6"/>
    <b v="1"/>
    <s v="C00"/>
    <s v="TOTAL CPC"/>
    <s v="0"/>
    <n v="0"/>
    <s v="TOTAL MOT"/>
    <n v="8"/>
    <s v="kg"/>
    <n v="1018.519"/>
    <b v="1"/>
    <n v="-1"/>
    <s v="N/A"/>
    <n v="0"/>
    <b v="0"/>
    <n v="1018.519"/>
    <b v="1"/>
    <n v="0"/>
    <b v="0"/>
    <n v="4916.2430000000004"/>
    <m/>
    <n v="4916.2430000000004"/>
    <n v="6"/>
    <b v="1"/>
    <b v="0"/>
  </r>
  <r>
    <x v="1"/>
    <s v="C"/>
    <s v="M"/>
    <n v="20231101"/>
    <x v="0"/>
    <x v="10"/>
    <s v="202311"/>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7528.6210000000001"/>
    <b v="1"/>
    <n v="-1"/>
    <s v="N/A"/>
    <n v="0"/>
    <b v="0"/>
    <n v="7528.6210000000001"/>
    <b v="1"/>
    <n v="0"/>
    <b v="0"/>
    <n v="36339.565999999999"/>
    <m/>
    <n v="36339.565999999999"/>
    <n v="6"/>
    <b v="1"/>
    <b v="0"/>
  </r>
  <r>
    <x v="1"/>
    <s v="C"/>
    <s v="M"/>
    <n v="20231101"/>
    <x v="0"/>
    <x v="10"/>
    <s v="202311"/>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7937.1019999999999"/>
    <b v="1"/>
    <n v="-1"/>
    <s v="N/A"/>
    <n v="0"/>
    <b v="0"/>
    <n v="7937.1019999999999"/>
    <b v="1"/>
    <n v="0"/>
    <b v="0"/>
    <n v="38311.243999999999"/>
    <m/>
    <n v="38311.243999999999"/>
    <n v="6"/>
    <b v="1"/>
    <b v="0"/>
  </r>
  <r>
    <x v="1"/>
    <s v="C"/>
    <s v="M"/>
    <n v="20231101"/>
    <x v="0"/>
    <x v="10"/>
    <s v="202311"/>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7597.6670000000004"/>
    <b v="1"/>
    <n v="-1"/>
    <s v="N/A"/>
    <n v="0"/>
    <b v="0"/>
    <n v="7597.6670000000004"/>
    <b v="1"/>
    <n v="0"/>
    <b v="0"/>
    <n v="36672.843999999997"/>
    <m/>
    <n v="36672.843999999997"/>
    <n v="6"/>
    <b v="1"/>
    <b v="0"/>
  </r>
  <r>
    <x v="1"/>
    <s v="C"/>
    <s v="M"/>
    <n v="20231201"/>
    <x v="0"/>
    <x v="11"/>
    <s v="202312"/>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88182.323000000004"/>
    <b v="1"/>
    <n v="-1"/>
    <s v="N/A"/>
    <n v="0"/>
    <b v="0"/>
    <n v="88182.323000000004"/>
    <b v="1"/>
    <n v="0"/>
    <b v="0"/>
    <n v="425643.33399999997"/>
    <m/>
    <n v="425643.33399999997"/>
    <n v="6"/>
    <b v="0"/>
    <b v="1"/>
  </r>
  <r>
    <x v="1"/>
    <s v="C"/>
    <s v="M"/>
    <n v="20231201"/>
    <x v="0"/>
    <x v="11"/>
    <s v="202312"/>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120.346000000001"/>
    <b v="1"/>
    <n v="-1"/>
    <s v="N/A"/>
    <n v="0"/>
    <b v="0"/>
    <n v="23120.346000000001"/>
    <b v="1"/>
    <n v="0"/>
    <b v="0"/>
    <n v="111598.573"/>
    <m/>
    <n v="111598.573"/>
    <n v="6"/>
    <b v="1"/>
    <b v="0"/>
  </r>
  <r>
    <x v="1"/>
    <s v="C"/>
    <s v="M"/>
    <n v="20231201"/>
    <x v="0"/>
    <x v="11"/>
    <s v="202312"/>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3501.35"/>
    <b v="1"/>
    <n v="-1"/>
    <s v="N/A"/>
    <n v="0"/>
    <b v="0"/>
    <n v="13501.35"/>
    <b v="1"/>
    <n v="0"/>
    <b v="0"/>
    <n v="65169.067000000003"/>
    <m/>
    <n v="65169.067000000003"/>
    <n v="6"/>
    <b v="1"/>
    <b v="0"/>
  </r>
  <r>
    <x v="1"/>
    <s v="C"/>
    <s v="M"/>
    <n v="20231201"/>
    <x v="0"/>
    <x v="11"/>
    <s v="202312"/>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2503.018"/>
    <b v="1"/>
    <n v="-1"/>
    <s v="N/A"/>
    <n v="0"/>
    <b v="0"/>
    <n v="2503.018"/>
    <b v="1"/>
    <n v="0"/>
    <b v="0"/>
    <n v="12081.707"/>
    <m/>
    <n v="12081.707"/>
    <n v="6"/>
    <b v="1"/>
    <b v="0"/>
  </r>
  <r>
    <x v="1"/>
    <s v="C"/>
    <s v="M"/>
    <n v="20231201"/>
    <x v="0"/>
    <x v="11"/>
    <s v="202312"/>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556.6179999999999"/>
    <b v="1"/>
    <n v="-1"/>
    <s v="N/A"/>
    <n v="0"/>
    <b v="0"/>
    <n v="3556.6179999999999"/>
    <b v="1"/>
    <n v="0"/>
    <b v="0"/>
    <n v="17167.280999999999"/>
    <m/>
    <n v="17167.280999999999"/>
    <n v="6"/>
    <b v="1"/>
    <b v="0"/>
  </r>
  <r>
    <x v="1"/>
    <s v="C"/>
    <s v="M"/>
    <n v="20231201"/>
    <x v="0"/>
    <x v="11"/>
    <s v="202312"/>
    <n v="818"/>
    <s v="EGY"/>
    <x v="0"/>
    <s v="M"/>
    <x v="0"/>
    <n v="490"/>
    <s v="S19"/>
    <x v="27"/>
    <n v="0"/>
    <s v="W00"/>
    <s v="World"/>
    <s v="H6"/>
    <s v="HS"/>
    <b v="1"/>
    <s v="320619"/>
    <s v="Colouring matter; pigments and preparations based on titanium dioxide, containing less than 80% by weight of titanium dioxide calculated on the dry weight"/>
    <n v="6"/>
    <b v="1"/>
    <s v="C00"/>
    <s v="TOTAL CPC"/>
    <s v="0"/>
    <n v="0"/>
    <s v="TOTAL MOT"/>
    <n v="8"/>
    <s v="kg"/>
    <n v="3.3460000000000001"/>
    <b v="1"/>
    <n v="-1"/>
    <s v="N/A"/>
    <n v="0"/>
    <b v="0"/>
    <n v="3.3460000000000001"/>
    <b v="1"/>
    <n v="0"/>
    <b v="0"/>
    <n v="16.151"/>
    <m/>
    <n v="16.151"/>
    <n v="6"/>
    <b v="1"/>
    <b v="0"/>
  </r>
  <r>
    <x v="1"/>
    <s v="C"/>
    <s v="M"/>
    <n v="20231201"/>
    <x v="0"/>
    <x v="11"/>
    <s v="202312"/>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517.4250000000002"/>
    <b v="1"/>
    <n v="-1"/>
    <s v="N/A"/>
    <n v="0"/>
    <b v="0"/>
    <n v="2517.4250000000002"/>
    <b v="1"/>
    <n v="0"/>
    <b v="0"/>
    <n v="12151.245999999999"/>
    <m/>
    <n v="12151.245999999999"/>
    <n v="6"/>
    <b v="1"/>
    <b v="0"/>
  </r>
  <r>
    <x v="1"/>
    <s v="C"/>
    <s v="M"/>
    <n v="20231201"/>
    <x v="0"/>
    <x v="11"/>
    <s v="202312"/>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42980.218999999997"/>
    <b v="1"/>
    <n v="-1"/>
    <s v="N/A"/>
    <n v="0"/>
    <b v="0"/>
    <n v="42980.218999999997"/>
    <b v="1"/>
    <n v="0"/>
    <b v="0"/>
    <n v="207459.30900000001"/>
    <m/>
    <n v="207459.30900000001"/>
    <n v="6"/>
    <b v="1"/>
    <b v="0"/>
  </r>
  <r>
    <x v="1"/>
    <s v="C"/>
    <s v="M"/>
    <n v="20231201"/>
    <x v="0"/>
    <x v="11"/>
    <s v="202312"/>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652.31200000000001"/>
    <b v="1"/>
    <n v="-1"/>
    <s v="N/A"/>
    <n v="0"/>
    <b v="0"/>
    <n v="652.31200000000001"/>
    <b v="1"/>
    <n v="0"/>
    <b v="0"/>
    <m/>
    <n v="3375"/>
    <n v="3375"/>
    <n v="6"/>
    <b v="0"/>
    <b v="1"/>
  </r>
  <r>
    <x v="1"/>
    <s v="C"/>
    <s v="M"/>
    <n v="20231201"/>
    <x v="0"/>
    <x v="11"/>
    <s v="202312"/>
    <n v="818"/>
    <s v="EGY"/>
    <x v="0"/>
    <s v="X"/>
    <x v="1"/>
    <n v="512"/>
    <s v="OMN"/>
    <x v="25"/>
    <n v="0"/>
    <s v="W00"/>
    <s v="World"/>
    <s v="H6"/>
    <s v="HS"/>
    <b v="1"/>
    <s v="320619"/>
    <s v="Colouring matter; pigments and preparations based on titanium dioxide, containing less than 80% by weight of titanium dioxide calculated on the dry weight"/>
    <n v="6"/>
    <b v="1"/>
    <s v="C00"/>
    <s v="TOTAL CPC"/>
    <s v="0"/>
    <n v="0"/>
    <s v="TOTAL MOT"/>
    <n v="8"/>
    <s v="kg"/>
    <n v="652.31200000000001"/>
    <b v="1"/>
    <n v="-1"/>
    <s v="N/A"/>
    <n v="0"/>
    <b v="0"/>
    <n v="652.31200000000001"/>
    <b v="1"/>
    <n v="0"/>
    <b v="0"/>
    <m/>
    <n v="3375"/>
    <n v="3375"/>
    <n v="6"/>
    <b v="1"/>
    <b v="0"/>
  </r>
  <r>
    <x v="1"/>
    <s v="C"/>
    <s v="M"/>
    <n v="20230901"/>
    <x v="0"/>
    <x v="8"/>
    <s v="202309"/>
    <n v="818"/>
    <s v="EGY"/>
    <x v="0"/>
    <s v="X"/>
    <x v="1"/>
    <n v="512"/>
    <s v="OMN"/>
    <x v="25"/>
    <n v="0"/>
    <s v="W00"/>
    <s v="World"/>
    <s v="H6"/>
    <s v="HS"/>
    <b v="1"/>
    <s v="320619"/>
    <s v="Colouring matter; pigments and preparations based on titanium dioxide, containing less than 80% by weight of titanium dioxide calculated on the dry weight"/>
    <n v="6"/>
    <b v="1"/>
    <s v="C00"/>
    <s v="TOTAL CPC"/>
    <s v="0"/>
    <n v="0"/>
    <s v="TOTAL MOT"/>
    <n v="8"/>
    <s v="kg"/>
    <n v="715.12699999999995"/>
    <b v="1"/>
    <n v="-1"/>
    <s v="N/A"/>
    <n v="0"/>
    <b v="0"/>
    <n v="715.12699999999995"/>
    <b v="1"/>
    <n v="0"/>
    <b v="0"/>
    <m/>
    <n v="3700"/>
    <n v="3700"/>
    <n v="6"/>
    <b v="1"/>
    <b v="0"/>
  </r>
  <r>
    <x v="1"/>
    <s v="C"/>
    <s v="M"/>
    <n v="20231001"/>
    <x v="0"/>
    <x v="9"/>
    <s v="202310"/>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38007.976"/>
    <b v="1"/>
    <n v="-1"/>
    <s v="N/A"/>
    <n v="0"/>
    <b v="0"/>
    <n v="138007.976"/>
    <b v="1"/>
    <n v="0"/>
    <b v="0"/>
    <n v="666144.56599999999"/>
    <m/>
    <n v="666144.56599999999"/>
    <n v="6"/>
    <b v="0"/>
    <b v="1"/>
  </r>
  <r>
    <x v="1"/>
    <s v="C"/>
    <s v="M"/>
    <n v="20231001"/>
    <x v="0"/>
    <x v="9"/>
    <s v="202310"/>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219.049"/>
    <b v="1"/>
    <n v="-1"/>
    <s v="N/A"/>
    <n v="0"/>
    <b v="0"/>
    <n v="1219.049"/>
    <b v="1"/>
    <n v="0"/>
    <b v="0"/>
    <n v="5884.1719999999996"/>
    <m/>
    <n v="5884.1719999999996"/>
    <n v="6"/>
    <b v="1"/>
    <b v="0"/>
  </r>
  <r>
    <x v="1"/>
    <s v="C"/>
    <s v="M"/>
    <n v="20231001"/>
    <x v="0"/>
    <x v="9"/>
    <s v="202310"/>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8837.53"/>
    <b v="1"/>
    <n v="-1"/>
    <s v="N/A"/>
    <n v="0"/>
    <b v="0"/>
    <n v="28837.53"/>
    <b v="1"/>
    <n v="0"/>
    <b v="0"/>
    <n v="139194.59400000001"/>
    <m/>
    <n v="139194.59400000001"/>
    <n v="6"/>
    <b v="1"/>
    <b v="0"/>
  </r>
  <r>
    <x v="1"/>
    <s v="C"/>
    <s v="M"/>
    <n v="20231001"/>
    <x v="0"/>
    <x v="9"/>
    <s v="202310"/>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853.604"/>
    <b v="1"/>
    <n v="-1"/>
    <s v="N/A"/>
    <n v="0"/>
    <b v="0"/>
    <n v="1853.604"/>
    <b v="1"/>
    <n v="0"/>
    <b v="0"/>
    <n v="8947.0810000000001"/>
    <m/>
    <n v="8947.0810000000001"/>
    <n v="6"/>
    <b v="1"/>
    <b v="0"/>
  </r>
  <r>
    <x v="1"/>
    <s v="C"/>
    <s v="M"/>
    <n v="20231001"/>
    <x v="0"/>
    <x v="9"/>
    <s v="202310"/>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391.435"/>
    <b v="1"/>
    <n v="-1"/>
    <s v="N/A"/>
    <n v="0"/>
    <b v="0"/>
    <n v="391.435"/>
    <b v="1"/>
    <n v="0"/>
    <b v="0"/>
    <n v="1889.3979999999999"/>
    <m/>
    <n v="1889.3979999999999"/>
    <n v="6"/>
    <b v="1"/>
    <b v="0"/>
  </r>
  <r>
    <x v="1"/>
    <s v="C"/>
    <s v="M"/>
    <n v="20231001"/>
    <x v="0"/>
    <x v="9"/>
    <s v="202310"/>
    <n v="818"/>
    <s v="EGY"/>
    <x v="0"/>
    <s v="M"/>
    <x v="0"/>
    <n v="410"/>
    <s v="KOR"/>
    <x v="18"/>
    <n v="0"/>
    <s v="W00"/>
    <s v="World"/>
    <s v="H6"/>
    <s v="HS"/>
    <b v="1"/>
    <s v="320619"/>
    <s v="Colouring matter; pigments and preparations based on titanium dioxide, containing less than 80% by weight of titanium dioxide calculated on the dry weight"/>
    <n v="6"/>
    <b v="1"/>
    <s v="C00"/>
    <s v="TOTAL CPC"/>
    <s v="0"/>
    <n v="0"/>
    <s v="TOTAL MOT"/>
    <n v="8"/>
    <s v="kg"/>
    <n v="602.77300000000002"/>
    <b v="1"/>
    <n v="-1"/>
    <s v="N/A"/>
    <n v="0"/>
    <b v="0"/>
    <n v="602.77300000000002"/>
    <b v="1"/>
    <n v="0"/>
    <b v="0"/>
    <n v="2909.4969999999998"/>
    <m/>
    <n v="2909.4969999999998"/>
    <n v="6"/>
    <b v="1"/>
    <b v="0"/>
  </r>
  <r>
    <x v="1"/>
    <s v="C"/>
    <s v="M"/>
    <n v="20231001"/>
    <x v="0"/>
    <x v="9"/>
    <s v="202310"/>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15747.175999999999"/>
    <b v="1"/>
    <n v="-1"/>
    <s v="N/A"/>
    <n v="0"/>
    <b v="0"/>
    <n v="15747.175999999999"/>
    <b v="1"/>
    <n v="0"/>
    <b v="0"/>
    <n v="76009.342000000004"/>
    <m/>
    <n v="76009.342000000004"/>
    <n v="6"/>
    <b v="1"/>
    <b v="0"/>
  </r>
  <r>
    <x v="1"/>
    <s v="C"/>
    <s v="M"/>
    <n v="20231001"/>
    <x v="0"/>
    <x v="9"/>
    <s v="202310"/>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6845.9589999999998"/>
    <b v="1"/>
    <n v="-1"/>
    <s v="N/A"/>
    <n v="0"/>
    <b v="0"/>
    <n v="6845.9589999999998"/>
    <b v="1"/>
    <n v="0"/>
    <b v="0"/>
    <n v="33044.453000000001"/>
    <m/>
    <n v="33044.453000000001"/>
    <n v="6"/>
    <b v="1"/>
    <b v="0"/>
  </r>
  <r>
    <x v="1"/>
    <s v="C"/>
    <s v="M"/>
    <n v="20231001"/>
    <x v="0"/>
    <x v="9"/>
    <s v="202310"/>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29062.582999999999"/>
    <b v="1"/>
    <n v="-1"/>
    <s v="N/A"/>
    <n v="0"/>
    <b v="0"/>
    <n v="29062.582999999999"/>
    <b v="1"/>
    <n v="0"/>
    <b v="0"/>
    <n v="140280.891"/>
    <m/>
    <n v="140280.891"/>
    <n v="6"/>
    <b v="1"/>
    <b v="0"/>
  </r>
  <r>
    <x v="1"/>
    <s v="C"/>
    <s v="M"/>
    <n v="20231001"/>
    <x v="0"/>
    <x v="9"/>
    <s v="202310"/>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6718.026000000002"/>
    <b v="1"/>
    <n v="-1"/>
    <s v="N/A"/>
    <n v="0"/>
    <b v="0"/>
    <n v="26718.026000000002"/>
    <b v="1"/>
    <n v="0"/>
    <b v="0"/>
    <n v="128964.053"/>
    <m/>
    <n v="128964.053"/>
    <n v="6"/>
    <b v="1"/>
    <b v="0"/>
  </r>
  <r>
    <x v="1"/>
    <s v="C"/>
    <s v="M"/>
    <n v="20231001"/>
    <x v="0"/>
    <x v="9"/>
    <s v="202310"/>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729.842000000001"/>
    <b v="1"/>
    <n v="-1"/>
    <s v="N/A"/>
    <n v="0"/>
    <b v="0"/>
    <n v="26729.842000000001"/>
    <b v="1"/>
    <n v="0"/>
    <b v="0"/>
    <n v="129021.087"/>
    <m/>
    <n v="129021.087"/>
    <n v="6"/>
    <b v="1"/>
    <b v="0"/>
  </r>
  <r>
    <x v="1"/>
    <s v="C"/>
    <s v="M"/>
    <n v="20231101"/>
    <x v="0"/>
    <x v="10"/>
    <s v="202311"/>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94562.94200000001"/>
    <b v="1"/>
    <n v="-1"/>
    <s v="N/A"/>
    <n v="0"/>
    <b v="0"/>
    <n v="194562.94200000001"/>
    <b v="1"/>
    <n v="0"/>
    <b v="0"/>
    <n v="939127.21799999999"/>
    <m/>
    <n v="939127.21799999999"/>
    <n v="6"/>
    <b v="0"/>
    <b v="1"/>
  </r>
  <r>
    <x v="1"/>
    <s v="C"/>
    <s v="M"/>
    <n v="20231101"/>
    <x v="0"/>
    <x v="10"/>
    <s v="202311"/>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36.62799999999999"/>
    <b v="1"/>
    <n v="-1"/>
    <s v="N/A"/>
    <n v="0"/>
    <b v="0"/>
    <n v="136.62799999999999"/>
    <b v="1"/>
    <n v="0"/>
    <b v="0"/>
    <n v="659.48199999999997"/>
    <m/>
    <n v="659.48199999999997"/>
    <n v="6"/>
    <b v="1"/>
    <b v="0"/>
  </r>
  <r>
    <x v="1"/>
    <s v="C"/>
    <s v="M"/>
    <n v="20231101"/>
    <x v="0"/>
    <x v="10"/>
    <s v="202311"/>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11192.427"/>
    <b v="1"/>
    <n v="-1"/>
    <s v="N/A"/>
    <n v="0"/>
    <b v="0"/>
    <n v="11192.427"/>
    <b v="1"/>
    <n v="0"/>
    <b v="0"/>
    <n v="54024.23"/>
    <m/>
    <n v="54024.23"/>
    <n v="6"/>
    <b v="1"/>
    <b v="0"/>
  </r>
  <r>
    <x v="1"/>
    <s v="C"/>
    <s v="M"/>
    <n v="20231101"/>
    <x v="0"/>
    <x v="10"/>
    <s v="202311"/>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88164.406000000003"/>
    <b v="1"/>
    <n v="-1"/>
    <s v="N/A"/>
    <n v="0"/>
    <b v="0"/>
    <n v="88164.406000000003"/>
    <b v="1"/>
    <n v="0"/>
    <b v="0"/>
    <n v="425556.85399999999"/>
    <m/>
    <n v="425556.85399999999"/>
    <n v="6"/>
    <b v="1"/>
    <b v="0"/>
  </r>
  <r>
    <x v="1"/>
    <s v="C"/>
    <s v="M"/>
    <n v="20231101"/>
    <x v="0"/>
    <x v="10"/>
    <s v="202311"/>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30878.744999999999"/>
    <b v="1"/>
    <n v="-1"/>
    <s v="N/A"/>
    <n v="0"/>
    <b v="0"/>
    <n v="30878.744999999999"/>
    <b v="1"/>
    <n v="0"/>
    <b v="0"/>
    <n v="149047.24"/>
    <m/>
    <n v="149047.24"/>
    <n v="6"/>
    <b v="1"/>
    <b v="0"/>
  </r>
  <r>
    <x v="1"/>
    <s v="C"/>
    <s v="M"/>
    <n v="20231101"/>
    <x v="0"/>
    <x v="10"/>
    <s v="202311"/>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203.221"/>
    <b v="1"/>
    <n v="-1"/>
    <s v="N/A"/>
    <n v="0"/>
    <b v="0"/>
    <n v="1203.221"/>
    <b v="1"/>
    <n v="0"/>
    <b v="0"/>
    <n v="5807.7730000000001"/>
    <m/>
    <n v="5807.7730000000001"/>
    <n v="6"/>
    <b v="1"/>
    <b v="0"/>
  </r>
  <r>
    <x v="1"/>
    <s v="C"/>
    <s v="M"/>
    <n v="20231101"/>
    <x v="0"/>
    <x v="10"/>
    <s v="202311"/>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8905.606"/>
    <b v="1"/>
    <n v="-1"/>
    <s v="N/A"/>
    <n v="0"/>
    <b v="0"/>
    <n v="38905.606"/>
    <b v="1"/>
    <n v="0"/>
    <b v="0"/>
    <n v="187791.742"/>
    <m/>
    <n v="187791.742"/>
    <n v="6"/>
    <b v="1"/>
    <b v="0"/>
  </r>
  <r>
    <x v="1"/>
    <s v="C"/>
    <s v="M"/>
    <n v="20231101"/>
    <x v="0"/>
    <x v="10"/>
    <s v="202311"/>
    <n v="818"/>
    <s v="EGY"/>
    <x v="0"/>
    <s v="M"/>
    <x v="0"/>
    <n v="643"/>
    <s v="RUS"/>
    <x v="26"/>
    <n v="0"/>
    <s v="W00"/>
    <s v="World"/>
    <s v="H6"/>
    <s v="HS"/>
    <b v="1"/>
    <s v="320619"/>
    <s v="Colouring matter; pigments and preparations based on titanium dioxide, containing less than 80% by weight of titanium dioxide calculated on the dry weight"/>
    <n v="6"/>
    <b v="1"/>
    <s v="C00"/>
    <s v="TOTAL CPC"/>
    <s v="0"/>
    <n v="0"/>
    <s v="TOTAL MOT"/>
    <n v="8"/>
    <s v="kg"/>
    <n v="1018.519"/>
    <b v="1"/>
    <n v="-1"/>
    <s v="N/A"/>
    <n v="0"/>
    <b v="0"/>
    <n v="1018.519"/>
    <b v="1"/>
    <n v="0"/>
    <b v="0"/>
    <n v="4916.2430000000004"/>
    <m/>
    <n v="4916.2430000000004"/>
    <n v="6"/>
    <b v="1"/>
    <b v="0"/>
  </r>
  <r>
    <x v="1"/>
    <s v="C"/>
    <s v="M"/>
    <n v="20231101"/>
    <x v="0"/>
    <x v="10"/>
    <s v="202311"/>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7528.6210000000001"/>
    <b v="1"/>
    <n v="-1"/>
    <s v="N/A"/>
    <n v="0"/>
    <b v="0"/>
    <n v="7528.6210000000001"/>
    <b v="1"/>
    <n v="0"/>
    <b v="0"/>
    <n v="36339.565999999999"/>
    <m/>
    <n v="36339.565999999999"/>
    <n v="6"/>
    <b v="1"/>
    <b v="0"/>
  </r>
  <r>
    <x v="1"/>
    <s v="C"/>
    <s v="M"/>
    <n v="20231101"/>
    <x v="0"/>
    <x v="10"/>
    <s v="202311"/>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7937.1019999999999"/>
    <b v="1"/>
    <n v="-1"/>
    <s v="N/A"/>
    <n v="0"/>
    <b v="0"/>
    <n v="7937.1019999999999"/>
    <b v="1"/>
    <n v="0"/>
    <b v="0"/>
    <n v="38311.243999999999"/>
    <m/>
    <n v="38311.243999999999"/>
    <n v="6"/>
    <b v="1"/>
    <b v="0"/>
  </r>
  <r>
    <x v="1"/>
    <s v="C"/>
    <s v="M"/>
    <n v="20231101"/>
    <x v="0"/>
    <x v="10"/>
    <s v="202311"/>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7597.6670000000004"/>
    <b v="1"/>
    <n v="-1"/>
    <s v="N/A"/>
    <n v="0"/>
    <b v="0"/>
    <n v="7597.6670000000004"/>
    <b v="1"/>
    <n v="0"/>
    <b v="0"/>
    <n v="36672.843999999997"/>
    <m/>
    <n v="36672.843999999997"/>
    <n v="6"/>
    <b v="1"/>
    <b v="0"/>
  </r>
  <r>
    <x v="1"/>
    <s v="C"/>
    <s v="M"/>
    <n v="20231201"/>
    <x v="0"/>
    <x v="11"/>
    <s v="202312"/>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88182.323000000004"/>
    <b v="1"/>
    <n v="-1"/>
    <s v="N/A"/>
    <n v="0"/>
    <b v="0"/>
    <n v="88182.323000000004"/>
    <b v="1"/>
    <n v="0"/>
    <b v="0"/>
    <n v="425643.33399999997"/>
    <m/>
    <n v="425643.33399999997"/>
    <n v="6"/>
    <b v="0"/>
    <b v="1"/>
  </r>
  <r>
    <x v="1"/>
    <s v="C"/>
    <s v="M"/>
    <n v="20231201"/>
    <x v="0"/>
    <x v="11"/>
    <s v="202312"/>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120.346000000001"/>
    <b v="1"/>
    <n v="-1"/>
    <s v="N/A"/>
    <n v="0"/>
    <b v="0"/>
    <n v="23120.346000000001"/>
    <b v="1"/>
    <n v="0"/>
    <b v="0"/>
    <n v="111598.573"/>
    <m/>
    <n v="111598.573"/>
    <n v="6"/>
    <b v="1"/>
    <b v="0"/>
  </r>
  <r>
    <x v="1"/>
    <s v="C"/>
    <s v="M"/>
    <n v="20231201"/>
    <x v="0"/>
    <x v="11"/>
    <s v="202312"/>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3501.35"/>
    <b v="1"/>
    <n v="-1"/>
    <s v="N/A"/>
    <n v="0"/>
    <b v="0"/>
    <n v="13501.35"/>
    <b v="1"/>
    <n v="0"/>
    <b v="0"/>
    <n v="65169.067000000003"/>
    <m/>
    <n v="65169.067000000003"/>
    <n v="6"/>
    <b v="1"/>
    <b v="0"/>
  </r>
  <r>
    <x v="1"/>
    <s v="C"/>
    <s v="M"/>
    <n v="20231201"/>
    <x v="0"/>
    <x v="11"/>
    <s v="202312"/>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2503.018"/>
    <b v="1"/>
    <n v="-1"/>
    <s v="N/A"/>
    <n v="0"/>
    <b v="0"/>
    <n v="2503.018"/>
    <b v="1"/>
    <n v="0"/>
    <b v="0"/>
    <n v="12081.707"/>
    <m/>
    <n v="12081.707"/>
    <n v="6"/>
    <b v="1"/>
    <b v="0"/>
  </r>
  <r>
    <x v="1"/>
    <s v="C"/>
    <s v="M"/>
    <n v="20231201"/>
    <x v="0"/>
    <x v="11"/>
    <s v="202312"/>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556.6179999999999"/>
    <b v="1"/>
    <n v="-1"/>
    <s v="N/A"/>
    <n v="0"/>
    <b v="0"/>
    <n v="3556.6179999999999"/>
    <b v="1"/>
    <n v="0"/>
    <b v="0"/>
    <n v="17167.280999999999"/>
    <m/>
    <n v="17167.280999999999"/>
    <n v="6"/>
    <b v="1"/>
    <b v="0"/>
  </r>
  <r>
    <x v="1"/>
    <s v="C"/>
    <s v="M"/>
    <n v="20231201"/>
    <x v="0"/>
    <x v="11"/>
    <s v="202312"/>
    <n v="818"/>
    <s v="EGY"/>
    <x v="0"/>
    <s v="M"/>
    <x v="0"/>
    <n v="490"/>
    <s v="S19"/>
    <x v="27"/>
    <n v="0"/>
    <s v="W00"/>
    <s v="World"/>
    <s v="H6"/>
    <s v="HS"/>
    <b v="1"/>
    <s v="320619"/>
    <s v="Colouring matter; pigments and preparations based on titanium dioxide, containing less than 80% by weight of titanium dioxide calculated on the dry weight"/>
    <n v="6"/>
    <b v="1"/>
    <s v="C00"/>
    <s v="TOTAL CPC"/>
    <s v="0"/>
    <n v="0"/>
    <s v="TOTAL MOT"/>
    <n v="8"/>
    <s v="kg"/>
    <n v="3.3460000000000001"/>
    <b v="1"/>
    <n v="-1"/>
    <s v="N/A"/>
    <n v="0"/>
    <b v="0"/>
    <n v="3.3460000000000001"/>
    <b v="1"/>
    <n v="0"/>
    <b v="0"/>
    <n v="16.151"/>
    <m/>
    <n v="16.151"/>
    <n v="6"/>
    <b v="1"/>
    <b v="0"/>
  </r>
  <r>
    <x v="1"/>
    <s v="C"/>
    <s v="M"/>
    <n v="20231201"/>
    <x v="0"/>
    <x v="11"/>
    <s v="202312"/>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517.4250000000002"/>
    <b v="1"/>
    <n v="-1"/>
    <s v="N/A"/>
    <n v="0"/>
    <b v="0"/>
    <n v="2517.4250000000002"/>
    <b v="1"/>
    <n v="0"/>
    <b v="0"/>
    <n v="12151.245999999999"/>
    <m/>
    <n v="12151.245999999999"/>
    <n v="6"/>
    <b v="1"/>
    <b v="0"/>
  </r>
  <r>
    <x v="1"/>
    <s v="C"/>
    <s v="M"/>
    <n v="20231201"/>
    <x v="0"/>
    <x v="11"/>
    <s v="202312"/>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42980.218999999997"/>
    <b v="1"/>
    <n v="-1"/>
    <s v="N/A"/>
    <n v="0"/>
    <b v="0"/>
    <n v="42980.218999999997"/>
    <b v="1"/>
    <n v="0"/>
    <b v="0"/>
    <n v="207459.30900000001"/>
    <m/>
    <n v="207459.30900000001"/>
    <n v="6"/>
    <b v="1"/>
    <b v="0"/>
  </r>
  <r>
    <x v="1"/>
    <s v="C"/>
    <s v="M"/>
    <n v="20231201"/>
    <x v="0"/>
    <x v="11"/>
    <s v="202312"/>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652.31200000000001"/>
    <b v="1"/>
    <n v="-1"/>
    <s v="N/A"/>
    <n v="0"/>
    <b v="0"/>
    <n v="652.31200000000001"/>
    <b v="1"/>
    <n v="0"/>
    <b v="0"/>
    <m/>
    <n v="3375"/>
    <n v="3375"/>
    <n v="6"/>
    <b v="0"/>
    <b v="1"/>
  </r>
  <r>
    <x v="1"/>
    <s v="C"/>
    <s v="M"/>
    <n v="20231201"/>
    <x v="0"/>
    <x v="11"/>
    <s v="202312"/>
    <n v="818"/>
    <s v="EGY"/>
    <x v="0"/>
    <s v="X"/>
    <x v="1"/>
    <n v="512"/>
    <s v="OMN"/>
    <x v="25"/>
    <n v="0"/>
    <s v="W00"/>
    <s v="World"/>
    <s v="H6"/>
    <s v="HS"/>
    <b v="1"/>
    <s v="320619"/>
    <s v="Colouring matter; pigments and preparations based on titanium dioxide, containing less than 80% by weight of titanium dioxide calculated on the dry weight"/>
    <n v="6"/>
    <b v="1"/>
    <s v="C00"/>
    <s v="TOTAL CPC"/>
    <s v="0"/>
    <n v="0"/>
    <s v="TOTAL MOT"/>
    <n v="8"/>
    <s v="kg"/>
    <n v="652.31200000000001"/>
    <b v="1"/>
    <n v="-1"/>
    <s v="N/A"/>
    <n v="0"/>
    <b v="0"/>
    <n v="652.31200000000001"/>
    <b v="1"/>
    <n v="0"/>
    <b v="0"/>
    <m/>
    <n v="3375"/>
    <n v="3375"/>
    <n v="6"/>
    <b v="1"/>
    <b v="0"/>
  </r>
  <r>
    <x v="1"/>
    <s v="C"/>
    <s v="M"/>
    <n v="20240101"/>
    <x v="1"/>
    <x v="0"/>
    <s v="202401"/>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72502.028000000006"/>
    <b v="1"/>
    <n v="-1"/>
    <s v="N/A"/>
    <n v="0"/>
    <b v="0"/>
    <n v="72502.028000000006"/>
    <b v="1"/>
    <n v="0"/>
    <b v="0"/>
    <n v="349956.81599999999"/>
    <m/>
    <n v="349956.81599999999"/>
    <n v="6"/>
    <b v="0"/>
    <b v="1"/>
  </r>
  <r>
    <x v="1"/>
    <s v="C"/>
    <s v="M"/>
    <n v="20240101"/>
    <x v="1"/>
    <x v="0"/>
    <s v="202401"/>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978.776000000002"/>
    <b v="1"/>
    <n v="-1"/>
    <s v="N/A"/>
    <n v="0"/>
    <b v="0"/>
    <n v="23978.776000000002"/>
    <b v="1"/>
    <n v="0"/>
    <b v="0"/>
    <n v="115742.091"/>
    <m/>
    <n v="115742.091"/>
    <n v="6"/>
    <b v="1"/>
    <b v="0"/>
  </r>
  <r>
    <x v="1"/>
    <s v="C"/>
    <s v="M"/>
    <n v="20240101"/>
    <x v="1"/>
    <x v="0"/>
    <s v="202401"/>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7236.891"/>
    <b v="1"/>
    <n v="-1"/>
    <s v="N/A"/>
    <n v="0"/>
    <b v="0"/>
    <n v="17236.891"/>
    <b v="1"/>
    <n v="0"/>
    <b v="0"/>
    <n v="83199.983999999997"/>
    <m/>
    <n v="83199.983999999997"/>
    <n v="6"/>
    <b v="1"/>
    <b v="0"/>
  </r>
  <r>
    <x v="1"/>
    <s v="C"/>
    <s v="M"/>
    <n v="20240101"/>
    <x v="1"/>
    <x v="0"/>
    <s v="202401"/>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2931.074000000001"/>
    <b v="1"/>
    <n v="-1"/>
    <s v="N/A"/>
    <n v="0"/>
    <b v="0"/>
    <n v="22931.074000000001"/>
    <b v="1"/>
    <n v="0"/>
    <b v="0"/>
    <n v="110684.984"/>
    <m/>
    <n v="110684.984"/>
    <n v="6"/>
    <b v="1"/>
    <b v="0"/>
  </r>
  <r>
    <x v="1"/>
    <s v="C"/>
    <s v="M"/>
    <n v="20240101"/>
    <x v="1"/>
    <x v="0"/>
    <s v="202401"/>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981.05499999999995"/>
    <b v="1"/>
    <n v="-1"/>
    <s v="N/A"/>
    <n v="0"/>
    <b v="0"/>
    <n v="981.05499999999995"/>
    <b v="1"/>
    <n v="0"/>
    <b v="0"/>
    <n v="4735.4089999999997"/>
    <m/>
    <n v="4735.4089999999997"/>
    <n v="6"/>
    <b v="1"/>
    <b v="0"/>
  </r>
  <r>
    <x v="1"/>
    <s v="C"/>
    <s v="M"/>
    <n v="20240101"/>
    <x v="1"/>
    <x v="0"/>
    <s v="202401"/>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1961.979"/>
    <b v="1"/>
    <n v="-1"/>
    <s v="N/A"/>
    <n v="0"/>
    <b v="0"/>
    <n v="1961.979"/>
    <b v="1"/>
    <n v="0"/>
    <b v="0"/>
    <n v="9470.1880000000001"/>
    <m/>
    <n v="9470.1880000000001"/>
    <n v="6"/>
    <b v="1"/>
    <b v="0"/>
  </r>
  <r>
    <x v="1"/>
    <s v="C"/>
    <s v="M"/>
    <n v="20240101"/>
    <x v="1"/>
    <x v="0"/>
    <s v="202401"/>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4776.5140000000001"/>
    <b v="1"/>
    <n v="-1"/>
    <s v="N/A"/>
    <n v="0"/>
    <b v="0"/>
    <n v="4776.5140000000001"/>
    <b v="1"/>
    <n v="0"/>
    <b v="0"/>
    <n v="23055.544999999998"/>
    <m/>
    <n v="23055.544999999998"/>
    <n v="6"/>
    <b v="1"/>
    <b v="0"/>
  </r>
  <r>
    <x v="1"/>
    <s v="C"/>
    <s v="M"/>
    <n v="20240101"/>
    <x v="1"/>
    <x v="0"/>
    <s v="202401"/>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635.73800000000006"/>
    <b v="1"/>
    <n v="-1"/>
    <s v="N/A"/>
    <n v="0"/>
    <b v="0"/>
    <n v="635.73800000000006"/>
    <b v="1"/>
    <n v="0"/>
    <b v="0"/>
    <n v="3068.614"/>
    <m/>
    <n v="3068.614"/>
    <n v="6"/>
    <b v="1"/>
    <b v="0"/>
  </r>
  <r>
    <x v="1"/>
    <s v="C"/>
    <s v="M"/>
    <n v="20240201"/>
    <x v="1"/>
    <x v="1"/>
    <s v="202402"/>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91946.704"/>
    <b v="1"/>
    <n v="-1"/>
    <s v="N/A"/>
    <n v="0"/>
    <b v="0"/>
    <n v="191946.704"/>
    <b v="1"/>
    <n v="0"/>
    <b v="0"/>
    <n v="926499.01599999995"/>
    <m/>
    <n v="926499.01599999995"/>
    <n v="6"/>
    <b v="0"/>
    <b v="1"/>
  </r>
  <r>
    <x v="1"/>
    <s v="C"/>
    <s v="M"/>
    <n v="20240201"/>
    <x v="1"/>
    <x v="1"/>
    <s v="202402"/>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865.374"/>
    <b v="1"/>
    <n v="-1"/>
    <s v="N/A"/>
    <n v="0"/>
    <b v="0"/>
    <n v="23865.374"/>
    <b v="1"/>
    <n v="0"/>
    <b v="0"/>
    <n v="115194.712"/>
    <m/>
    <n v="115194.712"/>
    <n v="6"/>
    <b v="1"/>
    <b v="0"/>
  </r>
  <r>
    <x v="1"/>
    <s v="C"/>
    <s v="M"/>
    <n v="20240201"/>
    <x v="1"/>
    <x v="1"/>
    <s v="202402"/>
    <n v="818"/>
    <s v="EGY"/>
    <x v="0"/>
    <s v="M"/>
    <x v="0"/>
    <n v="251"/>
    <s v="FRA"/>
    <x v="9"/>
    <n v="0"/>
    <s v="W00"/>
    <s v="World"/>
    <s v="H6"/>
    <s v="HS"/>
    <b v="1"/>
    <s v="320619"/>
    <s v="Colouring matter; pigments and preparations based on titanium dioxide, containing less than 80% by weight of titanium dioxide calculated on the dry weight"/>
    <n v="6"/>
    <b v="1"/>
    <s v="C00"/>
    <s v="TOTAL CPC"/>
    <s v="0"/>
    <n v="0"/>
    <s v="TOTAL MOT"/>
    <n v="8"/>
    <s v="kg"/>
    <n v="1820.2180000000001"/>
    <b v="1"/>
    <n v="-1"/>
    <s v="N/A"/>
    <n v="0"/>
    <b v="0"/>
    <n v="1820.2180000000001"/>
    <b v="1"/>
    <n v="0"/>
    <b v="0"/>
    <n v="8785.9279999999999"/>
    <m/>
    <n v="8785.9279999999999"/>
    <n v="6"/>
    <b v="1"/>
    <b v="0"/>
  </r>
  <r>
    <x v="1"/>
    <s v="C"/>
    <s v="M"/>
    <n v="20240201"/>
    <x v="1"/>
    <x v="1"/>
    <s v="202402"/>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39740.421000000002"/>
    <b v="1"/>
    <n v="-1"/>
    <s v="N/A"/>
    <n v="0"/>
    <b v="0"/>
    <n v="39740.421000000002"/>
    <b v="1"/>
    <n v="0"/>
    <b v="0"/>
    <n v="191821.27100000001"/>
    <m/>
    <n v="191821.27100000001"/>
    <n v="6"/>
    <b v="1"/>
    <b v="0"/>
  </r>
  <r>
    <x v="1"/>
    <s v="C"/>
    <s v="M"/>
    <n v="20240201"/>
    <x v="1"/>
    <x v="1"/>
    <s v="202402"/>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4272.0259999999998"/>
    <b v="1"/>
    <n v="-1"/>
    <s v="N/A"/>
    <n v="0"/>
    <b v="0"/>
    <n v="4272.0259999999998"/>
    <b v="1"/>
    <n v="0"/>
    <b v="0"/>
    <n v="20620.453000000001"/>
    <m/>
    <n v="20620.453000000001"/>
    <n v="6"/>
    <b v="1"/>
    <b v="0"/>
  </r>
  <r>
    <x v="1"/>
    <s v="C"/>
    <s v="M"/>
    <n v="20240201"/>
    <x v="1"/>
    <x v="1"/>
    <s v="202402"/>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43613.142999999996"/>
    <b v="1"/>
    <n v="-1"/>
    <s v="N/A"/>
    <n v="0"/>
    <b v="0"/>
    <n v="43613.142999999996"/>
    <b v="1"/>
    <n v="0"/>
    <b v="0"/>
    <n v="210514.34400000001"/>
    <m/>
    <n v="210514.34400000001"/>
    <n v="6"/>
    <b v="1"/>
    <b v="0"/>
  </r>
  <r>
    <x v="1"/>
    <s v="C"/>
    <s v="M"/>
    <n v="20240201"/>
    <x v="1"/>
    <x v="1"/>
    <s v="202402"/>
    <n v="818"/>
    <s v="EGY"/>
    <x v="0"/>
    <s v="M"/>
    <x v="0"/>
    <n v="528"/>
    <s v="NLD"/>
    <x v="15"/>
    <n v="0"/>
    <s v="W00"/>
    <s v="World"/>
    <s v="H6"/>
    <s v="HS"/>
    <b v="1"/>
    <s v="320619"/>
    <s v="Colouring matter; pigments and preparations based on titanium dioxide, containing less than 80% by weight of titanium dioxide calculated on the dry weight"/>
    <n v="6"/>
    <b v="1"/>
    <s v="C00"/>
    <s v="TOTAL CPC"/>
    <s v="0"/>
    <n v="0"/>
    <s v="TOTAL MOT"/>
    <n v="8"/>
    <s v="kg"/>
    <n v="8.1539999999999999"/>
    <b v="1"/>
    <n v="-1"/>
    <s v="N/A"/>
    <n v="0"/>
    <b v="0"/>
    <n v="8.1539999999999999"/>
    <b v="1"/>
    <n v="0"/>
    <b v="0"/>
    <n v="39.359000000000002"/>
    <m/>
    <n v="39.359000000000002"/>
    <n v="6"/>
    <b v="1"/>
    <b v="0"/>
  </r>
  <r>
    <x v="1"/>
    <s v="C"/>
    <s v="M"/>
    <n v="20240201"/>
    <x v="1"/>
    <x v="1"/>
    <s v="202402"/>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18163.57"/>
    <b v="1"/>
    <n v="-1"/>
    <s v="N/A"/>
    <n v="0"/>
    <b v="0"/>
    <n v="18163.57"/>
    <b v="1"/>
    <n v="0"/>
    <b v="0"/>
    <n v="87672.93"/>
    <m/>
    <n v="87672.93"/>
    <n v="6"/>
    <b v="1"/>
    <b v="0"/>
  </r>
  <r>
    <x v="1"/>
    <s v="C"/>
    <s v="M"/>
    <n v="20240201"/>
    <x v="1"/>
    <x v="1"/>
    <s v="202402"/>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169.232"/>
    <b v="1"/>
    <n v="-1"/>
    <s v="N/A"/>
    <n v="0"/>
    <b v="0"/>
    <n v="2169.232"/>
    <b v="1"/>
    <n v="0"/>
    <b v="0"/>
    <n v="10470.57"/>
    <m/>
    <n v="10470.57"/>
    <n v="6"/>
    <b v="1"/>
    <b v="0"/>
  </r>
  <r>
    <x v="1"/>
    <s v="C"/>
    <s v="M"/>
    <n v="20240201"/>
    <x v="1"/>
    <x v="1"/>
    <s v="202402"/>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33095.593000000001"/>
    <b v="1"/>
    <n v="-1"/>
    <s v="N/A"/>
    <n v="0"/>
    <b v="0"/>
    <n v="33095.593000000001"/>
    <b v="1"/>
    <n v="0"/>
    <b v="0"/>
    <n v="159747.649"/>
    <m/>
    <n v="159747.649"/>
    <n v="6"/>
    <b v="1"/>
    <b v="0"/>
  </r>
  <r>
    <x v="1"/>
    <s v="C"/>
    <s v="M"/>
    <n v="20240201"/>
    <x v="1"/>
    <x v="1"/>
    <s v="202402"/>
    <n v="818"/>
    <s v="EGY"/>
    <x v="0"/>
    <s v="M"/>
    <x v="0"/>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13251.798000000001"/>
    <b v="1"/>
    <n v="-1"/>
    <s v="N/A"/>
    <n v="0"/>
    <b v="0"/>
    <n v="13251.798000000001"/>
    <b v="1"/>
    <n v="0"/>
    <b v="0"/>
    <n v="63964.516000000003"/>
    <m/>
    <n v="63964.516000000003"/>
    <n v="6"/>
    <b v="1"/>
    <b v="0"/>
  </r>
  <r>
    <x v="1"/>
    <s v="C"/>
    <s v="M"/>
    <n v="20240201"/>
    <x v="1"/>
    <x v="1"/>
    <s v="202402"/>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11703.974"/>
    <b v="1"/>
    <n v="-1"/>
    <s v="N/A"/>
    <n v="0"/>
    <b v="0"/>
    <n v="11703.974"/>
    <b v="1"/>
    <n v="0"/>
    <b v="0"/>
    <n v="56493.391000000003"/>
    <m/>
    <n v="56493.391000000003"/>
    <n v="6"/>
    <b v="1"/>
    <b v="0"/>
  </r>
  <r>
    <x v="1"/>
    <s v="C"/>
    <s v="M"/>
    <n v="20240201"/>
    <x v="1"/>
    <x v="1"/>
    <s v="202402"/>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43.20099999999999"/>
    <b v="1"/>
    <n v="-1"/>
    <s v="N/A"/>
    <n v="0"/>
    <b v="0"/>
    <n v="243.20099999999999"/>
    <b v="1"/>
    <n v="0"/>
    <b v="0"/>
    <n v="1173.894"/>
    <m/>
    <n v="1173.894"/>
    <n v="6"/>
    <b v="1"/>
    <b v="0"/>
  </r>
  <r>
    <x v="1"/>
    <s v="C"/>
    <s v="M"/>
    <n v="20240201"/>
    <x v="1"/>
    <x v="1"/>
    <s v="202402"/>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691.1790000000001"/>
    <b v="1"/>
    <n v="-1"/>
    <s v="N/A"/>
    <n v="0"/>
    <b v="0"/>
    <n v="1691.1790000000001"/>
    <b v="1"/>
    <n v="0"/>
    <b v="0"/>
    <m/>
    <n v="8750"/>
    <n v="8750"/>
    <n v="6"/>
    <b v="0"/>
    <b v="1"/>
  </r>
  <r>
    <x v="1"/>
    <s v="C"/>
    <s v="M"/>
    <n v="20240201"/>
    <x v="1"/>
    <x v="1"/>
    <s v="202402"/>
    <n v="818"/>
    <s v="EGY"/>
    <x v="0"/>
    <s v="X"/>
    <x v="1"/>
    <n v="586"/>
    <s v="PAK"/>
    <x v="28"/>
    <n v="0"/>
    <s v="W00"/>
    <s v="World"/>
    <s v="H6"/>
    <s v="HS"/>
    <b v="1"/>
    <s v="320619"/>
    <s v="Colouring matter; pigments and preparations based on titanium dioxide, containing less than 80% by weight of titanium dioxide calculated on the dry weight"/>
    <n v="6"/>
    <b v="1"/>
    <s v="C00"/>
    <s v="TOTAL CPC"/>
    <s v="0"/>
    <n v="0"/>
    <s v="TOTAL MOT"/>
    <n v="8"/>
    <s v="kg"/>
    <n v="1691.1790000000001"/>
    <b v="1"/>
    <n v="-1"/>
    <s v="N/A"/>
    <n v="0"/>
    <b v="0"/>
    <n v="1691.1790000000001"/>
    <b v="1"/>
    <n v="0"/>
    <b v="0"/>
    <m/>
    <n v="8750"/>
    <n v="8750"/>
    <n v="6"/>
    <b v="1"/>
    <b v="0"/>
  </r>
  <r>
    <x v="1"/>
    <s v="C"/>
    <s v="M"/>
    <n v="20240301"/>
    <x v="1"/>
    <x v="2"/>
    <s v="202403"/>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69643.13500000001"/>
    <b v="1"/>
    <n v="-1"/>
    <s v="N/A"/>
    <n v="0"/>
    <b v="0"/>
    <n v="169643.13500000001"/>
    <b v="1"/>
    <n v="0"/>
    <b v="0"/>
    <n v="818842.90899999999"/>
    <m/>
    <n v="818842.90899999999"/>
    <n v="6"/>
    <b v="0"/>
    <b v="1"/>
  </r>
  <r>
    <x v="1"/>
    <s v="C"/>
    <s v="M"/>
    <n v="20240301"/>
    <x v="1"/>
    <x v="2"/>
    <s v="202403"/>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763.981"/>
    <b v="1"/>
    <n v="-1"/>
    <s v="N/A"/>
    <n v="0"/>
    <b v="0"/>
    <n v="1763.981"/>
    <b v="1"/>
    <n v="0"/>
    <b v="0"/>
    <n v="8514.4830000000002"/>
    <m/>
    <n v="8514.4830000000002"/>
    <n v="6"/>
    <b v="1"/>
    <b v="0"/>
  </r>
  <r>
    <x v="1"/>
    <s v="C"/>
    <s v="M"/>
    <n v="20240301"/>
    <x v="1"/>
    <x v="2"/>
    <s v="202403"/>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49727.877999999997"/>
    <b v="1"/>
    <n v="-1"/>
    <s v="N/A"/>
    <n v="0"/>
    <b v="0"/>
    <n v="49727.877999999997"/>
    <b v="1"/>
    <n v="0"/>
    <b v="0"/>
    <n v="240029.283"/>
    <m/>
    <n v="240029.283"/>
    <n v="6"/>
    <b v="1"/>
    <b v="0"/>
  </r>
  <r>
    <x v="1"/>
    <s v="C"/>
    <s v="M"/>
    <n v="20240301"/>
    <x v="1"/>
    <x v="2"/>
    <s v="202403"/>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0504.035"/>
    <b v="1"/>
    <n v="-1"/>
    <s v="N/A"/>
    <n v="0"/>
    <b v="0"/>
    <n v="20504.035"/>
    <b v="1"/>
    <n v="0"/>
    <b v="0"/>
    <n v="98970.013999999996"/>
    <m/>
    <n v="98970.013999999996"/>
    <n v="6"/>
    <b v="1"/>
    <b v="0"/>
  </r>
  <r>
    <x v="1"/>
    <s v="C"/>
    <s v="M"/>
    <n v="20240301"/>
    <x v="1"/>
    <x v="2"/>
    <s v="202403"/>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4504.802"/>
    <b v="1"/>
    <n v="-1"/>
    <s v="N/A"/>
    <n v="0"/>
    <b v="0"/>
    <n v="14504.802"/>
    <b v="1"/>
    <n v="0"/>
    <b v="0"/>
    <n v="70012.585000000006"/>
    <m/>
    <n v="70012.585000000006"/>
    <n v="6"/>
    <b v="1"/>
    <b v="0"/>
  </r>
  <r>
    <x v="1"/>
    <s v="C"/>
    <s v="M"/>
    <n v="20240301"/>
    <x v="1"/>
    <x v="2"/>
    <s v="202403"/>
    <n v="818"/>
    <s v="EGY"/>
    <x v="0"/>
    <s v="M"/>
    <x v="0"/>
    <n v="300"/>
    <s v="GRC"/>
    <x v="29"/>
    <n v="0"/>
    <s v="W00"/>
    <s v="World"/>
    <s v="H6"/>
    <s v="HS"/>
    <b v="1"/>
    <s v="320619"/>
    <s v="Colouring matter; pigments and preparations based on titanium dioxide, containing less than 80% by weight of titanium dioxide calculated on the dry weight"/>
    <n v="6"/>
    <b v="1"/>
    <s v="C00"/>
    <s v="TOTAL CPC"/>
    <s v="0"/>
    <n v="0"/>
    <s v="TOTAL MOT"/>
    <n v="8"/>
    <s v="kg"/>
    <n v="4948.2839999999997"/>
    <b v="1"/>
    <n v="-1"/>
    <s v="N/A"/>
    <n v="0"/>
    <b v="0"/>
    <n v="4948.2839999999997"/>
    <b v="1"/>
    <n v="0"/>
    <b v="0"/>
    <n v="23884.65"/>
    <m/>
    <n v="23884.65"/>
    <n v="6"/>
    <b v="1"/>
    <b v="0"/>
  </r>
  <r>
    <x v="1"/>
    <s v="C"/>
    <s v="M"/>
    <n v="20240301"/>
    <x v="1"/>
    <x v="2"/>
    <s v="202403"/>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6976.1019999999999"/>
    <b v="1"/>
    <n v="-1"/>
    <s v="N/A"/>
    <n v="0"/>
    <b v="0"/>
    <n v="6976.1019999999999"/>
    <b v="1"/>
    <n v="0"/>
    <b v="0"/>
    <n v="33672.635999999999"/>
    <m/>
    <n v="33672.635999999999"/>
    <n v="6"/>
    <b v="1"/>
    <b v="0"/>
  </r>
  <r>
    <x v="1"/>
    <s v="C"/>
    <s v="M"/>
    <n v="20240301"/>
    <x v="1"/>
    <x v="2"/>
    <s v="202403"/>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5804.8059999999996"/>
    <b v="1"/>
    <n v="-1"/>
    <s v="N/A"/>
    <n v="0"/>
    <b v="0"/>
    <n v="5804.8059999999996"/>
    <b v="1"/>
    <n v="0"/>
    <b v="0"/>
    <n v="28018.960999999999"/>
    <m/>
    <n v="28018.960999999999"/>
    <n v="6"/>
    <b v="1"/>
    <b v="0"/>
  </r>
  <r>
    <x v="1"/>
    <s v="C"/>
    <s v="M"/>
    <n v="20240301"/>
    <x v="1"/>
    <x v="2"/>
    <s v="202403"/>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45688.385000000002"/>
    <b v="1"/>
    <n v="-1"/>
    <s v="N/A"/>
    <n v="0"/>
    <b v="0"/>
    <n v="45688.385000000002"/>
    <b v="1"/>
    <n v="0"/>
    <b v="0"/>
    <n v="220531.234"/>
    <m/>
    <n v="220531.234"/>
    <n v="6"/>
    <b v="1"/>
    <b v="0"/>
  </r>
  <r>
    <x v="1"/>
    <s v="C"/>
    <s v="M"/>
    <n v="20240301"/>
    <x v="1"/>
    <x v="2"/>
    <s v="202403"/>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4715.0529999999999"/>
    <b v="1"/>
    <n v="-1"/>
    <s v="N/A"/>
    <n v="0"/>
    <b v="0"/>
    <n v="4715.0529999999999"/>
    <b v="1"/>
    <n v="0"/>
    <b v="0"/>
    <n v="22758.881000000001"/>
    <m/>
    <n v="22758.881000000001"/>
    <n v="6"/>
    <b v="1"/>
    <b v="0"/>
  </r>
  <r>
    <x v="1"/>
    <s v="C"/>
    <s v="M"/>
    <n v="20240301"/>
    <x v="1"/>
    <x v="2"/>
    <s v="202403"/>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12367.674000000001"/>
    <b v="1"/>
    <n v="-1"/>
    <s v="N/A"/>
    <n v="0"/>
    <b v="0"/>
    <n v="12367.674000000001"/>
    <b v="1"/>
    <n v="0"/>
    <b v="0"/>
    <n v="59696.974999999999"/>
    <m/>
    <n v="59696.974999999999"/>
    <n v="6"/>
    <b v="1"/>
    <b v="0"/>
  </r>
  <r>
    <x v="1"/>
    <s v="C"/>
    <s v="M"/>
    <n v="20240301"/>
    <x v="1"/>
    <x v="2"/>
    <s v="202403"/>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42.1350000000002"/>
    <b v="1"/>
    <n v="-1"/>
    <s v="N/A"/>
    <n v="0"/>
    <b v="0"/>
    <n v="2642.1350000000002"/>
    <b v="1"/>
    <n v="0"/>
    <b v="0"/>
    <n v="12753.206"/>
    <m/>
    <n v="12753.206"/>
    <n v="6"/>
    <b v="1"/>
    <b v="0"/>
  </r>
  <r>
    <x v="1"/>
    <s v="C"/>
    <s v="M"/>
    <n v="20240301"/>
    <x v="1"/>
    <x v="2"/>
    <s v="202403"/>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76.344999999999999"/>
    <b v="1"/>
    <n v="-1"/>
    <s v="N/A"/>
    <n v="0"/>
    <b v="0"/>
    <n v="76.344999999999999"/>
    <b v="1"/>
    <n v="0"/>
    <b v="0"/>
    <m/>
    <n v="395"/>
    <n v="395"/>
    <n v="6"/>
    <b v="0"/>
    <b v="1"/>
  </r>
  <r>
    <x v="1"/>
    <s v="C"/>
    <s v="M"/>
    <n v="20240301"/>
    <x v="1"/>
    <x v="2"/>
    <s v="202403"/>
    <n v="818"/>
    <s v="EGY"/>
    <x v="0"/>
    <s v="X"/>
    <x v="1"/>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76.344999999999999"/>
    <b v="1"/>
    <n v="-1"/>
    <s v="N/A"/>
    <n v="0"/>
    <b v="0"/>
    <n v="76.344999999999999"/>
    <b v="1"/>
    <n v="0"/>
    <b v="0"/>
    <m/>
    <n v="395"/>
    <n v="395"/>
    <n v="6"/>
    <b v="1"/>
    <b v="0"/>
  </r>
  <r>
    <x v="1"/>
    <s v="C"/>
    <s v="M"/>
    <n v="20240401"/>
    <x v="1"/>
    <x v="3"/>
    <s v="202404"/>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91428.636"/>
    <b v="1"/>
    <n v="-1"/>
    <s v="N/A"/>
    <n v="0"/>
    <b v="0"/>
    <n v="291428.636"/>
    <b v="1"/>
    <n v="0"/>
    <b v="0"/>
    <n v="1406683.933"/>
    <m/>
    <n v="1406683.933"/>
    <n v="6"/>
    <b v="0"/>
    <b v="1"/>
  </r>
  <r>
    <x v="1"/>
    <s v="C"/>
    <s v="M"/>
    <n v="20240401"/>
    <x v="1"/>
    <x v="3"/>
    <s v="202404"/>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2616.7689999999998"/>
    <b v="1"/>
    <n v="-1"/>
    <s v="N/A"/>
    <n v="0"/>
    <b v="0"/>
    <n v="2616.7689999999998"/>
    <b v="1"/>
    <n v="0"/>
    <b v="0"/>
    <n v="12630.768"/>
    <m/>
    <n v="12630.768"/>
    <n v="6"/>
    <b v="1"/>
    <b v="0"/>
  </r>
  <r>
    <x v="1"/>
    <s v="C"/>
    <s v="M"/>
    <n v="20240401"/>
    <x v="1"/>
    <x v="3"/>
    <s v="202404"/>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57460.71"/>
    <b v="1"/>
    <n v="-1"/>
    <s v="N/A"/>
    <n v="0"/>
    <b v="0"/>
    <n v="57460.71"/>
    <b v="1"/>
    <n v="0"/>
    <b v="0"/>
    <n v="277354.54700000002"/>
    <m/>
    <n v="277354.54700000002"/>
    <n v="6"/>
    <b v="1"/>
    <b v="0"/>
  </r>
  <r>
    <x v="1"/>
    <s v="C"/>
    <s v="M"/>
    <n v="20240401"/>
    <x v="1"/>
    <x v="3"/>
    <s v="202404"/>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09556.65400000001"/>
    <b v="1"/>
    <n v="-1"/>
    <s v="N/A"/>
    <n v="0"/>
    <b v="0"/>
    <n v="209556.65400000001"/>
    <b v="1"/>
    <n v="0"/>
    <b v="0"/>
    <n v="1011499.701"/>
    <m/>
    <n v="1011499.701"/>
    <n v="6"/>
    <b v="1"/>
    <b v="0"/>
  </r>
  <r>
    <x v="1"/>
    <s v="C"/>
    <s v="M"/>
    <n v="20240401"/>
    <x v="1"/>
    <x v="3"/>
    <s v="202404"/>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4775.4629999999997"/>
    <b v="1"/>
    <n v="-1"/>
    <s v="N/A"/>
    <n v="0"/>
    <b v="0"/>
    <n v="4775.4629999999997"/>
    <b v="1"/>
    <n v="0"/>
    <b v="0"/>
    <n v="23050.469000000001"/>
    <m/>
    <n v="23050.469000000001"/>
    <n v="6"/>
    <b v="1"/>
    <b v="0"/>
  </r>
  <r>
    <x v="1"/>
    <s v="C"/>
    <s v="M"/>
    <n v="20240401"/>
    <x v="1"/>
    <x v="3"/>
    <s v="202404"/>
    <n v="818"/>
    <s v="EGY"/>
    <x v="0"/>
    <s v="M"/>
    <x v="0"/>
    <n v="300"/>
    <s v="GRC"/>
    <x v="29"/>
    <n v="0"/>
    <s v="W00"/>
    <s v="World"/>
    <s v="H6"/>
    <s v="HS"/>
    <b v="1"/>
    <s v="320619"/>
    <s v="Colouring matter; pigments and preparations based on titanium dioxide, containing less than 80% by weight of titanium dioxide calculated on the dry weight"/>
    <n v="6"/>
    <b v="1"/>
    <s v="C00"/>
    <s v="TOTAL CPC"/>
    <s v="0"/>
    <n v="0"/>
    <s v="TOTAL MOT"/>
    <n v="8"/>
    <s v="kg"/>
    <n v="3274.4259999999999"/>
    <b v="1"/>
    <n v="-1"/>
    <s v="N/A"/>
    <n v="0"/>
    <b v="0"/>
    <n v="3274.4259999999999"/>
    <b v="1"/>
    <n v="0"/>
    <b v="0"/>
    <n v="15805.18"/>
    <m/>
    <n v="15805.18"/>
    <n v="6"/>
    <b v="1"/>
    <b v="0"/>
  </r>
  <r>
    <x v="1"/>
    <s v="C"/>
    <s v="M"/>
    <n v="20240401"/>
    <x v="1"/>
    <x v="3"/>
    <s v="202404"/>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8587.9930000000004"/>
    <b v="1"/>
    <n v="-1"/>
    <s v="N/A"/>
    <n v="0"/>
    <b v="0"/>
    <n v="8587.9930000000004"/>
    <b v="1"/>
    <n v="0"/>
    <b v="0"/>
    <n v="41453.002"/>
    <m/>
    <n v="41453.002"/>
    <n v="6"/>
    <b v="1"/>
    <b v="0"/>
  </r>
  <r>
    <x v="1"/>
    <s v="C"/>
    <s v="M"/>
    <n v="20240401"/>
    <x v="1"/>
    <x v="3"/>
    <s v="202404"/>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176.69"/>
    <b v="1"/>
    <n v="-1"/>
    <s v="N/A"/>
    <n v="0"/>
    <b v="0"/>
    <n v="2176.69"/>
    <b v="1"/>
    <n v="0"/>
    <b v="0"/>
    <n v="10506.57"/>
    <m/>
    <n v="10506.57"/>
    <n v="6"/>
    <b v="1"/>
    <b v="0"/>
  </r>
  <r>
    <x v="1"/>
    <s v="C"/>
    <s v="M"/>
    <n v="20240401"/>
    <x v="1"/>
    <x v="3"/>
    <s v="202404"/>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134.53899999999999"/>
    <b v="1"/>
    <n v="-1"/>
    <s v="N/A"/>
    <n v="0"/>
    <b v="0"/>
    <n v="134.53899999999999"/>
    <b v="1"/>
    <n v="0"/>
    <b v="0"/>
    <n v="649.4"/>
    <m/>
    <n v="649.4"/>
    <n v="6"/>
    <b v="1"/>
    <b v="0"/>
  </r>
  <r>
    <x v="1"/>
    <s v="C"/>
    <s v="M"/>
    <n v="20240401"/>
    <x v="1"/>
    <x v="3"/>
    <s v="202404"/>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845.3919999999998"/>
    <b v="1"/>
    <n v="-1"/>
    <s v="N/A"/>
    <n v="0"/>
    <b v="0"/>
    <n v="2845.3919999999998"/>
    <b v="1"/>
    <n v="0"/>
    <b v="0"/>
    <n v="13734.296"/>
    <m/>
    <n v="13734.296"/>
    <n v="6"/>
    <b v="1"/>
    <b v="0"/>
  </r>
  <r>
    <x v="1"/>
    <s v="C"/>
    <s v="M"/>
    <n v="20240501"/>
    <x v="1"/>
    <x v="4"/>
    <s v="202405"/>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85614.56400000001"/>
    <b v="1"/>
    <n v="-1"/>
    <s v="N/A"/>
    <n v="0"/>
    <b v="0"/>
    <n v="285614.56400000001"/>
    <b v="1"/>
    <n v="0"/>
    <b v="0"/>
    <n v="1378620.2479999999"/>
    <m/>
    <n v="1378620.2479999999"/>
    <n v="6"/>
    <b v="0"/>
    <b v="1"/>
  </r>
  <r>
    <x v="1"/>
    <s v="C"/>
    <s v="M"/>
    <n v="20240501"/>
    <x v="1"/>
    <x v="4"/>
    <s v="202405"/>
    <n v="818"/>
    <s v="EGY"/>
    <x v="0"/>
    <s v="M"/>
    <x v="0"/>
    <n v="36"/>
    <s v="AUS"/>
    <x v="30"/>
    <n v="0"/>
    <s v="W00"/>
    <s v="World"/>
    <s v="H6"/>
    <s v="HS"/>
    <b v="1"/>
    <s v="320619"/>
    <s v="Colouring matter; pigments and preparations based on titanium dioxide, containing less than 80% by weight of titanium dioxide calculated on the dry weight"/>
    <n v="6"/>
    <b v="1"/>
    <s v="C00"/>
    <s v="TOTAL CPC"/>
    <s v="0"/>
    <n v="0"/>
    <s v="TOTAL MOT"/>
    <n v="8"/>
    <s v="kg"/>
    <n v="526.77599999999995"/>
    <b v="1"/>
    <n v="-1"/>
    <s v="N/A"/>
    <n v="0"/>
    <b v="0"/>
    <n v="526.77599999999995"/>
    <b v="1"/>
    <n v="0"/>
    <b v="0"/>
    <n v="2542.674"/>
    <m/>
    <n v="2542.674"/>
    <n v="6"/>
    <b v="1"/>
    <b v="0"/>
  </r>
  <r>
    <x v="1"/>
    <s v="C"/>
    <s v="M"/>
    <n v="20240501"/>
    <x v="1"/>
    <x v="4"/>
    <s v="202405"/>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78871.192999999999"/>
    <b v="1"/>
    <n v="-1"/>
    <s v="N/A"/>
    <n v="0"/>
    <b v="0"/>
    <n v="78871.192999999999"/>
    <b v="1"/>
    <n v="0"/>
    <b v="0"/>
    <n v="380699.85700000002"/>
    <m/>
    <n v="380699.85700000002"/>
    <n v="6"/>
    <b v="1"/>
    <b v="0"/>
  </r>
  <r>
    <x v="1"/>
    <s v="C"/>
    <s v="M"/>
    <n v="20240501"/>
    <x v="1"/>
    <x v="4"/>
    <s v="202405"/>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6532.463"/>
    <b v="1"/>
    <n v="-1"/>
    <s v="N/A"/>
    <n v="0"/>
    <b v="0"/>
    <n v="16532.463"/>
    <b v="1"/>
    <n v="0"/>
    <b v="0"/>
    <n v="79799.812999999995"/>
    <m/>
    <n v="79799.812999999995"/>
    <n v="6"/>
    <b v="1"/>
    <b v="0"/>
  </r>
  <r>
    <x v="1"/>
    <s v="C"/>
    <s v="M"/>
    <n v="20240501"/>
    <x v="1"/>
    <x v="4"/>
    <s v="202405"/>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51812.373"/>
    <b v="1"/>
    <n v="-1"/>
    <s v="N/A"/>
    <n v="0"/>
    <b v="0"/>
    <n v="51812.373"/>
    <b v="1"/>
    <n v="0"/>
    <b v="0"/>
    <n v="250090.84099999999"/>
    <m/>
    <n v="250090.84099999999"/>
    <n v="6"/>
    <b v="1"/>
    <b v="0"/>
  </r>
  <r>
    <x v="1"/>
    <s v="C"/>
    <s v="M"/>
    <n v="20240501"/>
    <x v="1"/>
    <x v="4"/>
    <s v="202405"/>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298.915"/>
    <b v="1"/>
    <n v="-1"/>
    <s v="N/A"/>
    <n v="0"/>
    <b v="0"/>
    <n v="1298.915"/>
    <b v="1"/>
    <n v="0"/>
    <b v="0"/>
    <n v="6269.6760000000004"/>
    <m/>
    <n v="6269.6760000000004"/>
    <n v="6"/>
    <b v="1"/>
    <b v="0"/>
  </r>
  <r>
    <x v="1"/>
    <s v="C"/>
    <s v="M"/>
    <n v="20240501"/>
    <x v="1"/>
    <x v="4"/>
    <s v="202405"/>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9767.019"/>
    <b v="1"/>
    <n v="-1"/>
    <s v="N/A"/>
    <n v="0"/>
    <b v="0"/>
    <n v="39767.019"/>
    <b v="1"/>
    <n v="0"/>
    <b v="0"/>
    <n v="191949.65599999999"/>
    <m/>
    <n v="191949.65599999999"/>
    <n v="6"/>
    <b v="1"/>
    <b v="0"/>
  </r>
  <r>
    <x v="1"/>
    <s v="C"/>
    <s v="M"/>
    <n v="20240501"/>
    <x v="1"/>
    <x v="4"/>
    <s v="202405"/>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6275.3090000000002"/>
    <b v="1"/>
    <n v="-1"/>
    <s v="N/A"/>
    <n v="0"/>
    <b v="0"/>
    <n v="6275.3090000000002"/>
    <b v="1"/>
    <n v="0"/>
    <b v="0"/>
    <n v="30290.01"/>
    <m/>
    <n v="30290.01"/>
    <n v="6"/>
    <b v="1"/>
    <b v="0"/>
  </r>
  <r>
    <x v="1"/>
    <s v="C"/>
    <s v="M"/>
    <n v="20240501"/>
    <x v="1"/>
    <x v="4"/>
    <s v="202405"/>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3429.627"/>
    <b v="1"/>
    <n v="-1"/>
    <s v="N/A"/>
    <n v="0"/>
    <b v="0"/>
    <n v="3429.627"/>
    <b v="1"/>
    <n v="0"/>
    <b v="0"/>
    <n v="16554.312999999998"/>
    <m/>
    <n v="16554.312999999998"/>
    <n v="6"/>
    <b v="1"/>
    <b v="0"/>
  </r>
  <r>
    <x v="1"/>
    <s v="C"/>
    <s v="M"/>
    <n v="20240501"/>
    <x v="1"/>
    <x v="4"/>
    <s v="202405"/>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37284.186000000002"/>
    <b v="1"/>
    <n v="-1"/>
    <s v="N/A"/>
    <n v="0"/>
    <b v="0"/>
    <n v="37284.186000000002"/>
    <b v="1"/>
    <n v="0"/>
    <b v="0"/>
    <n v="179965.38099999999"/>
    <m/>
    <n v="179965.38099999999"/>
    <n v="6"/>
    <b v="1"/>
    <b v="0"/>
  </r>
  <r>
    <x v="1"/>
    <s v="C"/>
    <s v="M"/>
    <n v="20240501"/>
    <x v="1"/>
    <x v="4"/>
    <s v="202405"/>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15146.468000000001"/>
    <b v="1"/>
    <n v="-1"/>
    <s v="N/A"/>
    <n v="0"/>
    <b v="0"/>
    <n v="15146.468000000001"/>
    <b v="1"/>
    <n v="0"/>
    <b v="0"/>
    <n v="73109.812999999995"/>
    <m/>
    <n v="73109.812999999995"/>
    <n v="6"/>
    <b v="1"/>
    <b v="0"/>
  </r>
  <r>
    <x v="1"/>
    <s v="C"/>
    <s v="M"/>
    <n v="20240501"/>
    <x v="1"/>
    <x v="4"/>
    <s v="202405"/>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2431.59"/>
    <b v="1"/>
    <n v="-1"/>
    <s v="N/A"/>
    <n v="0"/>
    <b v="0"/>
    <n v="2431.59"/>
    <b v="1"/>
    <n v="0"/>
    <b v="0"/>
    <n v="11736.933000000001"/>
    <m/>
    <n v="11736.933000000001"/>
    <n v="6"/>
    <b v="1"/>
    <b v="0"/>
  </r>
  <r>
    <x v="1"/>
    <s v="C"/>
    <s v="M"/>
    <n v="20240501"/>
    <x v="1"/>
    <x v="4"/>
    <s v="202405"/>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6260.2259999999997"/>
    <b v="1"/>
    <n v="-1"/>
    <s v="N/A"/>
    <n v="0"/>
    <b v="0"/>
    <n v="6260.2259999999997"/>
    <b v="1"/>
    <n v="0"/>
    <b v="0"/>
    <n v="30217.205999999998"/>
    <m/>
    <n v="30217.205999999998"/>
    <n v="6"/>
    <b v="1"/>
    <b v="0"/>
  </r>
  <r>
    <x v="1"/>
    <s v="C"/>
    <s v="M"/>
    <n v="20240501"/>
    <x v="1"/>
    <x v="4"/>
    <s v="202405"/>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5978.419000000002"/>
    <b v="1"/>
    <n v="-1"/>
    <s v="N/A"/>
    <n v="0"/>
    <b v="0"/>
    <n v="25978.419000000002"/>
    <b v="1"/>
    <n v="0"/>
    <b v="0"/>
    <n v="125394.07799999999"/>
    <m/>
    <n v="125394.07799999999"/>
    <n v="6"/>
    <b v="1"/>
    <b v="0"/>
  </r>
  <r>
    <x v="1"/>
    <s v="C"/>
    <s v="M"/>
    <n v="20240501"/>
    <x v="1"/>
    <x v="4"/>
    <s v="202405"/>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463.86599999999999"/>
    <b v="1"/>
    <n v="-1"/>
    <s v="N/A"/>
    <n v="0"/>
    <b v="0"/>
    <n v="463.86599999999999"/>
    <b v="1"/>
    <n v="0"/>
    <b v="0"/>
    <m/>
    <n v="2400"/>
    <n v="2400"/>
    <n v="6"/>
    <b v="0"/>
    <b v="1"/>
  </r>
  <r>
    <x v="1"/>
    <s v="C"/>
    <s v="M"/>
    <n v="20240501"/>
    <x v="1"/>
    <x v="4"/>
    <s v="202405"/>
    <n v="818"/>
    <s v="EGY"/>
    <x v="0"/>
    <s v="X"/>
    <x v="1"/>
    <n v="729"/>
    <s v="SDN"/>
    <x v="16"/>
    <n v="0"/>
    <s v="W00"/>
    <s v="World"/>
    <s v="H6"/>
    <s v="HS"/>
    <b v="1"/>
    <s v="320619"/>
    <s v="Colouring matter; pigments and preparations based on titanium dioxide, containing less than 80% by weight of titanium dioxide calculated on the dry weight"/>
    <n v="6"/>
    <b v="1"/>
    <s v="C00"/>
    <s v="TOTAL CPC"/>
    <s v="0"/>
    <n v="0"/>
    <s v="TOTAL MOT"/>
    <n v="8"/>
    <s v="kg"/>
    <n v="463.86599999999999"/>
    <b v="1"/>
    <n v="-1"/>
    <s v="N/A"/>
    <n v="0"/>
    <b v="0"/>
    <n v="463.86599999999999"/>
    <b v="1"/>
    <n v="0"/>
    <b v="0"/>
    <m/>
    <n v="2400"/>
    <n v="2400"/>
    <n v="6"/>
    <b v="1"/>
    <b v="0"/>
  </r>
  <r>
    <x v="1"/>
    <s v="C"/>
    <s v="M"/>
    <n v="20240601"/>
    <x v="1"/>
    <x v="5"/>
    <s v="202406"/>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17938.666"/>
    <b v="1"/>
    <n v="-1"/>
    <s v="N/A"/>
    <n v="0"/>
    <b v="0"/>
    <n v="117938.666"/>
    <b v="1"/>
    <n v="0"/>
    <b v="0"/>
    <n v="569272.90800000005"/>
    <m/>
    <n v="569272.90800000005"/>
    <n v="6"/>
    <b v="0"/>
    <b v="1"/>
  </r>
  <r>
    <x v="1"/>
    <s v="C"/>
    <s v="M"/>
    <n v="20240601"/>
    <x v="1"/>
    <x v="5"/>
    <s v="202406"/>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4695.072"/>
    <b v="1"/>
    <n v="-1"/>
    <s v="N/A"/>
    <n v="0"/>
    <b v="0"/>
    <n v="24695.072"/>
    <b v="1"/>
    <n v="0"/>
    <b v="0"/>
    <n v="119199.54700000001"/>
    <m/>
    <n v="119199.54700000001"/>
    <n v="6"/>
    <b v="1"/>
    <b v="0"/>
  </r>
  <r>
    <x v="1"/>
    <s v="C"/>
    <s v="M"/>
    <n v="20240601"/>
    <x v="1"/>
    <x v="5"/>
    <s v="202406"/>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4266.037"/>
    <b v="1"/>
    <n v="-1"/>
    <s v="N/A"/>
    <n v="0"/>
    <b v="0"/>
    <n v="14266.037"/>
    <b v="1"/>
    <n v="0"/>
    <b v="0"/>
    <n v="68860.100000000006"/>
    <m/>
    <n v="68860.100000000006"/>
    <n v="6"/>
    <b v="1"/>
    <b v="0"/>
  </r>
  <r>
    <x v="1"/>
    <s v="C"/>
    <s v="M"/>
    <n v="20240601"/>
    <x v="1"/>
    <x v="5"/>
    <s v="202406"/>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8241.2369999999992"/>
    <b v="1"/>
    <n v="-1"/>
    <s v="N/A"/>
    <n v="0"/>
    <b v="0"/>
    <n v="8241.2369999999992"/>
    <b v="1"/>
    <n v="0"/>
    <b v="0"/>
    <n v="39779.262000000002"/>
    <m/>
    <n v="39779.262000000002"/>
    <n v="6"/>
    <b v="1"/>
    <b v="0"/>
  </r>
  <r>
    <x v="1"/>
    <s v="C"/>
    <s v="M"/>
    <n v="20240601"/>
    <x v="1"/>
    <x v="5"/>
    <s v="202406"/>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7209.268"/>
    <b v="1"/>
    <n v="-1"/>
    <s v="N/A"/>
    <n v="0"/>
    <b v="0"/>
    <n v="7209.268"/>
    <b v="1"/>
    <n v="0"/>
    <b v="0"/>
    <n v="34798.097999999998"/>
    <m/>
    <n v="34798.097999999998"/>
    <n v="6"/>
    <b v="1"/>
    <b v="0"/>
  </r>
  <r>
    <x v="1"/>
    <s v="C"/>
    <s v="M"/>
    <n v="20240601"/>
    <x v="1"/>
    <x v="5"/>
    <s v="202406"/>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8230.6569999999992"/>
    <b v="1"/>
    <n v="-1"/>
    <s v="N/A"/>
    <n v="0"/>
    <b v="0"/>
    <n v="8230.6569999999992"/>
    <b v="1"/>
    <n v="0"/>
    <b v="0"/>
    <n v="39728.190999999999"/>
    <m/>
    <n v="39728.190999999999"/>
    <n v="6"/>
    <b v="1"/>
    <b v="0"/>
  </r>
  <r>
    <x v="1"/>
    <s v="C"/>
    <s v="M"/>
    <n v="20240601"/>
    <x v="1"/>
    <x v="5"/>
    <s v="202406"/>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6241.4629999999997"/>
    <b v="1"/>
    <n v="-1"/>
    <s v="N/A"/>
    <n v="0"/>
    <b v="0"/>
    <n v="6241.4629999999997"/>
    <b v="1"/>
    <n v="0"/>
    <b v="0"/>
    <n v="30126.643"/>
    <m/>
    <n v="30126.643"/>
    <n v="6"/>
    <b v="1"/>
    <b v="0"/>
  </r>
  <r>
    <x v="1"/>
    <s v="C"/>
    <s v="M"/>
    <n v="20240601"/>
    <x v="1"/>
    <x v="5"/>
    <s v="202406"/>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36007.158000000003"/>
    <b v="1"/>
    <n v="-1"/>
    <s v="N/A"/>
    <n v="0"/>
    <b v="0"/>
    <n v="36007.158000000003"/>
    <b v="1"/>
    <n v="0"/>
    <b v="0"/>
    <n v="173801.353"/>
    <m/>
    <n v="173801.353"/>
    <n v="6"/>
    <b v="1"/>
    <b v="0"/>
  </r>
  <r>
    <x v="1"/>
    <s v="C"/>
    <s v="M"/>
    <n v="20240601"/>
    <x v="1"/>
    <x v="5"/>
    <s v="202406"/>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13047.772999999999"/>
    <b v="1"/>
    <n v="-1"/>
    <s v="N/A"/>
    <n v="0"/>
    <b v="0"/>
    <n v="13047.772999999999"/>
    <b v="1"/>
    <n v="0"/>
    <b v="0"/>
    <n v="62979.714999999997"/>
    <m/>
    <n v="62979.714999999997"/>
    <n v="6"/>
    <b v="1"/>
    <b v="0"/>
  </r>
  <r>
    <x v="1"/>
    <s v="C"/>
    <s v="M"/>
    <n v="20240101"/>
    <x v="1"/>
    <x v="0"/>
    <s v="202401"/>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72502.028000000006"/>
    <b v="1"/>
    <n v="-1"/>
    <s v="N/A"/>
    <n v="0"/>
    <b v="0"/>
    <n v="72502.028000000006"/>
    <b v="1"/>
    <n v="0"/>
    <b v="0"/>
    <n v="349956.81599999999"/>
    <m/>
    <n v="349956.81599999999"/>
    <n v="6"/>
    <b v="0"/>
    <b v="1"/>
  </r>
  <r>
    <x v="1"/>
    <s v="C"/>
    <s v="M"/>
    <n v="20240101"/>
    <x v="1"/>
    <x v="0"/>
    <s v="202401"/>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978.776000000002"/>
    <b v="1"/>
    <n v="-1"/>
    <s v="N/A"/>
    <n v="0"/>
    <b v="0"/>
    <n v="23978.776000000002"/>
    <b v="1"/>
    <n v="0"/>
    <b v="0"/>
    <n v="115742.091"/>
    <m/>
    <n v="115742.091"/>
    <n v="6"/>
    <b v="1"/>
    <b v="0"/>
  </r>
  <r>
    <x v="1"/>
    <s v="C"/>
    <s v="M"/>
    <n v="20240101"/>
    <x v="1"/>
    <x v="0"/>
    <s v="202401"/>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7236.891"/>
    <b v="1"/>
    <n v="-1"/>
    <s v="N/A"/>
    <n v="0"/>
    <b v="0"/>
    <n v="17236.891"/>
    <b v="1"/>
    <n v="0"/>
    <b v="0"/>
    <n v="83199.983999999997"/>
    <m/>
    <n v="83199.983999999997"/>
    <n v="6"/>
    <b v="1"/>
    <b v="0"/>
  </r>
  <r>
    <x v="1"/>
    <s v="C"/>
    <s v="M"/>
    <n v="20240101"/>
    <x v="1"/>
    <x v="0"/>
    <s v="202401"/>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22931.074000000001"/>
    <b v="1"/>
    <n v="-1"/>
    <s v="N/A"/>
    <n v="0"/>
    <b v="0"/>
    <n v="22931.074000000001"/>
    <b v="1"/>
    <n v="0"/>
    <b v="0"/>
    <n v="110684.984"/>
    <m/>
    <n v="110684.984"/>
    <n v="6"/>
    <b v="1"/>
    <b v="0"/>
  </r>
  <r>
    <x v="1"/>
    <s v="C"/>
    <s v="M"/>
    <n v="20240101"/>
    <x v="1"/>
    <x v="0"/>
    <s v="202401"/>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981.05499999999995"/>
    <b v="1"/>
    <n v="-1"/>
    <s v="N/A"/>
    <n v="0"/>
    <b v="0"/>
    <n v="981.05499999999995"/>
    <b v="1"/>
    <n v="0"/>
    <b v="0"/>
    <n v="4735.4089999999997"/>
    <m/>
    <n v="4735.4089999999997"/>
    <n v="6"/>
    <b v="1"/>
    <b v="0"/>
  </r>
  <r>
    <x v="1"/>
    <s v="C"/>
    <s v="M"/>
    <n v="20240101"/>
    <x v="1"/>
    <x v="0"/>
    <s v="202401"/>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1961.979"/>
    <b v="1"/>
    <n v="-1"/>
    <s v="N/A"/>
    <n v="0"/>
    <b v="0"/>
    <n v="1961.979"/>
    <b v="1"/>
    <n v="0"/>
    <b v="0"/>
    <n v="9470.1880000000001"/>
    <m/>
    <n v="9470.1880000000001"/>
    <n v="6"/>
    <b v="1"/>
    <b v="0"/>
  </r>
  <r>
    <x v="1"/>
    <s v="C"/>
    <s v="M"/>
    <n v="20240101"/>
    <x v="1"/>
    <x v="0"/>
    <s v="202401"/>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4776.5140000000001"/>
    <b v="1"/>
    <n v="-1"/>
    <s v="N/A"/>
    <n v="0"/>
    <b v="0"/>
    <n v="4776.5140000000001"/>
    <b v="1"/>
    <n v="0"/>
    <b v="0"/>
    <n v="23055.544999999998"/>
    <m/>
    <n v="23055.544999999998"/>
    <n v="6"/>
    <b v="1"/>
    <b v="0"/>
  </r>
  <r>
    <x v="1"/>
    <s v="C"/>
    <s v="M"/>
    <n v="20240101"/>
    <x v="1"/>
    <x v="0"/>
    <s v="202401"/>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635.73800000000006"/>
    <b v="1"/>
    <n v="-1"/>
    <s v="N/A"/>
    <n v="0"/>
    <b v="0"/>
    <n v="635.73800000000006"/>
    <b v="1"/>
    <n v="0"/>
    <b v="0"/>
    <n v="3068.614"/>
    <m/>
    <n v="3068.614"/>
    <n v="6"/>
    <b v="1"/>
    <b v="0"/>
  </r>
  <r>
    <x v="1"/>
    <s v="C"/>
    <s v="M"/>
    <n v="20240201"/>
    <x v="1"/>
    <x v="1"/>
    <s v="202402"/>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91946.704"/>
    <b v="1"/>
    <n v="-1"/>
    <s v="N/A"/>
    <n v="0"/>
    <b v="0"/>
    <n v="191946.704"/>
    <b v="1"/>
    <n v="0"/>
    <b v="0"/>
    <n v="926499.01599999995"/>
    <m/>
    <n v="926499.01599999995"/>
    <n v="6"/>
    <b v="0"/>
    <b v="1"/>
  </r>
  <r>
    <x v="1"/>
    <s v="C"/>
    <s v="M"/>
    <n v="20240201"/>
    <x v="1"/>
    <x v="1"/>
    <s v="202402"/>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3865.374"/>
    <b v="1"/>
    <n v="-1"/>
    <s v="N/A"/>
    <n v="0"/>
    <b v="0"/>
    <n v="23865.374"/>
    <b v="1"/>
    <n v="0"/>
    <b v="0"/>
    <n v="115194.712"/>
    <m/>
    <n v="115194.712"/>
    <n v="6"/>
    <b v="1"/>
    <b v="0"/>
  </r>
  <r>
    <x v="1"/>
    <s v="C"/>
    <s v="M"/>
    <n v="20240201"/>
    <x v="1"/>
    <x v="1"/>
    <s v="202402"/>
    <n v="818"/>
    <s v="EGY"/>
    <x v="0"/>
    <s v="M"/>
    <x v="0"/>
    <n v="251"/>
    <s v="FRA"/>
    <x v="9"/>
    <n v="0"/>
    <s v="W00"/>
    <s v="World"/>
    <s v="H6"/>
    <s v="HS"/>
    <b v="1"/>
    <s v="320619"/>
    <s v="Colouring matter; pigments and preparations based on titanium dioxide, containing less than 80% by weight of titanium dioxide calculated on the dry weight"/>
    <n v="6"/>
    <b v="1"/>
    <s v="C00"/>
    <s v="TOTAL CPC"/>
    <s v="0"/>
    <n v="0"/>
    <s v="TOTAL MOT"/>
    <n v="8"/>
    <s v="kg"/>
    <n v="1820.2180000000001"/>
    <b v="1"/>
    <n v="-1"/>
    <s v="N/A"/>
    <n v="0"/>
    <b v="0"/>
    <n v="1820.2180000000001"/>
    <b v="1"/>
    <n v="0"/>
    <b v="0"/>
    <n v="8785.9279999999999"/>
    <m/>
    <n v="8785.9279999999999"/>
    <n v="6"/>
    <b v="1"/>
    <b v="0"/>
  </r>
  <r>
    <x v="1"/>
    <s v="C"/>
    <s v="M"/>
    <n v="20240201"/>
    <x v="1"/>
    <x v="1"/>
    <s v="202402"/>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39740.421000000002"/>
    <b v="1"/>
    <n v="-1"/>
    <s v="N/A"/>
    <n v="0"/>
    <b v="0"/>
    <n v="39740.421000000002"/>
    <b v="1"/>
    <n v="0"/>
    <b v="0"/>
    <n v="191821.27100000001"/>
    <m/>
    <n v="191821.27100000001"/>
    <n v="6"/>
    <b v="1"/>
    <b v="0"/>
  </r>
  <r>
    <x v="1"/>
    <s v="C"/>
    <s v="M"/>
    <n v="20240201"/>
    <x v="1"/>
    <x v="1"/>
    <s v="202402"/>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4272.0259999999998"/>
    <b v="1"/>
    <n v="-1"/>
    <s v="N/A"/>
    <n v="0"/>
    <b v="0"/>
    <n v="4272.0259999999998"/>
    <b v="1"/>
    <n v="0"/>
    <b v="0"/>
    <n v="20620.453000000001"/>
    <m/>
    <n v="20620.453000000001"/>
    <n v="6"/>
    <b v="1"/>
    <b v="0"/>
  </r>
  <r>
    <x v="1"/>
    <s v="C"/>
    <s v="M"/>
    <n v="20240201"/>
    <x v="1"/>
    <x v="1"/>
    <s v="202402"/>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43613.142999999996"/>
    <b v="1"/>
    <n v="-1"/>
    <s v="N/A"/>
    <n v="0"/>
    <b v="0"/>
    <n v="43613.142999999996"/>
    <b v="1"/>
    <n v="0"/>
    <b v="0"/>
    <n v="210514.34400000001"/>
    <m/>
    <n v="210514.34400000001"/>
    <n v="6"/>
    <b v="1"/>
    <b v="0"/>
  </r>
  <r>
    <x v="1"/>
    <s v="C"/>
    <s v="M"/>
    <n v="20240201"/>
    <x v="1"/>
    <x v="1"/>
    <s v="202402"/>
    <n v="818"/>
    <s v="EGY"/>
    <x v="0"/>
    <s v="M"/>
    <x v="0"/>
    <n v="528"/>
    <s v="NLD"/>
    <x v="15"/>
    <n v="0"/>
    <s v="W00"/>
    <s v="World"/>
    <s v="H6"/>
    <s v="HS"/>
    <b v="1"/>
    <s v="320619"/>
    <s v="Colouring matter; pigments and preparations based on titanium dioxide, containing less than 80% by weight of titanium dioxide calculated on the dry weight"/>
    <n v="6"/>
    <b v="1"/>
    <s v="C00"/>
    <s v="TOTAL CPC"/>
    <s v="0"/>
    <n v="0"/>
    <s v="TOTAL MOT"/>
    <n v="8"/>
    <s v="kg"/>
    <n v="8.1539999999999999"/>
    <b v="1"/>
    <n v="-1"/>
    <s v="N/A"/>
    <n v="0"/>
    <b v="0"/>
    <n v="8.1539999999999999"/>
    <b v="1"/>
    <n v="0"/>
    <b v="0"/>
    <n v="39.359000000000002"/>
    <m/>
    <n v="39.359000000000002"/>
    <n v="6"/>
    <b v="1"/>
    <b v="0"/>
  </r>
  <r>
    <x v="1"/>
    <s v="C"/>
    <s v="M"/>
    <n v="20240201"/>
    <x v="1"/>
    <x v="1"/>
    <s v="202402"/>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18163.57"/>
    <b v="1"/>
    <n v="-1"/>
    <s v="N/A"/>
    <n v="0"/>
    <b v="0"/>
    <n v="18163.57"/>
    <b v="1"/>
    <n v="0"/>
    <b v="0"/>
    <n v="87672.93"/>
    <m/>
    <n v="87672.93"/>
    <n v="6"/>
    <b v="1"/>
    <b v="0"/>
  </r>
  <r>
    <x v="1"/>
    <s v="C"/>
    <s v="M"/>
    <n v="20240201"/>
    <x v="1"/>
    <x v="1"/>
    <s v="202402"/>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169.232"/>
    <b v="1"/>
    <n v="-1"/>
    <s v="N/A"/>
    <n v="0"/>
    <b v="0"/>
    <n v="2169.232"/>
    <b v="1"/>
    <n v="0"/>
    <b v="0"/>
    <n v="10470.57"/>
    <m/>
    <n v="10470.57"/>
    <n v="6"/>
    <b v="1"/>
    <b v="0"/>
  </r>
  <r>
    <x v="1"/>
    <s v="C"/>
    <s v="M"/>
    <n v="20240201"/>
    <x v="1"/>
    <x v="1"/>
    <s v="202402"/>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33095.593000000001"/>
    <b v="1"/>
    <n v="-1"/>
    <s v="N/A"/>
    <n v="0"/>
    <b v="0"/>
    <n v="33095.593000000001"/>
    <b v="1"/>
    <n v="0"/>
    <b v="0"/>
    <n v="159747.649"/>
    <m/>
    <n v="159747.649"/>
    <n v="6"/>
    <b v="1"/>
    <b v="0"/>
  </r>
  <r>
    <x v="1"/>
    <s v="C"/>
    <s v="M"/>
    <n v="20240201"/>
    <x v="1"/>
    <x v="1"/>
    <s v="202402"/>
    <n v="818"/>
    <s v="EGY"/>
    <x v="0"/>
    <s v="M"/>
    <x v="0"/>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13251.798000000001"/>
    <b v="1"/>
    <n v="-1"/>
    <s v="N/A"/>
    <n v="0"/>
    <b v="0"/>
    <n v="13251.798000000001"/>
    <b v="1"/>
    <n v="0"/>
    <b v="0"/>
    <n v="63964.516000000003"/>
    <m/>
    <n v="63964.516000000003"/>
    <n v="6"/>
    <b v="1"/>
    <b v="0"/>
  </r>
  <r>
    <x v="1"/>
    <s v="C"/>
    <s v="M"/>
    <n v="20240201"/>
    <x v="1"/>
    <x v="1"/>
    <s v="202402"/>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11703.974"/>
    <b v="1"/>
    <n v="-1"/>
    <s v="N/A"/>
    <n v="0"/>
    <b v="0"/>
    <n v="11703.974"/>
    <b v="1"/>
    <n v="0"/>
    <b v="0"/>
    <n v="56493.391000000003"/>
    <m/>
    <n v="56493.391000000003"/>
    <n v="6"/>
    <b v="1"/>
    <b v="0"/>
  </r>
  <r>
    <x v="1"/>
    <s v="C"/>
    <s v="M"/>
    <n v="20240201"/>
    <x v="1"/>
    <x v="1"/>
    <s v="202402"/>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43.20099999999999"/>
    <b v="1"/>
    <n v="-1"/>
    <s v="N/A"/>
    <n v="0"/>
    <b v="0"/>
    <n v="243.20099999999999"/>
    <b v="1"/>
    <n v="0"/>
    <b v="0"/>
    <n v="1173.894"/>
    <m/>
    <n v="1173.894"/>
    <n v="6"/>
    <b v="1"/>
    <b v="0"/>
  </r>
  <r>
    <x v="1"/>
    <s v="C"/>
    <s v="M"/>
    <n v="20240201"/>
    <x v="1"/>
    <x v="1"/>
    <s v="202402"/>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691.1790000000001"/>
    <b v="1"/>
    <n v="-1"/>
    <s v="N/A"/>
    <n v="0"/>
    <b v="0"/>
    <n v="1691.1790000000001"/>
    <b v="1"/>
    <n v="0"/>
    <b v="0"/>
    <m/>
    <n v="8750"/>
    <n v="8750"/>
    <n v="6"/>
    <b v="0"/>
    <b v="1"/>
  </r>
  <r>
    <x v="1"/>
    <s v="C"/>
    <s v="M"/>
    <n v="20240201"/>
    <x v="1"/>
    <x v="1"/>
    <s v="202402"/>
    <n v="818"/>
    <s v="EGY"/>
    <x v="0"/>
    <s v="X"/>
    <x v="1"/>
    <n v="586"/>
    <s v="PAK"/>
    <x v="28"/>
    <n v="0"/>
    <s v="W00"/>
    <s v="World"/>
    <s v="H6"/>
    <s v="HS"/>
    <b v="1"/>
    <s v="320619"/>
    <s v="Colouring matter; pigments and preparations based on titanium dioxide, containing less than 80% by weight of titanium dioxide calculated on the dry weight"/>
    <n v="6"/>
    <b v="1"/>
    <s v="C00"/>
    <s v="TOTAL CPC"/>
    <s v="0"/>
    <n v="0"/>
    <s v="TOTAL MOT"/>
    <n v="8"/>
    <s v="kg"/>
    <n v="1691.1790000000001"/>
    <b v="1"/>
    <n v="-1"/>
    <s v="N/A"/>
    <n v="0"/>
    <b v="0"/>
    <n v="1691.1790000000001"/>
    <b v="1"/>
    <n v="0"/>
    <b v="0"/>
    <m/>
    <n v="8750"/>
    <n v="8750"/>
    <n v="6"/>
    <b v="1"/>
    <b v="0"/>
  </r>
  <r>
    <x v="1"/>
    <s v="C"/>
    <s v="M"/>
    <n v="20240301"/>
    <x v="1"/>
    <x v="2"/>
    <s v="202403"/>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69643.13500000001"/>
    <b v="1"/>
    <n v="-1"/>
    <s v="N/A"/>
    <n v="0"/>
    <b v="0"/>
    <n v="169643.13500000001"/>
    <b v="1"/>
    <n v="0"/>
    <b v="0"/>
    <n v="818842.90899999999"/>
    <m/>
    <n v="818842.90899999999"/>
    <n v="6"/>
    <b v="0"/>
    <b v="1"/>
  </r>
  <r>
    <x v="1"/>
    <s v="C"/>
    <s v="M"/>
    <n v="20240301"/>
    <x v="1"/>
    <x v="2"/>
    <s v="202403"/>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1763.981"/>
    <b v="1"/>
    <n v="-1"/>
    <s v="N/A"/>
    <n v="0"/>
    <b v="0"/>
    <n v="1763.981"/>
    <b v="1"/>
    <n v="0"/>
    <b v="0"/>
    <n v="8514.4830000000002"/>
    <m/>
    <n v="8514.4830000000002"/>
    <n v="6"/>
    <b v="1"/>
    <b v="0"/>
  </r>
  <r>
    <x v="1"/>
    <s v="C"/>
    <s v="M"/>
    <n v="20240301"/>
    <x v="1"/>
    <x v="2"/>
    <s v="202403"/>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49727.877999999997"/>
    <b v="1"/>
    <n v="-1"/>
    <s v="N/A"/>
    <n v="0"/>
    <b v="0"/>
    <n v="49727.877999999997"/>
    <b v="1"/>
    <n v="0"/>
    <b v="0"/>
    <n v="240029.283"/>
    <m/>
    <n v="240029.283"/>
    <n v="6"/>
    <b v="1"/>
    <b v="0"/>
  </r>
  <r>
    <x v="1"/>
    <s v="C"/>
    <s v="M"/>
    <n v="20240301"/>
    <x v="1"/>
    <x v="2"/>
    <s v="202403"/>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0504.035"/>
    <b v="1"/>
    <n v="-1"/>
    <s v="N/A"/>
    <n v="0"/>
    <b v="0"/>
    <n v="20504.035"/>
    <b v="1"/>
    <n v="0"/>
    <b v="0"/>
    <n v="98970.013999999996"/>
    <m/>
    <n v="98970.013999999996"/>
    <n v="6"/>
    <b v="1"/>
    <b v="0"/>
  </r>
  <r>
    <x v="1"/>
    <s v="C"/>
    <s v="M"/>
    <n v="20240301"/>
    <x v="1"/>
    <x v="2"/>
    <s v="202403"/>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4504.802"/>
    <b v="1"/>
    <n v="-1"/>
    <s v="N/A"/>
    <n v="0"/>
    <b v="0"/>
    <n v="14504.802"/>
    <b v="1"/>
    <n v="0"/>
    <b v="0"/>
    <n v="70012.585000000006"/>
    <m/>
    <n v="70012.585000000006"/>
    <n v="6"/>
    <b v="1"/>
    <b v="0"/>
  </r>
  <r>
    <x v="1"/>
    <s v="C"/>
    <s v="M"/>
    <n v="20240301"/>
    <x v="1"/>
    <x v="2"/>
    <s v="202403"/>
    <n v="818"/>
    <s v="EGY"/>
    <x v="0"/>
    <s v="M"/>
    <x v="0"/>
    <n v="300"/>
    <s v="GRC"/>
    <x v="29"/>
    <n v="0"/>
    <s v="W00"/>
    <s v="World"/>
    <s v="H6"/>
    <s v="HS"/>
    <b v="1"/>
    <s v="320619"/>
    <s v="Colouring matter; pigments and preparations based on titanium dioxide, containing less than 80% by weight of titanium dioxide calculated on the dry weight"/>
    <n v="6"/>
    <b v="1"/>
    <s v="C00"/>
    <s v="TOTAL CPC"/>
    <s v="0"/>
    <n v="0"/>
    <s v="TOTAL MOT"/>
    <n v="8"/>
    <s v="kg"/>
    <n v="4948.2839999999997"/>
    <b v="1"/>
    <n v="-1"/>
    <s v="N/A"/>
    <n v="0"/>
    <b v="0"/>
    <n v="4948.2839999999997"/>
    <b v="1"/>
    <n v="0"/>
    <b v="0"/>
    <n v="23884.65"/>
    <m/>
    <n v="23884.65"/>
    <n v="6"/>
    <b v="1"/>
    <b v="0"/>
  </r>
  <r>
    <x v="1"/>
    <s v="C"/>
    <s v="M"/>
    <n v="20240301"/>
    <x v="1"/>
    <x v="2"/>
    <s v="202403"/>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6976.1019999999999"/>
    <b v="1"/>
    <n v="-1"/>
    <s v="N/A"/>
    <n v="0"/>
    <b v="0"/>
    <n v="6976.1019999999999"/>
    <b v="1"/>
    <n v="0"/>
    <b v="0"/>
    <n v="33672.635999999999"/>
    <m/>
    <n v="33672.635999999999"/>
    <n v="6"/>
    <b v="1"/>
    <b v="0"/>
  </r>
  <r>
    <x v="1"/>
    <s v="C"/>
    <s v="M"/>
    <n v="20240301"/>
    <x v="1"/>
    <x v="2"/>
    <s v="202403"/>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5804.8059999999996"/>
    <b v="1"/>
    <n v="-1"/>
    <s v="N/A"/>
    <n v="0"/>
    <b v="0"/>
    <n v="5804.8059999999996"/>
    <b v="1"/>
    <n v="0"/>
    <b v="0"/>
    <n v="28018.960999999999"/>
    <m/>
    <n v="28018.960999999999"/>
    <n v="6"/>
    <b v="1"/>
    <b v="0"/>
  </r>
  <r>
    <x v="1"/>
    <s v="C"/>
    <s v="M"/>
    <n v="20240301"/>
    <x v="1"/>
    <x v="2"/>
    <s v="202403"/>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45688.385000000002"/>
    <b v="1"/>
    <n v="-1"/>
    <s v="N/A"/>
    <n v="0"/>
    <b v="0"/>
    <n v="45688.385000000002"/>
    <b v="1"/>
    <n v="0"/>
    <b v="0"/>
    <n v="220531.234"/>
    <m/>
    <n v="220531.234"/>
    <n v="6"/>
    <b v="1"/>
    <b v="0"/>
  </r>
  <r>
    <x v="1"/>
    <s v="C"/>
    <s v="M"/>
    <n v="20240301"/>
    <x v="1"/>
    <x v="2"/>
    <s v="202403"/>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4715.0529999999999"/>
    <b v="1"/>
    <n v="-1"/>
    <s v="N/A"/>
    <n v="0"/>
    <b v="0"/>
    <n v="4715.0529999999999"/>
    <b v="1"/>
    <n v="0"/>
    <b v="0"/>
    <n v="22758.881000000001"/>
    <m/>
    <n v="22758.881000000001"/>
    <n v="6"/>
    <b v="1"/>
    <b v="0"/>
  </r>
  <r>
    <x v="1"/>
    <s v="C"/>
    <s v="M"/>
    <n v="20240301"/>
    <x v="1"/>
    <x v="2"/>
    <s v="202403"/>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12367.674000000001"/>
    <b v="1"/>
    <n v="-1"/>
    <s v="N/A"/>
    <n v="0"/>
    <b v="0"/>
    <n v="12367.674000000001"/>
    <b v="1"/>
    <n v="0"/>
    <b v="0"/>
    <n v="59696.974999999999"/>
    <m/>
    <n v="59696.974999999999"/>
    <n v="6"/>
    <b v="1"/>
    <b v="0"/>
  </r>
  <r>
    <x v="1"/>
    <s v="C"/>
    <s v="M"/>
    <n v="20240301"/>
    <x v="1"/>
    <x v="2"/>
    <s v="202403"/>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642.1350000000002"/>
    <b v="1"/>
    <n v="-1"/>
    <s v="N/A"/>
    <n v="0"/>
    <b v="0"/>
    <n v="2642.1350000000002"/>
    <b v="1"/>
    <n v="0"/>
    <b v="0"/>
    <n v="12753.206"/>
    <m/>
    <n v="12753.206"/>
    <n v="6"/>
    <b v="1"/>
    <b v="0"/>
  </r>
  <r>
    <x v="1"/>
    <s v="C"/>
    <s v="M"/>
    <n v="20240301"/>
    <x v="1"/>
    <x v="2"/>
    <s v="202403"/>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76.344999999999999"/>
    <b v="1"/>
    <n v="-1"/>
    <s v="N/A"/>
    <n v="0"/>
    <b v="0"/>
    <n v="76.344999999999999"/>
    <b v="1"/>
    <n v="0"/>
    <b v="0"/>
    <m/>
    <n v="395"/>
    <n v="395"/>
    <n v="6"/>
    <b v="0"/>
    <b v="1"/>
  </r>
  <r>
    <x v="1"/>
    <s v="C"/>
    <s v="M"/>
    <n v="20240301"/>
    <x v="1"/>
    <x v="2"/>
    <s v="202403"/>
    <n v="818"/>
    <s v="EGY"/>
    <x v="0"/>
    <s v="X"/>
    <x v="1"/>
    <n v="784"/>
    <s v="ARE"/>
    <x v="23"/>
    <n v="0"/>
    <s v="W00"/>
    <s v="World"/>
    <s v="H6"/>
    <s v="HS"/>
    <b v="1"/>
    <s v="320619"/>
    <s v="Colouring matter; pigments and preparations based on titanium dioxide, containing less than 80% by weight of titanium dioxide calculated on the dry weight"/>
    <n v="6"/>
    <b v="1"/>
    <s v="C00"/>
    <s v="TOTAL CPC"/>
    <s v="0"/>
    <n v="0"/>
    <s v="TOTAL MOT"/>
    <n v="8"/>
    <s v="kg"/>
    <n v="76.344999999999999"/>
    <b v="1"/>
    <n v="-1"/>
    <s v="N/A"/>
    <n v="0"/>
    <b v="0"/>
    <n v="76.344999999999999"/>
    <b v="1"/>
    <n v="0"/>
    <b v="0"/>
    <m/>
    <n v="395"/>
    <n v="395"/>
    <n v="6"/>
    <b v="1"/>
    <b v="0"/>
  </r>
  <r>
    <x v="1"/>
    <s v="C"/>
    <s v="M"/>
    <n v="20240401"/>
    <x v="1"/>
    <x v="3"/>
    <s v="202404"/>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91428.636"/>
    <b v="1"/>
    <n v="-1"/>
    <s v="N/A"/>
    <n v="0"/>
    <b v="0"/>
    <n v="291428.636"/>
    <b v="1"/>
    <n v="0"/>
    <b v="0"/>
    <n v="1406683.933"/>
    <m/>
    <n v="1406683.933"/>
    <n v="6"/>
    <b v="0"/>
    <b v="1"/>
  </r>
  <r>
    <x v="1"/>
    <s v="C"/>
    <s v="M"/>
    <n v="20240401"/>
    <x v="1"/>
    <x v="3"/>
    <s v="202404"/>
    <n v="818"/>
    <s v="EGY"/>
    <x v="0"/>
    <s v="M"/>
    <x v="0"/>
    <n v="40"/>
    <s v="AUT"/>
    <x v="12"/>
    <n v="0"/>
    <s v="W00"/>
    <s v="World"/>
    <s v="H6"/>
    <s v="HS"/>
    <b v="1"/>
    <s v="320619"/>
    <s v="Colouring matter; pigments and preparations based on titanium dioxide, containing less than 80% by weight of titanium dioxide calculated on the dry weight"/>
    <n v="6"/>
    <b v="1"/>
    <s v="C00"/>
    <s v="TOTAL CPC"/>
    <s v="0"/>
    <n v="0"/>
    <s v="TOTAL MOT"/>
    <n v="8"/>
    <s v="kg"/>
    <n v="2616.7689999999998"/>
    <b v="1"/>
    <n v="-1"/>
    <s v="N/A"/>
    <n v="0"/>
    <b v="0"/>
    <n v="2616.7689999999998"/>
    <b v="1"/>
    <n v="0"/>
    <b v="0"/>
    <n v="12630.768"/>
    <m/>
    <n v="12630.768"/>
    <n v="6"/>
    <b v="1"/>
    <b v="0"/>
  </r>
  <r>
    <x v="1"/>
    <s v="C"/>
    <s v="M"/>
    <n v="20240401"/>
    <x v="1"/>
    <x v="3"/>
    <s v="202404"/>
    <n v="818"/>
    <s v="EGY"/>
    <x v="0"/>
    <s v="M"/>
    <x v="0"/>
    <n v="56"/>
    <s v="BEL"/>
    <x v="13"/>
    <n v="0"/>
    <s v="W00"/>
    <s v="World"/>
    <s v="H6"/>
    <s v="HS"/>
    <b v="1"/>
    <s v="320619"/>
    <s v="Colouring matter; pigments and preparations based on titanium dioxide, containing less than 80% by weight of titanium dioxide calculated on the dry weight"/>
    <n v="6"/>
    <b v="1"/>
    <s v="C00"/>
    <s v="TOTAL CPC"/>
    <s v="0"/>
    <n v="0"/>
    <s v="TOTAL MOT"/>
    <n v="8"/>
    <s v="kg"/>
    <n v="57460.71"/>
    <b v="1"/>
    <n v="-1"/>
    <s v="N/A"/>
    <n v="0"/>
    <b v="0"/>
    <n v="57460.71"/>
    <b v="1"/>
    <n v="0"/>
    <b v="0"/>
    <n v="277354.54700000002"/>
    <m/>
    <n v="277354.54700000002"/>
    <n v="6"/>
    <b v="1"/>
    <b v="0"/>
  </r>
  <r>
    <x v="1"/>
    <s v="C"/>
    <s v="M"/>
    <n v="20240401"/>
    <x v="1"/>
    <x v="3"/>
    <s v="202404"/>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09556.65400000001"/>
    <b v="1"/>
    <n v="-1"/>
    <s v="N/A"/>
    <n v="0"/>
    <b v="0"/>
    <n v="209556.65400000001"/>
    <b v="1"/>
    <n v="0"/>
    <b v="0"/>
    <n v="1011499.701"/>
    <m/>
    <n v="1011499.701"/>
    <n v="6"/>
    <b v="1"/>
    <b v="0"/>
  </r>
  <r>
    <x v="1"/>
    <s v="C"/>
    <s v="M"/>
    <n v="20240401"/>
    <x v="1"/>
    <x v="3"/>
    <s v="202404"/>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4775.4629999999997"/>
    <b v="1"/>
    <n v="-1"/>
    <s v="N/A"/>
    <n v="0"/>
    <b v="0"/>
    <n v="4775.4629999999997"/>
    <b v="1"/>
    <n v="0"/>
    <b v="0"/>
    <n v="23050.469000000001"/>
    <m/>
    <n v="23050.469000000001"/>
    <n v="6"/>
    <b v="1"/>
    <b v="0"/>
  </r>
  <r>
    <x v="1"/>
    <s v="C"/>
    <s v="M"/>
    <n v="20240401"/>
    <x v="1"/>
    <x v="3"/>
    <s v="202404"/>
    <n v="818"/>
    <s v="EGY"/>
    <x v="0"/>
    <s v="M"/>
    <x v="0"/>
    <n v="300"/>
    <s v="GRC"/>
    <x v="29"/>
    <n v="0"/>
    <s v="W00"/>
    <s v="World"/>
    <s v="H6"/>
    <s v="HS"/>
    <b v="1"/>
    <s v="320619"/>
    <s v="Colouring matter; pigments and preparations based on titanium dioxide, containing less than 80% by weight of titanium dioxide calculated on the dry weight"/>
    <n v="6"/>
    <b v="1"/>
    <s v="C00"/>
    <s v="TOTAL CPC"/>
    <s v="0"/>
    <n v="0"/>
    <s v="TOTAL MOT"/>
    <n v="8"/>
    <s v="kg"/>
    <n v="3274.4259999999999"/>
    <b v="1"/>
    <n v="-1"/>
    <s v="N/A"/>
    <n v="0"/>
    <b v="0"/>
    <n v="3274.4259999999999"/>
    <b v="1"/>
    <n v="0"/>
    <b v="0"/>
    <n v="15805.18"/>
    <m/>
    <n v="15805.18"/>
    <n v="6"/>
    <b v="1"/>
    <b v="0"/>
  </r>
  <r>
    <x v="1"/>
    <s v="C"/>
    <s v="M"/>
    <n v="20240401"/>
    <x v="1"/>
    <x v="3"/>
    <s v="202404"/>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8587.9930000000004"/>
    <b v="1"/>
    <n v="-1"/>
    <s v="N/A"/>
    <n v="0"/>
    <b v="0"/>
    <n v="8587.9930000000004"/>
    <b v="1"/>
    <n v="0"/>
    <b v="0"/>
    <n v="41453.002"/>
    <m/>
    <n v="41453.002"/>
    <n v="6"/>
    <b v="1"/>
    <b v="0"/>
  </r>
  <r>
    <x v="1"/>
    <s v="C"/>
    <s v="M"/>
    <n v="20240401"/>
    <x v="1"/>
    <x v="3"/>
    <s v="202404"/>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2176.69"/>
    <b v="1"/>
    <n v="-1"/>
    <s v="N/A"/>
    <n v="0"/>
    <b v="0"/>
    <n v="2176.69"/>
    <b v="1"/>
    <n v="0"/>
    <b v="0"/>
    <n v="10506.57"/>
    <m/>
    <n v="10506.57"/>
    <n v="6"/>
    <b v="1"/>
    <b v="0"/>
  </r>
  <r>
    <x v="1"/>
    <s v="C"/>
    <s v="M"/>
    <n v="20240401"/>
    <x v="1"/>
    <x v="3"/>
    <s v="202404"/>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134.53899999999999"/>
    <b v="1"/>
    <n v="-1"/>
    <s v="N/A"/>
    <n v="0"/>
    <b v="0"/>
    <n v="134.53899999999999"/>
    <b v="1"/>
    <n v="0"/>
    <b v="0"/>
    <n v="649.4"/>
    <m/>
    <n v="649.4"/>
    <n v="6"/>
    <b v="1"/>
    <b v="0"/>
  </r>
  <r>
    <x v="1"/>
    <s v="C"/>
    <s v="M"/>
    <n v="20240401"/>
    <x v="1"/>
    <x v="3"/>
    <s v="202404"/>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2845.3919999999998"/>
    <b v="1"/>
    <n v="-1"/>
    <s v="N/A"/>
    <n v="0"/>
    <b v="0"/>
    <n v="2845.3919999999998"/>
    <b v="1"/>
    <n v="0"/>
    <b v="0"/>
    <n v="13734.296"/>
    <m/>
    <n v="13734.296"/>
    <n v="6"/>
    <b v="1"/>
    <b v="0"/>
  </r>
  <r>
    <x v="1"/>
    <s v="C"/>
    <s v="M"/>
    <n v="20240501"/>
    <x v="1"/>
    <x v="4"/>
    <s v="202405"/>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285614.56400000001"/>
    <b v="1"/>
    <n v="-1"/>
    <s v="N/A"/>
    <n v="0"/>
    <b v="0"/>
    <n v="285614.56400000001"/>
    <b v="1"/>
    <n v="0"/>
    <b v="0"/>
    <n v="1378620.2479999999"/>
    <m/>
    <n v="1378620.2479999999"/>
    <n v="6"/>
    <b v="0"/>
    <b v="1"/>
  </r>
  <r>
    <x v="1"/>
    <s v="C"/>
    <s v="M"/>
    <n v="20240501"/>
    <x v="1"/>
    <x v="4"/>
    <s v="202405"/>
    <n v="818"/>
    <s v="EGY"/>
    <x v="0"/>
    <s v="M"/>
    <x v="0"/>
    <n v="36"/>
    <s v="AUS"/>
    <x v="30"/>
    <n v="0"/>
    <s v="W00"/>
    <s v="World"/>
    <s v="H6"/>
    <s v="HS"/>
    <b v="1"/>
    <s v="320619"/>
    <s v="Colouring matter; pigments and preparations based on titanium dioxide, containing less than 80% by weight of titanium dioxide calculated on the dry weight"/>
    <n v="6"/>
    <b v="1"/>
    <s v="C00"/>
    <s v="TOTAL CPC"/>
    <s v="0"/>
    <n v="0"/>
    <s v="TOTAL MOT"/>
    <n v="8"/>
    <s v="kg"/>
    <n v="526.77599999999995"/>
    <b v="1"/>
    <n v="-1"/>
    <s v="N/A"/>
    <n v="0"/>
    <b v="0"/>
    <n v="526.77599999999995"/>
    <b v="1"/>
    <n v="0"/>
    <b v="0"/>
    <n v="2542.674"/>
    <m/>
    <n v="2542.674"/>
    <n v="6"/>
    <b v="1"/>
    <b v="0"/>
  </r>
  <r>
    <x v="1"/>
    <s v="C"/>
    <s v="M"/>
    <n v="20240501"/>
    <x v="1"/>
    <x v="4"/>
    <s v="202405"/>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78871.192999999999"/>
    <b v="1"/>
    <n v="-1"/>
    <s v="N/A"/>
    <n v="0"/>
    <b v="0"/>
    <n v="78871.192999999999"/>
    <b v="1"/>
    <n v="0"/>
    <b v="0"/>
    <n v="380699.85700000002"/>
    <m/>
    <n v="380699.85700000002"/>
    <n v="6"/>
    <b v="1"/>
    <b v="0"/>
  </r>
  <r>
    <x v="1"/>
    <s v="C"/>
    <s v="M"/>
    <n v="20240501"/>
    <x v="1"/>
    <x v="4"/>
    <s v="202405"/>
    <n v="818"/>
    <s v="EGY"/>
    <x v="0"/>
    <s v="M"/>
    <x v="0"/>
    <n v="203"/>
    <s v="CZE"/>
    <x v="17"/>
    <n v="0"/>
    <s v="W00"/>
    <s v="World"/>
    <s v="H6"/>
    <s v="HS"/>
    <b v="1"/>
    <s v="320619"/>
    <s v="Colouring matter; pigments and preparations based on titanium dioxide, containing less than 80% by weight of titanium dioxide calculated on the dry weight"/>
    <n v="6"/>
    <b v="1"/>
    <s v="C00"/>
    <s v="TOTAL CPC"/>
    <s v="0"/>
    <n v="0"/>
    <s v="TOTAL MOT"/>
    <n v="8"/>
    <s v="kg"/>
    <n v="16532.463"/>
    <b v="1"/>
    <n v="-1"/>
    <s v="N/A"/>
    <n v="0"/>
    <b v="0"/>
    <n v="16532.463"/>
    <b v="1"/>
    <n v="0"/>
    <b v="0"/>
    <n v="79799.812999999995"/>
    <m/>
    <n v="79799.812999999995"/>
    <n v="6"/>
    <b v="1"/>
    <b v="0"/>
  </r>
  <r>
    <x v="1"/>
    <s v="C"/>
    <s v="M"/>
    <n v="20240501"/>
    <x v="1"/>
    <x v="4"/>
    <s v="202405"/>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51812.373"/>
    <b v="1"/>
    <n v="-1"/>
    <s v="N/A"/>
    <n v="0"/>
    <b v="0"/>
    <n v="51812.373"/>
    <b v="1"/>
    <n v="0"/>
    <b v="0"/>
    <n v="250090.84099999999"/>
    <m/>
    <n v="250090.84099999999"/>
    <n v="6"/>
    <b v="1"/>
    <b v="0"/>
  </r>
  <r>
    <x v="1"/>
    <s v="C"/>
    <s v="M"/>
    <n v="20240501"/>
    <x v="1"/>
    <x v="4"/>
    <s v="202405"/>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1298.915"/>
    <b v="1"/>
    <n v="-1"/>
    <s v="N/A"/>
    <n v="0"/>
    <b v="0"/>
    <n v="1298.915"/>
    <b v="1"/>
    <n v="0"/>
    <b v="0"/>
    <n v="6269.6760000000004"/>
    <m/>
    <n v="6269.6760000000004"/>
    <n v="6"/>
    <b v="1"/>
    <b v="0"/>
  </r>
  <r>
    <x v="1"/>
    <s v="C"/>
    <s v="M"/>
    <n v="20240501"/>
    <x v="1"/>
    <x v="4"/>
    <s v="202405"/>
    <n v="818"/>
    <s v="EGY"/>
    <x v="0"/>
    <s v="M"/>
    <x v="0"/>
    <n v="392"/>
    <s v="JPN"/>
    <x v="4"/>
    <n v="0"/>
    <s v="W00"/>
    <s v="World"/>
    <s v="H6"/>
    <s v="HS"/>
    <b v="1"/>
    <s v="320619"/>
    <s v="Colouring matter; pigments and preparations based on titanium dioxide, containing less than 80% by weight of titanium dioxide calculated on the dry weight"/>
    <n v="6"/>
    <b v="1"/>
    <s v="C00"/>
    <s v="TOTAL CPC"/>
    <s v="0"/>
    <n v="0"/>
    <s v="TOTAL MOT"/>
    <n v="8"/>
    <s v="kg"/>
    <n v="39767.019"/>
    <b v="1"/>
    <n v="-1"/>
    <s v="N/A"/>
    <n v="0"/>
    <b v="0"/>
    <n v="39767.019"/>
    <b v="1"/>
    <n v="0"/>
    <b v="0"/>
    <n v="191949.65599999999"/>
    <m/>
    <n v="191949.65599999999"/>
    <n v="6"/>
    <b v="1"/>
    <b v="0"/>
  </r>
  <r>
    <x v="1"/>
    <s v="C"/>
    <s v="M"/>
    <n v="20240501"/>
    <x v="1"/>
    <x v="4"/>
    <s v="202405"/>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6275.3090000000002"/>
    <b v="1"/>
    <n v="-1"/>
    <s v="N/A"/>
    <n v="0"/>
    <b v="0"/>
    <n v="6275.3090000000002"/>
    <b v="1"/>
    <n v="0"/>
    <b v="0"/>
    <n v="30290.01"/>
    <m/>
    <n v="30290.01"/>
    <n v="6"/>
    <b v="1"/>
    <b v="0"/>
  </r>
  <r>
    <x v="1"/>
    <s v="C"/>
    <s v="M"/>
    <n v="20240501"/>
    <x v="1"/>
    <x v="4"/>
    <s v="202405"/>
    <n v="818"/>
    <s v="EGY"/>
    <x v="0"/>
    <s v="M"/>
    <x v="0"/>
    <n v="682"/>
    <s v="SAU"/>
    <x v="22"/>
    <n v="0"/>
    <s v="W00"/>
    <s v="World"/>
    <s v="H6"/>
    <s v="HS"/>
    <b v="1"/>
    <s v="320619"/>
    <s v="Colouring matter; pigments and preparations based on titanium dioxide, containing less than 80% by weight of titanium dioxide calculated on the dry weight"/>
    <n v="6"/>
    <b v="1"/>
    <s v="C00"/>
    <s v="TOTAL CPC"/>
    <s v="0"/>
    <n v="0"/>
    <s v="TOTAL MOT"/>
    <n v="8"/>
    <s v="kg"/>
    <n v="3429.627"/>
    <b v="1"/>
    <n v="-1"/>
    <s v="N/A"/>
    <n v="0"/>
    <b v="0"/>
    <n v="3429.627"/>
    <b v="1"/>
    <n v="0"/>
    <b v="0"/>
    <n v="16554.312999999998"/>
    <m/>
    <n v="16554.312999999998"/>
    <n v="6"/>
    <b v="1"/>
    <b v="0"/>
  </r>
  <r>
    <x v="1"/>
    <s v="C"/>
    <s v="M"/>
    <n v="20240501"/>
    <x v="1"/>
    <x v="4"/>
    <s v="202405"/>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37284.186000000002"/>
    <b v="1"/>
    <n v="-1"/>
    <s v="N/A"/>
    <n v="0"/>
    <b v="0"/>
    <n v="37284.186000000002"/>
    <b v="1"/>
    <n v="0"/>
    <b v="0"/>
    <n v="179965.38099999999"/>
    <m/>
    <n v="179965.38099999999"/>
    <n v="6"/>
    <b v="1"/>
    <b v="0"/>
  </r>
  <r>
    <x v="1"/>
    <s v="C"/>
    <s v="M"/>
    <n v="20240501"/>
    <x v="1"/>
    <x v="4"/>
    <s v="202405"/>
    <n v="818"/>
    <s v="EGY"/>
    <x v="0"/>
    <s v="M"/>
    <x v="0"/>
    <n v="764"/>
    <s v="THA"/>
    <x v="11"/>
    <n v="0"/>
    <s v="W00"/>
    <s v="World"/>
    <s v="H6"/>
    <s v="HS"/>
    <b v="1"/>
    <s v="320619"/>
    <s v="Colouring matter; pigments and preparations based on titanium dioxide, containing less than 80% by weight of titanium dioxide calculated on the dry weight"/>
    <n v="6"/>
    <b v="1"/>
    <s v="C00"/>
    <s v="TOTAL CPC"/>
    <s v="0"/>
    <n v="0"/>
    <s v="TOTAL MOT"/>
    <n v="8"/>
    <s v="kg"/>
    <n v="15146.468000000001"/>
    <b v="1"/>
    <n v="-1"/>
    <s v="N/A"/>
    <n v="0"/>
    <b v="0"/>
    <n v="15146.468000000001"/>
    <b v="1"/>
    <n v="0"/>
    <b v="0"/>
    <n v="73109.812999999995"/>
    <m/>
    <n v="73109.812999999995"/>
    <n v="6"/>
    <b v="1"/>
    <b v="0"/>
  </r>
  <r>
    <x v="1"/>
    <s v="C"/>
    <s v="M"/>
    <n v="20240501"/>
    <x v="1"/>
    <x v="4"/>
    <s v="202405"/>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2431.59"/>
    <b v="1"/>
    <n v="-1"/>
    <s v="N/A"/>
    <n v="0"/>
    <b v="0"/>
    <n v="2431.59"/>
    <b v="1"/>
    <n v="0"/>
    <b v="0"/>
    <n v="11736.933000000001"/>
    <m/>
    <n v="11736.933000000001"/>
    <n v="6"/>
    <b v="1"/>
    <b v="0"/>
  </r>
  <r>
    <x v="1"/>
    <s v="C"/>
    <s v="M"/>
    <n v="20240501"/>
    <x v="1"/>
    <x v="4"/>
    <s v="202405"/>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6260.2259999999997"/>
    <b v="1"/>
    <n v="-1"/>
    <s v="N/A"/>
    <n v="0"/>
    <b v="0"/>
    <n v="6260.2259999999997"/>
    <b v="1"/>
    <n v="0"/>
    <b v="0"/>
    <n v="30217.205999999998"/>
    <m/>
    <n v="30217.205999999998"/>
    <n v="6"/>
    <b v="1"/>
    <b v="0"/>
  </r>
  <r>
    <x v="1"/>
    <s v="C"/>
    <s v="M"/>
    <n v="20240501"/>
    <x v="1"/>
    <x v="4"/>
    <s v="202405"/>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25978.419000000002"/>
    <b v="1"/>
    <n v="-1"/>
    <s v="N/A"/>
    <n v="0"/>
    <b v="0"/>
    <n v="25978.419000000002"/>
    <b v="1"/>
    <n v="0"/>
    <b v="0"/>
    <n v="125394.07799999999"/>
    <m/>
    <n v="125394.07799999999"/>
    <n v="6"/>
    <b v="1"/>
    <b v="0"/>
  </r>
  <r>
    <x v="1"/>
    <s v="C"/>
    <s v="M"/>
    <n v="20240501"/>
    <x v="1"/>
    <x v="4"/>
    <s v="202405"/>
    <n v="818"/>
    <s v="EGY"/>
    <x v="0"/>
    <s v="X"/>
    <x v="1"/>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463.86599999999999"/>
    <b v="1"/>
    <n v="-1"/>
    <s v="N/A"/>
    <n v="0"/>
    <b v="0"/>
    <n v="463.86599999999999"/>
    <b v="1"/>
    <n v="0"/>
    <b v="0"/>
    <m/>
    <n v="2400"/>
    <n v="2400"/>
    <n v="6"/>
    <b v="0"/>
    <b v="1"/>
  </r>
  <r>
    <x v="1"/>
    <s v="C"/>
    <s v="M"/>
    <n v="20240501"/>
    <x v="1"/>
    <x v="4"/>
    <s v="202405"/>
    <n v="818"/>
    <s v="EGY"/>
    <x v="0"/>
    <s v="X"/>
    <x v="1"/>
    <n v="729"/>
    <s v="SDN"/>
    <x v="16"/>
    <n v="0"/>
    <s v="W00"/>
    <s v="World"/>
    <s v="H6"/>
    <s v="HS"/>
    <b v="1"/>
    <s v="320619"/>
    <s v="Colouring matter; pigments and preparations based on titanium dioxide, containing less than 80% by weight of titanium dioxide calculated on the dry weight"/>
    <n v="6"/>
    <b v="1"/>
    <s v="C00"/>
    <s v="TOTAL CPC"/>
    <s v="0"/>
    <n v="0"/>
    <s v="TOTAL MOT"/>
    <n v="8"/>
    <s v="kg"/>
    <n v="463.86599999999999"/>
    <b v="1"/>
    <n v="-1"/>
    <s v="N/A"/>
    <n v="0"/>
    <b v="0"/>
    <n v="463.86599999999999"/>
    <b v="1"/>
    <n v="0"/>
    <b v="0"/>
    <m/>
    <n v="2400"/>
    <n v="2400"/>
    <n v="6"/>
    <b v="1"/>
    <b v="0"/>
  </r>
  <r>
    <x v="1"/>
    <s v="C"/>
    <s v="M"/>
    <n v="20240601"/>
    <x v="1"/>
    <x v="5"/>
    <s v="202406"/>
    <n v="818"/>
    <s v="EGY"/>
    <x v="0"/>
    <s v="M"/>
    <x v="0"/>
    <n v="0"/>
    <s v="W00"/>
    <x v="0"/>
    <n v="0"/>
    <s v="W00"/>
    <s v="World"/>
    <s v="H6"/>
    <s v="HS"/>
    <b v="1"/>
    <s v="320619"/>
    <s v="Colouring matter; pigments and preparations based on titanium dioxide, containing less than 80% by weight of titanium dioxide calculated on the dry weight"/>
    <n v="6"/>
    <b v="1"/>
    <s v="C00"/>
    <s v="TOTAL CPC"/>
    <s v="0"/>
    <n v="0"/>
    <s v="TOTAL MOT"/>
    <n v="8"/>
    <s v="kg"/>
    <n v="117938.666"/>
    <b v="1"/>
    <n v="-1"/>
    <s v="N/A"/>
    <n v="0"/>
    <b v="0"/>
    <n v="117938.666"/>
    <b v="1"/>
    <n v="0"/>
    <b v="0"/>
    <n v="569272.90800000005"/>
    <m/>
    <n v="569272.90800000005"/>
    <n v="6"/>
    <b v="0"/>
    <b v="1"/>
  </r>
  <r>
    <x v="1"/>
    <s v="C"/>
    <s v="M"/>
    <n v="20240601"/>
    <x v="1"/>
    <x v="5"/>
    <s v="202406"/>
    <n v="818"/>
    <s v="EGY"/>
    <x v="0"/>
    <s v="M"/>
    <x v="0"/>
    <n v="156"/>
    <s v="CHN"/>
    <x v="1"/>
    <n v="0"/>
    <s v="W00"/>
    <s v="World"/>
    <s v="H6"/>
    <s v="HS"/>
    <b v="1"/>
    <s v="320619"/>
    <s v="Colouring matter; pigments and preparations based on titanium dioxide, containing less than 80% by weight of titanium dioxide calculated on the dry weight"/>
    <n v="6"/>
    <b v="1"/>
    <s v="C00"/>
    <s v="TOTAL CPC"/>
    <s v="0"/>
    <n v="0"/>
    <s v="TOTAL MOT"/>
    <n v="8"/>
    <s v="kg"/>
    <n v="24695.072"/>
    <b v="1"/>
    <n v="-1"/>
    <s v="N/A"/>
    <n v="0"/>
    <b v="0"/>
    <n v="24695.072"/>
    <b v="1"/>
    <n v="0"/>
    <b v="0"/>
    <n v="119199.54700000001"/>
    <m/>
    <n v="119199.54700000001"/>
    <n v="6"/>
    <b v="1"/>
    <b v="0"/>
  </r>
  <r>
    <x v="1"/>
    <s v="C"/>
    <s v="M"/>
    <n v="20240601"/>
    <x v="1"/>
    <x v="5"/>
    <s v="202406"/>
    <n v="818"/>
    <s v="EGY"/>
    <x v="0"/>
    <s v="M"/>
    <x v="0"/>
    <n v="276"/>
    <s v="DEU"/>
    <x v="2"/>
    <n v="0"/>
    <s v="W00"/>
    <s v="World"/>
    <s v="H6"/>
    <s v="HS"/>
    <b v="1"/>
    <s v="320619"/>
    <s v="Colouring matter; pigments and preparations based on titanium dioxide, containing less than 80% by weight of titanium dioxide calculated on the dry weight"/>
    <n v="6"/>
    <b v="1"/>
    <s v="C00"/>
    <s v="TOTAL CPC"/>
    <s v="0"/>
    <n v="0"/>
    <s v="TOTAL MOT"/>
    <n v="8"/>
    <s v="kg"/>
    <n v="14266.037"/>
    <b v="1"/>
    <n v="-1"/>
    <s v="N/A"/>
    <n v="0"/>
    <b v="0"/>
    <n v="14266.037"/>
    <b v="1"/>
    <n v="0"/>
    <b v="0"/>
    <n v="68860.100000000006"/>
    <m/>
    <n v="68860.100000000006"/>
    <n v="6"/>
    <b v="1"/>
    <b v="0"/>
  </r>
  <r>
    <x v="1"/>
    <s v="C"/>
    <s v="M"/>
    <n v="20240601"/>
    <x v="1"/>
    <x v="5"/>
    <s v="202406"/>
    <n v="818"/>
    <s v="EGY"/>
    <x v="0"/>
    <s v="M"/>
    <x v="0"/>
    <n v="380"/>
    <s v="ITA"/>
    <x v="3"/>
    <n v="0"/>
    <s v="W00"/>
    <s v="World"/>
    <s v="H6"/>
    <s v="HS"/>
    <b v="1"/>
    <s v="320619"/>
    <s v="Colouring matter; pigments and preparations based on titanium dioxide, containing less than 80% by weight of titanium dioxide calculated on the dry weight"/>
    <n v="6"/>
    <b v="1"/>
    <s v="C00"/>
    <s v="TOTAL CPC"/>
    <s v="0"/>
    <n v="0"/>
    <s v="TOTAL MOT"/>
    <n v="8"/>
    <s v="kg"/>
    <n v="8241.2369999999992"/>
    <b v="1"/>
    <n v="-1"/>
    <s v="N/A"/>
    <n v="0"/>
    <b v="0"/>
    <n v="8241.2369999999992"/>
    <b v="1"/>
    <n v="0"/>
    <b v="0"/>
    <n v="39779.262000000002"/>
    <m/>
    <n v="39779.262000000002"/>
    <n v="6"/>
    <b v="1"/>
    <b v="0"/>
  </r>
  <r>
    <x v="1"/>
    <s v="C"/>
    <s v="M"/>
    <n v="20240601"/>
    <x v="1"/>
    <x v="5"/>
    <s v="202406"/>
    <n v="818"/>
    <s v="EGY"/>
    <x v="0"/>
    <s v="M"/>
    <x v="0"/>
    <n v="442"/>
    <s v="LUX"/>
    <x v="24"/>
    <n v="0"/>
    <s v="W00"/>
    <s v="World"/>
    <s v="H6"/>
    <s v="HS"/>
    <b v="1"/>
    <s v="320619"/>
    <s v="Colouring matter; pigments and preparations based on titanium dioxide, containing less than 80% by weight of titanium dioxide calculated on the dry weight"/>
    <n v="6"/>
    <b v="1"/>
    <s v="C00"/>
    <s v="TOTAL CPC"/>
    <s v="0"/>
    <n v="0"/>
    <s v="TOTAL MOT"/>
    <n v="8"/>
    <s v="kg"/>
    <n v="7209.268"/>
    <b v="1"/>
    <n v="-1"/>
    <s v="N/A"/>
    <n v="0"/>
    <b v="0"/>
    <n v="7209.268"/>
    <b v="1"/>
    <n v="0"/>
    <b v="0"/>
    <n v="34798.097999999998"/>
    <m/>
    <n v="34798.097999999998"/>
    <n v="6"/>
    <b v="1"/>
    <b v="0"/>
  </r>
  <r>
    <x v="1"/>
    <s v="C"/>
    <s v="M"/>
    <n v="20240601"/>
    <x v="1"/>
    <x v="5"/>
    <s v="202406"/>
    <n v="818"/>
    <s v="EGY"/>
    <x v="0"/>
    <s v="M"/>
    <x v="0"/>
    <n v="699"/>
    <s v="IND"/>
    <x v="5"/>
    <n v="0"/>
    <s v="W00"/>
    <s v="World"/>
    <s v="H6"/>
    <s v="HS"/>
    <b v="1"/>
    <s v="320619"/>
    <s v="Colouring matter; pigments and preparations based on titanium dioxide, containing less than 80% by weight of titanium dioxide calculated on the dry weight"/>
    <n v="6"/>
    <b v="1"/>
    <s v="C00"/>
    <s v="TOTAL CPC"/>
    <s v="0"/>
    <n v="0"/>
    <s v="TOTAL MOT"/>
    <n v="8"/>
    <s v="kg"/>
    <n v="8230.6569999999992"/>
    <b v="1"/>
    <n v="-1"/>
    <s v="N/A"/>
    <n v="0"/>
    <b v="0"/>
    <n v="8230.6569999999992"/>
    <b v="1"/>
    <n v="0"/>
    <b v="0"/>
    <n v="39728.190999999999"/>
    <m/>
    <n v="39728.190999999999"/>
    <n v="6"/>
    <b v="1"/>
    <b v="0"/>
  </r>
  <r>
    <x v="1"/>
    <s v="C"/>
    <s v="M"/>
    <n v="20240601"/>
    <x v="1"/>
    <x v="5"/>
    <s v="202406"/>
    <n v="818"/>
    <s v="EGY"/>
    <x v="0"/>
    <s v="M"/>
    <x v="0"/>
    <n v="792"/>
    <s v="TUR"/>
    <x v="6"/>
    <n v="0"/>
    <s v="W00"/>
    <s v="World"/>
    <s v="H6"/>
    <s v="HS"/>
    <b v="1"/>
    <s v="320619"/>
    <s v="Colouring matter; pigments and preparations based on titanium dioxide, containing less than 80% by weight of titanium dioxide calculated on the dry weight"/>
    <n v="6"/>
    <b v="1"/>
    <s v="C00"/>
    <s v="TOTAL CPC"/>
    <s v="0"/>
    <n v="0"/>
    <s v="TOTAL MOT"/>
    <n v="8"/>
    <s v="kg"/>
    <n v="6241.4629999999997"/>
    <b v="1"/>
    <n v="-1"/>
    <s v="N/A"/>
    <n v="0"/>
    <b v="0"/>
    <n v="6241.4629999999997"/>
    <b v="1"/>
    <n v="0"/>
    <b v="0"/>
    <n v="30126.643"/>
    <m/>
    <n v="30126.643"/>
    <n v="6"/>
    <b v="1"/>
    <b v="0"/>
  </r>
  <r>
    <x v="1"/>
    <s v="C"/>
    <s v="M"/>
    <n v="20240601"/>
    <x v="1"/>
    <x v="5"/>
    <s v="202406"/>
    <n v="818"/>
    <s v="EGY"/>
    <x v="0"/>
    <s v="M"/>
    <x v="0"/>
    <n v="826"/>
    <s v="GBR"/>
    <x v="7"/>
    <n v="0"/>
    <s v="W00"/>
    <s v="World"/>
    <s v="H6"/>
    <s v="HS"/>
    <b v="1"/>
    <s v="320619"/>
    <s v="Colouring matter; pigments and preparations based on titanium dioxide, containing less than 80% by weight of titanium dioxide calculated on the dry weight"/>
    <n v="6"/>
    <b v="1"/>
    <s v="C00"/>
    <s v="TOTAL CPC"/>
    <s v="0"/>
    <n v="0"/>
    <s v="TOTAL MOT"/>
    <n v="8"/>
    <s v="kg"/>
    <n v="36007.158000000003"/>
    <b v="1"/>
    <n v="-1"/>
    <s v="N/A"/>
    <n v="0"/>
    <b v="0"/>
    <n v="36007.158000000003"/>
    <b v="1"/>
    <n v="0"/>
    <b v="0"/>
    <n v="173801.353"/>
    <m/>
    <n v="173801.353"/>
    <n v="6"/>
    <b v="1"/>
    <b v="0"/>
  </r>
  <r>
    <x v="1"/>
    <s v="C"/>
    <s v="M"/>
    <n v="20240601"/>
    <x v="1"/>
    <x v="5"/>
    <s v="202406"/>
    <n v="818"/>
    <s v="EGY"/>
    <x v="0"/>
    <s v="M"/>
    <x v="0"/>
    <n v="842"/>
    <s v="USA"/>
    <x v="8"/>
    <n v="0"/>
    <s v="W00"/>
    <s v="World"/>
    <s v="H6"/>
    <s v="HS"/>
    <b v="1"/>
    <s v="320619"/>
    <s v="Colouring matter; pigments and preparations based on titanium dioxide, containing less than 80% by weight of titanium dioxide calculated on the dry weight"/>
    <n v="6"/>
    <b v="1"/>
    <s v="C00"/>
    <s v="TOTAL CPC"/>
    <s v="0"/>
    <n v="0"/>
    <s v="TOTAL MOT"/>
    <n v="8"/>
    <s v="kg"/>
    <n v="13047.772999999999"/>
    <b v="1"/>
    <n v="-1"/>
    <s v="N/A"/>
    <n v="0"/>
    <b v="0"/>
    <n v="13047.772999999999"/>
    <b v="1"/>
    <n v="0"/>
    <b v="0"/>
    <n v="62979.714999999997"/>
    <m/>
    <n v="62979.714999999997"/>
    <n v="6"/>
    <b v="1"/>
    <b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
  <r>
    <s v="C"/>
    <s v="M"/>
    <n v="20230701"/>
    <x v="0"/>
    <x v="0"/>
    <s v="202307"/>
    <n v="818"/>
    <s v="EGY"/>
    <x v="0"/>
    <s v="M"/>
    <s v="Import"/>
    <n v="0"/>
    <s v="W00"/>
    <x v="0"/>
    <n v="0"/>
    <s v="W00"/>
    <s v="World"/>
    <s v="H6"/>
    <s v="HS"/>
    <b v="1"/>
    <s v="382499"/>
    <s v="Chemical products, mixtures and preparations; n.e.c. heading 3824"/>
    <n v="6"/>
    <b v="1"/>
    <s v="C00"/>
    <s v="TOTAL CPC"/>
    <s v="0"/>
    <n v="0"/>
    <s v="TOTAL MOT"/>
    <n v="8"/>
    <s v="kg"/>
    <n v="3855298.43"/>
    <b v="1"/>
    <n v="-1"/>
    <s v="N/A"/>
    <n v="0"/>
    <b v="0"/>
    <n v="3855298.43"/>
    <b v="1"/>
    <n v="0"/>
    <b v="0"/>
    <n v="18192868.322999999"/>
    <m/>
    <n v="18192868.322999999"/>
    <n v="6"/>
    <b v="0"/>
    <b v="1"/>
  </r>
  <r>
    <s v="C"/>
    <s v="M"/>
    <n v="20230701"/>
    <x v="0"/>
    <x v="0"/>
    <s v="202307"/>
    <n v="818"/>
    <s v="EGY"/>
    <x v="0"/>
    <s v="M"/>
    <s v="Import"/>
    <n v="32"/>
    <s v="ARG"/>
    <x v="1"/>
    <n v="0"/>
    <s v="W00"/>
    <s v="World"/>
    <s v="H6"/>
    <s v="HS"/>
    <b v="1"/>
    <s v="382499"/>
    <s v="Chemical products, mixtures and preparations; n.e.c. heading 3824"/>
    <n v="6"/>
    <b v="1"/>
    <s v="C00"/>
    <s v="TOTAL CPC"/>
    <s v="0"/>
    <n v="0"/>
    <s v="TOTAL MOT"/>
    <n v="8"/>
    <s v="kg"/>
    <n v="7455.0039999999999"/>
    <b v="1"/>
    <n v="-1"/>
    <s v="N/A"/>
    <n v="0"/>
    <b v="0"/>
    <n v="7455.0039999999999"/>
    <b v="1"/>
    <n v="0"/>
    <b v="0"/>
    <n v="35179.612999999998"/>
    <m/>
    <n v="35179.612999999998"/>
    <n v="6"/>
    <b v="1"/>
    <b v="0"/>
  </r>
  <r>
    <s v="C"/>
    <s v="M"/>
    <n v="20230701"/>
    <x v="0"/>
    <x v="0"/>
    <s v="202307"/>
    <n v="818"/>
    <s v="EGY"/>
    <x v="0"/>
    <s v="M"/>
    <s v="Import"/>
    <n v="36"/>
    <s v="AUS"/>
    <x v="2"/>
    <n v="0"/>
    <s v="W00"/>
    <s v="World"/>
    <s v="H6"/>
    <s v="HS"/>
    <b v="1"/>
    <s v="382499"/>
    <s v="Chemical products, mixtures and preparations; n.e.c. heading 3824"/>
    <n v="6"/>
    <b v="1"/>
    <s v="C00"/>
    <s v="TOTAL CPC"/>
    <s v="0"/>
    <n v="0"/>
    <s v="TOTAL MOT"/>
    <n v="8"/>
    <s v="kg"/>
    <n v="50255.673000000003"/>
    <b v="1"/>
    <n v="-1"/>
    <s v="N/A"/>
    <n v="0"/>
    <b v="0"/>
    <n v="50255.673000000003"/>
    <b v="1"/>
    <n v="0"/>
    <b v="0"/>
    <n v="237152.80600000001"/>
    <m/>
    <n v="237152.80600000001"/>
    <n v="6"/>
    <b v="1"/>
    <b v="0"/>
  </r>
  <r>
    <s v="C"/>
    <s v="M"/>
    <n v="20230701"/>
    <x v="0"/>
    <x v="0"/>
    <s v="202307"/>
    <n v="818"/>
    <s v="EGY"/>
    <x v="0"/>
    <s v="M"/>
    <s v="Import"/>
    <n v="40"/>
    <s v="AUT"/>
    <x v="3"/>
    <n v="0"/>
    <s v="W00"/>
    <s v="World"/>
    <s v="H6"/>
    <s v="HS"/>
    <b v="1"/>
    <s v="382499"/>
    <s v="Chemical products, mixtures and preparations; n.e.c. heading 3824"/>
    <n v="6"/>
    <b v="1"/>
    <s v="C00"/>
    <s v="TOTAL CPC"/>
    <s v="0"/>
    <n v="0"/>
    <s v="TOTAL MOT"/>
    <n v="8"/>
    <s v="kg"/>
    <n v="14791.938"/>
    <b v="1"/>
    <n v="-1"/>
    <s v="N/A"/>
    <n v="0"/>
    <b v="0"/>
    <n v="14791.938"/>
    <b v="1"/>
    <n v="0"/>
    <b v="0"/>
    <n v="69802.061000000002"/>
    <m/>
    <n v="69802.061000000002"/>
    <n v="6"/>
    <b v="1"/>
    <b v="0"/>
  </r>
  <r>
    <s v="C"/>
    <s v="M"/>
    <n v="20230701"/>
    <x v="0"/>
    <x v="0"/>
    <s v="202307"/>
    <n v="818"/>
    <s v="EGY"/>
    <x v="0"/>
    <s v="M"/>
    <s v="Import"/>
    <n v="56"/>
    <s v="BEL"/>
    <x v="4"/>
    <n v="0"/>
    <s v="W00"/>
    <s v="World"/>
    <s v="H6"/>
    <s v="HS"/>
    <b v="1"/>
    <s v="382499"/>
    <s v="Chemical products, mixtures and preparations; n.e.c. heading 3824"/>
    <n v="6"/>
    <b v="1"/>
    <s v="C00"/>
    <s v="TOTAL CPC"/>
    <s v="0"/>
    <n v="0"/>
    <s v="TOTAL MOT"/>
    <n v="8"/>
    <s v="kg"/>
    <n v="29973.200000000001"/>
    <b v="1"/>
    <n v="-1"/>
    <s v="N/A"/>
    <n v="0"/>
    <b v="0"/>
    <n v="29973.200000000001"/>
    <b v="1"/>
    <n v="0"/>
    <b v="0"/>
    <n v="141441.31700000001"/>
    <m/>
    <n v="141441.31700000001"/>
    <n v="6"/>
    <b v="1"/>
    <b v="0"/>
  </r>
  <r>
    <s v="C"/>
    <s v="M"/>
    <n v="20230701"/>
    <x v="0"/>
    <x v="0"/>
    <s v="202307"/>
    <n v="818"/>
    <s v="EGY"/>
    <x v="0"/>
    <s v="M"/>
    <s v="Import"/>
    <n v="76"/>
    <s v="BRA"/>
    <x v="5"/>
    <n v="0"/>
    <s v="W00"/>
    <s v="World"/>
    <s v="H6"/>
    <s v="HS"/>
    <b v="1"/>
    <s v="382499"/>
    <s v="Chemical products, mixtures and preparations; n.e.c. heading 3824"/>
    <n v="6"/>
    <b v="1"/>
    <s v="C00"/>
    <s v="TOTAL CPC"/>
    <s v="0"/>
    <n v="0"/>
    <s v="TOTAL MOT"/>
    <n v="8"/>
    <s v="kg"/>
    <n v="48026.188000000002"/>
    <b v="1"/>
    <n v="-1"/>
    <s v="N/A"/>
    <n v="0"/>
    <b v="0"/>
    <n v="48026.188000000002"/>
    <b v="1"/>
    <n v="0"/>
    <b v="0"/>
    <n v="226632.03099999999"/>
    <m/>
    <n v="226632.03099999999"/>
    <n v="6"/>
    <b v="1"/>
    <b v="0"/>
  </r>
  <r>
    <s v="C"/>
    <s v="M"/>
    <n v="20230701"/>
    <x v="0"/>
    <x v="0"/>
    <s v="202307"/>
    <n v="818"/>
    <s v="EGY"/>
    <x v="0"/>
    <s v="M"/>
    <s v="Import"/>
    <n v="156"/>
    <s v="CHN"/>
    <x v="6"/>
    <n v="0"/>
    <s v="W00"/>
    <s v="World"/>
    <s v="H6"/>
    <s v="HS"/>
    <b v="1"/>
    <s v="382499"/>
    <s v="Chemical products, mixtures and preparations; n.e.c. heading 3824"/>
    <n v="6"/>
    <b v="1"/>
    <s v="C00"/>
    <s v="TOTAL CPC"/>
    <s v="0"/>
    <n v="0"/>
    <s v="TOTAL MOT"/>
    <n v="8"/>
    <s v="kg"/>
    <n v="830078.97600000002"/>
    <b v="1"/>
    <n v="-1"/>
    <s v="N/A"/>
    <n v="0"/>
    <b v="0"/>
    <n v="830078.97600000002"/>
    <b v="1"/>
    <n v="0"/>
    <b v="0"/>
    <n v="3917081.33"/>
    <m/>
    <n v="3917081.33"/>
    <n v="6"/>
    <b v="1"/>
    <b v="0"/>
  </r>
  <r>
    <s v="C"/>
    <s v="M"/>
    <n v="20230701"/>
    <x v="0"/>
    <x v="0"/>
    <s v="202307"/>
    <n v="818"/>
    <s v="EGY"/>
    <x v="0"/>
    <s v="M"/>
    <s v="Import"/>
    <n v="208"/>
    <s v="DNK"/>
    <x v="7"/>
    <n v="0"/>
    <s v="W00"/>
    <s v="World"/>
    <s v="H6"/>
    <s v="HS"/>
    <b v="1"/>
    <s v="382499"/>
    <s v="Chemical products, mixtures and preparations; n.e.c. heading 3824"/>
    <n v="6"/>
    <b v="1"/>
    <s v="C00"/>
    <s v="TOTAL CPC"/>
    <s v="0"/>
    <n v="0"/>
    <s v="TOTAL MOT"/>
    <n v="8"/>
    <s v="kg"/>
    <n v="29359.304"/>
    <b v="1"/>
    <n v="-1"/>
    <s v="N/A"/>
    <n v="0"/>
    <b v="0"/>
    <n v="29359.304"/>
    <b v="1"/>
    <n v="0"/>
    <b v="0"/>
    <n v="138544.38699999999"/>
    <m/>
    <n v="138544.38699999999"/>
    <n v="6"/>
    <b v="1"/>
    <b v="0"/>
  </r>
  <r>
    <s v="C"/>
    <s v="M"/>
    <n v="20230701"/>
    <x v="0"/>
    <x v="0"/>
    <s v="202307"/>
    <n v="818"/>
    <s v="EGY"/>
    <x v="0"/>
    <s v="M"/>
    <s v="Import"/>
    <n v="251"/>
    <s v="FRA"/>
    <x v="8"/>
    <n v="0"/>
    <s v="W00"/>
    <s v="World"/>
    <s v="H6"/>
    <s v="HS"/>
    <b v="1"/>
    <s v="382499"/>
    <s v="Chemical products, mixtures and preparations; n.e.c. heading 3824"/>
    <n v="6"/>
    <b v="1"/>
    <s v="C00"/>
    <s v="TOTAL CPC"/>
    <s v="0"/>
    <n v="0"/>
    <s v="TOTAL MOT"/>
    <n v="8"/>
    <s v="kg"/>
    <n v="395008.91499999998"/>
    <b v="1"/>
    <n v="-1"/>
    <s v="N/A"/>
    <n v="0"/>
    <b v="0"/>
    <n v="395008.91499999998"/>
    <b v="1"/>
    <n v="0"/>
    <b v="0"/>
    <n v="1864017.8729999999"/>
    <m/>
    <n v="1864017.8729999999"/>
    <n v="6"/>
    <b v="1"/>
    <b v="0"/>
  </r>
  <r>
    <s v="C"/>
    <s v="M"/>
    <n v="20230701"/>
    <x v="0"/>
    <x v="0"/>
    <s v="202307"/>
    <n v="818"/>
    <s v="EGY"/>
    <x v="0"/>
    <s v="M"/>
    <s v="Import"/>
    <n v="276"/>
    <s v="DEU"/>
    <x v="9"/>
    <n v="0"/>
    <s v="W00"/>
    <s v="World"/>
    <s v="H6"/>
    <s v="HS"/>
    <b v="1"/>
    <s v="382499"/>
    <s v="Chemical products, mixtures and preparations; n.e.c. heading 3824"/>
    <n v="6"/>
    <b v="1"/>
    <s v="C00"/>
    <s v="TOTAL CPC"/>
    <s v="0"/>
    <n v="0"/>
    <s v="TOTAL MOT"/>
    <n v="8"/>
    <s v="kg"/>
    <n v="633807.13300000003"/>
    <b v="1"/>
    <n v="-1"/>
    <s v="N/A"/>
    <n v="0"/>
    <b v="0"/>
    <n v="633807.13300000003"/>
    <b v="1"/>
    <n v="0"/>
    <b v="0"/>
    <n v="2990889.01"/>
    <m/>
    <n v="2990889.01"/>
    <n v="6"/>
    <b v="1"/>
    <b v="0"/>
  </r>
  <r>
    <s v="C"/>
    <s v="M"/>
    <n v="20230701"/>
    <x v="0"/>
    <x v="0"/>
    <s v="202307"/>
    <n v="818"/>
    <s v="EGY"/>
    <x v="0"/>
    <s v="M"/>
    <s v="Import"/>
    <n v="344"/>
    <s v="HKG"/>
    <x v="10"/>
    <n v="0"/>
    <s v="W00"/>
    <s v="World"/>
    <s v="H6"/>
    <s v="HS"/>
    <b v="1"/>
    <s v="382499"/>
    <s v="Chemical products, mixtures and preparations; n.e.c. heading 3824"/>
    <n v="6"/>
    <b v="1"/>
    <s v="C00"/>
    <s v="TOTAL CPC"/>
    <s v="0"/>
    <n v="0"/>
    <s v="TOTAL MOT"/>
    <n v="8"/>
    <s v="kg"/>
    <n v="427.98599999999999"/>
    <b v="1"/>
    <n v="-1"/>
    <s v="N/A"/>
    <n v="0"/>
    <b v="0"/>
    <n v="427.98599999999999"/>
    <b v="1"/>
    <n v="0"/>
    <b v="0"/>
    <n v="2019.633"/>
    <m/>
    <n v="2019.633"/>
    <n v="6"/>
    <b v="1"/>
    <b v="0"/>
  </r>
  <r>
    <s v="C"/>
    <s v="M"/>
    <n v="20230701"/>
    <x v="0"/>
    <x v="0"/>
    <s v="202307"/>
    <n v="818"/>
    <s v="EGY"/>
    <x v="0"/>
    <s v="M"/>
    <s v="Import"/>
    <n v="376"/>
    <s v="ISR"/>
    <x v="11"/>
    <n v="0"/>
    <s v="W00"/>
    <s v="World"/>
    <s v="H6"/>
    <s v="HS"/>
    <b v="1"/>
    <s v="382499"/>
    <s v="Chemical products, mixtures and preparations; n.e.c. heading 3824"/>
    <n v="6"/>
    <b v="1"/>
    <s v="C00"/>
    <s v="TOTAL CPC"/>
    <s v="0"/>
    <n v="0"/>
    <s v="TOTAL MOT"/>
    <n v="8"/>
    <s v="kg"/>
    <n v="8879.3760000000002"/>
    <b v="1"/>
    <n v="-1"/>
    <s v="N/A"/>
    <n v="0"/>
    <b v="0"/>
    <n v="8879.3760000000002"/>
    <b v="1"/>
    <n v="0"/>
    <b v="0"/>
    <n v="41901.120999999999"/>
    <m/>
    <n v="41901.120999999999"/>
    <n v="6"/>
    <b v="1"/>
    <b v="0"/>
  </r>
  <r>
    <s v="C"/>
    <s v="M"/>
    <n v="20230701"/>
    <x v="0"/>
    <x v="0"/>
    <s v="202307"/>
    <n v="818"/>
    <s v="EGY"/>
    <x v="0"/>
    <s v="M"/>
    <s v="Import"/>
    <n v="380"/>
    <s v="ITA"/>
    <x v="12"/>
    <n v="0"/>
    <s v="W00"/>
    <s v="World"/>
    <s v="H6"/>
    <s v="HS"/>
    <b v="1"/>
    <s v="382499"/>
    <s v="Chemical products, mixtures and preparations; n.e.c. heading 3824"/>
    <n v="6"/>
    <b v="1"/>
    <s v="C00"/>
    <s v="TOTAL CPC"/>
    <s v="0"/>
    <n v="0"/>
    <s v="TOTAL MOT"/>
    <n v="8"/>
    <s v="kg"/>
    <n v="169219.133"/>
    <b v="1"/>
    <n v="-1"/>
    <s v="N/A"/>
    <n v="0"/>
    <b v="0"/>
    <n v="169219.133"/>
    <b v="1"/>
    <n v="0"/>
    <b v="0"/>
    <n v="798532.58200000005"/>
    <m/>
    <n v="798532.58200000005"/>
    <n v="6"/>
    <b v="1"/>
    <b v="0"/>
  </r>
  <r>
    <s v="C"/>
    <s v="M"/>
    <n v="20230701"/>
    <x v="0"/>
    <x v="0"/>
    <s v="202307"/>
    <n v="818"/>
    <s v="EGY"/>
    <x v="0"/>
    <s v="M"/>
    <s v="Import"/>
    <n v="410"/>
    <s v="KOR"/>
    <x v="13"/>
    <n v="0"/>
    <s v="W00"/>
    <s v="World"/>
    <s v="H6"/>
    <s v="HS"/>
    <b v="1"/>
    <s v="382499"/>
    <s v="Chemical products, mixtures and preparations; n.e.c. heading 3824"/>
    <n v="6"/>
    <b v="1"/>
    <s v="C00"/>
    <s v="TOTAL CPC"/>
    <s v="0"/>
    <n v="0"/>
    <s v="TOTAL MOT"/>
    <n v="8"/>
    <s v="kg"/>
    <n v="34488.591999999997"/>
    <b v="1"/>
    <n v="-1"/>
    <s v="N/A"/>
    <n v="0"/>
    <b v="0"/>
    <n v="34488.591999999997"/>
    <b v="1"/>
    <n v="0"/>
    <b v="0"/>
    <n v="162749.114"/>
    <m/>
    <n v="162749.114"/>
    <n v="6"/>
    <b v="1"/>
    <b v="0"/>
  </r>
  <r>
    <s v="C"/>
    <s v="M"/>
    <n v="20230701"/>
    <x v="0"/>
    <x v="0"/>
    <s v="202307"/>
    <n v="818"/>
    <s v="EGY"/>
    <x v="0"/>
    <s v="M"/>
    <s v="Import"/>
    <n v="458"/>
    <s v="MYS"/>
    <x v="14"/>
    <n v="0"/>
    <s v="W00"/>
    <s v="World"/>
    <s v="H6"/>
    <s v="HS"/>
    <b v="1"/>
    <s v="382499"/>
    <s v="Chemical products, mixtures and preparations; n.e.c. heading 3824"/>
    <n v="6"/>
    <b v="1"/>
    <s v="C00"/>
    <s v="TOTAL CPC"/>
    <s v="0"/>
    <n v="0"/>
    <s v="TOTAL MOT"/>
    <n v="8"/>
    <s v="kg"/>
    <n v="24978.074000000001"/>
    <b v="1"/>
    <n v="-1"/>
    <s v="N/A"/>
    <n v="0"/>
    <b v="0"/>
    <n v="24978.074000000001"/>
    <b v="1"/>
    <n v="0"/>
    <b v="0"/>
    <n v="117869.68399999999"/>
    <m/>
    <n v="117869.68399999999"/>
    <n v="6"/>
    <b v="1"/>
    <b v="0"/>
  </r>
  <r>
    <s v="C"/>
    <s v="M"/>
    <n v="20230701"/>
    <x v="0"/>
    <x v="0"/>
    <s v="202307"/>
    <n v="818"/>
    <s v="EGY"/>
    <x v="0"/>
    <s v="M"/>
    <s v="Import"/>
    <n v="490"/>
    <s v="S19"/>
    <x v="15"/>
    <n v="0"/>
    <s v="W00"/>
    <s v="World"/>
    <s v="H6"/>
    <s v="HS"/>
    <b v="1"/>
    <s v="382499"/>
    <s v="Chemical products, mixtures and preparations; n.e.c. heading 3824"/>
    <n v="6"/>
    <b v="1"/>
    <s v="C00"/>
    <s v="TOTAL CPC"/>
    <s v="0"/>
    <n v="0"/>
    <s v="TOTAL MOT"/>
    <n v="8"/>
    <s v="kg"/>
    <n v="21373.203000000001"/>
    <b v="1"/>
    <n v="-1"/>
    <s v="N/A"/>
    <n v="0"/>
    <b v="0"/>
    <n v="21373.203000000001"/>
    <b v="1"/>
    <n v="0"/>
    <b v="0"/>
    <n v="100858.56600000001"/>
    <m/>
    <n v="100858.56600000001"/>
    <n v="6"/>
    <b v="1"/>
    <b v="0"/>
  </r>
  <r>
    <s v="C"/>
    <s v="M"/>
    <n v="20230701"/>
    <x v="0"/>
    <x v="0"/>
    <s v="202307"/>
    <n v="818"/>
    <s v="EGY"/>
    <x v="0"/>
    <s v="M"/>
    <s v="Import"/>
    <n v="579"/>
    <s v="NOR"/>
    <x v="16"/>
    <n v="0"/>
    <s v="W00"/>
    <s v="World"/>
    <s v="H6"/>
    <s v="HS"/>
    <b v="1"/>
    <s v="382499"/>
    <s v="Chemical products, mixtures and preparations; n.e.c. heading 3824"/>
    <n v="6"/>
    <b v="1"/>
    <s v="C00"/>
    <s v="TOTAL CPC"/>
    <s v="0"/>
    <n v="0"/>
    <s v="TOTAL MOT"/>
    <n v="8"/>
    <s v="kg"/>
    <n v="3490.0970000000002"/>
    <b v="1"/>
    <n v="-1"/>
    <s v="N/A"/>
    <n v="0"/>
    <b v="0"/>
    <n v="3490.0970000000002"/>
    <b v="1"/>
    <n v="0"/>
    <b v="0"/>
    <n v="16469.511999999999"/>
    <m/>
    <n v="16469.511999999999"/>
    <n v="6"/>
    <b v="1"/>
    <b v="0"/>
  </r>
  <r>
    <s v="C"/>
    <s v="M"/>
    <n v="20230701"/>
    <x v="0"/>
    <x v="0"/>
    <s v="202307"/>
    <n v="818"/>
    <s v="EGY"/>
    <x v="0"/>
    <s v="M"/>
    <s v="Import"/>
    <n v="634"/>
    <s v="QAT"/>
    <x v="17"/>
    <n v="0"/>
    <s v="W00"/>
    <s v="World"/>
    <s v="H6"/>
    <s v="HS"/>
    <b v="1"/>
    <s v="382499"/>
    <s v="Chemical products, mixtures and preparations; n.e.c. heading 3824"/>
    <n v="6"/>
    <b v="1"/>
    <s v="C00"/>
    <s v="TOTAL CPC"/>
    <s v="0"/>
    <n v="0"/>
    <s v="TOTAL MOT"/>
    <n v="8"/>
    <s v="kg"/>
    <n v="185132.34"/>
    <b v="1"/>
    <n v="-1"/>
    <s v="N/A"/>
    <n v="0"/>
    <b v="0"/>
    <n v="185132.34"/>
    <b v="1"/>
    <n v="0"/>
    <b v="0"/>
    <n v="873625.82799999998"/>
    <m/>
    <n v="873625.82799999998"/>
    <n v="6"/>
    <b v="1"/>
    <b v="0"/>
  </r>
  <r>
    <s v="C"/>
    <s v="M"/>
    <n v="20230701"/>
    <x v="0"/>
    <x v="0"/>
    <s v="202307"/>
    <n v="818"/>
    <s v="EGY"/>
    <x v="0"/>
    <s v="M"/>
    <s v="Import"/>
    <n v="682"/>
    <s v="SAU"/>
    <x v="18"/>
    <n v="0"/>
    <s v="W00"/>
    <s v="World"/>
    <s v="H6"/>
    <s v="HS"/>
    <b v="1"/>
    <s v="382499"/>
    <s v="Chemical products, mixtures and preparations; n.e.c. heading 3824"/>
    <n v="6"/>
    <b v="1"/>
    <s v="C00"/>
    <s v="TOTAL CPC"/>
    <s v="0"/>
    <n v="0"/>
    <s v="TOTAL MOT"/>
    <n v="8"/>
    <s v="kg"/>
    <n v="22.280999999999999"/>
    <b v="1"/>
    <n v="-1"/>
    <s v="N/A"/>
    <n v="0"/>
    <b v="0"/>
    <n v="22.280999999999999"/>
    <b v="1"/>
    <n v="0"/>
    <b v="0"/>
    <n v="105.14"/>
    <m/>
    <n v="105.14"/>
    <n v="6"/>
    <b v="1"/>
    <b v="0"/>
  </r>
  <r>
    <s v="C"/>
    <s v="M"/>
    <n v="20230701"/>
    <x v="0"/>
    <x v="0"/>
    <s v="202307"/>
    <n v="818"/>
    <s v="EGY"/>
    <x v="0"/>
    <s v="M"/>
    <s v="Import"/>
    <n v="699"/>
    <s v="IND"/>
    <x v="19"/>
    <n v="0"/>
    <s v="W00"/>
    <s v="World"/>
    <s v="H6"/>
    <s v="HS"/>
    <b v="1"/>
    <s v="382499"/>
    <s v="Chemical products, mixtures and preparations; n.e.c. heading 3824"/>
    <n v="6"/>
    <b v="1"/>
    <s v="C00"/>
    <s v="TOTAL CPC"/>
    <s v="0"/>
    <n v="0"/>
    <s v="TOTAL MOT"/>
    <n v="8"/>
    <s v="kg"/>
    <n v="383051.283"/>
    <b v="1"/>
    <n v="-1"/>
    <s v="N/A"/>
    <n v="0"/>
    <b v="0"/>
    <n v="383051.283"/>
    <b v="1"/>
    <n v="0"/>
    <b v="0"/>
    <n v="1807590.69"/>
    <m/>
    <n v="1807590.69"/>
    <n v="6"/>
    <b v="1"/>
    <b v="0"/>
  </r>
  <r>
    <s v="C"/>
    <s v="M"/>
    <n v="20230701"/>
    <x v="0"/>
    <x v="0"/>
    <s v="202307"/>
    <n v="818"/>
    <s v="EGY"/>
    <x v="0"/>
    <s v="M"/>
    <s v="Import"/>
    <n v="702"/>
    <s v="SGP"/>
    <x v="20"/>
    <n v="0"/>
    <s v="W00"/>
    <s v="World"/>
    <s v="H6"/>
    <s v="HS"/>
    <b v="1"/>
    <s v="382499"/>
    <s v="Chemical products, mixtures and preparations; n.e.c. heading 3824"/>
    <n v="6"/>
    <b v="1"/>
    <s v="C00"/>
    <s v="TOTAL CPC"/>
    <s v="0"/>
    <n v="0"/>
    <s v="TOTAL MOT"/>
    <n v="8"/>
    <s v="kg"/>
    <n v="72724.491999999998"/>
    <b v="1"/>
    <n v="-1"/>
    <s v="N/A"/>
    <n v="0"/>
    <b v="0"/>
    <n v="72724.491999999998"/>
    <b v="1"/>
    <n v="0"/>
    <b v="0"/>
    <n v="343181.5"/>
    <m/>
    <n v="343181.5"/>
    <n v="6"/>
    <b v="1"/>
    <b v="0"/>
  </r>
  <r>
    <s v="C"/>
    <s v="M"/>
    <n v="20230701"/>
    <x v="0"/>
    <x v="0"/>
    <s v="202307"/>
    <n v="818"/>
    <s v="EGY"/>
    <x v="0"/>
    <s v="M"/>
    <s v="Import"/>
    <n v="710"/>
    <s v="ZAF"/>
    <x v="21"/>
    <n v="0"/>
    <s v="W00"/>
    <s v="World"/>
    <s v="H6"/>
    <s v="HS"/>
    <b v="1"/>
    <s v="382499"/>
    <s v="Chemical products, mixtures and preparations; n.e.c. heading 3824"/>
    <n v="6"/>
    <b v="1"/>
    <s v="C00"/>
    <s v="TOTAL CPC"/>
    <s v="0"/>
    <n v="0"/>
    <s v="TOTAL MOT"/>
    <n v="8"/>
    <s v="kg"/>
    <n v="17059.087"/>
    <b v="1"/>
    <n v="-1"/>
    <s v="N/A"/>
    <n v="0"/>
    <b v="0"/>
    <n v="17059.087"/>
    <b v="1"/>
    <n v="0"/>
    <b v="0"/>
    <n v="80500.570000000007"/>
    <m/>
    <n v="80500.570000000007"/>
    <n v="6"/>
    <b v="1"/>
    <b v="0"/>
  </r>
  <r>
    <s v="C"/>
    <s v="M"/>
    <n v="20230701"/>
    <x v="0"/>
    <x v="0"/>
    <s v="202307"/>
    <n v="818"/>
    <s v="EGY"/>
    <x v="0"/>
    <s v="M"/>
    <s v="Import"/>
    <n v="724"/>
    <s v="ESP"/>
    <x v="22"/>
    <n v="0"/>
    <s v="W00"/>
    <s v="World"/>
    <s v="H6"/>
    <s v="HS"/>
    <b v="1"/>
    <s v="382499"/>
    <s v="Chemical products, mixtures and preparations; n.e.c. heading 3824"/>
    <n v="6"/>
    <b v="1"/>
    <s v="C00"/>
    <s v="TOTAL CPC"/>
    <s v="0"/>
    <n v="0"/>
    <s v="TOTAL MOT"/>
    <n v="8"/>
    <s v="kg"/>
    <n v="352220.837"/>
    <b v="1"/>
    <n v="-1"/>
    <s v="N/A"/>
    <n v="0"/>
    <b v="0"/>
    <n v="352220.837"/>
    <b v="1"/>
    <n v="0"/>
    <b v="0"/>
    <n v="1662104.0959999999"/>
    <m/>
    <n v="1662104.0959999999"/>
    <n v="6"/>
    <b v="1"/>
    <b v="0"/>
  </r>
  <r>
    <s v="C"/>
    <s v="M"/>
    <n v="20230701"/>
    <x v="0"/>
    <x v="0"/>
    <s v="202307"/>
    <n v="818"/>
    <s v="EGY"/>
    <x v="0"/>
    <s v="M"/>
    <s v="Import"/>
    <n v="757"/>
    <s v="CHE"/>
    <x v="23"/>
    <n v="0"/>
    <s v="W00"/>
    <s v="World"/>
    <s v="H6"/>
    <s v="HS"/>
    <b v="1"/>
    <s v="382499"/>
    <s v="Chemical products, mixtures and preparations; n.e.c. heading 3824"/>
    <n v="6"/>
    <b v="1"/>
    <s v="C00"/>
    <s v="TOTAL CPC"/>
    <s v="0"/>
    <n v="0"/>
    <s v="TOTAL MOT"/>
    <n v="8"/>
    <s v="kg"/>
    <n v="17394.401000000002"/>
    <b v="1"/>
    <n v="-1"/>
    <s v="N/A"/>
    <n v="0"/>
    <b v="0"/>
    <n v="17394.401000000002"/>
    <b v="1"/>
    <n v="0"/>
    <b v="0"/>
    <n v="82082.895000000004"/>
    <m/>
    <n v="82082.895000000004"/>
    <n v="6"/>
    <b v="1"/>
    <b v="0"/>
  </r>
  <r>
    <s v="C"/>
    <s v="M"/>
    <n v="20230701"/>
    <x v="0"/>
    <x v="0"/>
    <s v="202307"/>
    <n v="818"/>
    <s v="EGY"/>
    <x v="0"/>
    <s v="M"/>
    <s v="Import"/>
    <n v="764"/>
    <s v="THA"/>
    <x v="24"/>
    <n v="0"/>
    <s v="W00"/>
    <s v="World"/>
    <s v="H6"/>
    <s v="HS"/>
    <b v="1"/>
    <s v="382499"/>
    <s v="Chemical products, mixtures and preparations; n.e.c. heading 3824"/>
    <n v="6"/>
    <b v="1"/>
    <s v="C00"/>
    <s v="TOTAL CPC"/>
    <s v="0"/>
    <n v="0"/>
    <s v="TOTAL MOT"/>
    <n v="8"/>
    <s v="kg"/>
    <n v="8187.7139999999999"/>
    <b v="1"/>
    <n v="-1"/>
    <s v="N/A"/>
    <n v="0"/>
    <b v="0"/>
    <n v="8187.7139999999999"/>
    <b v="1"/>
    <n v="0"/>
    <b v="0"/>
    <n v="38637.214999999997"/>
    <m/>
    <n v="38637.214999999997"/>
    <n v="6"/>
    <b v="1"/>
    <b v="0"/>
  </r>
  <r>
    <s v="C"/>
    <s v="M"/>
    <n v="20230701"/>
    <x v="0"/>
    <x v="0"/>
    <s v="202307"/>
    <n v="818"/>
    <s v="EGY"/>
    <x v="0"/>
    <s v="M"/>
    <s v="Import"/>
    <n v="784"/>
    <s v="ARE"/>
    <x v="25"/>
    <n v="0"/>
    <s v="W00"/>
    <s v="World"/>
    <s v="H6"/>
    <s v="HS"/>
    <b v="1"/>
    <s v="382499"/>
    <s v="Chemical products, mixtures and preparations; n.e.c. heading 3824"/>
    <n v="6"/>
    <b v="1"/>
    <s v="C00"/>
    <s v="TOTAL CPC"/>
    <s v="0"/>
    <n v="0"/>
    <s v="TOTAL MOT"/>
    <n v="8"/>
    <s v="kg"/>
    <n v="36453.495000000003"/>
    <b v="1"/>
    <n v="-1"/>
    <s v="N/A"/>
    <n v="0"/>
    <b v="0"/>
    <n v="36453.495000000003"/>
    <b v="1"/>
    <n v="0"/>
    <b v="0"/>
    <n v="172021.34700000001"/>
    <m/>
    <n v="172021.34700000001"/>
    <n v="6"/>
    <b v="1"/>
    <b v="0"/>
  </r>
  <r>
    <s v="C"/>
    <s v="M"/>
    <n v="20230701"/>
    <x v="0"/>
    <x v="0"/>
    <s v="202307"/>
    <n v="818"/>
    <s v="EGY"/>
    <x v="0"/>
    <s v="M"/>
    <s v="Import"/>
    <n v="792"/>
    <s v="TUR"/>
    <x v="26"/>
    <n v="0"/>
    <s v="W00"/>
    <s v="World"/>
    <s v="H6"/>
    <s v="HS"/>
    <b v="1"/>
    <s v="382499"/>
    <s v="Chemical products, mixtures and preparations; n.e.c. heading 3824"/>
    <n v="6"/>
    <b v="1"/>
    <s v="C00"/>
    <s v="TOTAL CPC"/>
    <s v="0"/>
    <n v="0"/>
    <s v="TOTAL MOT"/>
    <n v="8"/>
    <s v="kg"/>
    <n v="218983.226"/>
    <b v="1"/>
    <n v="-1"/>
    <s v="N/A"/>
    <n v="0"/>
    <b v="0"/>
    <n v="218983.226"/>
    <b v="1"/>
    <n v="0"/>
    <b v="0"/>
    <n v="1033365.659"/>
    <m/>
    <n v="1033365.659"/>
    <n v="6"/>
    <b v="1"/>
    <b v="0"/>
  </r>
  <r>
    <s v="C"/>
    <s v="M"/>
    <n v="20230701"/>
    <x v="0"/>
    <x v="0"/>
    <s v="202307"/>
    <n v="818"/>
    <s v="EGY"/>
    <x v="0"/>
    <s v="M"/>
    <s v="Import"/>
    <n v="826"/>
    <s v="GBR"/>
    <x v="27"/>
    <n v="0"/>
    <s v="W00"/>
    <s v="World"/>
    <s v="H6"/>
    <s v="HS"/>
    <b v="1"/>
    <s v="382499"/>
    <s v="Chemical products, mixtures and preparations; n.e.c. heading 3824"/>
    <n v="6"/>
    <b v="1"/>
    <s v="C00"/>
    <s v="TOTAL CPC"/>
    <s v="0"/>
    <n v="0"/>
    <s v="TOTAL MOT"/>
    <n v="8"/>
    <s v="kg"/>
    <n v="31064.657999999999"/>
    <b v="1"/>
    <n v="-1"/>
    <s v="N/A"/>
    <n v="0"/>
    <b v="0"/>
    <n v="31064.657999999999"/>
    <b v="1"/>
    <n v="0"/>
    <b v="0"/>
    <n v="146591.82699999999"/>
    <m/>
    <n v="146591.82699999999"/>
    <n v="6"/>
    <b v="1"/>
    <b v="0"/>
  </r>
  <r>
    <s v="C"/>
    <s v="M"/>
    <n v="20230701"/>
    <x v="0"/>
    <x v="0"/>
    <s v="202307"/>
    <n v="818"/>
    <s v="EGY"/>
    <x v="0"/>
    <s v="M"/>
    <s v="Import"/>
    <n v="842"/>
    <s v="USA"/>
    <x v="28"/>
    <n v="0"/>
    <s v="W00"/>
    <s v="World"/>
    <s v="H6"/>
    <s v="HS"/>
    <b v="1"/>
    <s v="382499"/>
    <s v="Chemical products, mixtures and preparations; n.e.c. heading 3824"/>
    <n v="6"/>
    <b v="1"/>
    <s v="C00"/>
    <s v="TOTAL CPC"/>
    <s v="0"/>
    <n v="0"/>
    <s v="TOTAL MOT"/>
    <n v="8"/>
    <s v="kg"/>
    <n v="231391.82399999999"/>
    <b v="1"/>
    <n v="-1"/>
    <s v="N/A"/>
    <n v="0"/>
    <b v="0"/>
    <n v="231391.82399999999"/>
    <b v="1"/>
    <n v="0"/>
    <b v="0"/>
    <n v="1091920.9140000001"/>
    <m/>
    <n v="1091920.9140000001"/>
    <n v="6"/>
    <b v="1"/>
    <b v="0"/>
  </r>
  <r>
    <s v="C"/>
    <s v="M"/>
    <n v="20230801"/>
    <x v="0"/>
    <x v="1"/>
    <s v="202308"/>
    <n v="818"/>
    <s v="EGY"/>
    <x v="0"/>
    <s v="M"/>
    <s v="Import"/>
    <n v="0"/>
    <s v="W00"/>
    <x v="0"/>
    <n v="0"/>
    <s v="W00"/>
    <s v="World"/>
    <s v="H6"/>
    <s v="HS"/>
    <b v="1"/>
    <s v="382499"/>
    <s v="Chemical products, mixtures and preparations; n.e.c. heading 3824"/>
    <n v="6"/>
    <b v="1"/>
    <s v="C00"/>
    <s v="TOTAL CPC"/>
    <s v="0"/>
    <n v="0"/>
    <s v="TOTAL MOT"/>
    <n v="8"/>
    <s v="kg"/>
    <n v="3360987.6290000002"/>
    <b v="1"/>
    <n v="-1"/>
    <s v="N/A"/>
    <n v="0"/>
    <b v="0"/>
    <n v="3360987.6290000002"/>
    <b v="1"/>
    <n v="0"/>
    <b v="0"/>
    <n v="15860252.189999999"/>
    <m/>
    <n v="15860252.189999999"/>
    <n v="6"/>
    <b v="0"/>
    <b v="1"/>
  </r>
  <r>
    <s v="C"/>
    <s v="M"/>
    <n v="20230801"/>
    <x v="0"/>
    <x v="1"/>
    <s v="202308"/>
    <n v="818"/>
    <s v="EGY"/>
    <x v="0"/>
    <s v="M"/>
    <s v="Import"/>
    <n v="36"/>
    <s v="AUS"/>
    <x v="2"/>
    <n v="0"/>
    <s v="W00"/>
    <s v="World"/>
    <s v="H6"/>
    <s v="HS"/>
    <b v="1"/>
    <s v="382499"/>
    <s v="Chemical products, mixtures and preparations; n.e.c. heading 3824"/>
    <n v="6"/>
    <b v="1"/>
    <s v="C00"/>
    <s v="TOTAL CPC"/>
    <s v="0"/>
    <n v="0"/>
    <s v="TOTAL MOT"/>
    <n v="8"/>
    <s v="kg"/>
    <n v="16828.991999999998"/>
    <b v="1"/>
    <n v="-1"/>
    <s v="N/A"/>
    <n v="0"/>
    <b v="0"/>
    <n v="16828.991999999998"/>
    <b v="1"/>
    <n v="0"/>
    <b v="0"/>
    <n v="79414.771999999997"/>
    <m/>
    <n v="79414.771999999997"/>
    <n v="6"/>
    <b v="1"/>
    <b v="0"/>
  </r>
  <r>
    <s v="C"/>
    <s v="M"/>
    <n v="20230801"/>
    <x v="0"/>
    <x v="1"/>
    <s v="202308"/>
    <n v="818"/>
    <s v="EGY"/>
    <x v="0"/>
    <s v="M"/>
    <s v="Import"/>
    <n v="40"/>
    <s v="AUT"/>
    <x v="3"/>
    <n v="0"/>
    <s v="W00"/>
    <s v="World"/>
    <s v="H6"/>
    <s v="HS"/>
    <b v="1"/>
    <s v="382499"/>
    <s v="Chemical products, mixtures and preparations; n.e.c. heading 3824"/>
    <n v="6"/>
    <b v="1"/>
    <s v="C00"/>
    <s v="TOTAL CPC"/>
    <s v="0"/>
    <n v="0"/>
    <s v="TOTAL MOT"/>
    <n v="8"/>
    <s v="kg"/>
    <n v="2039.854"/>
    <b v="1"/>
    <n v="-1"/>
    <s v="N/A"/>
    <n v="0"/>
    <b v="0"/>
    <n v="2039.854"/>
    <b v="1"/>
    <n v="0"/>
    <b v="0"/>
    <n v="9625.92"/>
    <m/>
    <n v="9625.92"/>
    <n v="6"/>
    <b v="1"/>
    <b v="0"/>
  </r>
  <r>
    <s v="C"/>
    <s v="M"/>
    <n v="20230801"/>
    <x v="0"/>
    <x v="1"/>
    <s v="202308"/>
    <n v="818"/>
    <s v="EGY"/>
    <x v="0"/>
    <s v="M"/>
    <s v="Import"/>
    <n v="56"/>
    <s v="BEL"/>
    <x v="4"/>
    <n v="0"/>
    <s v="W00"/>
    <s v="World"/>
    <s v="H6"/>
    <s v="HS"/>
    <b v="1"/>
    <s v="382499"/>
    <s v="Chemical products, mixtures and preparations; n.e.c. heading 3824"/>
    <n v="6"/>
    <b v="1"/>
    <s v="C00"/>
    <s v="TOTAL CPC"/>
    <s v="0"/>
    <n v="0"/>
    <s v="TOTAL MOT"/>
    <n v="8"/>
    <s v="kg"/>
    <n v="72596.92"/>
    <b v="1"/>
    <n v="-1"/>
    <s v="N/A"/>
    <n v="0"/>
    <b v="0"/>
    <n v="72596.92"/>
    <b v="1"/>
    <n v="0"/>
    <b v="0"/>
    <n v="342579.49900000001"/>
    <m/>
    <n v="342579.49900000001"/>
    <n v="6"/>
    <b v="1"/>
    <b v="0"/>
  </r>
  <r>
    <s v="C"/>
    <s v="M"/>
    <n v="20230801"/>
    <x v="0"/>
    <x v="1"/>
    <s v="202308"/>
    <n v="818"/>
    <s v="EGY"/>
    <x v="0"/>
    <s v="M"/>
    <s v="Import"/>
    <n v="156"/>
    <s v="CHN"/>
    <x v="6"/>
    <n v="0"/>
    <s v="W00"/>
    <s v="World"/>
    <s v="H6"/>
    <s v="HS"/>
    <b v="1"/>
    <s v="382499"/>
    <s v="Chemical products, mixtures and preparations; n.e.c. heading 3824"/>
    <n v="6"/>
    <b v="1"/>
    <s v="C00"/>
    <s v="TOTAL CPC"/>
    <s v="0"/>
    <n v="0"/>
    <s v="TOTAL MOT"/>
    <n v="8"/>
    <s v="kg"/>
    <n v="778578.94"/>
    <b v="1"/>
    <n v="-1"/>
    <s v="N/A"/>
    <n v="0"/>
    <b v="0"/>
    <n v="778578.94"/>
    <b v="1"/>
    <n v="0"/>
    <b v="0"/>
    <n v="3674056.4670000002"/>
    <m/>
    <n v="3674056.4670000002"/>
    <n v="6"/>
    <b v="1"/>
    <b v="0"/>
  </r>
  <r>
    <s v="C"/>
    <s v="M"/>
    <n v="20230801"/>
    <x v="0"/>
    <x v="1"/>
    <s v="202308"/>
    <n v="818"/>
    <s v="EGY"/>
    <x v="0"/>
    <s v="M"/>
    <s v="Import"/>
    <n v="208"/>
    <s v="DNK"/>
    <x v="7"/>
    <n v="0"/>
    <s v="W00"/>
    <s v="World"/>
    <s v="H6"/>
    <s v="HS"/>
    <b v="1"/>
    <s v="382499"/>
    <s v="Chemical products, mixtures and preparations; n.e.c. heading 3824"/>
    <n v="6"/>
    <b v="1"/>
    <s v="C00"/>
    <s v="TOTAL CPC"/>
    <s v="0"/>
    <n v="0"/>
    <s v="TOTAL MOT"/>
    <n v="8"/>
    <s v="kg"/>
    <n v="41881.563999999998"/>
    <b v="1"/>
    <n v="-1"/>
    <s v="N/A"/>
    <n v="0"/>
    <b v="0"/>
    <n v="41881.563999999998"/>
    <b v="1"/>
    <n v="0"/>
    <b v="0"/>
    <n v="197636.00599999999"/>
    <m/>
    <n v="197636.00599999999"/>
    <n v="6"/>
    <b v="1"/>
    <b v="0"/>
  </r>
  <r>
    <s v="C"/>
    <s v="M"/>
    <n v="20230801"/>
    <x v="0"/>
    <x v="1"/>
    <s v="202308"/>
    <n v="818"/>
    <s v="EGY"/>
    <x v="0"/>
    <s v="M"/>
    <s v="Import"/>
    <n v="233"/>
    <s v="EST"/>
    <x v="29"/>
    <n v="0"/>
    <s v="W00"/>
    <s v="World"/>
    <s v="H6"/>
    <s v="HS"/>
    <b v="1"/>
    <s v="382499"/>
    <s v="Chemical products, mixtures and preparations; n.e.c. heading 3824"/>
    <n v="6"/>
    <b v="1"/>
    <s v="C00"/>
    <s v="TOTAL CPC"/>
    <s v="0"/>
    <n v="0"/>
    <s v="TOTAL MOT"/>
    <n v="8"/>
    <s v="kg"/>
    <n v="2592.85"/>
    <b v="1"/>
    <n v="-1"/>
    <s v="N/A"/>
    <n v="0"/>
    <b v="0"/>
    <n v="2592.85"/>
    <b v="1"/>
    <n v="0"/>
    <b v="0"/>
    <n v="12235.47"/>
    <m/>
    <n v="12235.47"/>
    <n v="6"/>
    <b v="1"/>
    <b v="0"/>
  </r>
  <r>
    <s v="C"/>
    <s v="M"/>
    <n v="20230801"/>
    <x v="0"/>
    <x v="1"/>
    <s v="202308"/>
    <n v="818"/>
    <s v="EGY"/>
    <x v="0"/>
    <s v="M"/>
    <s v="Import"/>
    <n v="251"/>
    <s v="FRA"/>
    <x v="8"/>
    <n v="0"/>
    <s v="W00"/>
    <s v="World"/>
    <s v="H6"/>
    <s v="HS"/>
    <b v="1"/>
    <s v="382499"/>
    <s v="Chemical products, mixtures and preparations; n.e.c. heading 3824"/>
    <n v="6"/>
    <b v="1"/>
    <s v="C00"/>
    <s v="TOTAL CPC"/>
    <s v="0"/>
    <n v="0"/>
    <s v="TOTAL MOT"/>
    <n v="8"/>
    <s v="kg"/>
    <n v="252150.50099999999"/>
    <b v="1"/>
    <n v="-1"/>
    <s v="N/A"/>
    <n v="0"/>
    <b v="0"/>
    <n v="252150.50099999999"/>
    <b v="1"/>
    <n v="0"/>
    <b v="0"/>
    <n v="1189879.575"/>
    <m/>
    <n v="1189879.575"/>
    <n v="6"/>
    <b v="1"/>
    <b v="0"/>
  </r>
  <r>
    <s v="C"/>
    <s v="M"/>
    <n v="20230801"/>
    <x v="0"/>
    <x v="1"/>
    <s v="202308"/>
    <n v="818"/>
    <s v="EGY"/>
    <x v="0"/>
    <s v="M"/>
    <s v="Import"/>
    <n v="276"/>
    <s v="DEU"/>
    <x v="9"/>
    <n v="0"/>
    <s v="W00"/>
    <s v="World"/>
    <s v="H6"/>
    <s v="HS"/>
    <b v="1"/>
    <s v="382499"/>
    <s v="Chemical products, mixtures and preparations; n.e.c. heading 3824"/>
    <n v="6"/>
    <b v="1"/>
    <s v="C00"/>
    <s v="TOTAL CPC"/>
    <s v="0"/>
    <n v="0"/>
    <s v="TOTAL MOT"/>
    <n v="8"/>
    <s v="kg"/>
    <n v="438130.48800000001"/>
    <b v="1"/>
    <n v="-1"/>
    <s v="N/A"/>
    <n v="0"/>
    <b v="0"/>
    <n v="438130.48800000001"/>
    <b v="1"/>
    <n v="0"/>
    <b v="0"/>
    <n v="2067505.3859999999"/>
    <m/>
    <n v="2067505.3859999999"/>
    <n v="6"/>
    <b v="1"/>
    <b v="0"/>
  </r>
  <r>
    <s v="C"/>
    <s v="M"/>
    <n v="20230801"/>
    <x v="0"/>
    <x v="1"/>
    <s v="202308"/>
    <n v="818"/>
    <s v="EGY"/>
    <x v="0"/>
    <s v="M"/>
    <s v="Import"/>
    <n v="380"/>
    <s v="ITA"/>
    <x v="12"/>
    <n v="0"/>
    <s v="W00"/>
    <s v="World"/>
    <s v="H6"/>
    <s v="HS"/>
    <b v="1"/>
    <s v="382499"/>
    <s v="Chemical products, mixtures and preparations; n.e.c. heading 3824"/>
    <n v="6"/>
    <b v="1"/>
    <s v="C00"/>
    <s v="TOTAL CPC"/>
    <s v="0"/>
    <n v="0"/>
    <s v="TOTAL MOT"/>
    <n v="8"/>
    <s v="kg"/>
    <n v="323688.85600000003"/>
    <b v="1"/>
    <n v="-1"/>
    <s v="N/A"/>
    <n v="0"/>
    <b v="0"/>
    <n v="323688.85600000003"/>
    <b v="1"/>
    <n v="0"/>
    <b v="0"/>
    <n v="1527463.7830000001"/>
    <m/>
    <n v="1527463.7830000001"/>
    <n v="6"/>
    <b v="1"/>
    <b v="0"/>
  </r>
  <r>
    <s v="C"/>
    <s v="M"/>
    <n v="20230801"/>
    <x v="0"/>
    <x v="1"/>
    <s v="202308"/>
    <n v="818"/>
    <s v="EGY"/>
    <x v="0"/>
    <s v="M"/>
    <s v="Import"/>
    <n v="392"/>
    <s v="JPN"/>
    <x v="30"/>
    <n v="0"/>
    <s v="W00"/>
    <s v="World"/>
    <s v="H6"/>
    <s v="HS"/>
    <b v="1"/>
    <s v="382499"/>
    <s v="Chemical products, mixtures and preparations; n.e.c. heading 3824"/>
    <n v="6"/>
    <b v="1"/>
    <s v="C00"/>
    <s v="TOTAL CPC"/>
    <s v="0"/>
    <n v="0"/>
    <s v="TOTAL MOT"/>
    <n v="8"/>
    <s v="kg"/>
    <n v="1663.15"/>
    <b v="1"/>
    <n v="-1"/>
    <s v="N/A"/>
    <n v="0"/>
    <b v="0"/>
    <n v="1663.15"/>
    <b v="1"/>
    <n v="0"/>
    <b v="0"/>
    <n v="7848.2830000000004"/>
    <m/>
    <n v="7848.2830000000004"/>
    <n v="6"/>
    <b v="1"/>
    <b v="0"/>
  </r>
  <r>
    <s v="C"/>
    <s v="M"/>
    <n v="20230801"/>
    <x v="0"/>
    <x v="1"/>
    <s v="202308"/>
    <n v="818"/>
    <s v="EGY"/>
    <x v="0"/>
    <s v="M"/>
    <s v="Import"/>
    <n v="410"/>
    <s v="KOR"/>
    <x v="13"/>
    <n v="0"/>
    <s v="W00"/>
    <s v="World"/>
    <s v="H6"/>
    <s v="HS"/>
    <b v="1"/>
    <s v="382499"/>
    <s v="Chemical products, mixtures and preparations; n.e.c. heading 3824"/>
    <n v="6"/>
    <b v="1"/>
    <s v="C00"/>
    <s v="TOTAL CPC"/>
    <s v="0"/>
    <n v="0"/>
    <s v="TOTAL MOT"/>
    <n v="8"/>
    <s v="kg"/>
    <n v="61653.216999999997"/>
    <b v="1"/>
    <n v="-1"/>
    <s v="N/A"/>
    <n v="0"/>
    <b v="0"/>
    <n v="61653.216999999997"/>
    <b v="1"/>
    <n v="0"/>
    <b v="0"/>
    <n v="290936.97499999998"/>
    <m/>
    <n v="290936.97499999998"/>
    <n v="6"/>
    <b v="1"/>
    <b v="0"/>
  </r>
  <r>
    <s v="C"/>
    <s v="M"/>
    <n v="20230801"/>
    <x v="0"/>
    <x v="1"/>
    <s v="202308"/>
    <n v="818"/>
    <s v="EGY"/>
    <x v="0"/>
    <s v="M"/>
    <s v="Import"/>
    <n v="442"/>
    <s v="LUX"/>
    <x v="31"/>
    <n v="0"/>
    <s v="W00"/>
    <s v="World"/>
    <s v="H6"/>
    <s v="HS"/>
    <b v="1"/>
    <s v="382499"/>
    <s v="Chemical products, mixtures and preparations; n.e.c. heading 3824"/>
    <n v="6"/>
    <b v="1"/>
    <s v="C00"/>
    <s v="TOTAL CPC"/>
    <s v="0"/>
    <n v="0"/>
    <s v="TOTAL MOT"/>
    <n v="8"/>
    <s v="kg"/>
    <n v="741.24900000000002"/>
    <b v="1"/>
    <n v="-1"/>
    <s v="N/A"/>
    <n v="0"/>
    <b v="0"/>
    <n v="741.24900000000002"/>
    <b v="1"/>
    <n v="0"/>
    <b v="0"/>
    <n v="3497.8969999999999"/>
    <m/>
    <n v="3497.8969999999999"/>
    <n v="6"/>
    <b v="1"/>
    <b v="0"/>
  </r>
  <r>
    <s v="C"/>
    <s v="M"/>
    <n v="20230801"/>
    <x v="0"/>
    <x v="1"/>
    <s v="202308"/>
    <n v="818"/>
    <s v="EGY"/>
    <x v="0"/>
    <s v="M"/>
    <s v="Import"/>
    <n v="458"/>
    <s v="MYS"/>
    <x v="14"/>
    <n v="0"/>
    <s v="W00"/>
    <s v="World"/>
    <s v="H6"/>
    <s v="HS"/>
    <b v="1"/>
    <s v="382499"/>
    <s v="Chemical products, mixtures and preparations; n.e.c. heading 3824"/>
    <n v="6"/>
    <b v="1"/>
    <s v="C00"/>
    <s v="TOTAL CPC"/>
    <s v="0"/>
    <n v="0"/>
    <s v="TOTAL MOT"/>
    <n v="8"/>
    <s v="kg"/>
    <n v="43701.248"/>
    <b v="1"/>
    <n v="-1"/>
    <s v="N/A"/>
    <n v="0"/>
    <b v="0"/>
    <n v="43701.248"/>
    <b v="1"/>
    <n v="0"/>
    <b v="0"/>
    <n v="206222.96100000001"/>
    <m/>
    <n v="206222.96100000001"/>
    <n v="6"/>
    <b v="1"/>
    <b v="0"/>
  </r>
  <r>
    <s v="C"/>
    <s v="M"/>
    <n v="20230801"/>
    <x v="0"/>
    <x v="1"/>
    <s v="202308"/>
    <n v="818"/>
    <s v="EGY"/>
    <x v="0"/>
    <s v="M"/>
    <s v="Import"/>
    <n v="484"/>
    <s v="MEX"/>
    <x v="32"/>
    <n v="0"/>
    <s v="W00"/>
    <s v="World"/>
    <s v="H6"/>
    <s v="HS"/>
    <b v="1"/>
    <s v="382499"/>
    <s v="Chemical products, mixtures and preparations; n.e.c. heading 3824"/>
    <n v="6"/>
    <b v="1"/>
    <s v="C00"/>
    <s v="TOTAL CPC"/>
    <s v="0"/>
    <n v="0"/>
    <s v="TOTAL MOT"/>
    <n v="8"/>
    <s v="kg"/>
    <n v="19915.494999999999"/>
    <b v="1"/>
    <n v="-1"/>
    <s v="N/A"/>
    <n v="0"/>
    <b v="0"/>
    <n v="19915.494999999999"/>
    <b v="1"/>
    <n v="0"/>
    <b v="0"/>
    <n v="93979.751000000004"/>
    <m/>
    <n v="93979.751000000004"/>
    <n v="6"/>
    <b v="1"/>
    <b v="0"/>
  </r>
  <r>
    <s v="C"/>
    <s v="M"/>
    <n v="20230801"/>
    <x v="0"/>
    <x v="1"/>
    <s v="202308"/>
    <n v="818"/>
    <s v="EGY"/>
    <x v="0"/>
    <s v="M"/>
    <s v="Import"/>
    <n v="528"/>
    <s v="NLD"/>
    <x v="33"/>
    <n v="0"/>
    <s v="W00"/>
    <s v="World"/>
    <s v="H6"/>
    <s v="HS"/>
    <b v="1"/>
    <s v="382499"/>
    <s v="Chemical products, mixtures and preparations; n.e.c. heading 3824"/>
    <n v="6"/>
    <b v="1"/>
    <s v="C00"/>
    <s v="TOTAL CPC"/>
    <s v="0"/>
    <n v="0"/>
    <s v="TOTAL MOT"/>
    <n v="8"/>
    <s v="kg"/>
    <n v="76588.964999999997"/>
    <b v="1"/>
    <n v="-1"/>
    <s v="N/A"/>
    <n v="0"/>
    <b v="0"/>
    <n v="76588.964999999997"/>
    <b v="1"/>
    <n v="0"/>
    <b v="0"/>
    <n v="361417.66700000002"/>
    <m/>
    <n v="361417.66700000002"/>
    <n v="6"/>
    <b v="1"/>
    <b v="0"/>
  </r>
  <r>
    <s v="C"/>
    <s v="M"/>
    <n v="20230801"/>
    <x v="0"/>
    <x v="1"/>
    <s v="202308"/>
    <n v="818"/>
    <s v="EGY"/>
    <x v="0"/>
    <s v="M"/>
    <s v="Import"/>
    <n v="568"/>
    <s v="E19"/>
    <x v="34"/>
    <n v="0"/>
    <s v="W00"/>
    <s v="World"/>
    <s v="H6"/>
    <s v="HS"/>
    <b v="1"/>
    <s v="382499"/>
    <s v="Chemical products, mixtures and preparations; n.e.c. heading 3824"/>
    <n v="6"/>
    <b v="1"/>
    <s v="C00"/>
    <s v="TOTAL CPC"/>
    <s v="0"/>
    <n v="0"/>
    <s v="TOTAL MOT"/>
    <n v="8"/>
    <s v="kg"/>
    <n v="27506.496999999999"/>
    <b v="1"/>
    <n v="-1"/>
    <s v="N/A"/>
    <n v="0"/>
    <b v="0"/>
    <n v="27506.496999999999"/>
    <b v="1"/>
    <n v="0"/>
    <b v="0"/>
    <n v="129801.128"/>
    <m/>
    <n v="129801.128"/>
    <n v="6"/>
    <b v="1"/>
    <b v="0"/>
  </r>
  <r>
    <s v="C"/>
    <s v="M"/>
    <n v="20230801"/>
    <x v="0"/>
    <x v="1"/>
    <s v="202308"/>
    <n v="818"/>
    <s v="EGY"/>
    <x v="0"/>
    <s v="M"/>
    <s v="Import"/>
    <n v="616"/>
    <s v="POL"/>
    <x v="35"/>
    <n v="0"/>
    <s v="W00"/>
    <s v="World"/>
    <s v="H6"/>
    <s v="HS"/>
    <b v="1"/>
    <s v="382499"/>
    <s v="Chemical products, mixtures and preparations; n.e.c. heading 3824"/>
    <n v="6"/>
    <b v="1"/>
    <s v="C00"/>
    <s v="TOTAL CPC"/>
    <s v="0"/>
    <n v="0"/>
    <s v="TOTAL MOT"/>
    <n v="8"/>
    <s v="kg"/>
    <n v="1617.9290000000001"/>
    <b v="1"/>
    <n v="-1"/>
    <s v="N/A"/>
    <n v="0"/>
    <b v="0"/>
    <n v="1617.9290000000001"/>
    <b v="1"/>
    <n v="0"/>
    <b v="0"/>
    <n v="7634.8869999999997"/>
    <m/>
    <n v="7634.8869999999997"/>
    <n v="6"/>
    <b v="1"/>
    <b v="0"/>
  </r>
  <r>
    <s v="C"/>
    <s v="M"/>
    <n v="20230801"/>
    <x v="0"/>
    <x v="1"/>
    <s v="202308"/>
    <n v="818"/>
    <s v="EGY"/>
    <x v="0"/>
    <s v="M"/>
    <s v="Import"/>
    <n v="634"/>
    <s v="QAT"/>
    <x v="17"/>
    <n v="0"/>
    <s v="W00"/>
    <s v="World"/>
    <s v="H6"/>
    <s v="HS"/>
    <b v="1"/>
    <s v="382499"/>
    <s v="Chemical products, mixtures and preparations; n.e.c. heading 3824"/>
    <n v="6"/>
    <b v="1"/>
    <s v="C00"/>
    <s v="TOTAL CPC"/>
    <s v="0"/>
    <n v="0"/>
    <s v="TOTAL MOT"/>
    <n v="8"/>
    <s v="kg"/>
    <n v="84865.388000000006"/>
    <b v="1"/>
    <n v="-1"/>
    <s v="N/A"/>
    <n v="0"/>
    <b v="0"/>
    <n v="84865.388000000006"/>
    <b v="1"/>
    <n v="0"/>
    <b v="0"/>
    <n v="400473.49400000001"/>
    <m/>
    <n v="400473.49400000001"/>
    <n v="6"/>
    <b v="1"/>
    <b v="0"/>
  </r>
  <r>
    <s v="C"/>
    <s v="M"/>
    <n v="20230801"/>
    <x v="0"/>
    <x v="1"/>
    <s v="202308"/>
    <n v="818"/>
    <s v="EGY"/>
    <x v="0"/>
    <s v="M"/>
    <s v="Import"/>
    <n v="682"/>
    <s v="SAU"/>
    <x v="18"/>
    <n v="0"/>
    <s v="W00"/>
    <s v="World"/>
    <s v="H6"/>
    <s v="HS"/>
    <b v="1"/>
    <s v="382499"/>
    <s v="Chemical products, mixtures and preparations; n.e.c. heading 3824"/>
    <n v="6"/>
    <b v="1"/>
    <s v="C00"/>
    <s v="TOTAL CPC"/>
    <s v="0"/>
    <n v="0"/>
    <s v="TOTAL MOT"/>
    <n v="8"/>
    <s v="kg"/>
    <n v="44190.637999999999"/>
    <b v="1"/>
    <n v="-1"/>
    <s v="N/A"/>
    <n v="0"/>
    <b v="0"/>
    <n v="44190.637999999999"/>
    <b v="1"/>
    <n v="0"/>
    <b v="0"/>
    <n v="208532.356"/>
    <m/>
    <n v="208532.356"/>
    <n v="6"/>
    <b v="1"/>
    <b v="0"/>
  </r>
  <r>
    <s v="C"/>
    <s v="M"/>
    <n v="20230801"/>
    <x v="0"/>
    <x v="1"/>
    <s v="202308"/>
    <n v="818"/>
    <s v="EGY"/>
    <x v="0"/>
    <s v="M"/>
    <s v="Import"/>
    <n v="699"/>
    <s v="IND"/>
    <x v="19"/>
    <n v="0"/>
    <s v="W00"/>
    <s v="World"/>
    <s v="H6"/>
    <s v="HS"/>
    <b v="1"/>
    <s v="382499"/>
    <s v="Chemical products, mixtures and preparations; n.e.c. heading 3824"/>
    <n v="6"/>
    <b v="1"/>
    <s v="C00"/>
    <s v="TOTAL CPC"/>
    <s v="0"/>
    <n v="0"/>
    <s v="TOTAL MOT"/>
    <n v="8"/>
    <s v="kg"/>
    <n v="295591.88199999998"/>
    <b v="1"/>
    <n v="-1"/>
    <s v="N/A"/>
    <n v="0"/>
    <b v="0"/>
    <n v="295591.88199999998"/>
    <b v="1"/>
    <n v="0"/>
    <b v="0"/>
    <n v="1394876.2409999999"/>
    <m/>
    <n v="1394876.2409999999"/>
    <n v="6"/>
    <b v="1"/>
    <b v="0"/>
  </r>
  <r>
    <s v="C"/>
    <s v="M"/>
    <n v="20230801"/>
    <x v="0"/>
    <x v="1"/>
    <s v="202308"/>
    <n v="818"/>
    <s v="EGY"/>
    <x v="0"/>
    <s v="M"/>
    <s v="Import"/>
    <n v="702"/>
    <s v="SGP"/>
    <x v="20"/>
    <n v="0"/>
    <s v="W00"/>
    <s v="World"/>
    <s v="H6"/>
    <s v="HS"/>
    <b v="1"/>
    <s v="382499"/>
    <s v="Chemical products, mixtures and preparations; n.e.c. heading 3824"/>
    <n v="6"/>
    <b v="1"/>
    <s v="C00"/>
    <s v="TOTAL CPC"/>
    <s v="0"/>
    <n v="0"/>
    <s v="TOTAL MOT"/>
    <n v="8"/>
    <s v="kg"/>
    <n v="35585.625999999997"/>
    <b v="1"/>
    <n v="-1"/>
    <s v="N/A"/>
    <n v="0"/>
    <b v="0"/>
    <n v="35585.625999999997"/>
    <b v="1"/>
    <n v="0"/>
    <b v="0"/>
    <n v="167925.93799999999"/>
    <m/>
    <n v="167925.93799999999"/>
    <n v="6"/>
    <b v="1"/>
    <b v="0"/>
  </r>
  <r>
    <s v="C"/>
    <s v="M"/>
    <n v="20230801"/>
    <x v="0"/>
    <x v="1"/>
    <s v="202308"/>
    <n v="818"/>
    <s v="EGY"/>
    <x v="0"/>
    <s v="M"/>
    <s v="Import"/>
    <n v="703"/>
    <s v="SVK"/>
    <x v="36"/>
    <n v="0"/>
    <s v="W00"/>
    <s v="World"/>
    <s v="H6"/>
    <s v="HS"/>
    <b v="1"/>
    <s v="382499"/>
    <s v="Chemical products, mixtures and preparations; n.e.c. heading 3824"/>
    <n v="6"/>
    <b v="1"/>
    <s v="C00"/>
    <s v="TOTAL CPC"/>
    <s v="0"/>
    <n v="0"/>
    <s v="TOTAL MOT"/>
    <n v="8"/>
    <s v="kg"/>
    <n v="4292.2460000000001"/>
    <b v="1"/>
    <n v="-1"/>
    <s v="N/A"/>
    <n v="0"/>
    <b v="0"/>
    <n v="4292.2460000000001"/>
    <b v="1"/>
    <n v="0"/>
    <b v="0"/>
    <n v="20254.793000000001"/>
    <m/>
    <n v="20254.793000000001"/>
    <n v="6"/>
    <b v="1"/>
    <b v="0"/>
  </r>
  <r>
    <s v="C"/>
    <s v="M"/>
    <n v="20230801"/>
    <x v="0"/>
    <x v="1"/>
    <s v="202308"/>
    <n v="818"/>
    <s v="EGY"/>
    <x v="0"/>
    <s v="M"/>
    <s v="Import"/>
    <n v="710"/>
    <s v="ZAF"/>
    <x v="21"/>
    <n v="0"/>
    <s v="W00"/>
    <s v="World"/>
    <s v="H6"/>
    <s v="HS"/>
    <b v="1"/>
    <s v="382499"/>
    <s v="Chemical products, mixtures and preparations; n.e.c. heading 3824"/>
    <n v="6"/>
    <b v="1"/>
    <s v="C00"/>
    <s v="TOTAL CPC"/>
    <s v="0"/>
    <n v="0"/>
    <s v="TOTAL MOT"/>
    <n v="8"/>
    <s v="kg"/>
    <n v="1091.68"/>
    <b v="1"/>
    <n v="-1"/>
    <s v="N/A"/>
    <n v="0"/>
    <b v="0"/>
    <n v="1091.68"/>
    <b v="1"/>
    <n v="0"/>
    <b v="0"/>
    <n v="5151.558"/>
    <m/>
    <n v="5151.558"/>
    <n v="6"/>
    <b v="1"/>
    <b v="0"/>
  </r>
  <r>
    <s v="C"/>
    <s v="M"/>
    <n v="20230801"/>
    <x v="0"/>
    <x v="1"/>
    <s v="202308"/>
    <n v="818"/>
    <s v="EGY"/>
    <x v="0"/>
    <s v="M"/>
    <s v="Import"/>
    <n v="724"/>
    <s v="ESP"/>
    <x v="22"/>
    <n v="0"/>
    <s v="W00"/>
    <s v="World"/>
    <s v="H6"/>
    <s v="HS"/>
    <b v="1"/>
    <s v="382499"/>
    <s v="Chemical products, mixtures and preparations; n.e.c. heading 3824"/>
    <n v="6"/>
    <b v="1"/>
    <s v="C00"/>
    <s v="TOTAL CPC"/>
    <s v="0"/>
    <n v="0"/>
    <s v="TOTAL MOT"/>
    <n v="8"/>
    <s v="kg"/>
    <n v="178586.73699999999"/>
    <b v="1"/>
    <n v="-1"/>
    <s v="N/A"/>
    <n v="0"/>
    <b v="0"/>
    <n v="178586.73699999999"/>
    <b v="1"/>
    <n v="0"/>
    <b v="0"/>
    <n v="842737.61199999996"/>
    <m/>
    <n v="842737.61199999996"/>
    <n v="6"/>
    <b v="1"/>
    <b v="0"/>
  </r>
  <r>
    <s v="C"/>
    <s v="M"/>
    <n v="20230801"/>
    <x v="0"/>
    <x v="1"/>
    <s v="202308"/>
    <n v="818"/>
    <s v="EGY"/>
    <x v="0"/>
    <s v="M"/>
    <s v="Import"/>
    <n v="752"/>
    <s v="SWE"/>
    <x v="37"/>
    <n v="0"/>
    <s v="W00"/>
    <s v="World"/>
    <s v="H6"/>
    <s v="HS"/>
    <b v="1"/>
    <s v="382499"/>
    <s v="Chemical products, mixtures and preparations; n.e.c. heading 3824"/>
    <n v="6"/>
    <b v="1"/>
    <s v="C00"/>
    <s v="TOTAL CPC"/>
    <s v="0"/>
    <n v="0"/>
    <s v="TOTAL MOT"/>
    <n v="8"/>
    <s v="kg"/>
    <n v="4567.902"/>
    <b v="1"/>
    <n v="-1"/>
    <s v="N/A"/>
    <n v="0"/>
    <b v="0"/>
    <n v="4567.902"/>
    <b v="1"/>
    <n v="0"/>
    <b v="0"/>
    <n v="21555.594000000001"/>
    <m/>
    <n v="21555.594000000001"/>
    <n v="6"/>
    <b v="1"/>
    <b v="0"/>
  </r>
  <r>
    <s v="C"/>
    <s v="M"/>
    <n v="20230801"/>
    <x v="0"/>
    <x v="1"/>
    <s v="202308"/>
    <n v="818"/>
    <s v="EGY"/>
    <x v="0"/>
    <s v="M"/>
    <s v="Import"/>
    <n v="757"/>
    <s v="CHE"/>
    <x v="23"/>
    <n v="0"/>
    <s v="W00"/>
    <s v="World"/>
    <s v="H6"/>
    <s v="HS"/>
    <b v="1"/>
    <s v="382499"/>
    <s v="Chemical products, mixtures and preparations; n.e.c. heading 3824"/>
    <n v="6"/>
    <b v="1"/>
    <s v="C00"/>
    <s v="TOTAL CPC"/>
    <s v="0"/>
    <n v="0"/>
    <s v="TOTAL MOT"/>
    <n v="8"/>
    <s v="kg"/>
    <n v="23045.294000000002"/>
    <b v="1"/>
    <n v="-1"/>
    <s v="N/A"/>
    <n v="0"/>
    <b v="0"/>
    <n v="23045.294000000002"/>
    <b v="1"/>
    <n v="0"/>
    <b v="0"/>
    <n v="108749.039"/>
    <m/>
    <n v="108749.039"/>
    <n v="6"/>
    <b v="1"/>
    <b v="0"/>
  </r>
  <r>
    <s v="C"/>
    <s v="M"/>
    <n v="20230801"/>
    <x v="0"/>
    <x v="1"/>
    <s v="202308"/>
    <n v="818"/>
    <s v="EGY"/>
    <x v="0"/>
    <s v="M"/>
    <s v="Import"/>
    <n v="764"/>
    <s v="THA"/>
    <x v="24"/>
    <n v="0"/>
    <s v="W00"/>
    <s v="World"/>
    <s v="H6"/>
    <s v="HS"/>
    <b v="1"/>
    <s v="382499"/>
    <s v="Chemical products, mixtures and preparations; n.e.c. heading 3824"/>
    <n v="6"/>
    <b v="1"/>
    <s v="C00"/>
    <s v="TOTAL CPC"/>
    <s v="0"/>
    <n v="0"/>
    <s v="TOTAL MOT"/>
    <n v="8"/>
    <s v="kg"/>
    <n v="1050.835"/>
    <b v="1"/>
    <n v="-1"/>
    <s v="N/A"/>
    <n v="0"/>
    <b v="0"/>
    <n v="1050.835"/>
    <b v="1"/>
    <n v="0"/>
    <b v="0"/>
    <n v="4958.8109999999997"/>
    <m/>
    <n v="4958.8109999999997"/>
    <n v="6"/>
    <b v="1"/>
    <b v="0"/>
  </r>
  <r>
    <s v="C"/>
    <s v="M"/>
    <n v="20230801"/>
    <x v="0"/>
    <x v="1"/>
    <s v="202308"/>
    <n v="818"/>
    <s v="EGY"/>
    <x v="0"/>
    <s v="M"/>
    <s v="Import"/>
    <n v="784"/>
    <s v="ARE"/>
    <x v="25"/>
    <n v="0"/>
    <s v="W00"/>
    <s v="World"/>
    <s v="H6"/>
    <s v="HS"/>
    <b v="1"/>
    <s v="382499"/>
    <s v="Chemical products, mixtures and preparations; n.e.c. heading 3824"/>
    <n v="6"/>
    <b v="1"/>
    <s v="C00"/>
    <s v="TOTAL CPC"/>
    <s v="0"/>
    <n v="0"/>
    <s v="TOTAL MOT"/>
    <n v="8"/>
    <s v="kg"/>
    <n v="138126.63"/>
    <b v="1"/>
    <n v="-1"/>
    <s v="N/A"/>
    <n v="0"/>
    <b v="0"/>
    <n v="138126.63"/>
    <b v="1"/>
    <n v="0"/>
    <b v="0"/>
    <n v="651809.35600000003"/>
    <m/>
    <n v="651809.35600000003"/>
    <n v="6"/>
    <b v="1"/>
    <b v="0"/>
  </r>
  <r>
    <s v="C"/>
    <s v="M"/>
    <n v="20230801"/>
    <x v="0"/>
    <x v="1"/>
    <s v="202308"/>
    <n v="818"/>
    <s v="EGY"/>
    <x v="0"/>
    <s v="M"/>
    <s v="Import"/>
    <n v="792"/>
    <s v="TUR"/>
    <x v="26"/>
    <n v="0"/>
    <s v="W00"/>
    <s v="World"/>
    <s v="H6"/>
    <s v="HS"/>
    <b v="1"/>
    <s v="382499"/>
    <s v="Chemical products, mixtures and preparations; n.e.c. heading 3824"/>
    <n v="6"/>
    <b v="1"/>
    <s v="C00"/>
    <s v="TOTAL CPC"/>
    <s v="0"/>
    <n v="0"/>
    <s v="TOTAL MOT"/>
    <n v="8"/>
    <s v="kg"/>
    <n v="74496.922000000006"/>
    <b v="1"/>
    <n v="-1"/>
    <s v="N/A"/>
    <n v="0"/>
    <b v="0"/>
    <n v="74496.922000000006"/>
    <b v="1"/>
    <n v="0"/>
    <b v="0"/>
    <n v="351545.46899999998"/>
    <m/>
    <n v="351545.46899999998"/>
    <n v="6"/>
    <b v="1"/>
    <b v="0"/>
  </r>
  <r>
    <s v="C"/>
    <s v="M"/>
    <n v="20230801"/>
    <x v="0"/>
    <x v="1"/>
    <s v="202308"/>
    <n v="818"/>
    <s v="EGY"/>
    <x v="0"/>
    <s v="M"/>
    <s v="Import"/>
    <n v="826"/>
    <s v="GBR"/>
    <x v="27"/>
    <n v="0"/>
    <s v="W00"/>
    <s v="World"/>
    <s v="H6"/>
    <s v="HS"/>
    <b v="1"/>
    <s v="382499"/>
    <s v="Chemical products, mixtures and preparations; n.e.c. heading 3824"/>
    <n v="6"/>
    <b v="1"/>
    <s v="C00"/>
    <s v="TOTAL CPC"/>
    <s v="0"/>
    <n v="0"/>
    <s v="TOTAL MOT"/>
    <n v="8"/>
    <s v="kg"/>
    <n v="72589.066999999995"/>
    <b v="1"/>
    <n v="-1"/>
    <s v="N/A"/>
    <n v="0"/>
    <b v="0"/>
    <n v="72589.066999999995"/>
    <b v="1"/>
    <n v="0"/>
    <b v="0"/>
    <n v="342542.44300000003"/>
    <m/>
    <n v="342542.44300000003"/>
    <n v="6"/>
    <b v="1"/>
    <b v="0"/>
  </r>
  <r>
    <s v="C"/>
    <s v="M"/>
    <n v="20230801"/>
    <x v="0"/>
    <x v="1"/>
    <s v="202308"/>
    <n v="818"/>
    <s v="EGY"/>
    <x v="0"/>
    <s v="M"/>
    <s v="Import"/>
    <n v="842"/>
    <s v="USA"/>
    <x v="28"/>
    <n v="0"/>
    <s v="W00"/>
    <s v="World"/>
    <s v="H6"/>
    <s v="HS"/>
    <b v="1"/>
    <s v="382499"/>
    <s v="Chemical products, mixtures and preparations; n.e.c. heading 3824"/>
    <n v="6"/>
    <b v="1"/>
    <s v="C00"/>
    <s v="TOTAL CPC"/>
    <s v="0"/>
    <n v="0"/>
    <s v="TOTAL MOT"/>
    <n v="8"/>
    <s v="kg"/>
    <n v="241030.065"/>
    <b v="1"/>
    <n v="-1"/>
    <s v="N/A"/>
    <n v="0"/>
    <b v="0"/>
    <n v="241030.065"/>
    <b v="1"/>
    <n v="0"/>
    <b v="0"/>
    <n v="1137403.061"/>
    <m/>
    <n v="1137403.061"/>
    <n v="6"/>
    <b v="1"/>
    <b v="0"/>
  </r>
  <r>
    <s v="C"/>
    <s v="M"/>
    <n v="20230901"/>
    <x v="0"/>
    <x v="2"/>
    <s v="202309"/>
    <n v="818"/>
    <s v="EGY"/>
    <x v="0"/>
    <s v="M"/>
    <s v="Import"/>
    <n v="0"/>
    <s v="W00"/>
    <x v="0"/>
    <n v="0"/>
    <s v="W00"/>
    <s v="World"/>
    <s v="H6"/>
    <s v="HS"/>
    <b v="1"/>
    <s v="382499"/>
    <s v="Chemical products, mixtures and preparations; n.e.c. heading 3824"/>
    <n v="6"/>
    <b v="1"/>
    <s v="C00"/>
    <s v="TOTAL CPC"/>
    <s v="0"/>
    <n v="0"/>
    <s v="TOTAL MOT"/>
    <n v="8"/>
    <s v="kg"/>
    <n v="2850035.7489999998"/>
    <b v="1"/>
    <n v="-1"/>
    <s v="N/A"/>
    <n v="0"/>
    <b v="0"/>
    <n v="2850035.7489999998"/>
    <b v="1"/>
    <n v="0"/>
    <b v="0"/>
    <n v="13449108.035"/>
    <m/>
    <n v="13449108.035"/>
    <n v="6"/>
    <b v="0"/>
    <b v="1"/>
  </r>
  <r>
    <s v="C"/>
    <s v="M"/>
    <n v="20230901"/>
    <x v="0"/>
    <x v="2"/>
    <s v="202309"/>
    <n v="818"/>
    <s v="EGY"/>
    <x v="0"/>
    <s v="M"/>
    <s v="Import"/>
    <n v="36"/>
    <s v="AUS"/>
    <x v="2"/>
    <n v="0"/>
    <s v="W00"/>
    <s v="World"/>
    <s v="H6"/>
    <s v="HS"/>
    <b v="1"/>
    <s v="382499"/>
    <s v="Chemical products, mixtures and preparations; n.e.c. heading 3824"/>
    <n v="6"/>
    <b v="1"/>
    <s v="C00"/>
    <s v="TOTAL CPC"/>
    <s v="0"/>
    <n v="0"/>
    <s v="TOTAL MOT"/>
    <n v="8"/>
    <s v="kg"/>
    <n v="1807.7239999999999"/>
    <b v="1"/>
    <n v="-1"/>
    <s v="N/A"/>
    <n v="0"/>
    <b v="0"/>
    <n v="1807.7239999999999"/>
    <b v="1"/>
    <n v="0"/>
    <b v="0"/>
    <n v="8530.5169999999998"/>
    <m/>
    <n v="8530.5169999999998"/>
    <n v="6"/>
    <b v="1"/>
    <b v="0"/>
  </r>
  <r>
    <s v="C"/>
    <s v="M"/>
    <n v="20230901"/>
    <x v="0"/>
    <x v="2"/>
    <s v="202309"/>
    <n v="818"/>
    <s v="EGY"/>
    <x v="0"/>
    <s v="M"/>
    <s v="Import"/>
    <n v="40"/>
    <s v="AUT"/>
    <x v="3"/>
    <n v="0"/>
    <s v="W00"/>
    <s v="World"/>
    <s v="H6"/>
    <s v="HS"/>
    <b v="1"/>
    <s v="382499"/>
    <s v="Chemical products, mixtures and preparations; n.e.c. heading 3824"/>
    <n v="6"/>
    <b v="1"/>
    <s v="C00"/>
    <s v="TOTAL CPC"/>
    <s v="0"/>
    <n v="0"/>
    <s v="TOTAL MOT"/>
    <n v="8"/>
    <s v="kg"/>
    <n v="1168.933"/>
    <b v="1"/>
    <n v="-1"/>
    <s v="N/A"/>
    <n v="0"/>
    <b v="0"/>
    <n v="1168.933"/>
    <b v="1"/>
    <n v="0"/>
    <b v="0"/>
    <n v="5516.1090000000004"/>
    <m/>
    <n v="5516.1090000000004"/>
    <n v="6"/>
    <b v="1"/>
    <b v="0"/>
  </r>
  <r>
    <s v="C"/>
    <s v="M"/>
    <n v="20230901"/>
    <x v="0"/>
    <x v="2"/>
    <s v="202309"/>
    <n v="818"/>
    <s v="EGY"/>
    <x v="0"/>
    <s v="M"/>
    <s v="Import"/>
    <n v="56"/>
    <s v="BEL"/>
    <x v="4"/>
    <n v="0"/>
    <s v="W00"/>
    <s v="World"/>
    <s v="H6"/>
    <s v="HS"/>
    <b v="1"/>
    <s v="382499"/>
    <s v="Chemical products, mixtures and preparations; n.e.c. heading 3824"/>
    <n v="6"/>
    <b v="1"/>
    <s v="C00"/>
    <s v="TOTAL CPC"/>
    <s v="0"/>
    <n v="0"/>
    <s v="TOTAL MOT"/>
    <n v="8"/>
    <s v="kg"/>
    <n v="42165.108"/>
    <b v="1"/>
    <n v="-1"/>
    <s v="N/A"/>
    <n v="0"/>
    <b v="0"/>
    <n v="42165.108"/>
    <b v="1"/>
    <n v="0"/>
    <b v="0"/>
    <n v="198974.02799999999"/>
    <m/>
    <n v="198974.02799999999"/>
    <n v="6"/>
    <b v="1"/>
    <b v="0"/>
  </r>
  <r>
    <s v="C"/>
    <s v="M"/>
    <n v="20230901"/>
    <x v="0"/>
    <x v="2"/>
    <s v="202309"/>
    <n v="818"/>
    <s v="EGY"/>
    <x v="0"/>
    <s v="M"/>
    <s v="Import"/>
    <n v="156"/>
    <s v="CHN"/>
    <x v="6"/>
    <n v="0"/>
    <s v="W00"/>
    <s v="World"/>
    <s v="H6"/>
    <s v="HS"/>
    <b v="1"/>
    <s v="382499"/>
    <s v="Chemical products, mixtures and preparations; n.e.c. heading 3824"/>
    <n v="6"/>
    <b v="1"/>
    <s v="C00"/>
    <s v="TOTAL CPC"/>
    <s v="0"/>
    <n v="0"/>
    <s v="TOTAL MOT"/>
    <n v="8"/>
    <s v="kg"/>
    <n v="425293.28399999999"/>
    <b v="1"/>
    <n v="-1"/>
    <s v="N/A"/>
    <n v="0"/>
    <b v="0"/>
    <n v="425293.28399999999"/>
    <b v="1"/>
    <n v="0"/>
    <b v="0"/>
    <n v="2006927.5719999999"/>
    <m/>
    <n v="2006927.5719999999"/>
    <n v="6"/>
    <b v="1"/>
    <b v="0"/>
  </r>
  <r>
    <s v="C"/>
    <s v="M"/>
    <n v="20230901"/>
    <x v="0"/>
    <x v="2"/>
    <s v="202309"/>
    <n v="818"/>
    <s v="EGY"/>
    <x v="0"/>
    <s v="M"/>
    <s v="Import"/>
    <n v="208"/>
    <s v="DNK"/>
    <x v="7"/>
    <n v="0"/>
    <s v="W00"/>
    <s v="World"/>
    <s v="H6"/>
    <s v="HS"/>
    <b v="1"/>
    <s v="382499"/>
    <s v="Chemical products, mixtures and preparations; n.e.c. heading 3824"/>
    <n v="6"/>
    <b v="1"/>
    <s v="C00"/>
    <s v="TOTAL CPC"/>
    <s v="0"/>
    <n v="0"/>
    <s v="TOTAL MOT"/>
    <n v="8"/>
    <s v="kg"/>
    <n v="30199.403999999999"/>
    <b v="1"/>
    <n v="-1"/>
    <s v="N/A"/>
    <n v="0"/>
    <b v="0"/>
    <n v="30199.403999999999"/>
    <b v="1"/>
    <n v="0"/>
    <b v="0"/>
    <n v="142508.75599999999"/>
    <m/>
    <n v="142508.75599999999"/>
    <n v="6"/>
    <b v="1"/>
    <b v="0"/>
  </r>
  <r>
    <s v="C"/>
    <s v="M"/>
    <n v="20230901"/>
    <x v="0"/>
    <x v="2"/>
    <s v="202309"/>
    <n v="818"/>
    <s v="EGY"/>
    <x v="0"/>
    <s v="M"/>
    <s v="Import"/>
    <n v="251"/>
    <s v="FRA"/>
    <x v="8"/>
    <n v="0"/>
    <s v="W00"/>
    <s v="World"/>
    <s v="H6"/>
    <s v="HS"/>
    <b v="1"/>
    <s v="382499"/>
    <s v="Chemical products, mixtures and preparations; n.e.c. heading 3824"/>
    <n v="6"/>
    <b v="1"/>
    <s v="C00"/>
    <s v="TOTAL CPC"/>
    <s v="0"/>
    <n v="0"/>
    <s v="TOTAL MOT"/>
    <n v="8"/>
    <s v="kg"/>
    <n v="128007.14200000001"/>
    <b v="1"/>
    <n v="-1"/>
    <s v="N/A"/>
    <n v="0"/>
    <b v="0"/>
    <n v="128007.14200000001"/>
    <b v="1"/>
    <n v="0"/>
    <b v="0"/>
    <n v="604056.24199999997"/>
    <m/>
    <n v="604056.24199999997"/>
    <n v="6"/>
    <b v="1"/>
    <b v="0"/>
  </r>
  <r>
    <s v="C"/>
    <s v="M"/>
    <n v="20230901"/>
    <x v="0"/>
    <x v="2"/>
    <s v="202309"/>
    <n v="818"/>
    <s v="EGY"/>
    <x v="0"/>
    <s v="M"/>
    <s v="Import"/>
    <n v="276"/>
    <s v="DEU"/>
    <x v="9"/>
    <n v="0"/>
    <s v="W00"/>
    <s v="World"/>
    <s v="H6"/>
    <s v="HS"/>
    <b v="1"/>
    <s v="382499"/>
    <s v="Chemical products, mixtures and preparations; n.e.c. heading 3824"/>
    <n v="6"/>
    <b v="1"/>
    <s v="C00"/>
    <s v="TOTAL CPC"/>
    <s v="0"/>
    <n v="0"/>
    <s v="TOTAL MOT"/>
    <n v="8"/>
    <s v="kg"/>
    <n v="421955.49300000002"/>
    <b v="1"/>
    <n v="-1"/>
    <s v="N/A"/>
    <n v="0"/>
    <b v="0"/>
    <n v="421955.49300000002"/>
    <b v="1"/>
    <n v="0"/>
    <b v="0"/>
    <n v="1991176.7819999999"/>
    <m/>
    <n v="1991176.7819999999"/>
    <n v="6"/>
    <b v="1"/>
    <b v="0"/>
  </r>
  <r>
    <s v="C"/>
    <s v="M"/>
    <n v="20230901"/>
    <x v="0"/>
    <x v="2"/>
    <s v="202309"/>
    <n v="818"/>
    <s v="EGY"/>
    <x v="0"/>
    <s v="M"/>
    <s v="Import"/>
    <n v="300"/>
    <s v="GRC"/>
    <x v="38"/>
    <n v="0"/>
    <s v="W00"/>
    <s v="World"/>
    <s v="H6"/>
    <s v="HS"/>
    <b v="1"/>
    <s v="382499"/>
    <s v="Chemical products, mixtures and preparations; n.e.c. heading 3824"/>
    <n v="6"/>
    <b v="1"/>
    <s v="C00"/>
    <s v="TOTAL CPC"/>
    <s v="0"/>
    <n v="0"/>
    <s v="TOTAL MOT"/>
    <n v="8"/>
    <s v="kg"/>
    <n v="14993.894"/>
    <b v="1"/>
    <n v="-1"/>
    <s v="N/A"/>
    <n v="0"/>
    <b v="0"/>
    <n v="14993.894"/>
    <b v="1"/>
    <n v="0"/>
    <b v="0"/>
    <n v="70755.077999999994"/>
    <m/>
    <n v="70755.077999999994"/>
    <n v="6"/>
    <b v="1"/>
    <b v="0"/>
  </r>
  <r>
    <s v="C"/>
    <s v="M"/>
    <n v="20230901"/>
    <x v="0"/>
    <x v="2"/>
    <s v="202309"/>
    <n v="818"/>
    <s v="EGY"/>
    <x v="0"/>
    <s v="M"/>
    <s v="Import"/>
    <n v="372"/>
    <s v="IRL"/>
    <x v="39"/>
    <n v="0"/>
    <s v="W00"/>
    <s v="World"/>
    <s v="H6"/>
    <s v="HS"/>
    <b v="1"/>
    <s v="382499"/>
    <s v="Chemical products, mixtures and preparations; n.e.c. heading 3824"/>
    <n v="6"/>
    <b v="1"/>
    <s v="C00"/>
    <s v="TOTAL CPC"/>
    <s v="0"/>
    <n v="0"/>
    <s v="TOTAL MOT"/>
    <n v="8"/>
    <s v="kg"/>
    <n v="5956.951"/>
    <b v="1"/>
    <n v="-1"/>
    <s v="N/A"/>
    <n v="0"/>
    <b v="0"/>
    <n v="5956.951"/>
    <b v="1"/>
    <n v="0"/>
    <b v="0"/>
    <n v="28110.412"/>
    <m/>
    <n v="28110.412"/>
    <n v="6"/>
    <b v="1"/>
    <b v="0"/>
  </r>
  <r>
    <s v="C"/>
    <s v="M"/>
    <n v="20230901"/>
    <x v="0"/>
    <x v="2"/>
    <s v="202309"/>
    <n v="818"/>
    <s v="EGY"/>
    <x v="0"/>
    <s v="M"/>
    <s v="Import"/>
    <n v="380"/>
    <s v="ITA"/>
    <x v="12"/>
    <n v="0"/>
    <s v="W00"/>
    <s v="World"/>
    <s v="H6"/>
    <s v="HS"/>
    <b v="1"/>
    <s v="382499"/>
    <s v="Chemical products, mixtures and preparations; n.e.c. heading 3824"/>
    <n v="6"/>
    <b v="1"/>
    <s v="C00"/>
    <s v="TOTAL CPC"/>
    <s v="0"/>
    <n v="0"/>
    <s v="TOTAL MOT"/>
    <n v="8"/>
    <s v="kg"/>
    <n v="164566.193"/>
    <b v="1"/>
    <n v="-1"/>
    <s v="N/A"/>
    <n v="0"/>
    <b v="0"/>
    <n v="164566.193"/>
    <b v="1"/>
    <n v="0"/>
    <b v="0"/>
    <n v="776575.70200000005"/>
    <m/>
    <n v="776575.70200000005"/>
    <n v="6"/>
    <b v="1"/>
    <b v="0"/>
  </r>
  <r>
    <s v="C"/>
    <s v="M"/>
    <n v="20230901"/>
    <x v="0"/>
    <x v="2"/>
    <s v="202309"/>
    <n v="818"/>
    <s v="EGY"/>
    <x v="0"/>
    <s v="M"/>
    <s v="Import"/>
    <n v="392"/>
    <s v="JPN"/>
    <x v="30"/>
    <n v="0"/>
    <s v="W00"/>
    <s v="World"/>
    <s v="H6"/>
    <s v="HS"/>
    <b v="1"/>
    <s v="382499"/>
    <s v="Chemical products, mixtures and preparations; n.e.c. heading 3824"/>
    <n v="6"/>
    <b v="1"/>
    <s v="C00"/>
    <s v="TOTAL CPC"/>
    <s v="0"/>
    <n v="0"/>
    <s v="TOTAL MOT"/>
    <n v="8"/>
    <s v="kg"/>
    <n v="5231.3770000000004"/>
    <b v="1"/>
    <n v="-1"/>
    <s v="N/A"/>
    <n v="0"/>
    <b v="0"/>
    <n v="5231.3770000000004"/>
    <b v="1"/>
    <n v="0"/>
    <b v="0"/>
    <n v="24686.481"/>
    <m/>
    <n v="24686.481"/>
    <n v="6"/>
    <b v="1"/>
    <b v="0"/>
  </r>
  <r>
    <s v="C"/>
    <s v="M"/>
    <n v="20230901"/>
    <x v="0"/>
    <x v="2"/>
    <s v="202309"/>
    <n v="818"/>
    <s v="EGY"/>
    <x v="0"/>
    <s v="M"/>
    <s v="Import"/>
    <n v="400"/>
    <s v="JOR"/>
    <x v="40"/>
    <n v="0"/>
    <s v="W00"/>
    <s v="World"/>
    <s v="H6"/>
    <s v="HS"/>
    <b v="1"/>
    <s v="382499"/>
    <s v="Chemical products, mixtures and preparations; n.e.c. heading 3824"/>
    <n v="6"/>
    <b v="1"/>
    <s v="C00"/>
    <s v="TOTAL CPC"/>
    <s v="0"/>
    <n v="0"/>
    <s v="TOTAL MOT"/>
    <n v="8"/>
    <s v="kg"/>
    <n v="36650.290999999997"/>
    <b v="1"/>
    <n v="-1"/>
    <s v="N/A"/>
    <n v="0"/>
    <b v="0"/>
    <n v="36650.290999999997"/>
    <b v="1"/>
    <n v="0"/>
    <b v="0"/>
    <n v="172950.016"/>
    <m/>
    <n v="172950.016"/>
    <n v="6"/>
    <b v="1"/>
    <b v="0"/>
  </r>
  <r>
    <s v="C"/>
    <s v="M"/>
    <n v="20230901"/>
    <x v="0"/>
    <x v="2"/>
    <s v="202309"/>
    <n v="818"/>
    <s v="EGY"/>
    <x v="0"/>
    <s v="M"/>
    <s v="Import"/>
    <n v="410"/>
    <s v="KOR"/>
    <x v="13"/>
    <n v="0"/>
    <s v="W00"/>
    <s v="World"/>
    <s v="H6"/>
    <s v="HS"/>
    <b v="1"/>
    <s v="382499"/>
    <s v="Chemical products, mixtures and preparations; n.e.c. heading 3824"/>
    <n v="6"/>
    <b v="1"/>
    <s v="C00"/>
    <s v="TOTAL CPC"/>
    <s v="0"/>
    <n v="0"/>
    <s v="TOTAL MOT"/>
    <n v="8"/>
    <s v="kg"/>
    <n v="20765.987000000001"/>
    <b v="1"/>
    <n v="-1"/>
    <s v="N/A"/>
    <n v="0"/>
    <b v="0"/>
    <n v="20765.987000000001"/>
    <b v="1"/>
    <n v="0"/>
    <b v="0"/>
    <n v="97993.157000000007"/>
    <m/>
    <n v="97993.157000000007"/>
    <n v="6"/>
    <b v="1"/>
    <b v="0"/>
  </r>
  <r>
    <s v="C"/>
    <s v="M"/>
    <n v="20230901"/>
    <x v="0"/>
    <x v="2"/>
    <s v="202309"/>
    <n v="818"/>
    <s v="EGY"/>
    <x v="0"/>
    <s v="M"/>
    <s v="Import"/>
    <n v="458"/>
    <s v="MYS"/>
    <x v="14"/>
    <n v="0"/>
    <s v="W00"/>
    <s v="World"/>
    <s v="H6"/>
    <s v="HS"/>
    <b v="1"/>
    <s v="382499"/>
    <s v="Chemical products, mixtures and preparations; n.e.c. heading 3824"/>
    <n v="6"/>
    <b v="1"/>
    <s v="C00"/>
    <s v="TOTAL CPC"/>
    <s v="0"/>
    <n v="0"/>
    <s v="TOTAL MOT"/>
    <n v="8"/>
    <s v="kg"/>
    <n v="1188.0640000000001"/>
    <b v="1"/>
    <n v="-1"/>
    <s v="N/A"/>
    <n v="0"/>
    <b v="0"/>
    <n v="1188.0640000000001"/>
    <b v="1"/>
    <n v="0"/>
    <b v="0"/>
    <n v="5606.3890000000001"/>
    <m/>
    <n v="5606.3890000000001"/>
    <n v="6"/>
    <b v="1"/>
    <b v="0"/>
  </r>
  <r>
    <s v="C"/>
    <s v="M"/>
    <n v="20230901"/>
    <x v="0"/>
    <x v="2"/>
    <s v="202309"/>
    <n v="818"/>
    <s v="EGY"/>
    <x v="0"/>
    <s v="M"/>
    <s v="Import"/>
    <n v="528"/>
    <s v="NLD"/>
    <x v="33"/>
    <n v="0"/>
    <s v="W00"/>
    <s v="World"/>
    <s v="H6"/>
    <s v="HS"/>
    <b v="1"/>
    <s v="382499"/>
    <s v="Chemical products, mixtures and preparations; n.e.c. heading 3824"/>
    <n v="6"/>
    <b v="1"/>
    <s v="C00"/>
    <s v="TOTAL CPC"/>
    <s v="0"/>
    <n v="0"/>
    <s v="TOTAL MOT"/>
    <n v="8"/>
    <s v="kg"/>
    <n v="27204.224999999999"/>
    <b v="1"/>
    <n v="-1"/>
    <s v="N/A"/>
    <n v="0"/>
    <b v="0"/>
    <n v="27204.224999999999"/>
    <b v="1"/>
    <n v="0"/>
    <b v="0"/>
    <n v="128374.72500000001"/>
    <m/>
    <n v="128374.72500000001"/>
    <n v="6"/>
    <b v="1"/>
    <b v="0"/>
  </r>
  <r>
    <s v="C"/>
    <s v="M"/>
    <n v="20230901"/>
    <x v="0"/>
    <x v="2"/>
    <s v="202309"/>
    <n v="818"/>
    <s v="EGY"/>
    <x v="0"/>
    <s v="M"/>
    <s v="Import"/>
    <n v="568"/>
    <s v="E19"/>
    <x v="34"/>
    <n v="0"/>
    <s v="W00"/>
    <s v="World"/>
    <s v="H6"/>
    <s v="HS"/>
    <b v="1"/>
    <s v="382499"/>
    <s v="Chemical products, mixtures and preparations; n.e.c. heading 3824"/>
    <n v="6"/>
    <b v="1"/>
    <s v="C00"/>
    <s v="TOTAL CPC"/>
    <s v="0"/>
    <n v="0"/>
    <s v="TOTAL MOT"/>
    <n v="8"/>
    <s v="kg"/>
    <n v="74611.517999999996"/>
    <b v="1"/>
    <n v="-1"/>
    <s v="N/A"/>
    <n v="0"/>
    <b v="0"/>
    <n v="74611.517999999996"/>
    <b v="1"/>
    <n v="0"/>
    <b v="0"/>
    <n v="352086.23800000001"/>
    <m/>
    <n v="352086.23800000001"/>
    <n v="6"/>
    <b v="1"/>
    <b v="0"/>
  </r>
  <r>
    <s v="C"/>
    <s v="M"/>
    <n v="20230901"/>
    <x v="0"/>
    <x v="2"/>
    <s v="202309"/>
    <n v="818"/>
    <s v="EGY"/>
    <x v="0"/>
    <s v="M"/>
    <s v="Import"/>
    <n v="616"/>
    <s v="POL"/>
    <x v="35"/>
    <n v="0"/>
    <s v="W00"/>
    <s v="World"/>
    <s v="H6"/>
    <s v="HS"/>
    <b v="1"/>
    <s v="382499"/>
    <s v="Chemical products, mixtures and preparations; n.e.c. heading 3824"/>
    <n v="6"/>
    <b v="1"/>
    <s v="C00"/>
    <s v="TOTAL CPC"/>
    <s v="0"/>
    <n v="0"/>
    <s v="TOTAL MOT"/>
    <n v="8"/>
    <s v="kg"/>
    <n v="12913.428"/>
    <b v="1"/>
    <n v="-1"/>
    <s v="N/A"/>
    <n v="0"/>
    <b v="0"/>
    <n v="12913.428"/>
    <b v="1"/>
    <n v="0"/>
    <b v="0"/>
    <n v="60937.512000000002"/>
    <m/>
    <n v="60937.512000000002"/>
    <n v="6"/>
    <b v="1"/>
    <b v="0"/>
  </r>
  <r>
    <s v="C"/>
    <s v="M"/>
    <n v="20230901"/>
    <x v="0"/>
    <x v="2"/>
    <s v="202309"/>
    <n v="818"/>
    <s v="EGY"/>
    <x v="0"/>
    <s v="M"/>
    <s v="Import"/>
    <n v="620"/>
    <s v="PRT"/>
    <x v="41"/>
    <n v="0"/>
    <s v="W00"/>
    <s v="World"/>
    <s v="H6"/>
    <s v="HS"/>
    <b v="1"/>
    <s v="382499"/>
    <s v="Chemical products, mixtures and preparations; n.e.c. heading 3824"/>
    <n v="6"/>
    <b v="1"/>
    <s v="C00"/>
    <s v="TOTAL CPC"/>
    <s v="0"/>
    <n v="0"/>
    <s v="TOTAL MOT"/>
    <n v="8"/>
    <s v="kg"/>
    <n v="191.661"/>
    <b v="1"/>
    <n v="-1"/>
    <s v="N/A"/>
    <n v="0"/>
    <b v="0"/>
    <n v="191.661"/>
    <b v="1"/>
    <n v="0"/>
    <b v="0"/>
    <n v="904.43399999999997"/>
    <m/>
    <n v="904.43399999999997"/>
    <n v="6"/>
    <b v="1"/>
    <b v="0"/>
  </r>
  <r>
    <s v="C"/>
    <s v="M"/>
    <n v="20230901"/>
    <x v="0"/>
    <x v="2"/>
    <s v="202309"/>
    <n v="818"/>
    <s v="EGY"/>
    <x v="0"/>
    <s v="M"/>
    <s v="Import"/>
    <n v="634"/>
    <s v="QAT"/>
    <x v="17"/>
    <n v="0"/>
    <s v="W00"/>
    <s v="World"/>
    <s v="H6"/>
    <s v="HS"/>
    <b v="1"/>
    <s v="382499"/>
    <s v="Chemical products, mixtures and preparations; n.e.c. heading 3824"/>
    <n v="6"/>
    <b v="1"/>
    <s v="C00"/>
    <s v="TOTAL CPC"/>
    <s v="0"/>
    <n v="0"/>
    <s v="TOTAL MOT"/>
    <n v="8"/>
    <s v="kg"/>
    <n v="102883.845"/>
    <b v="1"/>
    <n v="-1"/>
    <s v="N/A"/>
    <n v="0"/>
    <b v="0"/>
    <n v="102883.845"/>
    <b v="1"/>
    <n v="0"/>
    <b v="0"/>
    <n v="485501.25799999997"/>
    <m/>
    <n v="485501.25799999997"/>
    <n v="6"/>
    <b v="1"/>
    <b v="0"/>
  </r>
  <r>
    <s v="C"/>
    <s v="M"/>
    <n v="20230901"/>
    <x v="0"/>
    <x v="2"/>
    <s v="202309"/>
    <n v="818"/>
    <s v="EGY"/>
    <x v="0"/>
    <s v="M"/>
    <s v="Import"/>
    <n v="682"/>
    <s v="SAU"/>
    <x v="18"/>
    <n v="0"/>
    <s v="W00"/>
    <s v="World"/>
    <s v="H6"/>
    <s v="HS"/>
    <b v="1"/>
    <s v="382499"/>
    <s v="Chemical products, mixtures and preparations; n.e.c. heading 3824"/>
    <n v="6"/>
    <b v="1"/>
    <s v="C00"/>
    <s v="TOTAL CPC"/>
    <s v="0"/>
    <n v="0"/>
    <s v="TOTAL MOT"/>
    <n v="8"/>
    <s v="kg"/>
    <n v="63283.618000000002"/>
    <b v="1"/>
    <n v="-1"/>
    <s v="N/A"/>
    <n v="0"/>
    <b v="0"/>
    <n v="63283.618000000002"/>
    <b v="1"/>
    <n v="0"/>
    <b v="0"/>
    <n v="298630.71500000003"/>
    <m/>
    <n v="298630.71500000003"/>
    <n v="6"/>
    <b v="1"/>
    <b v="0"/>
  </r>
  <r>
    <s v="C"/>
    <s v="M"/>
    <n v="20230901"/>
    <x v="0"/>
    <x v="2"/>
    <s v="202309"/>
    <n v="818"/>
    <s v="EGY"/>
    <x v="0"/>
    <s v="M"/>
    <s v="Import"/>
    <n v="699"/>
    <s v="IND"/>
    <x v="19"/>
    <n v="0"/>
    <s v="W00"/>
    <s v="World"/>
    <s v="H6"/>
    <s v="HS"/>
    <b v="1"/>
    <s v="382499"/>
    <s v="Chemical products, mixtures and preparations; n.e.c. heading 3824"/>
    <n v="6"/>
    <b v="1"/>
    <s v="C00"/>
    <s v="TOTAL CPC"/>
    <s v="0"/>
    <n v="0"/>
    <s v="TOTAL MOT"/>
    <n v="8"/>
    <s v="kg"/>
    <n v="289186.54499999998"/>
    <b v="1"/>
    <n v="-1"/>
    <s v="N/A"/>
    <n v="0"/>
    <b v="0"/>
    <n v="289186.54499999998"/>
    <b v="1"/>
    <n v="0"/>
    <b v="0"/>
    <n v="1364649.9280000001"/>
    <m/>
    <n v="1364649.9280000001"/>
    <n v="6"/>
    <b v="1"/>
    <b v="0"/>
  </r>
  <r>
    <s v="C"/>
    <s v="M"/>
    <n v="20230901"/>
    <x v="0"/>
    <x v="2"/>
    <s v="202309"/>
    <n v="818"/>
    <s v="EGY"/>
    <x v="0"/>
    <s v="M"/>
    <s v="Import"/>
    <n v="702"/>
    <s v="SGP"/>
    <x v="20"/>
    <n v="0"/>
    <s v="W00"/>
    <s v="World"/>
    <s v="H6"/>
    <s v="HS"/>
    <b v="1"/>
    <s v="382499"/>
    <s v="Chemical products, mixtures and preparations; n.e.c. heading 3824"/>
    <n v="6"/>
    <b v="1"/>
    <s v="C00"/>
    <s v="TOTAL CPC"/>
    <s v="0"/>
    <n v="0"/>
    <s v="TOTAL MOT"/>
    <n v="8"/>
    <s v="kg"/>
    <n v="14332.992"/>
    <b v="1"/>
    <n v="-1"/>
    <s v="N/A"/>
    <n v="0"/>
    <b v="0"/>
    <n v="14332.992"/>
    <b v="1"/>
    <n v="0"/>
    <b v="0"/>
    <n v="67636.327999999994"/>
    <m/>
    <n v="67636.327999999994"/>
    <n v="6"/>
    <b v="1"/>
    <b v="0"/>
  </r>
  <r>
    <s v="C"/>
    <s v="M"/>
    <n v="20230901"/>
    <x v="0"/>
    <x v="2"/>
    <s v="202309"/>
    <n v="818"/>
    <s v="EGY"/>
    <x v="0"/>
    <s v="M"/>
    <s v="Import"/>
    <n v="705"/>
    <s v="SVN"/>
    <x v="42"/>
    <n v="0"/>
    <s v="W00"/>
    <s v="World"/>
    <s v="H6"/>
    <s v="HS"/>
    <b v="1"/>
    <s v="382499"/>
    <s v="Chemical products, mixtures and preparations; n.e.c. heading 3824"/>
    <n v="6"/>
    <b v="1"/>
    <s v="C00"/>
    <s v="TOTAL CPC"/>
    <s v="0"/>
    <n v="0"/>
    <s v="TOTAL MOT"/>
    <n v="8"/>
    <s v="kg"/>
    <n v="1645.816"/>
    <b v="1"/>
    <n v="-1"/>
    <s v="N/A"/>
    <n v="0"/>
    <b v="0"/>
    <n v="1645.816"/>
    <b v="1"/>
    <n v="0"/>
    <b v="0"/>
    <n v="7766.4859999999999"/>
    <m/>
    <n v="7766.4859999999999"/>
    <n v="6"/>
    <b v="1"/>
    <b v="0"/>
  </r>
  <r>
    <s v="C"/>
    <s v="M"/>
    <n v="20230901"/>
    <x v="0"/>
    <x v="2"/>
    <s v="202309"/>
    <n v="818"/>
    <s v="EGY"/>
    <x v="0"/>
    <s v="M"/>
    <s v="Import"/>
    <n v="724"/>
    <s v="ESP"/>
    <x v="22"/>
    <n v="0"/>
    <s v="W00"/>
    <s v="World"/>
    <s v="H6"/>
    <s v="HS"/>
    <b v="1"/>
    <s v="382499"/>
    <s v="Chemical products, mixtures and preparations; n.e.c. heading 3824"/>
    <n v="6"/>
    <b v="1"/>
    <s v="C00"/>
    <s v="TOTAL CPC"/>
    <s v="0"/>
    <n v="0"/>
    <s v="TOTAL MOT"/>
    <n v="8"/>
    <s v="kg"/>
    <n v="297039.68400000001"/>
    <b v="1"/>
    <n v="-1"/>
    <s v="N/A"/>
    <n v="0"/>
    <b v="0"/>
    <n v="297039.68400000001"/>
    <b v="1"/>
    <n v="0"/>
    <b v="0"/>
    <n v="1401708.3130000001"/>
    <m/>
    <n v="1401708.3130000001"/>
    <n v="6"/>
    <b v="1"/>
    <b v="0"/>
  </r>
  <r>
    <s v="C"/>
    <s v="M"/>
    <n v="20230901"/>
    <x v="0"/>
    <x v="2"/>
    <s v="202309"/>
    <n v="818"/>
    <s v="EGY"/>
    <x v="0"/>
    <s v="M"/>
    <s v="Import"/>
    <n v="757"/>
    <s v="CHE"/>
    <x v="23"/>
    <n v="0"/>
    <s v="W00"/>
    <s v="World"/>
    <s v="H6"/>
    <s v="HS"/>
    <b v="1"/>
    <s v="382499"/>
    <s v="Chemical products, mixtures and preparations; n.e.c. heading 3824"/>
    <n v="6"/>
    <b v="1"/>
    <s v="C00"/>
    <s v="TOTAL CPC"/>
    <s v="0"/>
    <n v="0"/>
    <s v="TOTAL MOT"/>
    <n v="8"/>
    <s v="kg"/>
    <n v="13555.125"/>
    <b v="1"/>
    <n v="-1"/>
    <s v="N/A"/>
    <n v="0"/>
    <b v="0"/>
    <n v="13555.125"/>
    <b v="1"/>
    <n v="0"/>
    <b v="0"/>
    <n v="63965.635000000002"/>
    <m/>
    <n v="63965.635000000002"/>
    <n v="6"/>
    <b v="1"/>
    <b v="0"/>
  </r>
  <r>
    <s v="C"/>
    <s v="M"/>
    <n v="20230901"/>
    <x v="0"/>
    <x v="2"/>
    <s v="202309"/>
    <n v="818"/>
    <s v="EGY"/>
    <x v="0"/>
    <s v="M"/>
    <s v="Import"/>
    <n v="764"/>
    <s v="THA"/>
    <x v="24"/>
    <n v="0"/>
    <s v="W00"/>
    <s v="World"/>
    <s v="H6"/>
    <s v="HS"/>
    <b v="1"/>
    <s v="382499"/>
    <s v="Chemical products, mixtures and preparations; n.e.c. heading 3824"/>
    <n v="6"/>
    <b v="1"/>
    <s v="C00"/>
    <s v="TOTAL CPC"/>
    <s v="0"/>
    <n v="0"/>
    <s v="TOTAL MOT"/>
    <n v="8"/>
    <s v="kg"/>
    <n v="7997.0039999999999"/>
    <b v="1"/>
    <n v="-1"/>
    <s v="N/A"/>
    <n v="0"/>
    <b v="0"/>
    <n v="7997.0039999999999"/>
    <b v="1"/>
    <n v="0"/>
    <b v="0"/>
    <n v="37737.271999999997"/>
    <m/>
    <n v="37737.271999999997"/>
    <n v="6"/>
    <b v="1"/>
    <b v="0"/>
  </r>
  <r>
    <s v="C"/>
    <s v="M"/>
    <n v="20230901"/>
    <x v="0"/>
    <x v="2"/>
    <s v="202309"/>
    <n v="818"/>
    <s v="EGY"/>
    <x v="0"/>
    <s v="M"/>
    <s v="Import"/>
    <n v="784"/>
    <s v="ARE"/>
    <x v="25"/>
    <n v="0"/>
    <s v="W00"/>
    <s v="World"/>
    <s v="H6"/>
    <s v="HS"/>
    <b v="1"/>
    <s v="382499"/>
    <s v="Chemical products, mixtures and preparations; n.e.c. heading 3824"/>
    <n v="6"/>
    <b v="1"/>
    <s v="C00"/>
    <s v="TOTAL CPC"/>
    <s v="0"/>
    <n v="0"/>
    <s v="TOTAL MOT"/>
    <n v="8"/>
    <s v="kg"/>
    <n v="5332.2030000000004"/>
    <b v="1"/>
    <n v="-1"/>
    <s v="N/A"/>
    <n v="0"/>
    <b v="0"/>
    <n v="5332.2030000000004"/>
    <b v="1"/>
    <n v="0"/>
    <b v="0"/>
    <n v="25162.272000000001"/>
    <m/>
    <n v="25162.272000000001"/>
    <n v="6"/>
    <b v="1"/>
    <b v="0"/>
  </r>
  <r>
    <s v="C"/>
    <s v="M"/>
    <n v="20230901"/>
    <x v="0"/>
    <x v="2"/>
    <s v="202309"/>
    <n v="818"/>
    <s v="EGY"/>
    <x v="0"/>
    <s v="M"/>
    <s v="Import"/>
    <n v="792"/>
    <s v="TUR"/>
    <x v="26"/>
    <n v="0"/>
    <s v="W00"/>
    <s v="World"/>
    <s v="H6"/>
    <s v="HS"/>
    <b v="1"/>
    <s v="382499"/>
    <s v="Chemical products, mixtures and preparations; n.e.c. heading 3824"/>
    <n v="6"/>
    <b v="1"/>
    <s v="C00"/>
    <s v="TOTAL CPC"/>
    <s v="0"/>
    <n v="0"/>
    <s v="TOTAL MOT"/>
    <n v="8"/>
    <s v="kg"/>
    <n v="272175.59999999998"/>
    <b v="1"/>
    <n v="-1"/>
    <s v="N/A"/>
    <n v="0"/>
    <b v="0"/>
    <n v="272175.59999999998"/>
    <b v="1"/>
    <n v="0"/>
    <b v="0"/>
    <n v="1284376.5360000001"/>
    <m/>
    <n v="1284376.5360000001"/>
    <n v="6"/>
    <b v="1"/>
    <b v="0"/>
  </r>
  <r>
    <s v="C"/>
    <s v="M"/>
    <n v="20230901"/>
    <x v="0"/>
    <x v="2"/>
    <s v="202309"/>
    <n v="818"/>
    <s v="EGY"/>
    <x v="0"/>
    <s v="M"/>
    <s v="Import"/>
    <n v="804"/>
    <s v="UKR"/>
    <x v="43"/>
    <n v="0"/>
    <s v="W00"/>
    <s v="World"/>
    <s v="H6"/>
    <s v="HS"/>
    <b v="1"/>
    <s v="382499"/>
    <s v="Chemical products, mixtures and preparations; n.e.c. heading 3824"/>
    <n v="6"/>
    <b v="1"/>
    <s v="C00"/>
    <s v="TOTAL CPC"/>
    <s v="0"/>
    <n v="0"/>
    <s v="TOTAL MOT"/>
    <n v="8"/>
    <s v="kg"/>
    <n v="40557.811000000002"/>
    <b v="1"/>
    <n v="-1"/>
    <s v="N/A"/>
    <n v="0"/>
    <b v="0"/>
    <n v="40557.811000000002"/>
    <b v="1"/>
    <n v="0"/>
    <b v="0"/>
    <n v="191389.31299999999"/>
    <m/>
    <n v="191389.31299999999"/>
    <n v="6"/>
    <b v="1"/>
    <b v="0"/>
  </r>
  <r>
    <s v="C"/>
    <s v="M"/>
    <n v="20230901"/>
    <x v="0"/>
    <x v="2"/>
    <s v="202309"/>
    <n v="818"/>
    <s v="EGY"/>
    <x v="0"/>
    <s v="M"/>
    <s v="Import"/>
    <n v="826"/>
    <s v="GBR"/>
    <x v="27"/>
    <n v="0"/>
    <s v="W00"/>
    <s v="World"/>
    <s v="H6"/>
    <s v="HS"/>
    <b v="1"/>
    <s v="382499"/>
    <s v="Chemical products, mixtures and preparations; n.e.c. heading 3824"/>
    <n v="6"/>
    <b v="1"/>
    <s v="C00"/>
    <s v="TOTAL CPC"/>
    <s v="0"/>
    <n v="0"/>
    <s v="TOTAL MOT"/>
    <n v="8"/>
    <s v="kg"/>
    <n v="44914.982000000004"/>
    <b v="1"/>
    <n v="-1"/>
    <s v="N/A"/>
    <n v="0"/>
    <b v="0"/>
    <n v="44914.982000000004"/>
    <b v="1"/>
    <n v="0"/>
    <b v="0"/>
    <n v="211950.481"/>
    <m/>
    <n v="211950.481"/>
    <n v="6"/>
    <b v="1"/>
    <b v="0"/>
  </r>
  <r>
    <s v="C"/>
    <s v="M"/>
    <n v="20230901"/>
    <x v="0"/>
    <x v="2"/>
    <s v="202309"/>
    <n v="818"/>
    <s v="EGY"/>
    <x v="0"/>
    <s v="M"/>
    <s v="Import"/>
    <n v="842"/>
    <s v="USA"/>
    <x v="28"/>
    <n v="0"/>
    <s v="W00"/>
    <s v="World"/>
    <s v="H6"/>
    <s v="HS"/>
    <b v="1"/>
    <s v="382499"/>
    <s v="Chemical products, mixtures and preparations; n.e.c. heading 3824"/>
    <n v="6"/>
    <b v="1"/>
    <s v="C00"/>
    <s v="TOTAL CPC"/>
    <s v="0"/>
    <n v="0"/>
    <s v="TOTAL MOT"/>
    <n v="8"/>
    <s v="kg"/>
    <n v="282259.84600000002"/>
    <b v="1"/>
    <n v="-1"/>
    <s v="N/A"/>
    <n v="0"/>
    <b v="0"/>
    <n v="282259.84600000002"/>
    <b v="1"/>
    <n v="0"/>
    <b v="0"/>
    <n v="1331963.3500000001"/>
    <m/>
    <n v="1331963.3500000001"/>
    <n v="6"/>
    <b v="1"/>
    <b v="0"/>
  </r>
  <r>
    <s v="C"/>
    <s v="M"/>
    <n v="20231001"/>
    <x v="0"/>
    <x v="3"/>
    <s v="202310"/>
    <n v="818"/>
    <s v="EGY"/>
    <x v="0"/>
    <s v="M"/>
    <s v="Import"/>
    <n v="0"/>
    <s v="W00"/>
    <x v="0"/>
    <n v="0"/>
    <s v="W00"/>
    <s v="World"/>
    <s v="H6"/>
    <s v="HS"/>
    <b v="1"/>
    <s v="382499"/>
    <s v="Chemical products, mixtures and preparations; n.e.c. heading 3824"/>
    <n v="6"/>
    <b v="1"/>
    <s v="C00"/>
    <s v="TOTAL CPC"/>
    <s v="0"/>
    <n v="0"/>
    <s v="TOTAL MOT"/>
    <n v="8"/>
    <s v="kg"/>
    <n v="3549420.892"/>
    <b v="1"/>
    <n v="-1"/>
    <s v="N/A"/>
    <n v="0"/>
    <b v="0"/>
    <n v="3549420.892"/>
    <b v="1"/>
    <n v="0"/>
    <b v="0"/>
    <n v="16749454.829"/>
    <m/>
    <n v="16749454.829"/>
    <n v="6"/>
    <b v="0"/>
    <b v="1"/>
  </r>
  <r>
    <s v="C"/>
    <s v="M"/>
    <n v="20231001"/>
    <x v="0"/>
    <x v="3"/>
    <s v="202310"/>
    <n v="818"/>
    <s v="EGY"/>
    <x v="0"/>
    <s v="M"/>
    <s v="Import"/>
    <n v="36"/>
    <s v="AUS"/>
    <x v="2"/>
    <n v="0"/>
    <s v="W00"/>
    <s v="World"/>
    <s v="H6"/>
    <s v="HS"/>
    <b v="1"/>
    <s v="382499"/>
    <s v="Chemical products, mixtures and preparations; n.e.c. heading 3824"/>
    <n v="6"/>
    <b v="1"/>
    <s v="C00"/>
    <s v="TOTAL CPC"/>
    <s v="0"/>
    <n v="0"/>
    <s v="TOTAL MOT"/>
    <n v="8"/>
    <s v="kg"/>
    <n v="15662.487999999999"/>
    <b v="1"/>
    <n v="-1"/>
    <s v="N/A"/>
    <n v="0"/>
    <b v="0"/>
    <n v="15662.487999999999"/>
    <b v="1"/>
    <n v="0"/>
    <b v="0"/>
    <n v="73910.125"/>
    <m/>
    <n v="73910.125"/>
    <n v="6"/>
    <b v="1"/>
    <b v="0"/>
  </r>
  <r>
    <s v="C"/>
    <s v="M"/>
    <n v="20231001"/>
    <x v="0"/>
    <x v="3"/>
    <s v="202310"/>
    <n v="818"/>
    <s v="EGY"/>
    <x v="0"/>
    <s v="M"/>
    <s v="Import"/>
    <n v="56"/>
    <s v="BEL"/>
    <x v="4"/>
    <n v="0"/>
    <s v="W00"/>
    <s v="World"/>
    <s v="H6"/>
    <s v="HS"/>
    <b v="1"/>
    <s v="382499"/>
    <s v="Chemical products, mixtures and preparations; n.e.c. heading 3824"/>
    <n v="6"/>
    <b v="1"/>
    <s v="C00"/>
    <s v="TOTAL CPC"/>
    <s v="0"/>
    <n v="0"/>
    <s v="TOTAL MOT"/>
    <n v="8"/>
    <s v="kg"/>
    <n v="40955.154000000002"/>
    <b v="1"/>
    <n v="-1"/>
    <s v="N/A"/>
    <n v="0"/>
    <b v="0"/>
    <n v="40955.154000000002"/>
    <b v="1"/>
    <n v="0"/>
    <b v="0"/>
    <n v="193264.345"/>
    <m/>
    <n v="193264.345"/>
    <n v="6"/>
    <b v="1"/>
    <b v="0"/>
  </r>
  <r>
    <s v="C"/>
    <s v="M"/>
    <n v="20231001"/>
    <x v="0"/>
    <x v="3"/>
    <s v="202310"/>
    <n v="818"/>
    <s v="EGY"/>
    <x v="0"/>
    <s v="M"/>
    <s v="Import"/>
    <n v="76"/>
    <s v="BRA"/>
    <x v="5"/>
    <n v="0"/>
    <s v="W00"/>
    <s v="World"/>
    <s v="H6"/>
    <s v="HS"/>
    <b v="1"/>
    <s v="382499"/>
    <s v="Chemical products, mixtures and preparations; n.e.c. heading 3824"/>
    <n v="6"/>
    <b v="1"/>
    <s v="C00"/>
    <s v="TOTAL CPC"/>
    <s v="0"/>
    <n v="0"/>
    <s v="TOTAL MOT"/>
    <n v="8"/>
    <s v="kg"/>
    <n v="29461.5"/>
    <b v="1"/>
    <n v="-1"/>
    <s v="N/A"/>
    <n v="0"/>
    <b v="0"/>
    <n v="29461.5"/>
    <b v="1"/>
    <n v="0"/>
    <b v="0"/>
    <n v="139026.641"/>
    <m/>
    <n v="139026.641"/>
    <n v="6"/>
    <b v="1"/>
    <b v="0"/>
  </r>
  <r>
    <s v="C"/>
    <s v="M"/>
    <n v="20231001"/>
    <x v="0"/>
    <x v="3"/>
    <s v="202310"/>
    <n v="818"/>
    <s v="EGY"/>
    <x v="0"/>
    <s v="M"/>
    <s v="Import"/>
    <n v="156"/>
    <s v="CHN"/>
    <x v="6"/>
    <n v="0"/>
    <s v="W00"/>
    <s v="World"/>
    <s v="H6"/>
    <s v="HS"/>
    <b v="1"/>
    <s v="382499"/>
    <s v="Chemical products, mixtures and preparations; n.e.c. heading 3824"/>
    <n v="6"/>
    <b v="1"/>
    <s v="C00"/>
    <s v="TOTAL CPC"/>
    <s v="0"/>
    <n v="0"/>
    <s v="TOTAL MOT"/>
    <n v="8"/>
    <s v="kg"/>
    <n v="799268.5"/>
    <b v="1"/>
    <n v="-1"/>
    <s v="N/A"/>
    <n v="0"/>
    <b v="0"/>
    <n v="799268.5"/>
    <b v="1"/>
    <n v="0"/>
    <b v="0"/>
    <n v="3771688.9730000002"/>
    <m/>
    <n v="3771688.9730000002"/>
    <n v="6"/>
    <b v="1"/>
    <b v="0"/>
  </r>
  <r>
    <s v="C"/>
    <s v="M"/>
    <n v="20231001"/>
    <x v="0"/>
    <x v="3"/>
    <s v="202310"/>
    <n v="818"/>
    <s v="EGY"/>
    <x v="0"/>
    <s v="M"/>
    <s v="Import"/>
    <n v="208"/>
    <s v="DNK"/>
    <x v="7"/>
    <n v="0"/>
    <s v="W00"/>
    <s v="World"/>
    <s v="H6"/>
    <s v="HS"/>
    <b v="1"/>
    <s v="382499"/>
    <s v="Chemical products, mixtures and preparations; n.e.c. heading 3824"/>
    <n v="6"/>
    <b v="1"/>
    <s v="C00"/>
    <s v="TOTAL CPC"/>
    <s v="0"/>
    <n v="0"/>
    <s v="TOTAL MOT"/>
    <n v="8"/>
    <s v="kg"/>
    <n v="34825.184000000001"/>
    <b v="1"/>
    <n v="-1"/>
    <s v="N/A"/>
    <n v="0"/>
    <b v="0"/>
    <n v="34825.184000000001"/>
    <b v="1"/>
    <n v="0"/>
    <b v="0"/>
    <n v="164337.46900000001"/>
    <m/>
    <n v="164337.46900000001"/>
    <n v="6"/>
    <b v="1"/>
    <b v="0"/>
  </r>
  <r>
    <s v="C"/>
    <s v="M"/>
    <n v="20231001"/>
    <x v="0"/>
    <x v="3"/>
    <s v="202310"/>
    <n v="818"/>
    <s v="EGY"/>
    <x v="0"/>
    <s v="M"/>
    <s v="Import"/>
    <n v="251"/>
    <s v="FRA"/>
    <x v="8"/>
    <n v="0"/>
    <s v="W00"/>
    <s v="World"/>
    <s v="H6"/>
    <s v="HS"/>
    <b v="1"/>
    <s v="382499"/>
    <s v="Chemical products, mixtures and preparations; n.e.c. heading 3824"/>
    <n v="6"/>
    <b v="1"/>
    <s v="C00"/>
    <s v="TOTAL CPC"/>
    <s v="0"/>
    <n v="0"/>
    <s v="TOTAL MOT"/>
    <n v="8"/>
    <s v="kg"/>
    <n v="103399.611"/>
    <b v="1"/>
    <n v="-1"/>
    <s v="N/A"/>
    <n v="0"/>
    <b v="0"/>
    <n v="103399.611"/>
    <b v="1"/>
    <n v="0"/>
    <b v="0"/>
    <n v="487935.12099999998"/>
    <m/>
    <n v="487935.12099999998"/>
    <n v="6"/>
    <b v="1"/>
    <b v="0"/>
  </r>
  <r>
    <s v="C"/>
    <s v="M"/>
    <n v="20231001"/>
    <x v="0"/>
    <x v="3"/>
    <s v="202310"/>
    <n v="818"/>
    <s v="EGY"/>
    <x v="0"/>
    <s v="M"/>
    <s v="Import"/>
    <n v="276"/>
    <s v="DEU"/>
    <x v="9"/>
    <n v="0"/>
    <s v="W00"/>
    <s v="World"/>
    <s v="H6"/>
    <s v="HS"/>
    <b v="1"/>
    <s v="382499"/>
    <s v="Chemical products, mixtures and preparations; n.e.c. heading 3824"/>
    <n v="6"/>
    <b v="1"/>
    <s v="C00"/>
    <s v="TOTAL CPC"/>
    <s v="0"/>
    <n v="0"/>
    <s v="TOTAL MOT"/>
    <n v="8"/>
    <s v="kg"/>
    <n v="623354.46299999999"/>
    <b v="1"/>
    <n v="-1"/>
    <s v="N/A"/>
    <n v="0"/>
    <b v="0"/>
    <n v="623354.46299999999"/>
    <b v="1"/>
    <n v="0"/>
    <b v="0"/>
    <n v="2941563.6370000001"/>
    <m/>
    <n v="2941563.6370000001"/>
    <n v="6"/>
    <b v="1"/>
    <b v="0"/>
  </r>
  <r>
    <s v="C"/>
    <s v="M"/>
    <n v="20231001"/>
    <x v="0"/>
    <x v="3"/>
    <s v="202310"/>
    <n v="818"/>
    <s v="EGY"/>
    <x v="0"/>
    <s v="M"/>
    <s v="Import"/>
    <n v="360"/>
    <s v="IDN"/>
    <x v="44"/>
    <n v="0"/>
    <s v="W00"/>
    <s v="World"/>
    <s v="H6"/>
    <s v="HS"/>
    <b v="1"/>
    <s v="382499"/>
    <s v="Chemical products, mixtures and preparations; n.e.c. heading 3824"/>
    <n v="6"/>
    <b v="1"/>
    <s v="C00"/>
    <s v="TOTAL CPC"/>
    <s v="0"/>
    <n v="0"/>
    <s v="TOTAL MOT"/>
    <n v="8"/>
    <s v="kg"/>
    <n v="412.72199999999998"/>
    <b v="1"/>
    <n v="-1"/>
    <s v="N/A"/>
    <n v="0"/>
    <b v="0"/>
    <n v="412.72199999999998"/>
    <b v="1"/>
    <n v="0"/>
    <b v="0"/>
    <n v="1947.605"/>
    <m/>
    <n v="1947.605"/>
    <n v="6"/>
    <b v="1"/>
    <b v="0"/>
  </r>
  <r>
    <s v="C"/>
    <s v="M"/>
    <n v="20231001"/>
    <x v="0"/>
    <x v="3"/>
    <s v="202310"/>
    <n v="818"/>
    <s v="EGY"/>
    <x v="0"/>
    <s v="M"/>
    <s v="Import"/>
    <n v="376"/>
    <s v="ISR"/>
    <x v="11"/>
    <n v="0"/>
    <s v="W00"/>
    <s v="World"/>
    <s v="H6"/>
    <s v="HS"/>
    <b v="1"/>
    <s v="382499"/>
    <s v="Chemical products, mixtures and preparations; n.e.c. heading 3824"/>
    <n v="6"/>
    <b v="1"/>
    <s v="C00"/>
    <s v="TOTAL CPC"/>
    <s v="0"/>
    <n v="0"/>
    <s v="TOTAL MOT"/>
    <n v="8"/>
    <s v="kg"/>
    <n v="13119.379000000001"/>
    <b v="1"/>
    <n v="-1"/>
    <s v="N/A"/>
    <n v="0"/>
    <b v="0"/>
    <n v="13119.379000000001"/>
    <b v="1"/>
    <n v="0"/>
    <b v="0"/>
    <n v="61909.381000000001"/>
    <m/>
    <n v="61909.381000000001"/>
    <n v="6"/>
    <b v="1"/>
    <b v="0"/>
  </r>
  <r>
    <s v="C"/>
    <s v="M"/>
    <n v="20231001"/>
    <x v="0"/>
    <x v="3"/>
    <s v="202310"/>
    <n v="818"/>
    <s v="EGY"/>
    <x v="0"/>
    <s v="M"/>
    <s v="Import"/>
    <n v="380"/>
    <s v="ITA"/>
    <x v="12"/>
    <n v="0"/>
    <s v="W00"/>
    <s v="World"/>
    <s v="H6"/>
    <s v="HS"/>
    <b v="1"/>
    <s v="382499"/>
    <s v="Chemical products, mixtures and preparations; n.e.c. heading 3824"/>
    <n v="6"/>
    <b v="1"/>
    <s v="C00"/>
    <s v="TOTAL CPC"/>
    <s v="0"/>
    <n v="0"/>
    <s v="TOTAL MOT"/>
    <n v="8"/>
    <s v="kg"/>
    <n v="201481.19200000001"/>
    <b v="1"/>
    <n v="-1"/>
    <s v="N/A"/>
    <n v="0"/>
    <b v="0"/>
    <n v="201481.19200000001"/>
    <b v="1"/>
    <n v="0"/>
    <b v="0"/>
    <n v="950774.85199999996"/>
    <m/>
    <n v="950774.85199999996"/>
    <n v="6"/>
    <b v="1"/>
    <b v="0"/>
  </r>
  <r>
    <s v="C"/>
    <s v="M"/>
    <n v="20231001"/>
    <x v="0"/>
    <x v="3"/>
    <s v="202310"/>
    <n v="818"/>
    <s v="EGY"/>
    <x v="0"/>
    <s v="M"/>
    <s v="Import"/>
    <n v="392"/>
    <s v="JPN"/>
    <x v="30"/>
    <n v="0"/>
    <s v="W00"/>
    <s v="World"/>
    <s v="H6"/>
    <s v="HS"/>
    <b v="1"/>
    <s v="382499"/>
    <s v="Chemical products, mixtures and preparations; n.e.c. heading 3824"/>
    <n v="6"/>
    <b v="1"/>
    <s v="C00"/>
    <s v="TOTAL CPC"/>
    <s v="0"/>
    <n v="0"/>
    <s v="TOTAL MOT"/>
    <n v="8"/>
    <s v="kg"/>
    <n v="5921.6260000000002"/>
    <b v="1"/>
    <n v="-1"/>
    <s v="N/A"/>
    <n v="0"/>
    <b v="0"/>
    <n v="5921.6260000000002"/>
    <b v="1"/>
    <n v="0"/>
    <b v="0"/>
    <n v="27943.717000000001"/>
    <m/>
    <n v="27943.717000000001"/>
    <n v="6"/>
    <b v="1"/>
    <b v="0"/>
  </r>
  <r>
    <s v="C"/>
    <s v="M"/>
    <n v="20231001"/>
    <x v="0"/>
    <x v="3"/>
    <s v="202310"/>
    <n v="818"/>
    <s v="EGY"/>
    <x v="0"/>
    <s v="M"/>
    <s v="Import"/>
    <n v="410"/>
    <s v="KOR"/>
    <x v="13"/>
    <n v="0"/>
    <s v="W00"/>
    <s v="World"/>
    <s v="H6"/>
    <s v="HS"/>
    <b v="1"/>
    <s v="382499"/>
    <s v="Chemical products, mixtures and preparations; n.e.c. heading 3824"/>
    <n v="6"/>
    <b v="1"/>
    <s v="C00"/>
    <s v="TOTAL CPC"/>
    <s v="0"/>
    <n v="0"/>
    <s v="TOTAL MOT"/>
    <n v="8"/>
    <s v="kg"/>
    <n v="26310.241999999998"/>
    <b v="1"/>
    <n v="-1"/>
    <s v="N/A"/>
    <n v="0"/>
    <b v="0"/>
    <n v="26310.241999999998"/>
    <b v="1"/>
    <n v="0"/>
    <b v="0"/>
    <n v="124156.08900000001"/>
    <m/>
    <n v="124156.08900000001"/>
    <n v="6"/>
    <b v="1"/>
    <b v="0"/>
  </r>
  <r>
    <s v="C"/>
    <s v="M"/>
    <n v="20231001"/>
    <x v="0"/>
    <x v="3"/>
    <s v="202310"/>
    <n v="818"/>
    <s v="EGY"/>
    <x v="0"/>
    <s v="M"/>
    <s v="Import"/>
    <n v="528"/>
    <s v="NLD"/>
    <x v="33"/>
    <n v="0"/>
    <s v="W00"/>
    <s v="World"/>
    <s v="H6"/>
    <s v="HS"/>
    <b v="1"/>
    <s v="382499"/>
    <s v="Chemical products, mixtures and preparations; n.e.c. heading 3824"/>
    <n v="6"/>
    <b v="1"/>
    <s v="C00"/>
    <s v="TOTAL CPC"/>
    <s v="0"/>
    <n v="0"/>
    <s v="TOTAL MOT"/>
    <n v="8"/>
    <s v="kg"/>
    <n v="74729.676999999996"/>
    <b v="1"/>
    <n v="-1"/>
    <s v="N/A"/>
    <n v="0"/>
    <b v="0"/>
    <n v="74729.676999999996"/>
    <b v="1"/>
    <n v="0"/>
    <b v="0"/>
    <n v="352643.82"/>
    <m/>
    <n v="352643.82"/>
    <n v="6"/>
    <b v="1"/>
    <b v="0"/>
  </r>
  <r>
    <s v="C"/>
    <s v="M"/>
    <n v="20231001"/>
    <x v="0"/>
    <x v="3"/>
    <s v="202310"/>
    <n v="818"/>
    <s v="EGY"/>
    <x v="0"/>
    <s v="M"/>
    <s v="Import"/>
    <n v="568"/>
    <s v="E19"/>
    <x v="34"/>
    <n v="0"/>
    <s v="W00"/>
    <s v="World"/>
    <s v="H6"/>
    <s v="HS"/>
    <b v="1"/>
    <s v="382499"/>
    <s v="Chemical products, mixtures and preparations; n.e.c. heading 3824"/>
    <n v="6"/>
    <b v="1"/>
    <s v="C00"/>
    <s v="TOTAL CPC"/>
    <s v="0"/>
    <n v="0"/>
    <s v="TOTAL MOT"/>
    <n v="8"/>
    <s v="kg"/>
    <n v="70005.421000000002"/>
    <b v="1"/>
    <n v="-1"/>
    <s v="N/A"/>
    <n v="0"/>
    <b v="0"/>
    <n v="70005.421000000002"/>
    <b v="1"/>
    <n v="0"/>
    <b v="0"/>
    <n v="330350.40700000001"/>
    <m/>
    <n v="330350.40700000001"/>
    <n v="6"/>
    <b v="1"/>
    <b v="0"/>
  </r>
  <r>
    <s v="C"/>
    <s v="M"/>
    <n v="20231001"/>
    <x v="0"/>
    <x v="3"/>
    <s v="202310"/>
    <n v="818"/>
    <s v="EGY"/>
    <x v="0"/>
    <s v="M"/>
    <s v="Import"/>
    <n v="579"/>
    <s v="NOR"/>
    <x v="16"/>
    <n v="0"/>
    <s v="W00"/>
    <s v="World"/>
    <s v="H6"/>
    <s v="HS"/>
    <b v="1"/>
    <s v="382499"/>
    <s v="Chemical products, mixtures and preparations; n.e.c. heading 3824"/>
    <n v="6"/>
    <b v="1"/>
    <s v="C00"/>
    <s v="TOTAL CPC"/>
    <s v="0"/>
    <n v="0"/>
    <s v="TOTAL MOT"/>
    <n v="8"/>
    <s v="kg"/>
    <n v="11654.235000000001"/>
    <b v="1"/>
    <n v="-1"/>
    <s v="N/A"/>
    <n v="0"/>
    <b v="0"/>
    <n v="11654.235000000001"/>
    <b v="1"/>
    <n v="0"/>
    <b v="0"/>
    <n v="54995.472999999998"/>
    <m/>
    <n v="54995.472999999998"/>
    <n v="6"/>
    <b v="1"/>
    <b v="0"/>
  </r>
  <r>
    <s v="C"/>
    <s v="M"/>
    <n v="20231001"/>
    <x v="0"/>
    <x v="3"/>
    <s v="202310"/>
    <n v="818"/>
    <s v="EGY"/>
    <x v="0"/>
    <s v="M"/>
    <s v="Import"/>
    <n v="608"/>
    <s v="PHL"/>
    <x v="45"/>
    <n v="0"/>
    <s v="W00"/>
    <s v="World"/>
    <s v="H6"/>
    <s v="HS"/>
    <b v="1"/>
    <s v="382499"/>
    <s v="Chemical products, mixtures and preparations; n.e.c. heading 3824"/>
    <n v="6"/>
    <b v="1"/>
    <s v="C00"/>
    <s v="TOTAL CPC"/>
    <s v="0"/>
    <n v="0"/>
    <s v="TOTAL MOT"/>
    <n v="8"/>
    <s v="kg"/>
    <n v="20361.891"/>
    <b v="1"/>
    <n v="-1"/>
    <s v="N/A"/>
    <n v="0"/>
    <b v="0"/>
    <n v="20361.891"/>
    <b v="1"/>
    <n v="0"/>
    <b v="0"/>
    <n v="96086.258000000002"/>
    <m/>
    <n v="96086.258000000002"/>
    <n v="6"/>
    <b v="1"/>
    <b v="0"/>
  </r>
  <r>
    <s v="C"/>
    <s v="M"/>
    <n v="20231001"/>
    <x v="0"/>
    <x v="3"/>
    <s v="202310"/>
    <n v="818"/>
    <s v="EGY"/>
    <x v="0"/>
    <s v="M"/>
    <s v="Import"/>
    <n v="616"/>
    <s v="POL"/>
    <x v="35"/>
    <n v="0"/>
    <s v="W00"/>
    <s v="World"/>
    <s v="H6"/>
    <s v="HS"/>
    <b v="1"/>
    <s v="382499"/>
    <s v="Chemical products, mixtures and preparations; n.e.c. heading 3824"/>
    <n v="6"/>
    <b v="1"/>
    <s v="C00"/>
    <s v="TOTAL CPC"/>
    <s v="0"/>
    <n v="0"/>
    <s v="TOTAL MOT"/>
    <n v="8"/>
    <s v="kg"/>
    <n v="1281.152"/>
    <b v="1"/>
    <n v="-1"/>
    <s v="N/A"/>
    <n v="0"/>
    <b v="0"/>
    <n v="1281.152"/>
    <b v="1"/>
    <n v="0"/>
    <b v="0"/>
    <n v="6045.6620000000003"/>
    <m/>
    <n v="6045.6620000000003"/>
    <n v="6"/>
    <b v="1"/>
    <b v="0"/>
  </r>
  <r>
    <s v="C"/>
    <s v="M"/>
    <n v="20231001"/>
    <x v="0"/>
    <x v="3"/>
    <s v="202310"/>
    <n v="818"/>
    <s v="EGY"/>
    <x v="0"/>
    <s v="M"/>
    <s v="Import"/>
    <n v="634"/>
    <s v="QAT"/>
    <x v="17"/>
    <n v="0"/>
    <s v="W00"/>
    <s v="World"/>
    <s v="H6"/>
    <s v="HS"/>
    <b v="1"/>
    <s v="382499"/>
    <s v="Chemical products, mixtures and preparations; n.e.c. heading 3824"/>
    <n v="6"/>
    <b v="1"/>
    <s v="C00"/>
    <s v="TOTAL CPC"/>
    <s v="0"/>
    <n v="0"/>
    <s v="TOTAL MOT"/>
    <n v="8"/>
    <s v="kg"/>
    <n v="87167.092000000004"/>
    <b v="1"/>
    <n v="-1"/>
    <s v="N/A"/>
    <n v="0"/>
    <b v="0"/>
    <n v="87167.092000000004"/>
    <b v="1"/>
    <n v="0"/>
    <b v="0"/>
    <n v="411335.06199999998"/>
    <m/>
    <n v="411335.06199999998"/>
    <n v="6"/>
    <b v="1"/>
    <b v="0"/>
  </r>
  <r>
    <s v="C"/>
    <s v="M"/>
    <n v="20231001"/>
    <x v="0"/>
    <x v="3"/>
    <s v="202310"/>
    <n v="818"/>
    <s v="EGY"/>
    <x v="0"/>
    <s v="M"/>
    <s v="Import"/>
    <n v="643"/>
    <s v="RUS"/>
    <x v="46"/>
    <n v="0"/>
    <s v="W00"/>
    <s v="World"/>
    <s v="H6"/>
    <s v="HS"/>
    <b v="1"/>
    <s v="382499"/>
    <s v="Chemical products, mixtures and preparations; n.e.c. heading 3824"/>
    <n v="6"/>
    <b v="1"/>
    <s v="C00"/>
    <s v="TOTAL CPC"/>
    <s v="0"/>
    <n v="0"/>
    <s v="TOTAL MOT"/>
    <n v="8"/>
    <s v="kg"/>
    <n v="154.953"/>
    <b v="1"/>
    <n v="-1"/>
    <s v="N/A"/>
    <n v="0"/>
    <b v="0"/>
    <n v="154.953"/>
    <b v="1"/>
    <n v="0"/>
    <b v="0"/>
    <n v="731.21100000000001"/>
    <m/>
    <n v="731.21100000000001"/>
    <n v="6"/>
    <b v="1"/>
    <b v="0"/>
  </r>
  <r>
    <s v="C"/>
    <s v="M"/>
    <n v="20231001"/>
    <x v="0"/>
    <x v="3"/>
    <s v="202310"/>
    <n v="818"/>
    <s v="EGY"/>
    <x v="0"/>
    <s v="M"/>
    <s v="Import"/>
    <n v="682"/>
    <s v="SAU"/>
    <x v="18"/>
    <n v="0"/>
    <s v="W00"/>
    <s v="World"/>
    <s v="H6"/>
    <s v="HS"/>
    <b v="1"/>
    <s v="382499"/>
    <s v="Chemical products, mixtures and preparations; n.e.c. heading 3824"/>
    <n v="6"/>
    <b v="1"/>
    <s v="C00"/>
    <s v="TOTAL CPC"/>
    <s v="0"/>
    <n v="0"/>
    <s v="TOTAL MOT"/>
    <n v="8"/>
    <s v="kg"/>
    <n v="47872.553"/>
    <b v="1"/>
    <n v="-1"/>
    <s v="N/A"/>
    <n v="0"/>
    <b v="0"/>
    <n v="47872.553"/>
    <b v="1"/>
    <n v="0"/>
    <b v="0"/>
    <n v="225907.041"/>
    <m/>
    <n v="225907.041"/>
    <n v="6"/>
    <b v="1"/>
    <b v="0"/>
  </r>
  <r>
    <s v="C"/>
    <s v="M"/>
    <n v="20231001"/>
    <x v="0"/>
    <x v="3"/>
    <s v="202310"/>
    <n v="818"/>
    <s v="EGY"/>
    <x v="0"/>
    <s v="M"/>
    <s v="Import"/>
    <n v="699"/>
    <s v="IND"/>
    <x v="19"/>
    <n v="0"/>
    <s v="W00"/>
    <s v="World"/>
    <s v="H6"/>
    <s v="HS"/>
    <b v="1"/>
    <s v="382499"/>
    <s v="Chemical products, mixtures and preparations; n.e.c. heading 3824"/>
    <n v="6"/>
    <b v="1"/>
    <s v="C00"/>
    <s v="TOTAL CPC"/>
    <s v="0"/>
    <n v="0"/>
    <s v="TOTAL MOT"/>
    <n v="8"/>
    <s v="kg"/>
    <n v="389302.43199999997"/>
    <b v="1"/>
    <n v="-1"/>
    <s v="N/A"/>
    <n v="0"/>
    <b v="0"/>
    <n v="389302.43199999997"/>
    <b v="1"/>
    <n v="0"/>
    <b v="0"/>
    <n v="1837089.402"/>
    <m/>
    <n v="1837089.402"/>
    <n v="6"/>
    <b v="1"/>
    <b v="0"/>
  </r>
  <r>
    <s v="C"/>
    <s v="M"/>
    <n v="20231001"/>
    <x v="0"/>
    <x v="3"/>
    <s v="202310"/>
    <n v="818"/>
    <s v="EGY"/>
    <x v="0"/>
    <s v="M"/>
    <s v="Import"/>
    <n v="702"/>
    <s v="SGP"/>
    <x v="20"/>
    <n v="0"/>
    <s v="W00"/>
    <s v="World"/>
    <s v="H6"/>
    <s v="HS"/>
    <b v="1"/>
    <s v="382499"/>
    <s v="Chemical products, mixtures and preparations; n.e.c. heading 3824"/>
    <n v="6"/>
    <b v="1"/>
    <s v="C00"/>
    <s v="TOTAL CPC"/>
    <s v="0"/>
    <n v="0"/>
    <s v="TOTAL MOT"/>
    <n v="8"/>
    <s v="kg"/>
    <n v="6955.6959999999999"/>
    <b v="1"/>
    <n v="-1"/>
    <s v="N/A"/>
    <n v="0"/>
    <b v="0"/>
    <n v="6955.6959999999999"/>
    <b v="1"/>
    <n v="0"/>
    <b v="0"/>
    <n v="32823.417000000001"/>
    <m/>
    <n v="32823.417000000001"/>
    <n v="6"/>
    <b v="1"/>
    <b v="0"/>
  </r>
  <r>
    <s v="C"/>
    <s v="M"/>
    <n v="20231001"/>
    <x v="0"/>
    <x v="3"/>
    <s v="202310"/>
    <n v="818"/>
    <s v="EGY"/>
    <x v="0"/>
    <s v="M"/>
    <s v="Import"/>
    <n v="704"/>
    <s v="VNM"/>
    <x v="47"/>
    <n v="0"/>
    <s v="W00"/>
    <s v="World"/>
    <s v="H6"/>
    <s v="HS"/>
    <b v="1"/>
    <s v="382499"/>
    <s v="Chemical products, mixtures and preparations; n.e.c. heading 3824"/>
    <n v="6"/>
    <b v="1"/>
    <s v="C00"/>
    <s v="TOTAL CPC"/>
    <s v="0"/>
    <n v="0"/>
    <s v="TOTAL MOT"/>
    <n v="8"/>
    <s v="kg"/>
    <n v="619.6"/>
    <b v="1"/>
    <n v="-1"/>
    <s v="N/A"/>
    <n v="0"/>
    <b v="0"/>
    <n v="619.6"/>
    <b v="1"/>
    <n v="0"/>
    <b v="0"/>
    <n v="2923.8470000000002"/>
    <m/>
    <n v="2923.8470000000002"/>
    <n v="6"/>
    <b v="1"/>
    <b v="0"/>
  </r>
  <r>
    <s v="C"/>
    <s v="M"/>
    <n v="20231001"/>
    <x v="0"/>
    <x v="3"/>
    <s v="202310"/>
    <n v="818"/>
    <s v="EGY"/>
    <x v="0"/>
    <s v="M"/>
    <s v="Import"/>
    <n v="705"/>
    <s v="SVN"/>
    <x v="42"/>
    <n v="0"/>
    <s v="W00"/>
    <s v="World"/>
    <s v="H6"/>
    <s v="HS"/>
    <b v="1"/>
    <s v="382499"/>
    <s v="Chemical products, mixtures and preparations; n.e.c. heading 3824"/>
    <n v="6"/>
    <b v="1"/>
    <s v="C00"/>
    <s v="TOTAL CPC"/>
    <s v="0"/>
    <n v="0"/>
    <s v="TOTAL MOT"/>
    <n v="8"/>
    <s v="kg"/>
    <n v="872.62900000000002"/>
    <b v="1"/>
    <n v="-1"/>
    <s v="N/A"/>
    <n v="0"/>
    <b v="0"/>
    <n v="872.62900000000002"/>
    <b v="1"/>
    <n v="0"/>
    <b v="0"/>
    <n v="4117.8710000000001"/>
    <m/>
    <n v="4117.8710000000001"/>
    <n v="6"/>
    <b v="1"/>
    <b v="0"/>
  </r>
  <r>
    <s v="C"/>
    <s v="M"/>
    <n v="20231001"/>
    <x v="0"/>
    <x v="3"/>
    <s v="202310"/>
    <n v="818"/>
    <s v="EGY"/>
    <x v="0"/>
    <s v="M"/>
    <s v="Import"/>
    <n v="710"/>
    <s v="ZAF"/>
    <x v="21"/>
    <n v="0"/>
    <s v="W00"/>
    <s v="World"/>
    <s v="H6"/>
    <s v="HS"/>
    <b v="1"/>
    <s v="382499"/>
    <s v="Chemical products, mixtures and preparations; n.e.c. heading 3824"/>
    <n v="6"/>
    <b v="1"/>
    <s v="C00"/>
    <s v="TOTAL CPC"/>
    <s v="0"/>
    <n v="0"/>
    <s v="TOTAL MOT"/>
    <n v="8"/>
    <s v="kg"/>
    <n v="13730.677"/>
    <b v="1"/>
    <n v="-1"/>
    <s v="N/A"/>
    <n v="0"/>
    <b v="0"/>
    <n v="13730.677"/>
    <b v="1"/>
    <n v="0"/>
    <b v="0"/>
    <n v="64794.050999999999"/>
    <m/>
    <n v="64794.050999999999"/>
    <n v="6"/>
    <b v="1"/>
    <b v="0"/>
  </r>
  <r>
    <s v="C"/>
    <s v="M"/>
    <n v="20231001"/>
    <x v="0"/>
    <x v="3"/>
    <s v="202310"/>
    <n v="818"/>
    <s v="EGY"/>
    <x v="0"/>
    <s v="M"/>
    <s v="Import"/>
    <n v="724"/>
    <s v="ESP"/>
    <x v="22"/>
    <n v="0"/>
    <s v="W00"/>
    <s v="World"/>
    <s v="H6"/>
    <s v="HS"/>
    <b v="1"/>
    <s v="382499"/>
    <s v="Chemical products, mixtures and preparations; n.e.c. heading 3824"/>
    <n v="6"/>
    <b v="1"/>
    <s v="C00"/>
    <s v="TOTAL CPC"/>
    <s v="0"/>
    <n v="0"/>
    <s v="TOTAL MOT"/>
    <n v="8"/>
    <s v="kg"/>
    <n v="226368.72899999999"/>
    <b v="1"/>
    <n v="-1"/>
    <s v="N/A"/>
    <n v="0"/>
    <b v="0"/>
    <n v="226368.72899999999"/>
    <b v="1"/>
    <n v="0"/>
    <b v="0"/>
    <n v="1068217.301"/>
    <m/>
    <n v="1068217.301"/>
    <n v="6"/>
    <b v="1"/>
    <b v="0"/>
  </r>
  <r>
    <s v="C"/>
    <s v="M"/>
    <n v="20231001"/>
    <x v="0"/>
    <x v="3"/>
    <s v="202310"/>
    <n v="818"/>
    <s v="EGY"/>
    <x v="0"/>
    <s v="M"/>
    <s v="Import"/>
    <n v="757"/>
    <s v="CHE"/>
    <x v="23"/>
    <n v="0"/>
    <s v="W00"/>
    <s v="World"/>
    <s v="H6"/>
    <s v="HS"/>
    <b v="1"/>
    <s v="382499"/>
    <s v="Chemical products, mixtures and preparations; n.e.c. heading 3824"/>
    <n v="6"/>
    <b v="1"/>
    <s v="C00"/>
    <s v="TOTAL CPC"/>
    <s v="0"/>
    <n v="0"/>
    <s v="TOTAL MOT"/>
    <n v="8"/>
    <s v="kg"/>
    <n v="10634.367"/>
    <b v="1"/>
    <n v="-1"/>
    <s v="N/A"/>
    <n v="0"/>
    <b v="0"/>
    <n v="10634.367"/>
    <b v="1"/>
    <n v="0"/>
    <b v="0"/>
    <n v="50182.792999999998"/>
    <m/>
    <n v="50182.792999999998"/>
    <n v="6"/>
    <b v="1"/>
    <b v="0"/>
  </r>
  <r>
    <s v="C"/>
    <s v="M"/>
    <n v="20231001"/>
    <x v="0"/>
    <x v="3"/>
    <s v="202310"/>
    <n v="818"/>
    <s v="EGY"/>
    <x v="0"/>
    <s v="M"/>
    <s v="Import"/>
    <n v="764"/>
    <s v="THA"/>
    <x v="24"/>
    <n v="0"/>
    <s v="W00"/>
    <s v="World"/>
    <s v="H6"/>
    <s v="HS"/>
    <b v="1"/>
    <s v="382499"/>
    <s v="Chemical products, mixtures and preparations; n.e.c. heading 3824"/>
    <n v="6"/>
    <b v="1"/>
    <s v="C00"/>
    <s v="TOTAL CPC"/>
    <s v="0"/>
    <n v="0"/>
    <s v="TOTAL MOT"/>
    <n v="8"/>
    <s v="kg"/>
    <n v="4026.4459999999999"/>
    <b v="1"/>
    <n v="-1"/>
    <s v="N/A"/>
    <n v="0"/>
    <b v="0"/>
    <n v="4026.4459999999999"/>
    <b v="1"/>
    <n v="0"/>
    <b v="0"/>
    <n v="19000.502"/>
    <m/>
    <n v="19000.502"/>
    <n v="6"/>
    <b v="1"/>
    <b v="0"/>
  </r>
  <r>
    <s v="C"/>
    <s v="M"/>
    <n v="20231001"/>
    <x v="0"/>
    <x v="3"/>
    <s v="202310"/>
    <n v="818"/>
    <s v="EGY"/>
    <x v="0"/>
    <s v="M"/>
    <s v="Import"/>
    <n v="784"/>
    <s v="ARE"/>
    <x v="25"/>
    <n v="0"/>
    <s v="W00"/>
    <s v="World"/>
    <s v="H6"/>
    <s v="HS"/>
    <b v="1"/>
    <s v="382499"/>
    <s v="Chemical products, mixtures and preparations; n.e.c. heading 3824"/>
    <n v="6"/>
    <b v="1"/>
    <s v="C00"/>
    <s v="TOTAL CPC"/>
    <s v="0"/>
    <n v="0"/>
    <s v="TOTAL MOT"/>
    <n v="8"/>
    <s v="kg"/>
    <n v="123294.769"/>
    <b v="1"/>
    <n v="-1"/>
    <s v="N/A"/>
    <n v="0"/>
    <b v="0"/>
    <n v="123294.769"/>
    <b v="1"/>
    <n v="0"/>
    <b v="0"/>
    <n v="581818.90099999995"/>
    <m/>
    <n v="581818.90099999995"/>
    <n v="6"/>
    <b v="1"/>
    <b v="0"/>
  </r>
  <r>
    <s v="C"/>
    <s v="M"/>
    <n v="20231001"/>
    <x v="0"/>
    <x v="3"/>
    <s v="202310"/>
    <n v="818"/>
    <s v="EGY"/>
    <x v="0"/>
    <s v="M"/>
    <s v="Import"/>
    <n v="792"/>
    <s v="TUR"/>
    <x v="26"/>
    <n v="0"/>
    <s v="W00"/>
    <s v="World"/>
    <s v="H6"/>
    <s v="HS"/>
    <b v="1"/>
    <s v="382499"/>
    <s v="Chemical products, mixtures and preparations; n.e.c. heading 3824"/>
    <n v="6"/>
    <b v="1"/>
    <s v="C00"/>
    <s v="TOTAL CPC"/>
    <s v="0"/>
    <n v="0"/>
    <s v="TOTAL MOT"/>
    <n v="8"/>
    <s v="kg"/>
    <n v="242787.00200000001"/>
    <b v="1"/>
    <n v="-1"/>
    <s v="N/A"/>
    <n v="0"/>
    <b v="0"/>
    <n v="242787.00200000001"/>
    <b v="1"/>
    <n v="0"/>
    <b v="0"/>
    <n v="1145693.916"/>
    <m/>
    <n v="1145693.916"/>
    <n v="6"/>
    <b v="1"/>
    <b v="0"/>
  </r>
  <r>
    <s v="C"/>
    <s v="M"/>
    <n v="20231001"/>
    <x v="0"/>
    <x v="3"/>
    <s v="202310"/>
    <n v="818"/>
    <s v="EGY"/>
    <x v="0"/>
    <s v="M"/>
    <s v="Import"/>
    <n v="826"/>
    <s v="GBR"/>
    <x v="27"/>
    <n v="0"/>
    <s v="W00"/>
    <s v="World"/>
    <s v="H6"/>
    <s v="HS"/>
    <b v="1"/>
    <s v="382499"/>
    <s v="Chemical products, mixtures and preparations; n.e.c. heading 3824"/>
    <n v="6"/>
    <b v="1"/>
    <s v="C00"/>
    <s v="TOTAL CPC"/>
    <s v="0"/>
    <n v="0"/>
    <s v="TOTAL MOT"/>
    <n v="8"/>
    <s v="kg"/>
    <n v="49069.665999999997"/>
    <b v="1"/>
    <n v="-1"/>
    <s v="N/A"/>
    <n v="0"/>
    <b v="0"/>
    <n v="49069.665999999997"/>
    <b v="1"/>
    <n v="0"/>
    <b v="0"/>
    <n v="231556.125"/>
    <m/>
    <n v="231556.125"/>
    <n v="6"/>
    <b v="1"/>
    <b v="0"/>
  </r>
  <r>
    <s v="C"/>
    <s v="M"/>
    <n v="20231001"/>
    <x v="0"/>
    <x v="3"/>
    <s v="202310"/>
    <n v="818"/>
    <s v="EGY"/>
    <x v="0"/>
    <s v="M"/>
    <s v="Import"/>
    <n v="842"/>
    <s v="USA"/>
    <x v="28"/>
    <n v="0"/>
    <s v="W00"/>
    <s v="World"/>
    <s v="H6"/>
    <s v="HS"/>
    <b v="1"/>
    <s v="382499"/>
    <s v="Chemical products, mixtures and preparations; n.e.c. heading 3824"/>
    <n v="6"/>
    <b v="1"/>
    <s v="C00"/>
    <s v="TOTAL CPC"/>
    <s v="0"/>
    <n v="0"/>
    <s v="TOTAL MOT"/>
    <n v="8"/>
    <s v="kg"/>
    <n v="274359.842"/>
    <b v="1"/>
    <n v="-1"/>
    <s v="N/A"/>
    <n v="0"/>
    <b v="0"/>
    <n v="274359.842"/>
    <b v="1"/>
    <n v="0"/>
    <b v="0"/>
    <n v="1294683.817"/>
    <m/>
    <n v="1294683.817"/>
    <n v="6"/>
    <b v="1"/>
    <b v="0"/>
  </r>
  <r>
    <s v="C"/>
    <s v="M"/>
    <n v="20231101"/>
    <x v="0"/>
    <x v="4"/>
    <s v="202311"/>
    <n v="818"/>
    <s v="EGY"/>
    <x v="0"/>
    <s v="M"/>
    <s v="Import"/>
    <n v="0"/>
    <s v="W00"/>
    <x v="0"/>
    <n v="0"/>
    <s v="W00"/>
    <s v="World"/>
    <s v="H6"/>
    <s v="HS"/>
    <b v="1"/>
    <s v="382499"/>
    <s v="Chemical products, mixtures and preparations; n.e.c. heading 3824"/>
    <n v="6"/>
    <b v="1"/>
    <s v="C00"/>
    <s v="TOTAL CPC"/>
    <s v="0"/>
    <n v="0"/>
    <s v="TOTAL MOT"/>
    <n v="8"/>
    <s v="kg"/>
    <n v="3427779.824"/>
    <b v="1"/>
    <n v="-1"/>
    <s v="N/A"/>
    <n v="0"/>
    <b v="0"/>
    <n v="3427779.824"/>
    <b v="1"/>
    <n v="0"/>
    <b v="0"/>
    <n v="16175439.622"/>
    <m/>
    <n v="16175439.622"/>
    <n v="6"/>
    <b v="0"/>
    <b v="1"/>
  </r>
  <r>
    <s v="C"/>
    <s v="M"/>
    <n v="20231101"/>
    <x v="0"/>
    <x v="4"/>
    <s v="202311"/>
    <n v="818"/>
    <s v="EGY"/>
    <x v="0"/>
    <s v="M"/>
    <s v="Import"/>
    <n v="36"/>
    <s v="AUS"/>
    <x v="2"/>
    <n v="0"/>
    <s v="W00"/>
    <s v="World"/>
    <s v="H6"/>
    <s v="HS"/>
    <b v="1"/>
    <s v="382499"/>
    <s v="Chemical products, mixtures and preparations; n.e.c. heading 3824"/>
    <n v="6"/>
    <b v="1"/>
    <s v="C00"/>
    <s v="TOTAL CPC"/>
    <s v="0"/>
    <n v="0"/>
    <s v="TOTAL MOT"/>
    <n v="8"/>
    <s v="kg"/>
    <n v="37274.025000000001"/>
    <b v="1"/>
    <n v="-1"/>
    <s v="N/A"/>
    <n v="0"/>
    <b v="0"/>
    <n v="37274.025000000001"/>
    <b v="1"/>
    <n v="0"/>
    <b v="0"/>
    <n v="175893.36900000001"/>
    <m/>
    <n v="175893.36900000001"/>
    <n v="6"/>
    <b v="1"/>
    <b v="0"/>
  </r>
  <r>
    <s v="C"/>
    <s v="M"/>
    <n v="20231101"/>
    <x v="0"/>
    <x v="4"/>
    <s v="202311"/>
    <n v="818"/>
    <s v="EGY"/>
    <x v="0"/>
    <s v="M"/>
    <s v="Import"/>
    <n v="56"/>
    <s v="BEL"/>
    <x v="4"/>
    <n v="0"/>
    <s v="W00"/>
    <s v="World"/>
    <s v="H6"/>
    <s v="HS"/>
    <b v="1"/>
    <s v="382499"/>
    <s v="Chemical products, mixtures and preparations; n.e.c. heading 3824"/>
    <n v="6"/>
    <b v="1"/>
    <s v="C00"/>
    <s v="TOTAL CPC"/>
    <s v="0"/>
    <n v="0"/>
    <s v="TOTAL MOT"/>
    <n v="8"/>
    <s v="kg"/>
    <n v="199879.82699999999"/>
    <b v="1"/>
    <n v="-1"/>
    <s v="N/A"/>
    <n v="0"/>
    <b v="0"/>
    <n v="199879.82699999999"/>
    <b v="1"/>
    <n v="0"/>
    <b v="0"/>
    <n v="943218.12800000003"/>
    <m/>
    <n v="943218.12800000003"/>
    <n v="6"/>
    <b v="1"/>
    <b v="0"/>
  </r>
  <r>
    <s v="C"/>
    <s v="M"/>
    <n v="20231101"/>
    <x v="0"/>
    <x v="4"/>
    <s v="202311"/>
    <n v="818"/>
    <s v="EGY"/>
    <x v="0"/>
    <s v="M"/>
    <s v="Import"/>
    <n v="76"/>
    <s v="BRA"/>
    <x v="5"/>
    <n v="0"/>
    <s v="W00"/>
    <s v="World"/>
    <s v="H6"/>
    <s v="HS"/>
    <b v="1"/>
    <s v="382499"/>
    <s v="Chemical products, mixtures and preparations; n.e.c. heading 3824"/>
    <n v="6"/>
    <b v="1"/>
    <s v="C00"/>
    <s v="TOTAL CPC"/>
    <s v="0"/>
    <n v="0"/>
    <s v="TOTAL MOT"/>
    <n v="8"/>
    <s v="kg"/>
    <n v="27527.319"/>
    <b v="1"/>
    <n v="-1"/>
    <s v="N/A"/>
    <n v="0"/>
    <b v="0"/>
    <n v="27527.319"/>
    <b v="1"/>
    <n v="0"/>
    <b v="0"/>
    <n v="129899.383"/>
    <m/>
    <n v="129899.383"/>
    <n v="6"/>
    <b v="1"/>
    <b v="0"/>
  </r>
  <r>
    <s v="C"/>
    <s v="M"/>
    <n v="20231101"/>
    <x v="0"/>
    <x v="4"/>
    <s v="202311"/>
    <n v="818"/>
    <s v="EGY"/>
    <x v="0"/>
    <s v="M"/>
    <s v="Import"/>
    <n v="124"/>
    <s v="CAN"/>
    <x v="48"/>
    <n v="0"/>
    <s v="W00"/>
    <s v="World"/>
    <s v="H6"/>
    <s v="HS"/>
    <b v="1"/>
    <s v="382499"/>
    <s v="Chemical products, mixtures and preparations; n.e.c. heading 3824"/>
    <n v="6"/>
    <b v="1"/>
    <s v="C00"/>
    <s v="TOTAL CPC"/>
    <s v="0"/>
    <n v="0"/>
    <s v="TOTAL MOT"/>
    <n v="8"/>
    <s v="kg"/>
    <n v="5070.1180000000004"/>
    <b v="1"/>
    <n v="-1"/>
    <s v="N/A"/>
    <n v="0"/>
    <b v="0"/>
    <n v="5070.1180000000004"/>
    <b v="1"/>
    <n v="0"/>
    <b v="0"/>
    <n v="23925.511999999999"/>
    <m/>
    <n v="23925.511999999999"/>
    <n v="6"/>
    <b v="1"/>
    <b v="0"/>
  </r>
  <r>
    <s v="C"/>
    <s v="M"/>
    <n v="20231101"/>
    <x v="0"/>
    <x v="4"/>
    <s v="202311"/>
    <n v="818"/>
    <s v="EGY"/>
    <x v="0"/>
    <s v="M"/>
    <s v="Import"/>
    <n v="156"/>
    <s v="CHN"/>
    <x v="6"/>
    <n v="0"/>
    <s v="W00"/>
    <s v="World"/>
    <s v="H6"/>
    <s v="HS"/>
    <b v="1"/>
    <s v="382499"/>
    <s v="Chemical products, mixtures and preparations; n.e.c. heading 3824"/>
    <n v="6"/>
    <b v="1"/>
    <s v="C00"/>
    <s v="TOTAL CPC"/>
    <s v="0"/>
    <n v="0"/>
    <s v="TOTAL MOT"/>
    <n v="8"/>
    <s v="kg"/>
    <n v="595904.228"/>
    <b v="1"/>
    <n v="-1"/>
    <s v="N/A"/>
    <n v="0"/>
    <b v="0"/>
    <n v="595904.228"/>
    <b v="1"/>
    <n v="0"/>
    <b v="0"/>
    <n v="2812028.003"/>
    <m/>
    <n v="2812028.003"/>
    <n v="6"/>
    <b v="1"/>
    <b v="0"/>
  </r>
  <r>
    <s v="C"/>
    <s v="M"/>
    <n v="20231101"/>
    <x v="0"/>
    <x v="4"/>
    <s v="202311"/>
    <n v="818"/>
    <s v="EGY"/>
    <x v="0"/>
    <s v="M"/>
    <s v="Import"/>
    <n v="208"/>
    <s v="DNK"/>
    <x v="7"/>
    <n v="0"/>
    <s v="W00"/>
    <s v="World"/>
    <s v="H6"/>
    <s v="HS"/>
    <b v="1"/>
    <s v="382499"/>
    <s v="Chemical products, mixtures and preparations; n.e.c. heading 3824"/>
    <n v="6"/>
    <b v="1"/>
    <s v="C00"/>
    <s v="TOTAL CPC"/>
    <s v="0"/>
    <n v="0"/>
    <s v="TOTAL MOT"/>
    <n v="8"/>
    <s v="kg"/>
    <n v="72671.160999999993"/>
    <b v="1"/>
    <n v="-1"/>
    <s v="N/A"/>
    <n v="0"/>
    <b v="0"/>
    <n v="72671.160999999993"/>
    <b v="1"/>
    <n v="0"/>
    <b v="0"/>
    <n v="342929.83600000001"/>
    <m/>
    <n v="342929.83600000001"/>
    <n v="6"/>
    <b v="1"/>
    <b v="0"/>
  </r>
  <r>
    <s v="C"/>
    <s v="M"/>
    <n v="20231101"/>
    <x v="0"/>
    <x v="4"/>
    <s v="202311"/>
    <n v="818"/>
    <s v="EGY"/>
    <x v="0"/>
    <s v="M"/>
    <s v="Import"/>
    <n v="251"/>
    <s v="FRA"/>
    <x v="8"/>
    <n v="0"/>
    <s v="W00"/>
    <s v="World"/>
    <s v="H6"/>
    <s v="HS"/>
    <b v="1"/>
    <s v="382499"/>
    <s v="Chemical products, mixtures and preparations; n.e.c. heading 3824"/>
    <n v="6"/>
    <b v="1"/>
    <s v="C00"/>
    <s v="TOTAL CPC"/>
    <s v="0"/>
    <n v="0"/>
    <s v="TOTAL MOT"/>
    <n v="8"/>
    <s v="kg"/>
    <n v="102630.749"/>
    <b v="1"/>
    <n v="-1"/>
    <s v="N/A"/>
    <n v="0"/>
    <b v="0"/>
    <n v="102630.749"/>
    <b v="1"/>
    <n v="0"/>
    <b v="0"/>
    <n v="484306.92099999997"/>
    <m/>
    <n v="484306.92099999997"/>
    <n v="6"/>
    <b v="1"/>
    <b v="0"/>
  </r>
  <r>
    <s v="C"/>
    <s v="M"/>
    <n v="20231101"/>
    <x v="0"/>
    <x v="4"/>
    <s v="202311"/>
    <n v="818"/>
    <s v="EGY"/>
    <x v="0"/>
    <s v="M"/>
    <s v="Import"/>
    <n v="276"/>
    <s v="DEU"/>
    <x v="9"/>
    <n v="0"/>
    <s v="W00"/>
    <s v="World"/>
    <s v="H6"/>
    <s v="HS"/>
    <b v="1"/>
    <s v="382499"/>
    <s v="Chemical products, mixtures and preparations; n.e.c. heading 3824"/>
    <n v="6"/>
    <b v="1"/>
    <s v="C00"/>
    <s v="TOTAL CPC"/>
    <s v="0"/>
    <n v="0"/>
    <s v="TOTAL MOT"/>
    <n v="8"/>
    <s v="kg"/>
    <n v="384202.67"/>
    <b v="1"/>
    <n v="-1"/>
    <s v="N/A"/>
    <n v="0"/>
    <b v="0"/>
    <n v="384202.67"/>
    <b v="1"/>
    <n v="0"/>
    <b v="0"/>
    <n v="1813024.0020000001"/>
    <m/>
    <n v="1813024.0020000001"/>
    <n v="6"/>
    <b v="1"/>
    <b v="0"/>
  </r>
  <r>
    <s v="C"/>
    <s v="M"/>
    <n v="20231101"/>
    <x v="0"/>
    <x v="4"/>
    <s v="202311"/>
    <n v="818"/>
    <s v="EGY"/>
    <x v="0"/>
    <s v="M"/>
    <s v="Import"/>
    <n v="344"/>
    <s v="HKG"/>
    <x v="10"/>
    <n v="0"/>
    <s v="W00"/>
    <s v="World"/>
    <s v="H6"/>
    <s v="HS"/>
    <b v="1"/>
    <s v="382499"/>
    <s v="Chemical products, mixtures and preparations; n.e.c. heading 3824"/>
    <n v="6"/>
    <b v="1"/>
    <s v="C00"/>
    <s v="TOTAL CPC"/>
    <s v="0"/>
    <n v="0"/>
    <s v="TOTAL MOT"/>
    <n v="8"/>
    <s v="kg"/>
    <n v="164.28100000000001"/>
    <b v="1"/>
    <n v="-1"/>
    <s v="N/A"/>
    <n v="0"/>
    <b v="0"/>
    <n v="164.28100000000001"/>
    <b v="1"/>
    <n v="0"/>
    <b v="0"/>
    <n v="775.22900000000004"/>
    <m/>
    <n v="775.22900000000004"/>
    <n v="6"/>
    <b v="1"/>
    <b v="0"/>
  </r>
  <r>
    <s v="C"/>
    <s v="M"/>
    <n v="20231101"/>
    <x v="0"/>
    <x v="4"/>
    <s v="202311"/>
    <n v="818"/>
    <s v="EGY"/>
    <x v="0"/>
    <s v="M"/>
    <s v="Import"/>
    <n v="376"/>
    <s v="ISR"/>
    <x v="11"/>
    <n v="0"/>
    <s v="W00"/>
    <s v="World"/>
    <s v="H6"/>
    <s v="HS"/>
    <b v="1"/>
    <s v="382499"/>
    <s v="Chemical products, mixtures and preparations; n.e.c. heading 3824"/>
    <n v="6"/>
    <b v="1"/>
    <s v="C00"/>
    <s v="TOTAL CPC"/>
    <s v="0"/>
    <n v="0"/>
    <s v="TOTAL MOT"/>
    <n v="8"/>
    <s v="kg"/>
    <n v="19559.383999999998"/>
    <b v="1"/>
    <n v="-1"/>
    <s v="N/A"/>
    <n v="0"/>
    <b v="0"/>
    <n v="19559.383999999998"/>
    <b v="1"/>
    <n v="0"/>
    <b v="0"/>
    <n v="92299.286999999997"/>
    <m/>
    <n v="92299.286999999997"/>
    <n v="6"/>
    <b v="1"/>
    <b v="0"/>
  </r>
  <r>
    <s v="C"/>
    <s v="M"/>
    <n v="20231101"/>
    <x v="0"/>
    <x v="4"/>
    <s v="202311"/>
    <n v="818"/>
    <s v="EGY"/>
    <x v="0"/>
    <s v="M"/>
    <s v="Import"/>
    <n v="380"/>
    <s v="ITA"/>
    <x v="12"/>
    <n v="0"/>
    <s v="W00"/>
    <s v="World"/>
    <s v="H6"/>
    <s v="HS"/>
    <b v="1"/>
    <s v="382499"/>
    <s v="Chemical products, mixtures and preparations; n.e.c. heading 3824"/>
    <n v="6"/>
    <b v="1"/>
    <s v="C00"/>
    <s v="TOTAL CPC"/>
    <s v="0"/>
    <n v="0"/>
    <s v="TOTAL MOT"/>
    <n v="8"/>
    <s v="kg"/>
    <n v="134290.715"/>
    <b v="1"/>
    <n v="-1"/>
    <s v="N/A"/>
    <n v="0"/>
    <b v="0"/>
    <n v="134290.715"/>
    <b v="1"/>
    <n v="0"/>
    <b v="0"/>
    <n v="633707.96"/>
    <m/>
    <n v="633707.96"/>
    <n v="6"/>
    <b v="1"/>
    <b v="0"/>
  </r>
  <r>
    <s v="C"/>
    <s v="M"/>
    <n v="20231101"/>
    <x v="0"/>
    <x v="4"/>
    <s v="202311"/>
    <n v="818"/>
    <s v="EGY"/>
    <x v="0"/>
    <s v="M"/>
    <s v="Import"/>
    <n v="392"/>
    <s v="JPN"/>
    <x v="30"/>
    <n v="0"/>
    <s v="W00"/>
    <s v="World"/>
    <s v="H6"/>
    <s v="HS"/>
    <b v="1"/>
    <s v="382499"/>
    <s v="Chemical products, mixtures and preparations; n.e.c. heading 3824"/>
    <n v="6"/>
    <b v="1"/>
    <s v="C00"/>
    <s v="TOTAL CPC"/>
    <s v="0"/>
    <n v="0"/>
    <s v="TOTAL MOT"/>
    <n v="8"/>
    <s v="kg"/>
    <n v="1116.2840000000001"/>
    <b v="1"/>
    <n v="-1"/>
    <s v="N/A"/>
    <n v="0"/>
    <b v="0"/>
    <n v="1116.2840000000001"/>
    <b v="1"/>
    <n v="0"/>
    <b v="0"/>
    <n v="5267.6610000000001"/>
    <m/>
    <n v="5267.6610000000001"/>
    <n v="6"/>
    <b v="1"/>
    <b v="0"/>
  </r>
  <r>
    <s v="C"/>
    <s v="M"/>
    <n v="20231101"/>
    <x v="0"/>
    <x v="4"/>
    <s v="202311"/>
    <n v="818"/>
    <s v="EGY"/>
    <x v="0"/>
    <s v="M"/>
    <s v="Import"/>
    <n v="400"/>
    <s v="JOR"/>
    <x v="40"/>
    <n v="0"/>
    <s v="W00"/>
    <s v="World"/>
    <s v="H6"/>
    <s v="HS"/>
    <b v="1"/>
    <s v="382499"/>
    <s v="Chemical products, mixtures and preparations; n.e.c. heading 3824"/>
    <n v="6"/>
    <b v="1"/>
    <s v="C00"/>
    <s v="TOTAL CPC"/>
    <s v="0"/>
    <n v="0"/>
    <s v="TOTAL MOT"/>
    <n v="8"/>
    <s v="kg"/>
    <n v="13297.099"/>
    <b v="1"/>
    <n v="-1"/>
    <s v="N/A"/>
    <n v="0"/>
    <b v="0"/>
    <n v="13297.099"/>
    <b v="1"/>
    <n v="0"/>
    <b v="0"/>
    <n v="62748.027000000002"/>
    <m/>
    <n v="62748.027000000002"/>
    <n v="6"/>
    <b v="1"/>
    <b v="0"/>
  </r>
  <r>
    <s v="C"/>
    <s v="M"/>
    <n v="20231101"/>
    <x v="0"/>
    <x v="4"/>
    <s v="202311"/>
    <n v="818"/>
    <s v="EGY"/>
    <x v="0"/>
    <s v="M"/>
    <s v="Import"/>
    <n v="410"/>
    <s v="KOR"/>
    <x v="13"/>
    <n v="0"/>
    <s v="W00"/>
    <s v="World"/>
    <s v="H6"/>
    <s v="HS"/>
    <b v="1"/>
    <s v="382499"/>
    <s v="Chemical products, mixtures and preparations; n.e.c. heading 3824"/>
    <n v="6"/>
    <b v="1"/>
    <s v="C00"/>
    <s v="TOTAL CPC"/>
    <s v="0"/>
    <n v="0"/>
    <s v="TOTAL MOT"/>
    <n v="8"/>
    <s v="kg"/>
    <n v="39719.955000000002"/>
    <b v="1"/>
    <n v="-1"/>
    <s v="N/A"/>
    <n v="0"/>
    <b v="0"/>
    <n v="39719.955000000002"/>
    <b v="1"/>
    <n v="0"/>
    <b v="0"/>
    <n v="187435.53"/>
    <m/>
    <n v="187435.53"/>
    <n v="6"/>
    <b v="1"/>
    <b v="0"/>
  </r>
  <r>
    <s v="C"/>
    <s v="M"/>
    <n v="20231101"/>
    <x v="0"/>
    <x v="4"/>
    <s v="202311"/>
    <n v="818"/>
    <s v="EGY"/>
    <x v="0"/>
    <s v="M"/>
    <s v="Import"/>
    <n v="458"/>
    <s v="MYS"/>
    <x v="14"/>
    <n v="0"/>
    <s v="W00"/>
    <s v="World"/>
    <s v="H6"/>
    <s v="HS"/>
    <b v="1"/>
    <s v="382499"/>
    <s v="Chemical products, mixtures and preparations; n.e.c. heading 3824"/>
    <n v="6"/>
    <b v="1"/>
    <s v="C00"/>
    <s v="TOTAL CPC"/>
    <s v="0"/>
    <n v="0"/>
    <s v="TOTAL MOT"/>
    <n v="8"/>
    <s v="kg"/>
    <n v="8186.3109999999997"/>
    <b v="1"/>
    <n v="-1"/>
    <s v="N/A"/>
    <n v="0"/>
    <b v="0"/>
    <n v="8186.3109999999997"/>
    <b v="1"/>
    <n v="0"/>
    <b v="0"/>
    <n v="38630.597000000002"/>
    <m/>
    <n v="38630.597000000002"/>
    <n v="6"/>
    <b v="1"/>
    <b v="0"/>
  </r>
  <r>
    <s v="C"/>
    <s v="M"/>
    <n v="20231101"/>
    <x v="0"/>
    <x v="4"/>
    <s v="202311"/>
    <n v="818"/>
    <s v="EGY"/>
    <x v="0"/>
    <s v="M"/>
    <s v="Import"/>
    <n v="484"/>
    <s v="MEX"/>
    <x v="32"/>
    <n v="0"/>
    <s v="W00"/>
    <s v="World"/>
    <s v="H6"/>
    <s v="HS"/>
    <b v="1"/>
    <s v="382499"/>
    <s v="Chemical products, mixtures and preparations; n.e.c. heading 3824"/>
    <n v="6"/>
    <b v="1"/>
    <s v="C00"/>
    <s v="TOTAL CPC"/>
    <s v="0"/>
    <n v="0"/>
    <s v="TOTAL MOT"/>
    <n v="8"/>
    <s v="kg"/>
    <n v="1196.069"/>
    <b v="1"/>
    <n v="-1"/>
    <s v="N/A"/>
    <n v="0"/>
    <b v="0"/>
    <n v="1196.069"/>
    <b v="1"/>
    <n v="0"/>
    <b v="0"/>
    <n v="5644.1620000000003"/>
    <m/>
    <n v="5644.1620000000003"/>
    <n v="6"/>
    <b v="1"/>
    <b v="0"/>
  </r>
  <r>
    <s v="C"/>
    <s v="M"/>
    <n v="20231101"/>
    <x v="0"/>
    <x v="4"/>
    <s v="202311"/>
    <n v="818"/>
    <s v="EGY"/>
    <x v="0"/>
    <s v="M"/>
    <s v="Import"/>
    <n v="490"/>
    <s v="S19"/>
    <x v="15"/>
    <n v="0"/>
    <s v="W00"/>
    <s v="World"/>
    <s v="H6"/>
    <s v="HS"/>
    <b v="1"/>
    <s v="382499"/>
    <s v="Chemical products, mixtures and preparations; n.e.c. heading 3824"/>
    <n v="6"/>
    <b v="1"/>
    <s v="C00"/>
    <s v="TOTAL CPC"/>
    <s v="0"/>
    <n v="0"/>
    <s v="TOTAL MOT"/>
    <n v="8"/>
    <s v="kg"/>
    <n v="58423.481"/>
    <b v="1"/>
    <n v="-1"/>
    <s v="N/A"/>
    <n v="0"/>
    <b v="0"/>
    <n v="58423.481"/>
    <b v="1"/>
    <n v="0"/>
    <b v="0"/>
    <n v="275696.087"/>
    <m/>
    <n v="275696.087"/>
    <n v="6"/>
    <b v="1"/>
    <b v="0"/>
  </r>
  <r>
    <s v="C"/>
    <s v="M"/>
    <n v="20231101"/>
    <x v="0"/>
    <x v="4"/>
    <s v="202311"/>
    <n v="818"/>
    <s v="EGY"/>
    <x v="0"/>
    <s v="M"/>
    <s v="Import"/>
    <n v="528"/>
    <s v="NLD"/>
    <x v="33"/>
    <n v="0"/>
    <s v="W00"/>
    <s v="World"/>
    <s v="H6"/>
    <s v="HS"/>
    <b v="1"/>
    <s v="382499"/>
    <s v="Chemical products, mixtures and preparations; n.e.c. heading 3824"/>
    <n v="6"/>
    <b v="1"/>
    <s v="C00"/>
    <s v="TOTAL CPC"/>
    <s v="0"/>
    <n v="0"/>
    <s v="TOTAL MOT"/>
    <n v="8"/>
    <s v="kg"/>
    <n v="104773.62300000001"/>
    <b v="1"/>
    <n v="-1"/>
    <s v="N/A"/>
    <n v="0"/>
    <b v="0"/>
    <n v="104773.62300000001"/>
    <b v="1"/>
    <n v="0"/>
    <b v="0"/>
    <n v="494418.98200000002"/>
    <m/>
    <n v="494418.98200000002"/>
    <n v="6"/>
    <b v="1"/>
    <b v="0"/>
  </r>
  <r>
    <s v="C"/>
    <s v="M"/>
    <n v="20231101"/>
    <x v="0"/>
    <x v="4"/>
    <s v="202311"/>
    <n v="818"/>
    <s v="EGY"/>
    <x v="0"/>
    <s v="M"/>
    <s v="Import"/>
    <n v="568"/>
    <s v="E19"/>
    <x v="34"/>
    <n v="0"/>
    <s v="W00"/>
    <s v="World"/>
    <s v="H6"/>
    <s v="HS"/>
    <b v="1"/>
    <s v="382499"/>
    <s v="Chemical products, mixtures and preparations; n.e.c. heading 3824"/>
    <n v="6"/>
    <b v="1"/>
    <s v="C00"/>
    <s v="TOTAL CPC"/>
    <s v="0"/>
    <n v="0"/>
    <s v="TOTAL MOT"/>
    <n v="8"/>
    <s v="kg"/>
    <n v="61429.533000000003"/>
    <b v="1"/>
    <n v="-1"/>
    <s v="N/A"/>
    <n v="0"/>
    <b v="0"/>
    <n v="61429.533000000003"/>
    <b v="1"/>
    <n v="0"/>
    <b v="0"/>
    <n v="289881.42499999999"/>
    <m/>
    <n v="289881.42499999999"/>
    <n v="6"/>
    <b v="1"/>
    <b v="0"/>
  </r>
  <r>
    <s v="C"/>
    <s v="M"/>
    <n v="20231101"/>
    <x v="0"/>
    <x v="4"/>
    <s v="202311"/>
    <n v="818"/>
    <s v="EGY"/>
    <x v="0"/>
    <s v="M"/>
    <s v="Import"/>
    <n v="579"/>
    <s v="NOR"/>
    <x v="16"/>
    <n v="0"/>
    <s v="W00"/>
    <s v="World"/>
    <s v="H6"/>
    <s v="HS"/>
    <b v="1"/>
    <s v="382499"/>
    <s v="Chemical products, mixtures and preparations; n.e.c. heading 3824"/>
    <n v="6"/>
    <b v="1"/>
    <s v="C00"/>
    <s v="TOTAL CPC"/>
    <s v="0"/>
    <n v="0"/>
    <s v="TOTAL MOT"/>
    <n v="8"/>
    <s v="kg"/>
    <n v="20600.973000000002"/>
    <b v="1"/>
    <n v="-1"/>
    <s v="N/A"/>
    <n v="0"/>
    <b v="0"/>
    <n v="20600.973000000002"/>
    <b v="1"/>
    <n v="0"/>
    <b v="0"/>
    <n v="97214.468999999997"/>
    <m/>
    <n v="97214.468999999997"/>
    <n v="6"/>
    <b v="1"/>
    <b v="0"/>
  </r>
  <r>
    <s v="C"/>
    <s v="M"/>
    <n v="20231101"/>
    <x v="0"/>
    <x v="4"/>
    <s v="202311"/>
    <n v="818"/>
    <s v="EGY"/>
    <x v="0"/>
    <s v="M"/>
    <s v="Import"/>
    <n v="616"/>
    <s v="POL"/>
    <x v="35"/>
    <n v="0"/>
    <s v="W00"/>
    <s v="World"/>
    <s v="H6"/>
    <s v="HS"/>
    <b v="1"/>
    <s v="382499"/>
    <s v="Chemical products, mixtures and preparations; n.e.c. heading 3824"/>
    <n v="6"/>
    <b v="1"/>
    <s v="C00"/>
    <s v="TOTAL CPC"/>
    <s v="0"/>
    <n v="0"/>
    <s v="TOTAL MOT"/>
    <n v="8"/>
    <s v="kg"/>
    <n v="37194.682000000001"/>
    <b v="1"/>
    <n v="-1"/>
    <s v="N/A"/>
    <n v="0"/>
    <b v="0"/>
    <n v="37194.682000000001"/>
    <b v="1"/>
    <n v="0"/>
    <b v="0"/>
    <n v="175518.95300000001"/>
    <m/>
    <n v="175518.95300000001"/>
    <n v="6"/>
    <b v="1"/>
    <b v="0"/>
  </r>
  <r>
    <s v="C"/>
    <s v="M"/>
    <n v="20231101"/>
    <x v="0"/>
    <x v="4"/>
    <s v="202311"/>
    <n v="818"/>
    <s v="EGY"/>
    <x v="0"/>
    <s v="M"/>
    <s v="Import"/>
    <n v="634"/>
    <s v="QAT"/>
    <x v="17"/>
    <n v="0"/>
    <s v="W00"/>
    <s v="World"/>
    <s v="H6"/>
    <s v="HS"/>
    <b v="1"/>
    <s v="382499"/>
    <s v="Chemical products, mixtures and preparations; n.e.c. heading 3824"/>
    <n v="6"/>
    <b v="1"/>
    <s v="C00"/>
    <s v="TOTAL CPC"/>
    <s v="0"/>
    <n v="0"/>
    <s v="TOTAL MOT"/>
    <n v="8"/>
    <s v="kg"/>
    <n v="42898.766000000003"/>
    <b v="1"/>
    <n v="-1"/>
    <s v="N/A"/>
    <n v="0"/>
    <b v="0"/>
    <n v="42898.766000000003"/>
    <b v="1"/>
    <n v="0"/>
    <b v="0"/>
    <n v="202436.10500000001"/>
    <m/>
    <n v="202436.10500000001"/>
    <n v="6"/>
    <b v="1"/>
    <b v="0"/>
  </r>
  <r>
    <s v="C"/>
    <s v="M"/>
    <n v="20231101"/>
    <x v="0"/>
    <x v="4"/>
    <s v="202311"/>
    <n v="818"/>
    <s v="EGY"/>
    <x v="0"/>
    <s v="M"/>
    <s v="Import"/>
    <n v="682"/>
    <s v="SAU"/>
    <x v="18"/>
    <n v="0"/>
    <s v="W00"/>
    <s v="World"/>
    <s v="H6"/>
    <s v="HS"/>
    <b v="1"/>
    <s v="382499"/>
    <s v="Chemical products, mixtures and preparations; n.e.c. heading 3824"/>
    <n v="6"/>
    <b v="1"/>
    <s v="C00"/>
    <s v="TOTAL CPC"/>
    <s v="0"/>
    <n v="0"/>
    <s v="TOTAL MOT"/>
    <n v="8"/>
    <s v="kg"/>
    <n v="50476.112999999998"/>
    <b v="1"/>
    <n v="-1"/>
    <s v="N/A"/>
    <n v="0"/>
    <b v="0"/>
    <n v="50476.112999999998"/>
    <b v="1"/>
    <n v="0"/>
    <b v="0"/>
    <n v="238193.046"/>
    <m/>
    <n v="238193.046"/>
    <n v="6"/>
    <b v="1"/>
    <b v="0"/>
  </r>
  <r>
    <s v="C"/>
    <s v="M"/>
    <n v="20231101"/>
    <x v="0"/>
    <x v="4"/>
    <s v="202311"/>
    <n v="818"/>
    <s v="EGY"/>
    <x v="0"/>
    <s v="M"/>
    <s v="Import"/>
    <n v="699"/>
    <s v="IND"/>
    <x v="19"/>
    <n v="0"/>
    <s v="W00"/>
    <s v="World"/>
    <s v="H6"/>
    <s v="HS"/>
    <b v="1"/>
    <s v="382499"/>
    <s v="Chemical products, mixtures and preparations; n.e.c. heading 3824"/>
    <n v="6"/>
    <b v="1"/>
    <s v="C00"/>
    <s v="TOTAL CPC"/>
    <s v="0"/>
    <n v="0"/>
    <s v="TOTAL MOT"/>
    <n v="8"/>
    <s v="kg"/>
    <n v="277728.71600000001"/>
    <b v="1"/>
    <n v="-1"/>
    <s v="N/A"/>
    <n v="0"/>
    <b v="0"/>
    <n v="277728.71600000001"/>
    <b v="1"/>
    <n v="0"/>
    <b v="0"/>
    <n v="1310581.281"/>
    <m/>
    <n v="1310581.281"/>
    <n v="6"/>
    <b v="1"/>
    <b v="0"/>
  </r>
  <r>
    <s v="C"/>
    <s v="M"/>
    <n v="20231101"/>
    <x v="0"/>
    <x v="4"/>
    <s v="202311"/>
    <n v="818"/>
    <s v="EGY"/>
    <x v="0"/>
    <s v="M"/>
    <s v="Import"/>
    <n v="702"/>
    <s v="SGP"/>
    <x v="20"/>
    <n v="0"/>
    <s v="W00"/>
    <s v="World"/>
    <s v="H6"/>
    <s v="HS"/>
    <b v="1"/>
    <s v="382499"/>
    <s v="Chemical products, mixtures and preparations; n.e.c. heading 3824"/>
    <n v="6"/>
    <b v="1"/>
    <s v="C00"/>
    <s v="TOTAL CPC"/>
    <s v="0"/>
    <n v="0"/>
    <s v="TOTAL MOT"/>
    <n v="8"/>
    <s v="kg"/>
    <n v="4109.5870000000004"/>
    <b v="1"/>
    <n v="-1"/>
    <s v="N/A"/>
    <n v="0"/>
    <b v="0"/>
    <n v="4109.5870000000004"/>
    <b v="1"/>
    <n v="0"/>
    <b v="0"/>
    <n v="19392.834999999999"/>
    <m/>
    <n v="19392.834999999999"/>
    <n v="6"/>
    <b v="1"/>
    <b v="0"/>
  </r>
  <r>
    <s v="C"/>
    <s v="M"/>
    <n v="20231101"/>
    <x v="0"/>
    <x v="4"/>
    <s v="202311"/>
    <n v="818"/>
    <s v="EGY"/>
    <x v="0"/>
    <s v="M"/>
    <s v="Import"/>
    <n v="704"/>
    <s v="VNM"/>
    <x v="47"/>
    <n v="0"/>
    <s v="W00"/>
    <s v="World"/>
    <s v="H6"/>
    <s v="HS"/>
    <b v="1"/>
    <s v="382499"/>
    <s v="Chemical products, mixtures and preparations; n.e.c. heading 3824"/>
    <n v="6"/>
    <b v="1"/>
    <s v="C00"/>
    <s v="TOTAL CPC"/>
    <s v="0"/>
    <n v="0"/>
    <s v="TOTAL MOT"/>
    <n v="8"/>
    <s v="kg"/>
    <n v="82222.104000000007"/>
    <b v="1"/>
    <n v="-1"/>
    <s v="N/A"/>
    <n v="0"/>
    <b v="0"/>
    <n v="82222.104000000007"/>
    <b v="1"/>
    <n v="0"/>
    <b v="0"/>
    <n v="388000.03100000002"/>
    <m/>
    <n v="388000.03100000002"/>
    <n v="6"/>
    <b v="1"/>
    <b v="0"/>
  </r>
  <r>
    <s v="C"/>
    <s v="M"/>
    <n v="20231101"/>
    <x v="0"/>
    <x v="4"/>
    <s v="202311"/>
    <n v="818"/>
    <s v="EGY"/>
    <x v="0"/>
    <s v="M"/>
    <s v="Import"/>
    <n v="705"/>
    <s v="SVN"/>
    <x v="42"/>
    <n v="0"/>
    <s v="W00"/>
    <s v="World"/>
    <s v="H6"/>
    <s v="HS"/>
    <b v="1"/>
    <s v="382499"/>
    <s v="Chemical products, mixtures and preparations; n.e.c. heading 3824"/>
    <n v="6"/>
    <b v="1"/>
    <s v="C00"/>
    <s v="TOTAL CPC"/>
    <s v="0"/>
    <n v="0"/>
    <s v="TOTAL MOT"/>
    <n v="8"/>
    <s v="kg"/>
    <n v="1123.3630000000001"/>
    <b v="1"/>
    <n v="-1"/>
    <s v="N/A"/>
    <n v="0"/>
    <b v="0"/>
    <n v="1123.3630000000001"/>
    <b v="1"/>
    <n v="0"/>
    <b v="0"/>
    <n v="5301.0659999999998"/>
    <m/>
    <n v="5301.0659999999998"/>
    <n v="6"/>
    <b v="1"/>
    <b v="0"/>
  </r>
  <r>
    <s v="C"/>
    <s v="M"/>
    <n v="20231101"/>
    <x v="0"/>
    <x v="4"/>
    <s v="202311"/>
    <n v="818"/>
    <s v="EGY"/>
    <x v="0"/>
    <s v="M"/>
    <s v="Import"/>
    <n v="724"/>
    <s v="ESP"/>
    <x v="22"/>
    <n v="0"/>
    <s v="W00"/>
    <s v="World"/>
    <s v="H6"/>
    <s v="HS"/>
    <b v="1"/>
    <s v="382499"/>
    <s v="Chemical products, mixtures and preparations; n.e.c. heading 3824"/>
    <n v="6"/>
    <b v="1"/>
    <s v="C00"/>
    <s v="TOTAL CPC"/>
    <s v="0"/>
    <n v="0"/>
    <s v="TOTAL MOT"/>
    <n v="8"/>
    <s v="kg"/>
    <n v="321671.58399999997"/>
    <b v="1"/>
    <n v="-1"/>
    <s v="N/A"/>
    <n v="0"/>
    <b v="0"/>
    <n v="321671.58399999997"/>
    <b v="1"/>
    <n v="0"/>
    <b v="0"/>
    <n v="1517944.429"/>
    <m/>
    <n v="1517944.429"/>
    <n v="6"/>
    <b v="1"/>
    <b v="0"/>
  </r>
  <r>
    <s v="C"/>
    <s v="M"/>
    <n v="20231101"/>
    <x v="0"/>
    <x v="4"/>
    <s v="202311"/>
    <n v="818"/>
    <s v="EGY"/>
    <x v="0"/>
    <s v="M"/>
    <s v="Import"/>
    <n v="757"/>
    <s v="CHE"/>
    <x v="23"/>
    <n v="0"/>
    <s v="W00"/>
    <s v="World"/>
    <s v="H6"/>
    <s v="HS"/>
    <b v="1"/>
    <s v="382499"/>
    <s v="Chemical products, mixtures and preparations; n.e.c. heading 3824"/>
    <n v="6"/>
    <b v="1"/>
    <s v="C00"/>
    <s v="TOTAL CPC"/>
    <s v="0"/>
    <n v="0"/>
    <s v="TOTAL MOT"/>
    <n v="8"/>
    <s v="kg"/>
    <n v="8942.1790000000001"/>
    <b v="1"/>
    <n v="-1"/>
    <s v="N/A"/>
    <n v="0"/>
    <b v="0"/>
    <n v="8942.1790000000001"/>
    <b v="1"/>
    <n v="0"/>
    <b v="0"/>
    <n v="42197.483"/>
    <m/>
    <n v="42197.483"/>
    <n v="6"/>
    <b v="1"/>
    <b v="0"/>
  </r>
  <r>
    <s v="C"/>
    <s v="M"/>
    <n v="20231101"/>
    <x v="0"/>
    <x v="4"/>
    <s v="202311"/>
    <n v="818"/>
    <s v="EGY"/>
    <x v="0"/>
    <s v="M"/>
    <s v="Import"/>
    <n v="764"/>
    <s v="THA"/>
    <x v="24"/>
    <n v="0"/>
    <s v="W00"/>
    <s v="World"/>
    <s v="H6"/>
    <s v="HS"/>
    <b v="1"/>
    <s v="382499"/>
    <s v="Chemical products, mixtures and preparations; n.e.c. heading 3824"/>
    <n v="6"/>
    <b v="1"/>
    <s v="C00"/>
    <s v="TOTAL CPC"/>
    <s v="0"/>
    <n v="0"/>
    <s v="TOTAL MOT"/>
    <n v="8"/>
    <s v="kg"/>
    <n v="13944.671"/>
    <b v="1"/>
    <n v="-1"/>
    <s v="N/A"/>
    <n v="0"/>
    <b v="0"/>
    <n v="13944.671"/>
    <b v="1"/>
    <n v="0"/>
    <b v="0"/>
    <n v="65803.87"/>
    <m/>
    <n v="65803.87"/>
    <n v="6"/>
    <b v="1"/>
    <b v="0"/>
  </r>
  <r>
    <s v="C"/>
    <s v="M"/>
    <n v="20231101"/>
    <x v="0"/>
    <x v="4"/>
    <s v="202311"/>
    <n v="818"/>
    <s v="EGY"/>
    <x v="0"/>
    <s v="M"/>
    <s v="Import"/>
    <n v="784"/>
    <s v="ARE"/>
    <x v="25"/>
    <n v="0"/>
    <s v="W00"/>
    <s v="World"/>
    <s v="H6"/>
    <s v="HS"/>
    <b v="1"/>
    <s v="382499"/>
    <s v="Chemical products, mixtures and preparations; n.e.c. heading 3824"/>
    <n v="6"/>
    <b v="1"/>
    <s v="C00"/>
    <s v="TOTAL CPC"/>
    <s v="0"/>
    <n v="0"/>
    <s v="TOTAL MOT"/>
    <n v="8"/>
    <s v="kg"/>
    <n v="99370.645999999993"/>
    <b v="1"/>
    <n v="-1"/>
    <s v="N/A"/>
    <n v="0"/>
    <b v="0"/>
    <n v="99370.645999999993"/>
    <b v="1"/>
    <n v="0"/>
    <b v="0"/>
    <n v="468922.73200000002"/>
    <m/>
    <n v="468922.73200000002"/>
    <n v="6"/>
    <b v="1"/>
    <b v="0"/>
  </r>
  <r>
    <s v="C"/>
    <s v="M"/>
    <n v="20231101"/>
    <x v="0"/>
    <x v="4"/>
    <s v="202311"/>
    <n v="818"/>
    <s v="EGY"/>
    <x v="0"/>
    <s v="M"/>
    <s v="Import"/>
    <n v="792"/>
    <s v="TUR"/>
    <x v="26"/>
    <n v="0"/>
    <s v="W00"/>
    <s v="World"/>
    <s v="H6"/>
    <s v="HS"/>
    <b v="1"/>
    <s v="382499"/>
    <s v="Chemical products, mixtures and preparations; n.e.c. heading 3824"/>
    <n v="6"/>
    <b v="1"/>
    <s v="C00"/>
    <s v="TOTAL CPC"/>
    <s v="0"/>
    <n v="0"/>
    <s v="TOTAL MOT"/>
    <n v="8"/>
    <s v="kg"/>
    <n v="276414.20699999999"/>
    <b v="1"/>
    <n v="-1"/>
    <s v="N/A"/>
    <n v="0"/>
    <b v="0"/>
    <n v="276414.20699999999"/>
    <b v="1"/>
    <n v="0"/>
    <b v="0"/>
    <n v="1304378.2109999999"/>
    <m/>
    <n v="1304378.2109999999"/>
    <n v="6"/>
    <b v="1"/>
    <b v="0"/>
  </r>
  <r>
    <s v="C"/>
    <s v="M"/>
    <n v="20231101"/>
    <x v="0"/>
    <x v="4"/>
    <s v="202311"/>
    <n v="818"/>
    <s v="EGY"/>
    <x v="0"/>
    <s v="M"/>
    <s v="Import"/>
    <n v="826"/>
    <s v="GBR"/>
    <x v="27"/>
    <n v="0"/>
    <s v="W00"/>
    <s v="World"/>
    <s v="H6"/>
    <s v="HS"/>
    <b v="1"/>
    <s v="382499"/>
    <s v="Chemical products, mixtures and preparations; n.e.c. heading 3824"/>
    <n v="6"/>
    <b v="1"/>
    <s v="C00"/>
    <s v="TOTAL CPC"/>
    <s v="0"/>
    <n v="0"/>
    <s v="TOTAL MOT"/>
    <n v="8"/>
    <s v="kg"/>
    <n v="27252.608"/>
    <b v="1"/>
    <n v="-1"/>
    <s v="N/A"/>
    <n v="0"/>
    <b v="0"/>
    <n v="27252.608"/>
    <b v="1"/>
    <n v="0"/>
    <b v="0"/>
    <n v="128603.04399999999"/>
    <m/>
    <n v="128603.04399999999"/>
    <n v="6"/>
    <b v="1"/>
    <b v="0"/>
  </r>
  <r>
    <s v="C"/>
    <s v="M"/>
    <n v="20231101"/>
    <x v="0"/>
    <x v="4"/>
    <s v="202311"/>
    <n v="818"/>
    <s v="EGY"/>
    <x v="0"/>
    <s v="M"/>
    <s v="Import"/>
    <n v="842"/>
    <s v="USA"/>
    <x v="28"/>
    <n v="0"/>
    <s v="W00"/>
    <s v="World"/>
    <s v="H6"/>
    <s v="HS"/>
    <b v="1"/>
    <s v="382499"/>
    <s v="Chemical products, mixtures and preparations; n.e.c. heading 3824"/>
    <n v="6"/>
    <b v="1"/>
    <s v="C00"/>
    <s v="TOTAL CPC"/>
    <s v="0"/>
    <n v="0"/>
    <s v="TOTAL MOT"/>
    <n v="8"/>
    <s v="kg"/>
    <n v="296512.79599999997"/>
    <b v="1"/>
    <n v="-1"/>
    <s v="N/A"/>
    <n v="0"/>
    <b v="0"/>
    <n v="296512.79599999997"/>
    <b v="1"/>
    <n v="0"/>
    <b v="0"/>
    <n v="1399221.9669999999"/>
    <m/>
    <n v="1399221.9669999999"/>
    <n v="6"/>
    <b v="1"/>
    <b v="0"/>
  </r>
  <r>
    <s v="C"/>
    <s v="M"/>
    <n v="20231201"/>
    <x v="0"/>
    <x v="5"/>
    <s v="202312"/>
    <n v="818"/>
    <s v="EGY"/>
    <x v="0"/>
    <s v="M"/>
    <s v="Import"/>
    <n v="0"/>
    <s v="W00"/>
    <x v="0"/>
    <n v="0"/>
    <s v="W00"/>
    <s v="World"/>
    <s v="H6"/>
    <s v="HS"/>
    <b v="1"/>
    <s v="382499"/>
    <s v="Chemical products, mixtures and preparations; n.e.c. heading 3824"/>
    <n v="6"/>
    <b v="1"/>
    <s v="C00"/>
    <s v="TOTAL CPC"/>
    <s v="0"/>
    <n v="0"/>
    <s v="TOTAL MOT"/>
    <n v="8"/>
    <s v="kg"/>
    <n v="2423249.1630000002"/>
    <b v="1"/>
    <n v="-1"/>
    <s v="N/A"/>
    <n v="0"/>
    <b v="0"/>
    <n v="2423249.1630000002"/>
    <b v="1"/>
    <n v="0"/>
    <b v="0"/>
    <n v="11435133.684"/>
    <m/>
    <n v="11435133.684"/>
    <n v="6"/>
    <b v="0"/>
    <b v="1"/>
  </r>
  <r>
    <s v="C"/>
    <s v="M"/>
    <n v="20231201"/>
    <x v="0"/>
    <x v="5"/>
    <s v="202312"/>
    <n v="818"/>
    <s v="EGY"/>
    <x v="0"/>
    <s v="M"/>
    <s v="Import"/>
    <n v="40"/>
    <s v="AUT"/>
    <x v="3"/>
    <n v="0"/>
    <s v="W00"/>
    <s v="World"/>
    <s v="H6"/>
    <s v="HS"/>
    <b v="1"/>
    <s v="382499"/>
    <s v="Chemical products, mixtures and preparations; n.e.c. heading 3824"/>
    <n v="6"/>
    <b v="1"/>
    <s v="C00"/>
    <s v="TOTAL CPC"/>
    <s v="0"/>
    <n v="0"/>
    <s v="TOTAL MOT"/>
    <n v="8"/>
    <s v="kg"/>
    <n v="4019.498"/>
    <b v="1"/>
    <n v="-1"/>
    <s v="N/A"/>
    <n v="0"/>
    <b v="0"/>
    <n v="4019.498"/>
    <b v="1"/>
    <n v="0"/>
    <b v="0"/>
    <n v="18967.716"/>
    <m/>
    <n v="18967.716"/>
    <n v="6"/>
    <b v="1"/>
    <b v="0"/>
  </r>
  <r>
    <s v="C"/>
    <s v="M"/>
    <n v="20231201"/>
    <x v="0"/>
    <x v="5"/>
    <s v="202312"/>
    <n v="818"/>
    <s v="EGY"/>
    <x v="0"/>
    <s v="M"/>
    <s v="Import"/>
    <n v="56"/>
    <s v="BEL"/>
    <x v="4"/>
    <n v="0"/>
    <s v="W00"/>
    <s v="World"/>
    <s v="H6"/>
    <s v="HS"/>
    <b v="1"/>
    <s v="382499"/>
    <s v="Chemical products, mixtures and preparations; n.e.c. heading 3824"/>
    <n v="6"/>
    <b v="1"/>
    <s v="C00"/>
    <s v="TOTAL CPC"/>
    <s v="0"/>
    <n v="0"/>
    <s v="TOTAL MOT"/>
    <n v="8"/>
    <s v="kg"/>
    <n v="4467.3090000000002"/>
    <b v="1"/>
    <n v="-1"/>
    <s v="N/A"/>
    <n v="0"/>
    <b v="0"/>
    <n v="4467.3090000000002"/>
    <b v="1"/>
    <n v="0"/>
    <b v="0"/>
    <n v="21080.902999999998"/>
    <m/>
    <n v="21080.902999999998"/>
    <n v="6"/>
    <b v="1"/>
    <b v="0"/>
  </r>
  <r>
    <s v="C"/>
    <s v="M"/>
    <n v="20231201"/>
    <x v="0"/>
    <x v="5"/>
    <s v="202312"/>
    <n v="818"/>
    <s v="EGY"/>
    <x v="0"/>
    <s v="M"/>
    <s v="Import"/>
    <n v="76"/>
    <s v="BRA"/>
    <x v="5"/>
    <n v="0"/>
    <s v="W00"/>
    <s v="World"/>
    <s v="H6"/>
    <s v="HS"/>
    <b v="1"/>
    <s v="382499"/>
    <s v="Chemical products, mixtures and preparations; n.e.c. heading 3824"/>
    <n v="6"/>
    <b v="1"/>
    <s v="C00"/>
    <s v="TOTAL CPC"/>
    <s v="0"/>
    <n v="0"/>
    <s v="TOTAL MOT"/>
    <n v="8"/>
    <s v="kg"/>
    <n v="10460.517"/>
    <b v="1"/>
    <n v="-1"/>
    <s v="N/A"/>
    <n v="0"/>
    <b v="0"/>
    <n v="10460.517"/>
    <b v="1"/>
    <n v="0"/>
    <b v="0"/>
    <n v="49362.406000000003"/>
    <m/>
    <n v="49362.406000000003"/>
    <n v="6"/>
    <b v="1"/>
    <b v="0"/>
  </r>
  <r>
    <s v="C"/>
    <s v="M"/>
    <n v="20231201"/>
    <x v="0"/>
    <x v="5"/>
    <s v="202312"/>
    <n v="818"/>
    <s v="EGY"/>
    <x v="0"/>
    <s v="M"/>
    <s v="Import"/>
    <n v="124"/>
    <s v="CAN"/>
    <x v="48"/>
    <n v="0"/>
    <s v="W00"/>
    <s v="World"/>
    <s v="H6"/>
    <s v="HS"/>
    <b v="1"/>
    <s v="382499"/>
    <s v="Chemical products, mixtures and preparations; n.e.c. heading 3824"/>
    <n v="6"/>
    <b v="1"/>
    <s v="C00"/>
    <s v="TOTAL CPC"/>
    <s v="0"/>
    <n v="0"/>
    <s v="TOTAL MOT"/>
    <n v="8"/>
    <s v="kg"/>
    <n v="216.68799999999999"/>
    <b v="1"/>
    <n v="-1"/>
    <s v="N/A"/>
    <n v="0"/>
    <b v="0"/>
    <n v="216.68799999999999"/>
    <b v="1"/>
    <n v="0"/>
    <b v="0"/>
    <n v="1022.534"/>
    <m/>
    <n v="1022.534"/>
    <n v="6"/>
    <b v="1"/>
    <b v="0"/>
  </r>
  <r>
    <s v="C"/>
    <s v="M"/>
    <n v="20231201"/>
    <x v="0"/>
    <x v="5"/>
    <s v="202312"/>
    <n v="818"/>
    <s v="EGY"/>
    <x v="0"/>
    <s v="M"/>
    <s v="Import"/>
    <n v="156"/>
    <s v="CHN"/>
    <x v="6"/>
    <n v="0"/>
    <s v="W00"/>
    <s v="World"/>
    <s v="H6"/>
    <s v="HS"/>
    <b v="1"/>
    <s v="382499"/>
    <s v="Chemical products, mixtures and preparations; n.e.c. heading 3824"/>
    <n v="6"/>
    <b v="1"/>
    <s v="C00"/>
    <s v="TOTAL CPC"/>
    <s v="0"/>
    <n v="0"/>
    <s v="TOTAL MOT"/>
    <n v="8"/>
    <s v="kg"/>
    <n v="409309.00799999997"/>
    <b v="1"/>
    <n v="-1"/>
    <s v="N/A"/>
    <n v="0"/>
    <b v="0"/>
    <n v="409309.00799999997"/>
    <b v="1"/>
    <n v="0"/>
    <b v="0"/>
    <n v="1931498.9539999999"/>
    <m/>
    <n v="1931498.9539999999"/>
    <n v="6"/>
    <b v="1"/>
    <b v="0"/>
  </r>
  <r>
    <s v="C"/>
    <s v="M"/>
    <n v="20231201"/>
    <x v="0"/>
    <x v="5"/>
    <s v="202312"/>
    <n v="818"/>
    <s v="EGY"/>
    <x v="0"/>
    <s v="M"/>
    <s v="Import"/>
    <n v="208"/>
    <s v="DNK"/>
    <x v="7"/>
    <n v="0"/>
    <s v="W00"/>
    <s v="World"/>
    <s v="H6"/>
    <s v="HS"/>
    <b v="1"/>
    <s v="382499"/>
    <s v="Chemical products, mixtures and preparations; n.e.c. heading 3824"/>
    <n v="6"/>
    <b v="1"/>
    <s v="C00"/>
    <s v="TOTAL CPC"/>
    <s v="0"/>
    <n v="0"/>
    <s v="TOTAL MOT"/>
    <n v="8"/>
    <s v="kg"/>
    <n v="2400.364"/>
    <b v="1"/>
    <n v="-1"/>
    <s v="N/A"/>
    <n v="0"/>
    <b v="0"/>
    <n v="2400.364"/>
    <b v="1"/>
    <n v="0"/>
    <b v="0"/>
    <n v="11327.14"/>
    <m/>
    <n v="11327.14"/>
    <n v="6"/>
    <b v="1"/>
    <b v="0"/>
  </r>
  <r>
    <s v="C"/>
    <s v="M"/>
    <n v="20231201"/>
    <x v="0"/>
    <x v="5"/>
    <s v="202312"/>
    <n v="818"/>
    <s v="EGY"/>
    <x v="0"/>
    <s v="M"/>
    <s v="Import"/>
    <n v="251"/>
    <s v="FRA"/>
    <x v="8"/>
    <n v="0"/>
    <s v="W00"/>
    <s v="World"/>
    <s v="H6"/>
    <s v="HS"/>
    <b v="1"/>
    <s v="382499"/>
    <s v="Chemical products, mixtures and preparations; n.e.c. heading 3824"/>
    <n v="6"/>
    <b v="1"/>
    <s v="C00"/>
    <s v="TOTAL CPC"/>
    <s v="0"/>
    <n v="0"/>
    <s v="TOTAL MOT"/>
    <n v="8"/>
    <s v="kg"/>
    <n v="83094.263000000006"/>
    <b v="1"/>
    <n v="-1"/>
    <s v="N/A"/>
    <n v="0"/>
    <b v="0"/>
    <n v="83094.263000000006"/>
    <b v="1"/>
    <n v="0"/>
    <b v="0"/>
    <n v="392115.68300000002"/>
    <m/>
    <n v="392115.68300000002"/>
    <n v="6"/>
    <b v="1"/>
    <b v="0"/>
  </r>
  <r>
    <s v="C"/>
    <s v="M"/>
    <n v="20231201"/>
    <x v="0"/>
    <x v="5"/>
    <s v="202312"/>
    <n v="818"/>
    <s v="EGY"/>
    <x v="0"/>
    <s v="M"/>
    <s v="Import"/>
    <n v="268"/>
    <s v="GEO"/>
    <x v="49"/>
    <n v="0"/>
    <s v="W00"/>
    <s v="World"/>
    <s v="H6"/>
    <s v="HS"/>
    <b v="1"/>
    <s v="382499"/>
    <s v="Chemical products, mixtures and preparations; n.e.c. heading 3824"/>
    <n v="6"/>
    <b v="1"/>
    <s v="C00"/>
    <s v="TOTAL CPC"/>
    <s v="0"/>
    <n v="0"/>
    <s v="TOTAL MOT"/>
    <n v="8"/>
    <s v="kg"/>
    <n v="19144.256000000001"/>
    <b v="1"/>
    <n v="-1"/>
    <s v="N/A"/>
    <n v="0"/>
    <b v="0"/>
    <n v="19144.256000000001"/>
    <b v="1"/>
    <n v="0"/>
    <b v="0"/>
    <n v="90340.327999999994"/>
    <m/>
    <n v="90340.327999999994"/>
    <n v="6"/>
    <b v="1"/>
    <b v="0"/>
  </r>
  <r>
    <s v="C"/>
    <s v="M"/>
    <n v="20231201"/>
    <x v="0"/>
    <x v="5"/>
    <s v="202312"/>
    <n v="818"/>
    <s v="EGY"/>
    <x v="0"/>
    <s v="M"/>
    <s v="Import"/>
    <n v="276"/>
    <s v="DEU"/>
    <x v="9"/>
    <n v="0"/>
    <s v="W00"/>
    <s v="World"/>
    <s v="H6"/>
    <s v="HS"/>
    <b v="1"/>
    <s v="382499"/>
    <s v="Chemical products, mixtures and preparations; n.e.c. heading 3824"/>
    <n v="6"/>
    <b v="1"/>
    <s v="C00"/>
    <s v="TOTAL CPC"/>
    <s v="0"/>
    <n v="0"/>
    <s v="TOTAL MOT"/>
    <n v="8"/>
    <s v="kg"/>
    <n v="393706.283"/>
    <b v="1"/>
    <n v="-1"/>
    <s v="N/A"/>
    <n v="0"/>
    <b v="0"/>
    <n v="393706.283"/>
    <b v="1"/>
    <n v="0"/>
    <b v="0"/>
    <n v="1857870.848"/>
    <m/>
    <n v="1857870.848"/>
    <n v="6"/>
    <b v="1"/>
    <b v="0"/>
  </r>
  <r>
    <s v="C"/>
    <s v="M"/>
    <n v="20231201"/>
    <x v="0"/>
    <x v="5"/>
    <s v="202312"/>
    <n v="818"/>
    <s v="EGY"/>
    <x v="0"/>
    <s v="M"/>
    <s v="Import"/>
    <n v="360"/>
    <s v="IDN"/>
    <x v="44"/>
    <n v="0"/>
    <s v="W00"/>
    <s v="World"/>
    <s v="H6"/>
    <s v="HS"/>
    <b v="1"/>
    <s v="382499"/>
    <s v="Chemical products, mixtures and preparations; n.e.c. heading 3824"/>
    <n v="6"/>
    <b v="1"/>
    <s v="C00"/>
    <s v="TOTAL CPC"/>
    <s v="0"/>
    <n v="0"/>
    <s v="TOTAL MOT"/>
    <n v="8"/>
    <s v="kg"/>
    <n v="8860.9189999999999"/>
    <b v="1"/>
    <n v="-1"/>
    <s v="N/A"/>
    <n v="0"/>
    <b v="0"/>
    <n v="8860.9189999999999"/>
    <b v="1"/>
    <n v="0"/>
    <b v="0"/>
    <n v="41814.023000000001"/>
    <m/>
    <n v="41814.023000000001"/>
    <n v="6"/>
    <b v="1"/>
    <b v="0"/>
  </r>
  <r>
    <s v="C"/>
    <s v="M"/>
    <n v="20231201"/>
    <x v="0"/>
    <x v="5"/>
    <s v="202312"/>
    <n v="818"/>
    <s v="EGY"/>
    <x v="0"/>
    <s v="M"/>
    <s v="Import"/>
    <n v="376"/>
    <s v="ISR"/>
    <x v="11"/>
    <n v="0"/>
    <s v="W00"/>
    <s v="World"/>
    <s v="H6"/>
    <s v="HS"/>
    <b v="1"/>
    <s v="382499"/>
    <s v="Chemical products, mixtures and preparations; n.e.c. heading 3824"/>
    <n v="6"/>
    <b v="1"/>
    <s v="C00"/>
    <s v="TOTAL CPC"/>
    <s v="0"/>
    <n v="0"/>
    <s v="TOTAL MOT"/>
    <n v="8"/>
    <s v="kg"/>
    <n v="22404.616999999998"/>
    <b v="1"/>
    <n v="-1"/>
    <s v="N/A"/>
    <n v="0"/>
    <b v="0"/>
    <n v="22404.616999999998"/>
    <b v="1"/>
    <n v="0"/>
    <b v="0"/>
    <n v="105725.73"/>
    <m/>
    <n v="105725.73"/>
    <n v="6"/>
    <b v="1"/>
    <b v="0"/>
  </r>
  <r>
    <s v="C"/>
    <s v="M"/>
    <n v="20231201"/>
    <x v="0"/>
    <x v="5"/>
    <s v="202312"/>
    <n v="818"/>
    <s v="EGY"/>
    <x v="0"/>
    <s v="M"/>
    <s v="Import"/>
    <n v="380"/>
    <s v="ITA"/>
    <x v="12"/>
    <n v="0"/>
    <s v="W00"/>
    <s v="World"/>
    <s v="H6"/>
    <s v="HS"/>
    <b v="1"/>
    <s v="382499"/>
    <s v="Chemical products, mixtures and preparations; n.e.c. heading 3824"/>
    <n v="6"/>
    <b v="1"/>
    <s v="C00"/>
    <s v="TOTAL CPC"/>
    <s v="0"/>
    <n v="0"/>
    <s v="TOTAL MOT"/>
    <n v="8"/>
    <s v="kg"/>
    <n v="108070.197"/>
    <b v="1"/>
    <n v="-1"/>
    <s v="N/A"/>
    <n v="0"/>
    <b v="0"/>
    <n v="108070.197"/>
    <b v="1"/>
    <n v="0"/>
    <b v="0"/>
    <n v="509975.26899999997"/>
    <m/>
    <n v="509975.26899999997"/>
    <n v="6"/>
    <b v="1"/>
    <b v="0"/>
  </r>
  <r>
    <s v="C"/>
    <s v="M"/>
    <n v="20231201"/>
    <x v="0"/>
    <x v="5"/>
    <s v="202312"/>
    <n v="818"/>
    <s v="EGY"/>
    <x v="0"/>
    <s v="M"/>
    <s v="Import"/>
    <n v="392"/>
    <s v="JPN"/>
    <x v="30"/>
    <n v="0"/>
    <s v="W00"/>
    <s v="World"/>
    <s v="H6"/>
    <s v="HS"/>
    <b v="1"/>
    <s v="382499"/>
    <s v="Chemical products, mixtures and preparations; n.e.c. heading 3824"/>
    <n v="6"/>
    <b v="1"/>
    <s v="C00"/>
    <s v="TOTAL CPC"/>
    <s v="0"/>
    <n v="0"/>
    <s v="TOTAL MOT"/>
    <n v="8"/>
    <s v="kg"/>
    <n v="339.80799999999999"/>
    <b v="1"/>
    <n v="-1"/>
    <s v="N/A"/>
    <n v="0"/>
    <b v="0"/>
    <n v="339.80799999999999"/>
    <b v="1"/>
    <n v="0"/>
    <b v="0"/>
    <n v="1603.5260000000001"/>
    <m/>
    <n v="1603.5260000000001"/>
    <n v="6"/>
    <b v="1"/>
    <b v="0"/>
  </r>
  <r>
    <s v="C"/>
    <s v="M"/>
    <n v="20231201"/>
    <x v="0"/>
    <x v="5"/>
    <s v="202312"/>
    <n v="818"/>
    <s v="EGY"/>
    <x v="0"/>
    <s v="M"/>
    <s v="Import"/>
    <n v="400"/>
    <s v="JOR"/>
    <x v="40"/>
    <n v="0"/>
    <s v="W00"/>
    <s v="World"/>
    <s v="H6"/>
    <s v="HS"/>
    <b v="1"/>
    <s v="382499"/>
    <s v="Chemical products, mixtures and preparations; n.e.c. heading 3824"/>
    <n v="6"/>
    <b v="1"/>
    <s v="C00"/>
    <s v="TOTAL CPC"/>
    <s v="0"/>
    <n v="0"/>
    <s v="TOTAL MOT"/>
    <n v="8"/>
    <s v="kg"/>
    <n v="30277.016"/>
    <b v="1"/>
    <n v="-1"/>
    <s v="N/A"/>
    <n v="0"/>
    <b v="0"/>
    <n v="30277.016"/>
    <b v="1"/>
    <n v="0"/>
    <b v="0"/>
    <n v="142875"/>
    <m/>
    <n v="142875"/>
    <n v="6"/>
    <b v="1"/>
    <b v="0"/>
  </r>
  <r>
    <s v="C"/>
    <s v="M"/>
    <n v="20231201"/>
    <x v="0"/>
    <x v="5"/>
    <s v="202312"/>
    <n v="818"/>
    <s v="EGY"/>
    <x v="0"/>
    <s v="M"/>
    <s v="Import"/>
    <n v="410"/>
    <s v="KOR"/>
    <x v="13"/>
    <n v="0"/>
    <s v="W00"/>
    <s v="World"/>
    <s v="H6"/>
    <s v="HS"/>
    <b v="1"/>
    <s v="382499"/>
    <s v="Chemical products, mixtures and preparations; n.e.c. heading 3824"/>
    <n v="6"/>
    <b v="1"/>
    <s v="C00"/>
    <s v="TOTAL CPC"/>
    <s v="0"/>
    <n v="0"/>
    <s v="TOTAL MOT"/>
    <n v="8"/>
    <s v="kg"/>
    <n v="48498.402999999998"/>
    <b v="1"/>
    <n v="-1"/>
    <s v="N/A"/>
    <n v="0"/>
    <b v="0"/>
    <n v="48498.402999999998"/>
    <b v="1"/>
    <n v="0"/>
    <b v="0"/>
    <n v="228860.37700000001"/>
    <m/>
    <n v="228860.37700000001"/>
    <n v="6"/>
    <b v="1"/>
    <b v="0"/>
  </r>
  <r>
    <s v="C"/>
    <s v="M"/>
    <n v="20231201"/>
    <x v="0"/>
    <x v="5"/>
    <s v="202312"/>
    <n v="818"/>
    <s v="EGY"/>
    <x v="0"/>
    <s v="M"/>
    <s v="Import"/>
    <n v="458"/>
    <s v="MYS"/>
    <x v="14"/>
    <n v="0"/>
    <s v="W00"/>
    <s v="World"/>
    <s v="H6"/>
    <s v="HS"/>
    <b v="1"/>
    <s v="382499"/>
    <s v="Chemical products, mixtures and preparations; n.e.c. heading 3824"/>
    <n v="6"/>
    <b v="1"/>
    <s v="C00"/>
    <s v="TOTAL CPC"/>
    <s v="0"/>
    <n v="0"/>
    <s v="TOTAL MOT"/>
    <n v="8"/>
    <s v="kg"/>
    <n v="8941.4060000000009"/>
    <b v="1"/>
    <n v="-1"/>
    <s v="N/A"/>
    <n v="0"/>
    <b v="0"/>
    <n v="8941.4060000000009"/>
    <b v="1"/>
    <n v="0"/>
    <b v="0"/>
    <n v="42193.834000000003"/>
    <m/>
    <n v="42193.834000000003"/>
    <n v="6"/>
    <b v="1"/>
    <b v="0"/>
  </r>
  <r>
    <s v="C"/>
    <s v="M"/>
    <n v="20231201"/>
    <x v="0"/>
    <x v="5"/>
    <s v="202312"/>
    <n v="818"/>
    <s v="EGY"/>
    <x v="0"/>
    <s v="M"/>
    <s v="Import"/>
    <n v="528"/>
    <s v="NLD"/>
    <x v="33"/>
    <n v="0"/>
    <s v="W00"/>
    <s v="World"/>
    <s v="H6"/>
    <s v="HS"/>
    <b v="1"/>
    <s v="382499"/>
    <s v="Chemical products, mixtures and preparations; n.e.c. heading 3824"/>
    <n v="6"/>
    <b v="1"/>
    <s v="C00"/>
    <s v="TOTAL CPC"/>
    <s v="0"/>
    <n v="0"/>
    <s v="TOTAL MOT"/>
    <n v="8"/>
    <s v="kg"/>
    <n v="193732.51699999999"/>
    <b v="1"/>
    <n v="-1"/>
    <s v="N/A"/>
    <n v="0"/>
    <b v="0"/>
    <n v="193732.51699999999"/>
    <b v="1"/>
    <n v="0"/>
    <b v="0"/>
    <n v="914209.42599999998"/>
    <m/>
    <n v="914209.42599999998"/>
    <n v="6"/>
    <b v="1"/>
    <b v="0"/>
  </r>
  <r>
    <s v="C"/>
    <s v="M"/>
    <n v="20231201"/>
    <x v="0"/>
    <x v="5"/>
    <s v="202312"/>
    <n v="818"/>
    <s v="EGY"/>
    <x v="0"/>
    <s v="M"/>
    <s v="Import"/>
    <n v="568"/>
    <s v="E19"/>
    <x v="34"/>
    <n v="0"/>
    <s v="W00"/>
    <s v="World"/>
    <s v="H6"/>
    <s v="HS"/>
    <b v="1"/>
    <s v="382499"/>
    <s v="Chemical products, mixtures and preparations; n.e.c. heading 3824"/>
    <n v="6"/>
    <b v="1"/>
    <s v="C00"/>
    <s v="TOTAL CPC"/>
    <s v="0"/>
    <n v="0"/>
    <s v="TOTAL MOT"/>
    <n v="8"/>
    <s v="kg"/>
    <n v="60009.288999999997"/>
    <b v="1"/>
    <n v="-1"/>
    <s v="N/A"/>
    <n v="0"/>
    <b v="0"/>
    <n v="60009.288999999997"/>
    <b v="1"/>
    <n v="0"/>
    <b v="0"/>
    <n v="283179.39899999998"/>
    <m/>
    <n v="283179.39899999998"/>
    <n v="6"/>
    <b v="1"/>
    <b v="0"/>
  </r>
  <r>
    <s v="C"/>
    <s v="M"/>
    <n v="20231201"/>
    <x v="0"/>
    <x v="5"/>
    <s v="202312"/>
    <n v="818"/>
    <s v="EGY"/>
    <x v="0"/>
    <s v="M"/>
    <s v="Import"/>
    <n v="616"/>
    <s v="POL"/>
    <x v="35"/>
    <n v="0"/>
    <s v="W00"/>
    <s v="World"/>
    <s v="H6"/>
    <s v="HS"/>
    <b v="1"/>
    <s v="382499"/>
    <s v="Chemical products, mixtures and preparations; n.e.c. heading 3824"/>
    <n v="6"/>
    <b v="1"/>
    <s v="C00"/>
    <s v="TOTAL CPC"/>
    <s v="0"/>
    <n v="0"/>
    <s v="TOTAL MOT"/>
    <n v="8"/>
    <s v="kg"/>
    <n v="3027.7469999999998"/>
    <b v="1"/>
    <n v="-1"/>
    <s v="N/A"/>
    <n v="0"/>
    <b v="0"/>
    <n v="3027.7469999999998"/>
    <b v="1"/>
    <n v="0"/>
    <b v="0"/>
    <n v="14287.715"/>
    <m/>
    <n v="14287.715"/>
    <n v="6"/>
    <b v="1"/>
    <b v="0"/>
  </r>
  <r>
    <s v="C"/>
    <s v="M"/>
    <n v="20231201"/>
    <x v="0"/>
    <x v="5"/>
    <s v="202312"/>
    <n v="818"/>
    <s v="EGY"/>
    <x v="0"/>
    <s v="M"/>
    <s v="Import"/>
    <n v="634"/>
    <s v="QAT"/>
    <x v="17"/>
    <n v="0"/>
    <s v="W00"/>
    <s v="World"/>
    <s v="H6"/>
    <s v="HS"/>
    <b v="1"/>
    <s v="382499"/>
    <s v="Chemical products, mixtures and preparations; n.e.c. heading 3824"/>
    <n v="6"/>
    <b v="1"/>
    <s v="C00"/>
    <s v="TOTAL CPC"/>
    <s v="0"/>
    <n v="0"/>
    <s v="TOTAL MOT"/>
    <n v="8"/>
    <s v="kg"/>
    <n v="13638.697"/>
    <b v="1"/>
    <n v="-1"/>
    <s v="N/A"/>
    <n v="0"/>
    <b v="0"/>
    <n v="13638.697"/>
    <b v="1"/>
    <n v="0"/>
    <b v="0"/>
    <n v="64360.002"/>
    <m/>
    <n v="64360.002"/>
    <n v="6"/>
    <b v="1"/>
    <b v="0"/>
  </r>
  <r>
    <s v="C"/>
    <s v="M"/>
    <n v="20231201"/>
    <x v="0"/>
    <x v="5"/>
    <s v="202312"/>
    <n v="818"/>
    <s v="EGY"/>
    <x v="0"/>
    <s v="M"/>
    <s v="Import"/>
    <n v="642"/>
    <s v="ROU"/>
    <x v="50"/>
    <n v="0"/>
    <s v="W00"/>
    <s v="World"/>
    <s v="H6"/>
    <s v="HS"/>
    <b v="1"/>
    <s v="382499"/>
    <s v="Chemical products, mixtures and preparations; n.e.c. heading 3824"/>
    <n v="6"/>
    <b v="1"/>
    <s v="C00"/>
    <s v="TOTAL CPC"/>
    <s v="0"/>
    <n v="0"/>
    <s v="TOTAL MOT"/>
    <n v="8"/>
    <s v="kg"/>
    <n v="4800.7449999999999"/>
    <b v="1"/>
    <n v="-1"/>
    <s v="N/A"/>
    <n v="0"/>
    <b v="0"/>
    <n v="4800.7449999999999"/>
    <b v="1"/>
    <n v="0"/>
    <b v="0"/>
    <n v="22654.362000000001"/>
    <m/>
    <n v="22654.362000000001"/>
    <n v="6"/>
    <b v="1"/>
    <b v="0"/>
  </r>
  <r>
    <s v="C"/>
    <s v="M"/>
    <n v="20231201"/>
    <x v="0"/>
    <x v="5"/>
    <s v="202312"/>
    <n v="818"/>
    <s v="EGY"/>
    <x v="0"/>
    <s v="M"/>
    <s v="Import"/>
    <n v="643"/>
    <s v="RUS"/>
    <x v="46"/>
    <n v="0"/>
    <s v="W00"/>
    <s v="World"/>
    <s v="H6"/>
    <s v="HS"/>
    <b v="1"/>
    <s v="382499"/>
    <s v="Chemical products, mixtures and preparations; n.e.c. heading 3824"/>
    <n v="6"/>
    <b v="1"/>
    <s v="C00"/>
    <s v="TOTAL CPC"/>
    <s v="0"/>
    <n v="0"/>
    <s v="TOTAL MOT"/>
    <n v="8"/>
    <s v="kg"/>
    <n v="12015.446"/>
    <b v="1"/>
    <n v="-1"/>
    <s v="N/A"/>
    <n v="0"/>
    <b v="0"/>
    <n v="12015.446"/>
    <b v="1"/>
    <n v="0"/>
    <b v="0"/>
    <n v="56700"/>
    <m/>
    <n v="56700"/>
    <n v="6"/>
    <b v="1"/>
    <b v="0"/>
  </r>
  <r>
    <s v="C"/>
    <s v="M"/>
    <n v="20231201"/>
    <x v="0"/>
    <x v="5"/>
    <s v="202312"/>
    <n v="818"/>
    <s v="EGY"/>
    <x v="0"/>
    <s v="M"/>
    <s v="Import"/>
    <n v="682"/>
    <s v="SAU"/>
    <x v="18"/>
    <n v="0"/>
    <s v="W00"/>
    <s v="World"/>
    <s v="H6"/>
    <s v="HS"/>
    <b v="1"/>
    <s v="382499"/>
    <s v="Chemical products, mixtures and preparations; n.e.c. heading 3824"/>
    <n v="6"/>
    <b v="1"/>
    <s v="C00"/>
    <s v="TOTAL CPC"/>
    <s v="0"/>
    <n v="0"/>
    <s v="TOTAL MOT"/>
    <n v="8"/>
    <s v="kg"/>
    <n v="14848.844999999999"/>
    <b v="1"/>
    <n v="-1"/>
    <s v="N/A"/>
    <n v="0"/>
    <b v="0"/>
    <n v="14848.844999999999"/>
    <b v="1"/>
    <n v="0"/>
    <b v="0"/>
    <n v="70070.600000000006"/>
    <m/>
    <n v="70070.600000000006"/>
    <n v="6"/>
    <b v="1"/>
    <b v="0"/>
  </r>
  <r>
    <s v="C"/>
    <s v="M"/>
    <n v="20231201"/>
    <x v="0"/>
    <x v="5"/>
    <s v="202312"/>
    <n v="818"/>
    <s v="EGY"/>
    <x v="0"/>
    <s v="M"/>
    <s v="Import"/>
    <n v="699"/>
    <s v="IND"/>
    <x v="19"/>
    <n v="0"/>
    <s v="W00"/>
    <s v="World"/>
    <s v="H6"/>
    <s v="HS"/>
    <b v="1"/>
    <s v="382499"/>
    <s v="Chemical products, mixtures and preparations; n.e.c. heading 3824"/>
    <n v="6"/>
    <b v="1"/>
    <s v="C00"/>
    <s v="TOTAL CPC"/>
    <s v="0"/>
    <n v="0"/>
    <s v="TOTAL MOT"/>
    <n v="8"/>
    <s v="kg"/>
    <n v="180504.64499999999"/>
    <b v="1"/>
    <n v="-1"/>
    <s v="N/A"/>
    <n v="0"/>
    <b v="0"/>
    <n v="180504.64499999999"/>
    <b v="1"/>
    <n v="0"/>
    <b v="0"/>
    <n v="851788.07799999998"/>
    <m/>
    <n v="851788.07799999998"/>
    <n v="6"/>
    <b v="1"/>
    <b v="0"/>
  </r>
  <r>
    <s v="C"/>
    <s v="M"/>
    <n v="20231201"/>
    <x v="0"/>
    <x v="5"/>
    <s v="202312"/>
    <n v="818"/>
    <s v="EGY"/>
    <x v="0"/>
    <s v="M"/>
    <s v="Import"/>
    <n v="702"/>
    <s v="SGP"/>
    <x v="20"/>
    <n v="0"/>
    <s v="W00"/>
    <s v="World"/>
    <s v="H6"/>
    <s v="HS"/>
    <b v="1"/>
    <s v="382499"/>
    <s v="Chemical products, mixtures and preparations; n.e.c. heading 3824"/>
    <n v="6"/>
    <b v="1"/>
    <s v="C00"/>
    <s v="TOTAL CPC"/>
    <s v="0"/>
    <n v="0"/>
    <s v="TOTAL MOT"/>
    <n v="8"/>
    <s v="kg"/>
    <n v="5183.9129999999996"/>
    <b v="1"/>
    <n v="-1"/>
    <s v="N/A"/>
    <n v="0"/>
    <b v="0"/>
    <n v="5183.9129999999996"/>
    <b v="1"/>
    <n v="0"/>
    <b v="0"/>
    <n v="24462.5"/>
    <m/>
    <n v="24462.5"/>
    <n v="6"/>
    <b v="1"/>
    <b v="0"/>
  </r>
  <r>
    <s v="C"/>
    <s v="M"/>
    <n v="20231201"/>
    <x v="0"/>
    <x v="5"/>
    <s v="202312"/>
    <n v="818"/>
    <s v="EGY"/>
    <x v="0"/>
    <s v="M"/>
    <s v="Import"/>
    <n v="705"/>
    <s v="SVN"/>
    <x v="42"/>
    <n v="0"/>
    <s v="W00"/>
    <s v="World"/>
    <s v="H6"/>
    <s v="HS"/>
    <b v="1"/>
    <s v="382499"/>
    <s v="Chemical products, mixtures and preparations; n.e.c. heading 3824"/>
    <n v="6"/>
    <b v="1"/>
    <s v="C00"/>
    <s v="TOTAL CPC"/>
    <s v="0"/>
    <n v="0"/>
    <s v="TOTAL MOT"/>
    <n v="8"/>
    <s v="kg"/>
    <n v="1007.81"/>
    <b v="1"/>
    <n v="-1"/>
    <s v="N/A"/>
    <n v="0"/>
    <b v="0"/>
    <n v="1007.81"/>
    <b v="1"/>
    <n v="0"/>
    <b v="0"/>
    <n v="4755.7830000000004"/>
    <m/>
    <n v="4755.7830000000004"/>
    <n v="6"/>
    <b v="1"/>
    <b v="0"/>
  </r>
  <r>
    <s v="C"/>
    <s v="M"/>
    <n v="20231201"/>
    <x v="0"/>
    <x v="5"/>
    <s v="202312"/>
    <n v="818"/>
    <s v="EGY"/>
    <x v="0"/>
    <s v="M"/>
    <s v="Import"/>
    <n v="724"/>
    <s v="ESP"/>
    <x v="22"/>
    <n v="0"/>
    <s v="W00"/>
    <s v="World"/>
    <s v="H6"/>
    <s v="HS"/>
    <b v="1"/>
    <s v="382499"/>
    <s v="Chemical products, mixtures and preparations; n.e.c. heading 3824"/>
    <n v="6"/>
    <b v="1"/>
    <s v="C00"/>
    <s v="TOTAL CPC"/>
    <s v="0"/>
    <n v="0"/>
    <s v="TOTAL MOT"/>
    <n v="8"/>
    <s v="kg"/>
    <n v="185778.22500000001"/>
    <b v="1"/>
    <n v="-1"/>
    <s v="N/A"/>
    <n v="0"/>
    <b v="0"/>
    <n v="185778.22500000001"/>
    <b v="1"/>
    <n v="0"/>
    <b v="0"/>
    <n v="876673.71299999999"/>
    <m/>
    <n v="876673.71299999999"/>
    <n v="6"/>
    <b v="1"/>
    <b v="0"/>
  </r>
  <r>
    <s v="C"/>
    <s v="M"/>
    <n v="20231201"/>
    <x v="0"/>
    <x v="5"/>
    <s v="202312"/>
    <n v="818"/>
    <s v="EGY"/>
    <x v="0"/>
    <s v="M"/>
    <s v="Import"/>
    <n v="752"/>
    <s v="SWE"/>
    <x v="37"/>
    <n v="0"/>
    <s v="W00"/>
    <s v="World"/>
    <s v="H6"/>
    <s v="HS"/>
    <b v="1"/>
    <s v="382499"/>
    <s v="Chemical products, mixtures and preparations; n.e.c. heading 3824"/>
    <n v="6"/>
    <b v="1"/>
    <s v="C00"/>
    <s v="TOTAL CPC"/>
    <s v="0"/>
    <n v="0"/>
    <s v="TOTAL MOT"/>
    <n v="8"/>
    <s v="kg"/>
    <n v="1313.482"/>
    <b v="1"/>
    <n v="-1"/>
    <s v="N/A"/>
    <n v="0"/>
    <b v="0"/>
    <n v="1313.482"/>
    <b v="1"/>
    <n v="0"/>
    <b v="0"/>
    <n v="6198.2269999999999"/>
    <m/>
    <n v="6198.2269999999999"/>
    <n v="6"/>
    <b v="1"/>
    <b v="0"/>
  </r>
  <r>
    <s v="C"/>
    <s v="M"/>
    <n v="20231201"/>
    <x v="0"/>
    <x v="5"/>
    <s v="202312"/>
    <n v="818"/>
    <s v="EGY"/>
    <x v="0"/>
    <s v="M"/>
    <s v="Import"/>
    <n v="764"/>
    <s v="THA"/>
    <x v="24"/>
    <n v="0"/>
    <s v="W00"/>
    <s v="World"/>
    <s v="H6"/>
    <s v="HS"/>
    <b v="1"/>
    <s v="382499"/>
    <s v="Chemical products, mixtures and preparations; n.e.c. heading 3824"/>
    <n v="6"/>
    <b v="1"/>
    <s v="C00"/>
    <s v="TOTAL CPC"/>
    <s v="0"/>
    <n v="0"/>
    <s v="TOTAL MOT"/>
    <n v="8"/>
    <s v="kg"/>
    <n v="1849.68"/>
    <b v="1"/>
    <n v="-1"/>
    <s v="N/A"/>
    <n v="0"/>
    <b v="0"/>
    <n v="1849.68"/>
    <b v="1"/>
    <n v="0"/>
    <b v="0"/>
    <n v="8728.5030000000006"/>
    <m/>
    <n v="8728.5030000000006"/>
    <n v="6"/>
    <b v="1"/>
    <b v="0"/>
  </r>
  <r>
    <s v="C"/>
    <s v="M"/>
    <n v="20231201"/>
    <x v="0"/>
    <x v="5"/>
    <s v="202312"/>
    <n v="818"/>
    <s v="EGY"/>
    <x v="0"/>
    <s v="M"/>
    <s v="Import"/>
    <n v="784"/>
    <s v="ARE"/>
    <x v="25"/>
    <n v="0"/>
    <s v="W00"/>
    <s v="World"/>
    <s v="H6"/>
    <s v="HS"/>
    <b v="1"/>
    <s v="382499"/>
    <s v="Chemical products, mixtures and preparations; n.e.c. heading 3824"/>
    <n v="6"/>
    <b v="1"/>
    <s v="C00"/>
    <s v="TOTAL CPC"/>
    <s v="0"/>
    <n v="0"/>
    <s v="TOTAL MOT"/>
    <n v="8"/>
    <s v="kg"/>
    <n v="63631.866000000002"/>
    <b v="1"/>
    <n v="-1"/>
    <s v="N/A"/>
    <n v="0"/>
    <b v="0"/>
    <n v="63631.866000000002"/>
    <b v="1"/>
    <n v="0"/>
    <b v="0"/>
    <n v="300274.07400000002"/>
    <m/>
    <n v="300274.07400000002"/>
    <n v="6"/>
    <b v="1"/>
    <b v="0"/>
  </r>
  <r>
    <s v="C"/>
    <s v="M"/>
    <n v="20231201"/>
    <x v="0"/>
    <x v="5"/>
    <s v="202312"/>
    <n v="818"/>
    <s v="EGY"/>
    <x v="0"/>
    <s v="M"/>
    <s v="Import"/>
    <n v="792"/>
    <s v="TUR"/>
    <x v="26"/>
    <n v="0"/>
    <s v="W00"/>
    <s v="World"/>
    <s v="H6"/>
    <s v="HS"/>
    <b v="1"/>
    <s v="382499"/>
    <s v="Chemical products, mixtures and preparations; n.e.c. heading 3824"/>
    <n v="6"/>
    <b v="1"/>
    <s v="C00"/>
    <s v="TOTAL CPC"/>
    <s v="0"/>
    <n v="0"/>
    <s v="TOTAL MOT"/>
    <n v="8"/>
    <s v="kg"/>
    <n v="177095.59099999999"/>
    <b v="1"/>
    <n v="-1"/>
    <s v="N/A"/>
    <n v="0"/>
    <b v="0"/>
    <n v="177095.59099999999"/>
    <b v="1"/>
    <n v="0"/>
    <b v="0"/>
    <n v="835701.00300000003"/>
    <m/>
    <n v="835701.00300000003"/>
    <n v="6"/>
    <b v="1"/>
    <b v="0"/>
  </r>
  <r>
    <s v="C"/>
    <s v="M"/>
    <n v="20231201"/>
    <x v="0"/>
    <x v="5"/>
    <s v="202312"/>
    <n v="818"/>
    <s v="EGY"/>
    <x v="0"/>
    <s v="M"/>
    <s v="Import"/>
    <n v="804"/>
    <s v="UKR"/>
    <x v="43"/>
    <n v="0"/>
    <s v="W00"/>
    <s v="World"/>
    <s v="H6"/>
    <s v="HS"/>
    <b v="1"/>
    <s v="382499"/>
    <s v="Chemical products, mixtures and preparations; n.e.c. heading 3824"/>
    <n v="6"/>
    <b v="1"/>
    <s v="C00"/>
    <s v="TOTAL CPC"/>
    <s v="0"/>
    <n v="0"/>
    <s v="TOTAL MOT"/>
    <n v="8"/>
    <s v="kg"/>
    <n v="18317.728999999999"/>
    <b v="1"/>
    <n v="-1"/>
    <s v="N/A"/>
    <n v="0"/>
    <b v="0"/>
    <n v="18317.728999999999"/>
    <b v="1"/>
    <n v="0"/>
    <b v="0"/>
    <n v="86440.008000000002"/>
    <m/>
    <n v="86440.008000000002"/>
    <n v="6"/>
    <b v="1"/>
    <b v="0"/>
  </r>
  <r>
    <s v="C"/>
    <s v="M"/>
    <n v="20231201"/>
    <x v="0"/>
    <x v="5"/>
    <s v="202312"/>
    <n v="818"/>
    <s v="EGY"/>
    <x v="0"/>
    <s v="M"/>
    <s v="Import"/>
    <n v="826"/>
    <s v="GBR"/>
    <x v="27"/>
    <n v="0"/>
    <s v="W00"/>
    <s v="World"/>
    <s v="H6"/>
    <s v="HS"/>
    <b v="1"/>
    <s v="382499"/>
    <s v="Chemical products, mixtures and preparations; n.e.c. heading 3824"/>
    <n v="6"/>
    <b v="1"/>
    <s v="C00"/>
    <s v="TOTAL CPC"/>
    <s v="0"/>
    <n v="0"/>
    <s v="TOTAL MOT"/>
    <n v="8"/>
    <s v="kg"/>
    <n v="29096.240000000002"/>
    <b v="1"/>
    <n v="-1"/>
    <s v="N/A"/>
    <n v="0"/>
    <b v="0"/>
    <n v="29096.240000000002"/>
    <b v="1"/>
    <n v="0"/>
    <b v="0"/>
    <n v="137303.00700000001"/>
    <m/>
    <n v="137303.00700000001"/>
    <n v="6"/>
    <b v="1"/>
    <b v="0"/>
  </r>
  <r>
    <s v="C"/>
    <s v="M"/>
    <n v="20231201"/>
    <x v="0"/>
    <x v="5"/>
    <s v="202312"/>
    <n v="818"/>
    <s v="EGY"/>
    <x v="0"/>
    <s v="M"/>
    <s v="Import"/>
    <n v="842"/>
    <s v="USA"/>
    <x v="28"/>
    <n v="0"/>
    <s v="W00"/>
    <s v="World"/>
    <s v="H6"/>
    <s v="HS"/>
    <b v="1"/>
    <s v="382499"/>
    <s v="Chemical products, mixtures and preparations; n.e.c. heading 3824"/>
    <n v="6"/>
    <b v="1"/>
    <s v="C00"/>
    <s v="TOTAL CPC"/>
    <s v="0"/>
    <n v="0"/>
    <s v="TOTAL MOT"/>
    <n v="8"/>
    <s v="kg"/>
    <n v="303186.14600000001"/>
    <b v="1"/>
    <n v="-1"/>
    <s v="N/A"/>
    <n v="0"/>
    <b v="0"/>
    <n v="303186.14600000001"/>
    <b v="1"/>
    <n v="0"/>
    <b v="0"/>
    <n v="1430713.0120000001"/>
    <m/>
    <n v="1430713.0120000001"/>
    <n v="6"/>
    <b v="1"/>
    <b v="0"/>
  </r>
  <r>
    <s v="C"/>
    <s v="M"/>
    <n v="20240601"/>
    <x v="1"/>
    <x v="6"/>
    <s v="202406"/>
    <n v="818"/>
    <s v="EGY"/>
    <x v="0"/>
    <s v="M"/>
    <s v="Import"/>
    <n v="0"/>
    <s v="W00"/>
    <x v="0"/>
    <n v="0"/>
    <s v="W00"/>
    <s v="World"/>
    <s v="H6"/>
    <s v="HS"/>
    <b v="1"/>
    <s v="382499"/>
    <s v="Chemical products, mixtures and preparations; n.e.c. heading 3824"/>
    <n v="6"/>
    <b v="1"/>
    <s v="C00"/>
    <s v="TOTAL CPC"/>
    <s v="0"/>
    <n v="0"/>
    <s v="TOTAL MOT"/>
    <n v="8"/>
    <s v="kg"/>
    <n v="3292348.682"/>
    <b v="1"/>
    <n v="-1"/>
    <s v="N/A"/>
    <n v="0"/>
    <b v="0"/>
    <n v="3292348.682"/>
    <b v="1"/>
    <n v="0"/>
    <b v="0"/>
    <n v="15536350.069"/>
    <m/>
    <n v="15536350.069"/>
    <n v="6"/>
    <b v="0"/>
    <b v="1"/>
  </r>
  <r>
    <s v="C"/>
    <s v="M"/>
    <n v="20240301"/>
    <x v="1"/>
    <x v="7"/>
    <s v="202403"/>
    <n v="818"/>
    <s v="EGY"/>
    <x v="0"/>
    <s v="M"/>
    <s v="Import"/>
    <n v="36"/>
    <s v="AUS"/>
    <x v="2"/>
    <n v="0"/>
    <s v="W00"/>
    <s v="World"/>
    <s v="H6"/>
    <s v="HS"/>
    <b v="1"/>
    <s v="382499"/>
    <s v="Chemical products, mixtures and preparations; n.e.c. heading 3824"/>
    <n v="6"/>
    <b v="1"/>
    <s v="C00"/>
    <s v="TOTAL CPC"/>
    <s v="0"/>
    <n v="0"/>
    <s v="TOTAL MOT"/>
    <n v="8"/>
    <s v="kg"/>
    <n v="1259.6389999999999"/>
    <b v="1"/>
    <n v="-1"/>
    <s v="N/A"/>
    <n v="0"/>
    <b v="0"/>
    <n v="1259.6389999999999"/>
    <b v="1"/>
    <n v="0"/>
    <b v="0"/>
    <n v="5944.1440000000002"/>
    <m/>
    <n v="5944.1440000000002"/>
    <n v="6"/>
    <b v="1"/>
    <b v="0"/>
  </r>
  <r>
    <s v="C"/>
    <s v="M"/>
    <n v="20240601"/>
    <x v="1"/>
    <x v="6"/>
    <s v="202406"/>
    <n v="818"/>
    <s v="EGY"/>
    <x v="0"/>
    <s v="M"/>
    <s v="Import"/>
    <n v="40"/>
    <s v="AUT"/>
    <x v="3"/>
    <n v="0"/>
    <s v="W00"/>
    <s v="World"/>
    <s v="H6"/>
    <s v="HS"/>
    <b v="1"/>
    <s v="382499"/>
    <s v="Chemical products, mixtures and preparations; n.e.c. heading 3824"/>
    <n v="6"/>
    <b v="1"/>
    <s v="C00"/>
    <s v="TOTAL CPC"/>
    <s v="0"/>
    <n v="0"/>
    <s v="TOTAL MOT"/>
    <n v="8"/>
    <s v="kg"/>
    <n v="4953.6769999999997"/>
    <b v="1"/>
    <n v="-1"/>
    <s v="N/A"/>
    <n v="0"/>
    <b v="0"/>
    <n v="4953.6769999999997"/>
    <b v="1"/>
    <n v="0"/>
    <b v="0"/>
    <n v="23376.034"/>
    <m/>
    <n v="23376.034"/>
    <n v="6"/>
    <b v="1"/>
    <b v="0"/>
  </r>
  <r>
    <s v="C"/>
    <s v="M"/>
    <n v="20240101"/>
    <x v="1"/>
    <x v="8"/>
    <s v="202401"/>
    <n v="818"/>
    <s v="EGY"/>
    <x v="0"/>
    <s v="M"/>
    <s v="Import"/>
    <n v="56"/>
    <s v="BEL"/>
    <x v="4"/>
    <n v="0"/>
    <s v="W00"/>
    <s v="World"/>
    <s v="H6"/>
    <s v="HS"/>
    <b v="1"/>
    <s v="382499"/>
    <s v="Chemical products, mixtures and preparations; n.e.c. heading 3824"/>
    <n v="6"/>
    <b v="1"/>
    <s v="C00"/>
    <s v="TOTAL CPC"/>
    <s v="0"/>
    <n v="0"/>
    <s v="TOTAL MOT"/>
    <n v="8"/>
    <s v="kg"/>
    <n v="57877.538"/>
    <b v="1"/>
    <n v="-1"/>
    <s v="N/A"/>
    <n v="0"/>
    <b v="0"/>
    <n v="57877.538"/>
    <b v="1"/>
    <n v="0"/>
    <b v="0"/>
    <n v="273119.82400000002"/>
    <m/>
    <n v="273119.82400000002"/>
    <n v="6"/>
    <b v="1"/>
    <b v="0"/>
  </r>
  <r>
    <s v="C"/>
    <s v="M"/>
    <n v="20240201"/>
    <x v="1"/>
    <x v="9"/>
    <s v="202402"/>
    <n v="818"/>
    <s v="EGY"/>
    <x v="0"/>
    <s v="M"/>
    <s v="Import"/>
    <n v="76"/>
    <s v="BRA"/>
    <x v="5"/>
    <n v="0"/>
    <s v="W00"/>
    <s v="World"/>
    <s v="H6"/>
    <s v="HS"/>
    <b v="1"/>
    <s v="382499"/>
    <s v="Chemical products, mixtures and preparations; n.e.c. heading 3824"/>
    <n v="6"/>
    <b v="1"/>
    <s v="C00"/>
    <s v="TOTAL CPC"/>
    <s v="0"/>
    <n v="0"/>
    <s v="TOTAL MOT"/>
    <n v="8"/>
    <s v="kg"/>
    <n v="26806.948"/>
    <b v="1"/>
    <n v="-1"/>
    <s v="N/A"/>
    <n v="0"/>
    <b v="0"/>
    <n v="26806.948"/>
    <b v="1"/>
    <n v="0"/>
    <b v="0"/>
    <n v="126500.008"/>
    <m/>
    <n v="126500.008"/>
    <n v="6"/>
    <b v="1"/>
    <b v="0"/>
  </r>
  <r>
    <s v="C"/>
    <s v="M"/>
    <n v="20240401"/>
    <x v="1"/>
    <x v="10"/>
    <s v="202404"/>
    <n v="818"/>
    <s v="EGY"/>
    <x v="0"/>
    <s v="M"/>
    <s v="Import"/>
    <n v="100"/>
    <s v="BGR"/>
    <x v="51"/>
    <n v="0"/>
    <s v="W00"/>
    <s v="World"/>
    <s v="H6"/>
    <s v="HS"/>
    <b v="1"/>
    <s v="382499"/>
    <s v="Chemical products, mixtures and preparations; n.e.c. heading 3824"/>
    <n v="6"/>
    <b v="1"/>
    <s v="C00"/>
    <s v="TOTAL CPC"/>
    <s v="0"/>
    <n v="0"/>
    <s v="TOTAL MOT"/>
    <n v="8"/>
    <s v="kg"/>
    <n v="2011.5930000000001"/>
    <b v="1"/>
    <n v="-1"/>
    <s v="N/A"/>
    <n v="0"/>
    <b v="0"/>
    <n v="2011.5930000000001"/>
    <b v="1"/>
    <n v="0"/>
    <b v="0"/>
    <n v="9492.5570000000007"/>
    <m/>
    <n v="9492.5570000000007"/>
    <n v="6"/>
    <b v="1"/>
    <b v="0"/>
  </r>
  <r>
    <s v="C"/>
    <s v="M"/>
    <n v="20240201"/>
    <x v="1"/>
    <x v="9"/>
    <s v="202402"/>
    <n v="818"/>
    <s v="EGY"/>
    <x v="0"/>
    <s v="M"/>
    <s v="Import"/>
    <n v="124"/>
    <s v="CAN"/>
    <x v="48"/>
    <n v="0"/>
    <s v="W00"/>
    <s v="World"/>
    <s v="H6"/>
    <s v="HS"/>
    <b v="1"/>
    <s v="382499"/>
    <s v="Chemical products, mixtures and preparations; n.e.c. heading 3824"/>
    <n v="6"/>
    <b v="1"/>
    <s v="C00"/>
    <s v="TOTAL CPC"/>
    <s v="0"/>
    <n v="0"/>
    <s v="TOTAL MOT"/>
    <n v="8"/>
    <s v="kg"/>
    <n v="1216.73"/>
    <b v="1"/>
    <n v="-1"/>
    <s v="N/A"/>
    <n v="0"/>
    <b v="0"/>
    <n v="1216.73"/>
    <b v="1"/>
    <n v="0"/>
    <b v="0"/>
    <n v="5741.6580000000004"/>
    <m/>
    <n v="5741.6580000000004"/>
    <n v="6"/>
    <b v="1"/>
    <b v="0"/>
  </r>
  <r>
    <s v="C"/>
    <s v="M"/>
    <n v="20240401"/>
    <x v="1"/>
    <x v="10"/>
    <s v="202404"/>
    <n v="818"/>
    <s v="EGY"/>
    <x v="0"/>
    <s v="M"/>
    <s v="Import"/>
    <n v="152"/>
    <s v="CHL"/>
    <x v="52"/>
    <n v="0"/>
    <s v="W00"/>
    <s v="World"/>
    <s v="H6"/>
    <s v="HS"/>
    <b v="1"/>
    <s v="382499"/>
    <s v="Chemical products, mixtures and preparations; n.e.c. heading 3824"/>
    <n v="6"/>
    <b v="1"/>
    <s v="C00"/>
    <s v="TOTAL CPC"/>
    <s v="0"/>
    <n v="0"/>
    <s v="TOTAL MOT"/>
    <n v="8"/>
    <s v="kg"/>
    <n v="10754.861999999999"/>
    <b v="1"/>
    <n v="-1"/>
    <s v="N/A"/>
    <n v="0"/>
    <b v="0"/>
    <n v="10754.861999999999"/>
    <b v="1"/>
    <n v="0"/>
    <b v="0"/>
    <n v="50751.398000000001"/>
    <m/>
    <n v="50751.398000000001"/>
    <n v="6"/>
    <b v="1"/>
    <b v="0"/>
  </r>
  <r>
    <s v="C"/>
    <s v="M"/>
    <n v="20240101"/>
    <x v="1"/>
    <x v="8"/>
    <s v="202401"/>
    <n v="818"/>
    <s v="EGY"/>
    <x v="0"/>
    <s v="M"/>
    <s v="Import"/>
    <n v="156"/>
    <s v="CHN"/>
    <x v="6"/>
    <n v="0"/>
    <s v="W00"/>
    <s v="World"/>
    <s v="H6"/>
    <s v="HS"/>
    <b v="1"/>
    <s v="382499"/>
    <s v="Chemical products, mixtures and preparations; n.e.c. heading 3824"/>
    <n v="6"/>
    <b v="1"/>
    <s v="C00"/>
    <s v="TOTAL CPC"/>
    <s v="0"/>
    <n v="0"/>
    <s v="TOTAL MOT"/>
    <n v="8"/>
    <s v="kg"/>
    <n v="724389.84"/>
    <b v="1"/>
    <n v="-1"/>
    <s v="N/A"/>
    <n v="0"/>
    <b v="0"/>
    <n v="724389.84"/>
    <b v="1"/>
    <n v="0"/>
    <b v="0"/>
    <n v="3418342.1090000002"/>
    <m/>
    <n v="3418342.1090000002"/>
    <n v="6"/>
    <b v="1"/>
    <b v="0"/>
  </r>
  <r>
    <s v="C"/>
    <s v="M"/>
    <n v="20240501"/>
    <x v="1"/>
    <x v="11"/>
    <s v="202405"/>
    <n v="818"/>
    <s v="EGY"/>
    <x v="0"/>
    <s v="M"/>
    <s v="Import"/>
    <n v="203"/>
    <s v="CZE"/>
    <x v="53"/>
    <n v="0"/>
    <s v="W00"/>
    <s v="World"/>
    <s v="H6"/>
    <s v="HS"/>
    <b v="1"/>
    <s v="382499"/>
    <s v="Chemical products, mixtures and preparations; n.e.c. heading 3824"/>
    <n v="6"/>
    <b v="1"/>
    <s v="C00"/>
    <s v="TOTAL CPC"/>
    <s v="0"/>
    <n v="0"/>
    <s v="TOTAL MOT"/>
    <n v="8"/>
    <s v="kg"/>
    <n v="4788.2669999999998"/>
    <b v="1"/>
    <n v="-1"/>
    <s v="N/A"/>
    <n v="0"/>
    <b v="0"/>
    <n v="4788.2669999999998"/>
    <b v="1"/>
    <n v="0"/>
    <b v="0"/>
    <n v="22595.478999999999"/>
    <m/>
    <n v="22595.478999999999"/>
    <n v="6"/>
    <b v="1"/>
    <b v="0"/>
  </r>
  <r>
    <s v="C"/>
    <s v="M"/>
    <n v="20240201"/>
    <x v="1"/>
    <x v="9"/>
    <s v="202402"/>
    <n v="818"/>
    <s v="EGY"/>
    <x v="0"/>
    <s v="M"/>
    <s v="Import"/>
    <n v="208"/>
    <s v="DNK"/>
    <x v="7"/>
    <n v="0"/>
    <s v="W00"/>
    <s v="World"/>
    <s v="H6"/>
    <s v="HS"/>
    <b v="1"/>
    <s v="382499"/>
    <s v="Chemical products, mixtures and preparations; n.e.c. heading 3824"/>
    <n v="6"/>
    <b v="1"/>
    <s v="C00"/>
    <s v="TOTAL CPC"/>
    <s v="0"/>
    <n v="0"/>
    <s v="TOTAL MOT"/>
    <n v="8"/>
    <s v="kg"/>
    <n v="60330.813000000002"/>
    <b v="1"/>
    <n v="-1"/>
    <s v="N/A"/>
    <n v="0"/>
    <b v="0"/>
    <n v="60330.813000000002"/>
    <b v="1"/>
    <n v="0"/>
    <b v="0"/>
    <n v="284696.64799999999"/>
    <m/>
    <n v="284696.64799999999"/>
    <n v="6"/>
    <b v="1"/>
    <b v="0"/>
  </r>
  <r>
    <s v="C"/>
    <s v="M"/>
    <n v="20240301"/>
    <x v="1"/>
    <x v="7"/>
    <s v="202403"/>
    <n v="818"/>
    <s v="EGY"/>
    <x v="0"/>
    <s v="M"/>
    <s v="Import"/>
    <n v="246"/>
    <s v="FIN"/>
    <x v="54"/>
    <n v="0"/>
    <s v="W00"/>
    <s v="World"/>
    <s v="H6"/>
    <s v="HS"/>
    <b v="1"/>
    <s v="382499"/>
    <s v="Chemical products, mixtures and preparations; n.e.c. heading 3824"/>
    <n v="6"/>
    <b v="1"/>
    <s v="C00"/>
    <s v="TOTAL CPC"/>
    <s v="0"/>
    <n v="0"/>
    <s v="TOTAL MOT"/>
    <n v="8"/>
    <s v="kg"/>
    <n v="1387.7260000000001"/>
    <b v="1"/>
    <n v="-1"/>
    <s v="N/A"/>
    <n v="0"/>
    <b v="0"/>
    <n v="1387.7260000000001"/>
    <b v="1"/>
    <n v="0"/>
    <b v="0"/>
    <n v="6548.5770000000002"/>
    <m/>
    <n v="6548.5770000000002"/>
    <n v="6"/>
    <b v="1"/>
    <b v="0"/>
  </r>
  <r>
    <s v="C"/>
    <s v="M"/>
    <n v="20240201"/>
    <x v="1"/>
    <x v="9"/>
    <s v="202402"/>
    <n v="818"/>
    <s v="EGY"/>
    <x v="0"/>
    <s v="M"/>
    <s v="Import"/>
    <n v="251"/>
    <s v="FRA"/>
    <x v="8"/>
    <n v="0"/>
    <s v="W00"/>
    <s v="World"/>
    <s v="H6"/>
    <s v="HS"/>
    <b v="1"/>
    <s v="382499"/>
    <s v="Chemical products, mixtures and preparations; n.e.c. heading 3824"/>
    <n v="6"/>
    <b v="1"/>
    <s v="C00"/>
    <s v="TOTAL CPC"/>
    <s v="0"/>
    <n v="0"/>
    <s v="TOTAL MOT"/>
    <n v="8"/>
    <s v="kg"/>
    <n v="110166.735"/>
    <b v="1"/>
    <n v="-1"/>
    <s v="N/A"/>
    <n v="0"/>
    <b v="0"/>
    <n v="110166.735"/>
    <b v="1"/>
    <n v="0"/>
    <b v="0"/>
    <n v="519868.68"/>
    <m/>
    <n v="519868.68"/>
    <n v="6"/>
    <b v="1"/>
    <b v="0"/>
  </r>
  <r>
    <s v="C"/>
    <s v="M"/>
    <n v="20240501"/>
    <x v="1"/>
    <x v="11"/>
    <s v="202405"/>
    <n v="818"/>
    <s v="EGY"/>
    <x v="0"/>
    <s v="M"/>
    <s v="Import"/>
    <n v="268"/>
    <s v="GEO"/>
    <x v="49"/>
    <n v="0"/>
    <s v="W00"/>
    <s v="World"/>
    <s v="H6"/>
    <s v="HS"/>
    <b v="1"/>
    <s v="382499"/>
    <s v="Chemical products, mixtures and preparations; n.e.c. heading 3824"/>
    <n v="6"/>
    <b v="1"/>
    <s v="C00"/>
    <s v="TOTAL CPC"/>
    <s v="0"/>
    <n v="0"/>
    <s v="TOTAL MOT"/>
    <n v="8"/>
    <s v="kg"/>
    <n v="8739.2960000000003"/>
    <b v="1"/>
    <n v="-1"/>
    <s v="N/A"/>
    <n v="0"/>
    <b v="0"/>
    <n v="8739.2960000000003"/>
    <b v="1"/>
    <n v="0"/>
    <b v="0"/>
    <n v="41240.093999999997"/>
    <m/>
    <n v="41240.093999999997"/>
    <n v="6"/>
    <b v="1"/>
    <b v="0"/>
  </r>
  <r>
    <s v="C"/>
    <s v="M"/>
    <n v="20240201"/>
    <x v="1"/>
    <x v="9"/>
    <s v="202402"/>
    <n v="818"/>
    <s v="EGY"/>
    <x v="0"/>
    <s v="M"/>
    <s v="Import"/>
    <n v="276"/>
    <s v="DEU"/>
    <x v="9"/>
    <n v="0"/>
    <s v="W00"/>
    <s v="World"/>
    <s v="H6"/>
    <s v="HS"/>
    <b v="1"/>
    <s v="382499"/>
    <s v="Chemical products, mixtures and preparations; n.e.c. heading 3824"/>
    <n v="6"/>
    <b v="1"/>
    <s v="C00"/>
    <s v="TOTAL CPC"/>
    <s v="0"/>
    <n v="0"/>
    <s v="TOTAL MOT"/>
    <n v="8"/>
    <s v="kg"/>
    <n v="556079.31099999999"/>
    <b v="1"/>
    <n v="-1"/>
    <s v="N/A"/>
    <n v="0"/>
    <b v="0"/>
    <n v="556079.31099999999"/>
    <b v="1"/>
    <n v="0"/>
    <b v="0"/>
    <n v="2624097.1660000002"/>
    <m/>
    <n v="2624097.1660000002"/>
    <n v="6"/>
    <b v="1"/>
    <b v="0"/>
  </r>
  <r>
    <s v="C"/>
    <s v="M"/>
    <n v="20240201"/>
    <x v="1"/>
    <x v="9"/>
    <s v="202402"/>
    <n v="818"/>
    <s v="EGY"/>
    <x v="0"/>
    <s v="M"/>
    <s v="Import"/>
    <n v="300"/>
    <s v="GRC"/>
    <x v="38"/>
    <n v="0"/>
    <s v="W00"/>
    <s v="World"/>
    <s v="H6"/>
    <s v="HS"/>
    <b v="1"/>
    <s v="382499"/>
    <s v="Chemical products, mixtures and preparations; n.e.c. heading 3824"/>
    <n v="6"/>
    <b v="1"/>
    <s v="C00"/>
    <s v="TOTAL CPC"/>
    <s v="0"/>
    <n v="0"/>
    <s v="TOTAL MOT"/>
    <n v="8"/>
    <s v="kg"/>
    <n v="8003.5039999999999"/>
    <b v="1"/>
    <n v="-1"/>
    <s v="N/A"/>
    <n v="0"/>
    <b v="0"/>
    <n v="8003.5039999999999"/>
    <b v="1"/>
    <n v="0"/>
    <b v="0"/>
    <n v="37767.942999999999"/>
    <m/>
    <n v="37767.942999999999"/>
    <n v="6"/>
    <b v="1"/>
    <b v="0"/>
  </r>
  <r>
    <s v="C"/>
    <s v="M"/>
    <n v="20240501"/>
    <x v="1"/>
    <x v="11"/>
    <s v="202405"/>
    <n v="818"/>
    <s v="EGY"/>
    <x v="0"/>
    <s v="M"/>
    <s v="Import"/>
    <n v="344"/>
    <s v="HKG"/>
    <x v="10"/>
    <n v="0"/>
    <s v="W00"/>
    <s v="World"/>
    <s v="H6"/>
    <s v="HS"/>
    <b v="1"/>
    <s v="382499"/>
    <s v="Chemical products, mixtures and preparations; n.e.c. heading 3824"/>
    <n v="6"/>
    <b v="1"/>
    <s v="C00"/>
    <s v="TOTAL CPC"/>
    <s v="0"/>
    <n v="0"/>
    <s v="TOTAL MOT"/>
    <n v="8"/>
    <s v="kg"/>
    <n v="37126.203999999998"/>
    <b v="1"/>
    <n v="-1"/>
    <s v="N/A"/>
    <n v="0"/>
    <b v="0"/>
    <n v="37126.203999999998"/>
    <b v="1"/>
    <n v="0"/>
    <b v="0"/>
    <n v="175195.81299999999"/>
    <m/>
    <n v="175195.81299999999"/>
    <n v="6"/>
    <b v="1"/>
    <b v="0"/>
  </r>
  <r>
    <s v="C"/>
    <s v="M"/>
    <n v="20240301"/>
    <x v="1"/>
    <x v="7"/>
    <s v="202403"/>
    <n v="818"/>
    <s v="EGY"/>
    <x v="0"/>
    <s v="M"/>
    <s v="Import"/>
    <n v="348"/>
    <s v="HUN"/>
    <x v="55"/>
    <n v="0"/>
    <s v="W00"/>
    <s v="World"/>
    <s v="H6"/>
    <s v="HS"/>
    <b v="1"/>
    <s v="382499"/>
    <s v="Chemical products, mixtures and preparations; n.e.c. heading 3824"/>
    <n v="6"/>
    <b v="1"/>
    <s v="C00"/>
    <s v="TOTAL CPC"/>
    <s v="0"/>
    <n v="0"/>
    <s v="TOTAL MOT"/>
    <n v="8"/>
    <s v="kg"/>
    <n v="5846.4120000000003"/>
    <b v="1"/>
    <n v="-1"/>
    <s v="N/A"/>
    <n v="0"/>
    <b v="0"/>
    <n v="5846.4120000000003"/>
    <b v="1"/>
    <n v="0"/>
    <b v="0"/>
    <n v="27588.785"/>
    <m/>
    <n v="27588.785"/>
    <n v="6"/>
    <b v="1"/>
    <b v="0"/>
  </r>
  <r>
    <s v="C"/>
    <s v="M"/>
    <n v="20240301"/>
    <x v="1"/>
    <x v="7"/>
    <s v="202403"/>
    <n v="818"/>
    <s v="EGY"/>
    <x v="0"/>
    <s v="M"/>
    <s v="Import"/>
    <n v="360"/>
    <s v="IDN"/>
    <x v="44"/>
    <n v="0"/>
    <s v="W00"/>
    <s v="World"/>
    <s v="H6"/>
    <s v="HS"/>
    <b v="1"/>
    <s v="382499"/>
    <s v="Chemical products, mixtures and preparations; n.e.c. heading 3824"/>
    <n v="6"/>
    <b v="1"/>
    <s v="C00"/>
    <s v="TOTAL CPC"/>
    <s v="0"/>
    <n v="0"/>
    <s v="TOTAL MOT"/>
    <n v="8"/>
    <s v="kg"/>
    <n v="37167.815000000002"/>
    <b v="1"/>
    <n v="-1"/>
    <s v="N/A"/>
    <n v="0"/>
    <b v="0"/>
    <n v="37167.815000000002"/>
    <b v="1"/>
    <n v="0"/>
    <b v="0"/>
    <n v="175392.17199999999"/>
    <m/>
    <n v="175392.17199999999"/>
    <n v="6"/>
    <b v="1"/>
    <b v="0"/>
  </r>
  <r>
    <s v="C"/>
    <s v="M"/>
    <n v="20240301"/>
    <x v="1"/>
    <x v="7"/>
    <s v="202403"/>
    <n v="818"/>
    <s v="EGY"/>
    <x v="0"/>
    <s v="M"/>
    <s v="Import"/>
    <n v="372"/>
    <s v="IRL"/>
    <x v="39"/>
    <n v="0"/>
    <s v="W00"/>
    <s v="World"/>
    <s v="H6"/>
    <s v="HS"/>
    <b v="1"/>
    <s v="382499"/>
    <s v="Chemical products, mixtures and preparations; n.e.c. heading 3824"/>
    <n v="6"/>
    <b v="1"/>
    <s v="C00"/>
    <s v="TOTAL CPC"/>
    <s v="0"/>
    <n v="0"/>
    <s v="TOTAL MOT"/>
    <n v="8"/>
    <s v="kg"/>
    <n v="8190.29"/>
    <b v="1"/>
    <n v="-1"/>
    <s v="N/A"/>
    <n v="0"/>
    <b v="0"/>
    <n v="8190.29"/>
    <b v="1"/>
    <n v="0"/>
    <b v="0"/>
    <n v="38649.370999999999"/>
    <m/>
    <n v="38649.370999999999"/>
    <n v="6"/>
    <b v="1"/>
    <b v="0"/>
  </r>
  <r>
    <s v="C"/>
    <s v="M"/>
    <n v="20240401"/>
    <x v="1"/>
    <x v="10"/>
    <s v="202404"/>
    <n v="818"/>
    <s v="EGY"/>
    <x v="0"/>
    <s v="M"/>
    <s v="Import"/>
    <n v="376"/>
    <s v="ISR"/>
    <x v="11"/>
    <n v="0"/>
    <s v="W00"/>
    <s v="World"/>
    <s v="H6"/>
    <s v="HS"/>
    <b v="1"/>
    <s v="382499"/>
    <s v="Chemical products, mixtures and preparations; n.e.c. heading 3824"/>
    <n v="6"/>
    <b v="1"/>
    <s v="C00"/>
    <s v="TOTAL CPC"/>
    <s v="0"/>
    <n v="0"/>
    <s v="TOTAL MOT"/>
    <n v="8"/>
    <s v="kg"/>
    <n v="15472.124"/>
    <b v="1"/>
    <n v="-1"/>
    <s v="N/A"/>
    <n v="0"/>
    <b v="0"/>
    <n v="15472.124"/>
    <b v="1"/>
    <n v="0"/>
    <b v="0"/>
    <n v="73011.808999999994"/>
    <m/>
    <n v="73011.808999999994"/>
    <n v="6"/>
    <b v="1"/>
    <b v="0"/>
  </r>
  <r>
    <s v="C"/>
    <s v="M"/>
    <n v="20240301"/>
    <x v="1"/>
    <x v="7"/>
    <s v="202403"/>
    <n v="818"/>
    <s v="EGY"/>
    <x v="0"/>
    <s v="M"/>
    <s v="Import"/>
    <n v="380"/>
    <s v="ITA"/>
    <x v="12"/>
    <n v="0"/>
    <s v="W00"/>
    <s v="World"/>
    <s v="H6"/>
    <s v="HS"/>
    <b v="1"/>
    <s v="382499"/>
    <s v="Chemical products, mixtures and preparations; n.e.c. heading 3824"/>
    <n v="6"/>
    <b v="1"/>
    <s v="C00"/>
    <s v="TOTAL CPC"/>
    <s v="0"/>
    <n v="0"/>
    <s v="TOTAL MOT"/>
    <n v="8"/>
    <s v="kg"/>
    <n v="311125.59899999999"/>
    <b v="1"/>
    <n v="-1"/>
    <s v="N/A"/>
    <n v="0"/>
    <b v="0"/>
    <n v="311125.59899999999"/>
    <b v="1"/>
    <n v="0"/>
    <b v="0"/>
    <n v="1468178.703"/>
    <m/>
    <n v="1468178.703"/>
    <n v="6"/>
    <b v="1"/>
    <b v="0"/>
  </r>
  <r>
    <s v="C"/>
    <s v="M"/>
    <n v="20240201"/>
    <x v="1"/>
    <x v="9"/>
    <s v="202402"/>
    <n v="818"/>
    <s v="EGY"/>
    <x v="0"/>
    <s v="M"/>
    <s v="Import"/>
    <n v="392"/>
    <s v="JPN"/>
    <x v="30"/>
    <n v="0"/>
    <s v="W00"/>
    <s v="World"/>
    <s v="H6"/>
    <s v="HS"/>
    <b v="1"/>
    <s v="382499"/>
    <s v="Chemical products, mixtures and preparations; n.e.c. heading 3824"/>
    <n v="6"/>
    <b v="1"/>
    <s v="C00"/>
    <s v="TOTAL CPC"/>
    <s v="0"/>
    <n v="0"/>
    <s v="TOTAL MOT"/>
    <n v="8"/>
    <s v="kg"/>
    <n v="28370.048999999999"/>
    <b v="1"/>
    <n v="-1"/>
    <s v="N/A"/>
    <n v="0"/>
    <b v="0"/>
    <n v="28370.048999999999"/>
    <b v="1"/>
    <n v="0"/>
    <b v="0"/>
    <n v="133876.166"/>
    <m/>
    <n v="133876.166"/>
    <n v="6"/>
    <b v="1"/>
    <b v="0"/>
  </r>
  <r>
    <s v="C"/>
    <s v="M"/>
    <n v="20240501"/>
    <x v="1"/>
    <x v="11"/>
    <s v="202405"/>
    <n v="818"/>
    <s v="EGY"/>
    <x v="0"/>
    <s v="M"/>
    <s v="Import"/>
    <n v="400"/>
    <s v="JOR"/>
    <x v="40"/>
    <n v="0"/>
    <s v="W00"/>
    <s v="World"/>
    <s v="H6"/>
    <s v="HS"/>
    <b v="1"/>
    <s v="382499"/>
    <s v="Chemical products, mixtures and preparations; n.e.c. heading 3824"/>
    <n v="6"/>
    <b v="1"/>
    <s v="C00"/>
    <s v="TOTAL CPC"/>
    <s v="0"/>
    <n v="0"/>
    <s v="TOTAL MOT"/>
    <n v="8"/>
    <s v="kg"/>
    <n v="1573.4559999999999"/>
    <b v="1"/>
    <n v="-1"/>
    <s v="N/A"/>
    <n v="0"/>
    <b v="0"/>
    <n v="1573.4559999999999"/>
    <b v="1"/>
    <n v="0"/>
    <b v="0"/>
    <n v="7425.0230000000001"/>
    <m/>
    <n v="7425.0230000000001"/>
    <n v="6"/>
    <b v="1"/>
    <b v="0"/>
  </r>
  <r>
    <s v="C"/>
    <s v="M"/>
    <n v="20240301"/>
    <x v="1"/>
    <x v="7"/>
    <s v="202403"/>
    <n v="818"/>
    <s v="EGY"/>
    <x v="0"/>
    <s v="M"/>
    <s v="Import"/>
    <n v="410"/>
    <s v="KOR"/>
    <x v="13"/>
    <n v="0"/>
    <s v="W00"/>
    <s v="World"/>
    <s v="H6"/>
    <s v="HS"/>
    <b v="1"/>
    <s v="382499"/>
    <s v="Chemical products, mixtures and preparations; n.e.c. heading 3824"/>
    <n v="6"/>
    <b v="1"/>
    <s v="C00"/>
    <s v="TOTAL CPC"/>
    <s v="0"/>
    <n v="0"/>
    <s v="TOTAL MOT"/>
    <n v="8"/>
    <s v="kg"/>
    <n v="22126.392"/>
    <b v="1"/>
    <n v="-1"/>
    <s v="N/A"/>
    <n v="0"/>
    <b v="0"/>
    <n v="22126.392"/>
    <b v="1"/>
    <n v="0"/>
    <b v="0"/>
    <n v="104412.806"/>
    <m/>
    <n v="104412.806"/>
    <n v="6"/>
    <b v="1"/>
    <b v="0"/>
  </r>
  <r>
    <s v="C"/>
    <s v="M"/>
    <n v="20240501"/>
    <x v="1"/>
    <x v="11"/>
    <s v="202405"/>
    <n v="818"/>
    <s v="EGY"/>
    <x v="0"/>
    <s v="M"/>
    <s v="Import"/>
    <n v="440"/>
    <s v="LTU"/>
    <x v="56"/>
    <n v="0"/>
    <s v="W00"/>
    <s v="World"/>
    <s v="H6"/>
    <s v="HS"/>
    <b v="1"/>
    <s v="382499"/>
    <s v="Chemical products, mixtures and preparations; n.e.c. heading 3824"/>
    <n v="6"/>
    <b v="1"/>
    <s v="C00"/>
    <s v="TOTAL CPC"/>
    <s v="0"/>
    <n v="0"/>
    <s v="TOTAL MOT"/>
    <n v="8"/>
    <s v="kg"/>
    <n v="1323.7750000000001"/>
    <b v="1"/>
    <n v="-1"/>
    <s v="N/A"/>
    <n v="0"/>
    <b v="0"/>
    <n v="1323.7750000000001"/>
    <b v="1"/>
    <n v="0"/>
    <b v="0"/>
    <n v="6246.7979999999998"/>
    <m/>
    <n v="6246.7979999999998"/>
    <n v="6"/>
    <b v="1"/>
    <b v="0"/>
  </r>
  <r>
    <s v="C"/>
    <s v="M"/>
    <n v="20240601"/>
    <x v="1"/>
    <x v="6"/>
    <s v="202406"/>
    <n v="818"/>
    <s v="EGY"/>
    <x v="0"/>
    <s v="M"/>
    <s v="Import"/>
    <n v="458"/>
    <s v="MYS"/>
    <x v="14"/>
    <n v="0"/>
    <s v="W00"/>
    <s v="World"/>
    <s v="H6"/>
    <s v="HS"/>
    <b v="1"/>
    <s v="382499"/>
    <s v="Chemical products, mixtures and preparations; n.e.c. heading 3824"/>
    <n v="6"/>
    <b v="1"/>
    <s v="C00"/>
    <s v="TOTAL CPC"/>
    <s v="0"/>
    <n v="0"/>
    <s v="TOTAL MOT"/>
    <n v="8"/>
    <s v="kg"/>
    <n v="1275.3399999999999"/>
    <b v="1"/>
    <n v="-1"/>
    <s v="N/A"/>
    <n v="0"/>
    <b v="0"/>
    <n v="1275.3399999999999"/>
    <b v="1"/>
    <n v="0"/>
    <b v="0"/>
    <n v="6018.2359999999999"/>
    <m/>
    <n v="6018.2359999999999"/>
    <n v="6"/>
    <b v="1"/>
    <b v="0"/>
  </r>
  <r>
    <s v="C"/>
    <s v="M"/>
    <n v="20240401"/>
    <x v="1"/>
    <x v="10"/>
    <s v="202404"/>
    <n v="818"/>
    <s v="EGY"/>
    <x v="0"/>
    <s v="M"/>
    <s v="Import"/>
    <n v="484"/>
    <s v="MEX"/>
    <x v="32"/>
    <n v="0"/>
    <s v="W00"/>
    <s v="World"/>
    <s v="H6"/>
    <s v="HS"/>
    <b v="1"/>
    <s v="382499"/>
    <s v="Chemical products, mixtures and preparations; n.e.c. heading 3824"/>
    <n v="6"/>
    <b v="1"/>
    <s v="C00"/>
    <s v="TOTAL CPC"/>
    <s v="0"/>
    <n v="0"/>
    <s v="TOTAL MOT"/>
    <n v="8"/>
    <s v="kg"/>
    <n v="23855.207999999999"/>
    <b v="1"/>
    <n v="-1"/>
    <s v="N/A"/>
    <n v="0"/>
    <b v="0"/>
    <n v="23855.207999999999"/>
    <b v="1"/>
    <n v="0"/>
    <b v="0"/>
    <n v="112570.961"/>
    <m/>
    <n v="112570.961"/>
    <n v="6"/>
    <b v="1"/>
    <b v="0"/>
  </r>
  <r>
    <s v="C"/>
    <s v="M"/>
    <n v="20240401"/>
    <x v="1"/>
    <x v="10"/>
    <s v="202404"/>
    <n v="818"/>
    <s v="EGY"/>
    <x v="0"/>
    <s v="M"/>
    <s v="Import"/>
    <n v="490"/>
    <s v="S19"/>
    <x v="15"/>
    <n v="0"/>
    <s v="W00"/>
    <s v="World"/>
    <s v="H6"/>
    <s v="HS"/>
    <b v="1"/>
    <s v="382499"/>
    <s v="Chemical products, mixtures and preparations; n.e.c. heading 3824"/>
    <n v="6"/>
    <b v="1"/>
    <s v="C00"/>
    <s v="TOTAL CPC"/>
    <s v="0"/>
    <n v="0"/>
    <s v="TOTAL MOT"/>
    <n v="8"/>
    <s v="kg"/>
    <n v="12736.986999999999"/>
    <b v="1"/>
    <n v="-1"/>
    <s v="N/A"/>
    <n v="0"/>
    <b v="0"/>
    <n v="12736.986999999999"/>
    <b v="1"/>
    <n v="0"/>
    <b v="0"/>
    <n v="60104.898000000001"/>
    <m/>
    <n v="60104.898000000001"/>
    <n v="6"/>
    <b v="1"/>
    <b v="0"/>
  </r>
  <r>
    <s v="C"/>
    <s v="M"/>
    <n v="20240301"/>
    <x v="1"/>
    <x v="7"/>
    <s v="202403"/>
    <n v="818"/>
    <s v="EGY"/>
    <x v="0"/>
    <s v="M"/>
    <s v="Import"/>
    <n v="528"/>
    <s v="NLD"/>
    <x v="33"/>
    <n v="0"/>
    <s v="W00"/>
    <s v="World"/>
    <s v="H6"/>
    <s v="HS"/>
    <b v="1"/>
    <s v="382499"/>
    <s v="Chemical products, mixtures and preparations; n.e.c. heading 3824"/>
    <n v="6"/>
    <b v="1"/>
    <s v="C00"/>
    <s v="TOTAL CPC"/>
    <s v="0"/>
    <n v="0"/>
    <s v="TOTAL MOT"/>
    <n v="8"/>
    <s v="kg"/>
    <n v="105768.519"/>
    <b v="1"/>
    <n v="-1"/>
    <s v="N/A"/>
    <n v="0"/>
    <b v="0"/>
    <n v="105768.519"/>
    <b v="1"/>
    <n v="0"/>
    <b v="0"/>
    <n v="499113.82400000002"/>
    <m/>
    <n v="499113.82400000002"/>
    <n v="6"/>
    <b v="1"/>
    <b v="0"/>
  </r>
  <r>
    <s v="C"/>
    <s v="M"/>
    <n v="20240101"/>
    <x v="1"/>
    <x v="8"/>
    <s v="202401"/>
    <n v="818"/>
    <s v="EGY"/>
    <x v="0"/>
    <s v="M"/>
    <s v="Import"/>
    <n v="554"/>
    <s v="NZL"/>
    <x v="57"/>
    <n v="0"/>
    <s v="W00"/>
    <s v="World"/>
    <s v="H6"/>
    <s v="HS"/>
    <b v="1"/>
    <s v="382499"/>
    <s v="Chemical products, mixtures and preparations; n.e.c. heading 3824"/>
    <n v="6"/>
    <b v="1"/>
    <s v="C00"/>
    <s v="TOTAL CPC"/>
    <s v="0"/>
    <n v="0"/>
    <s v="TOTAL MOT"/>
    <n v="8"/>
    <s v="kg"/>
    <n v="13335.94"/>
    <b v="1"/>
    <n v="-1"/>
    <s v="N/A"/>
    <n v="0"/>
    <b v="0"/>
    <n v="13335.94"/>
    <b v="1"/>
    <n v="0"/>
    <b v="0"/>
    <n v="62931.315999999999"/>
    <m/>
    <n v="62931.315999999999"/>
    <n v="6"/>
    <b v="1"/>
    <b v="0"/>
  </r>
  <r>
    <s v="C"/>
    <s v="M"/>
    <n v="20240301"/>
    <x v="1"/>
    <x v="7"/>
    <s v="202403"/>
    <n v="818"/>
    <s v="EGY"/>
    <x v="0"/>
    <s v="M"/>
    <s v="Import"/>
    <n v="568"/>
    <s v="E19"/>
    <x v="34"/>
    <n v="0"/>
    <s v="W00"/>
    <s v="World"/>
    <s v="H6"/>
    <s v="HS"/>
    <b v="1"/>
    <s v="382499"/>
    <s v="Chemical products, mixtures and preparations; n.e.c. heading 3824"/>
    <n v="6"/>
    <b v="1"/>
    <s v="C00"/>
    <s v="TOTAL CPC"/>
    <s v="0"/>
    <n v="0"/>
    <s v="TOTAL MOT"/>
    <n v="8"/>
    <s v="kg"/>
    <n v="17567.868999999999"/>
    <b v="1"/>
    <n v="-1"/>
    <s v="N/A"/>
    <n v="0"/>
    <b v="0"/>
    <n v="17567.868999999999"/>
    <b v="1"/>
    <n v="0"/>
    <b v="0"/>
    <n v="82901.476999999999"/>
    <m/>
    <n v="82901.476999999999"/>
    <n v="6"/>
    <b v="1"/>
    <b v="0"/>
  </r>
  <r>
    <s v="C"/>
    <s v="M"/>
    <n v="20240601"/>
    <x v="1"/>
    <x v="6"/>
    <s v="202406"/>
    <n v="818"/>
    <s v="EGY"/>
    <x v="0"/>
    <s v="M"/>
    <s v="Import"/>
    <n v="579"/>
    <s v="NOR"/>
    <x v="16"/>
    <n v="0"/>
    <s v="W00"/>
    <s v="World"/>
    <s v="H6"/>
    <s v="HS"/>
    <b v="1"/>
    <s v="382499"/>
    <s v="Chemical products, mixtures and preparations; n.e.c. heading 3824"/>
    <n v="6"/>
    <b v="1"/>
    <s v="C00"/>
    <s v="TOTAL CPC"/>
    <s v="0"/>
    <n v="0"/>
    <s v="TOTAL MOT"/>
    <n v="8"/>
    <s v="kg"/>
    <n v="99.039000000000001"/>
    <b v="1"/>
    <n v="-1"/>
    <s v="N/A"/>
    <n v="0"/>
    <b v="0"/>
    <n v="99.039000000000001"/>
    <b v="1"/>
    <n v="0"/>
    <b v="0"/>
    <n v="467.36"/>
    <m/>
    <n v="467.36"/>
    <n v="6"/>
    <b v="1"/>
    <b v="0"/>
  </r>
  <r>
    <s v="C"/>
    <s v="M"/>
    <n v="20240201"/>
    <x v="1"/>
    <x v="9"/>
    <s v="202402"/>
    <n v="818"/>
    <s v="EGY"/>
    <x v="0"/>
    <s v="M"/>
    <s v="Import"/>
    <n v="616"/>
    <s v="POL"/>
    <x v="35"/>
    <n v="0"/>
    <s v="W00"/>
    <s v="World"/>
    <s v="H6"/>
    <s v="HS"/>
    <b v="1"/>
    <s v="382499"/>
    <s v="Chemical products, mixtures and preparations; n.e.c. heading 3824"/>
    <n v="6"/>
    <b v="1"/>
    <s v="C00"/>
    <s v="TOTAL CPC"/>
    <s v="0"/>
    <n v="0"/>
    <s v="TOTAL MOT"/>
    <n v="8"/>
    <s v="kg"/>
    <n v="12287.046"/>
    <b v="1"/>
    <n v="-1"/>
    <s v="N/A"/>
    <n v="0"/>
    <b v="0"/>
    <n v="12287.046"/>
    <b v="1"/>
    <n v="0"/>
    <b v="0"/>
    <n v="57981.66"/>
    <m/>
    <n v="57981.66"/>
    <n v="6"/>
    <b v="1"/>
    <b v="0"/>
  </r>
  <r>
    <s v="C"/>
    <s v="M"/>
    <n v="20240101"/>
    <x v="1"/>
    <x v="8"/>
    <s v="202401"/>
    <n v="818"/>
    <s v="EGY"/>
    <x v="0"/>
    <s v="M"/>
    <s v="Import"/>
    <n v="620"/>
    <s v="PRT"/>
    <x v="41"/>
    <n v="0"/>
    <s v="W00"/>
    <s v="World"/>
    <s v="H6"/>
    <s v="HS"/>
    <b v="1"/>
    <s v="382499"/>
    <s v="Chemical products, mixtures and preparations; n.e.c. heading 3824"/>
    <n v="6"/>
    <b v="1"/>
    <s v="C00"/>
    <s v="TOTAL CPC"/>
    <s v="0"/>
    <n v="0"/>
    <s v="TOTAL MOT"/>
    <n v="8"/>
    <s v="kg"/>
    <n v="10346.679"/>
    <b v="1"/>
    <n v="-1"/>
    <s v="N/A"/>
    <n v="0"/>
    <b v="0"/>
    <n v="10346.679"/>
    <b v="1"/>
    <n v="0"/>
    <b v="0"/>
    <n v="48825.214999999997"/>
    <m/>
    <n v="48825.214999999997"/>
    <n v="6"/>
    <b v="1"/>
    <b v="0"/>
  </r>
  <r>
    <s v="C"/>
    <s v="M"/>
    <n v="20240301"/>
    <x v="1"/>
    <x v="7"/>
    <s v="202403"/>
    <n v="818"/>
    <s v="EGY"/>
    <x v="0"/>
    <s v="M"/>
    <s v="Import"/>
    <n v="634"/>
    <s v="QAT"/>
    <x v="17"/>
    <n v="0"/>
    <s v="W00"/>
    <s v="World"/>
    <s v="H6"/>
    <s v="HS"/>
    <b v="1"/>
    <s v="382499"/>
    <s v="Chemical products, mixtures and preparations; n.e.c. heading 3824"/>
    <n v="6"/>
    <b v="1"/>
    <s v="C00"/>
    <s v="TOTAL CPC"/>
    <s v="0"/>
    <n v="0"/>
    <s v="TOTAL MOT"/>
    <n v="8"/>
    <s v="kg"/>
    <n v="17232.734"/>
    <b v="1"/>
    <n v="-1"/>
    <s v="N/A"/>
    <n v="0"/>
    <b v="0"/>
    <n v="17232.734"/>
    <b v="1"/>
    <n v="0"/>
    <b v="0"/>
    <n v="81320"/>
    <m/>
    <n v="81320"/>
    <n v="6"/>
    <b v="1"/>
    <b v="0"/>
  </r>
  <r>
    <s v="C"/>
    <s v="M"/>
    <n v="20240601"/>
    <x v="1"/>
    <x v="6"/>
    <s v="202406"/>
    <n v="818"/>
    <s v="EGY"/>
    <x v="0"/>
    <s v="M"/>
    <s v="Import"/>
    <n v="643"/>
    <s v="RUS"/>
    <x v="46"/>
    <n v="0"/>
    <s v="W00"/>
    <s v="World"/>
    <s v="H6"/>
    <s v="HS"/>
    <b v="1"/>
    <s v="382499"/>
    <s v="Chemical products, mixtures and preparations; n.e.c. heading 3824"/>
    <n v="6"/>
    <b v="1"/>
    <s v="C00"/>
    <s v="TOTAL CPC"/>
    <s v="0"/>
    <n v="0"/>
    <s v="TOTAL MOT"/>
    <n v="8"/>
    <s v="kg"/>
    <n v="57.69"/>
    <b v="1"/>
    <n v="-1"/>
    <s v="N/A"/>
    <n v="0"/>
    <b v="0"/>
    <n v="57.69"/>
    <b v="1"/>
    <n v="0"/>
    <b v="0"/>
    <n v="272.233"/>
    <m/>
    <n v="272.233"/>
    <n v="6"/>
    <b v="1"/>
    <b v="0"/>
  </r>
  <r>
    <s v="C"/>
    <s v="M"/>
    <n v="20240301"/>
    <x v="1"/>
    <x v="7"/>
    <s v="202403"/>
    <n v="818"/>
    <s v="EGY"/>
    <x v="0"/>
    <s v="M"/>
    <s v="Import"/>
    <n v="682"/>
    <s v="SAU"/>
    <x v="18"/>
    <n v="0"/>
    <s v="W00"/>
    <s v="World"/>
    <s v="H6"/>
    <s v="HS"/>
    <b v="1"/>
    <s v="382499"/>
    <s v="Chemical products, mixtures and preparations; n.e.c. heading 3824"/>
    <n v="6"/>
    <b v="1"/>
    <s v="C00"/>
    <s v="TOTAL CPC"/>
    <s v="0"/>
    <n v="0"/>
    <s v="TOTAL MOT"/>
    <n v="8"/>
    <s v="kg"/>
    <n v="42688.832000000002"/>
    <b v="1"/>
    <n v="-1"/>
    <s v="N/A"/>
    <n v="0"/>
    <b v="0"/>
    <n v="42688.832000000002"/>
    <b v="1"/>
    <n v="0"/>
    <b v="0"/>
    <n v="201445.443"/>
    <m/>
    <n v="201445.443"/>
    <n v="6"/>
    <b v="1"/>
    <b v="0"/>
  </r>
  <r>
    <s v="C"/>
    <s v="M"/>
    <n v="20240601"/>
    <x v="1"/>
    <x v="6"/>
    <s v="202406"/>
    <n v="818"/>
    <s v="EGY"/>
    <x v="0"/>
    <s v="M"/>
    <s v="Import"/>
    <n v="688"/>
    <s v="SRB"/>
    <x v="58"/>
    <n v="0"/>
    <s v="W00"/>
    <s v="World"/>
    <s v="H6"/>
    <s v="HS"/>
    <b v="1"/>
    <s v="382499"/>
    <s v="Chemical products, mixtures and preparations; n.e.c. heading 3824"/>
    <n v="6"/>
    <b v="1"/>
    <s v="C00"/>
    <s v="TOTAL CPC"/>
    <s v="0"/>
    <n v="0"/>
    <s v="TOTAL MOT"/>
    <n v="8"/>
    <s v="kg"/>
    <n v="8494.8670000000002"/>
    <b v="1"/>
    <n v="-1"/>
    <s v="N/A"/>
    <n v="0"/>
    <b v="0"/>
    <n v="8494.8670000000002"/>
    <b v="1"/>
    <n v="0"/>
    <b v="0"/>
    <n v="40086.650999999998"/>
    <m/>
    <n v="40086.650999999998"/>
    <n v="6"/>
    <b v="1"/>
    <b v="0"/>
  </r>
  <r>
    <s v="C"/>
    <s v="M"/>
    <n v="20240301"/>
    <x v="1"/>
    <x v="7"/>
    <s v="202403"/>
    <n v="818"/>
    <s v="EGY"/>
    <x v="0"/>
    <s v="M"/>
    <s v="Import"/>
    <n v="699"/>
    <s v="IND"/>
    <x v="19"/>
    <n v="0"/>
    <s v="W00"/>
    <s v="World"/>
    <s v="H6"/>
    <s v="HS"/>
    <b v="1"/>
    <s v="382499"/>
    <s v="Chemical products, mixtures and preparations; n.e.c. heading 3824"/>
    <n v="6"/>
    <b v="1"/>
    <s v="C00"/>
    <s v="TOTAL CPC"/>
    <s v="0"/>
    <n v="0"/>
    <s v="TOTAL MOT"/>
    <n v="8"/>
    <s v="kg"/>
    <n v="158973.54500000001"/>
    <b v="1"/>
    <n v="-1"/>
    <s v="N/A"/>
    <n v="0"/>
    <b v="0"/>
    <n v="158973.54500000001"/>
    <b v="1"/>
    <n v="0"/>
    <b v="0"/>
    <n v="750184.40899999999"/>
    <m/>
    <n v="750184.40899999999"/>
    <n v="6"/>
    <b v="1"/>
    <b v="0"/>
  </r>
  <r>
    <s v="C"/>
    <s v="M"/>
    <n v="20240501"/>
    <x v="1"/>
    <x v="11"/>
    <s v="202405"/>
    <n v="818"/>
    <s v="EGY"/>
    <x v="0"/>
    <s v="M"/>
    <s v="Import"/>
    <n v="702"/>
    <s v="SGP"/>
    <x v="20"/>
    <n v="0"/>
    <s v="W00"/>
    <s v="World"/>
    <s v="H6"/>
    <s v="HS"/>
    <b v="1"/>
    <s v="382499"/>
    <s v="Chemical products, mixtures and preparations; n.e.c. heading 3824"/>
    <n v="6"/>
    <b v="1"/>
    <s v="C00"/>
    <s v="TOTAL CPC"/>
    <s v="0"/>
    <n v="0"/>
    <s v="TOTAL MOT"/>
    <n v="8"/>
    <s v="kg"/>
    <n v="53379.069000000003"/>
    <b v="1"/>
    <n v="-1"/>
    <s v="N/A"/>
    <n v="0"/>
    <b v="0"/>
    <n v="53379.069000000003"/>
    <b v="1"/>
    <n v="0"/>
    <b v="0"/>
    <n v="251891.883"/>
    <m/>
    <n v="251891.883"/>
    <n v="6"/>
    <b v="1"/>
    <b v="0"/>
  </r>
  <r>
    <s v="C"/>
    <s v="M"/>
    <n v="20240201"/>
    <x v="1"/>
    <x v="9"/>
    <s v="202402"/>
    <n v="818"/>
    <s v="EGY"/>
    <x v="0"/>
    <s v="M"/>
    <s v="Import"/>
    <n v="704"/>
    <s v="VNM"/>
    <x v="47"/>
    <n v="0"/>
    <s v="W00"/>
    <s v="World"/>
    <s v="H6"/>
    <s v="HS"/>
    <b v="1"/>
    <s v="382499"/>
    <s v="Chemical products, mixtures and preparations; n.e.c. heading 3824"/>
    <n v="6"/>
    <b v="1"/>
    <s v="C00"/>
    <s v="TOTAL CPC"/>
    <s v="0"/>
    <n v="0"/>
    <s v="TOTAL MOT"/>
    <n v="8"/>
    <s v="kg"/>
    <n v="134319.36900000001"/>
    <b v="1"/>
    <n v="-1"/>
    <s v="N/A"/>
    <n v="0"/>
    <b v="0"/>
    <n v="134319.36900000001"/>
    <b v="1"/>
    <n v="0"/>
    <b v="0"/>
    <n v="633843.17200000002"/>
    <m/>
    <n v="633843.17200000002"/>
    <n v="6"/>
    <b v="1"/>
    <b v="0"/>
  </r>
  <r>
    <s v="C"/>
    <s v="M"/>
    <n v="20240601"/>
    <x v="1"/>
    <x v="6"/>
    <s v="202406"/>
    <n v="818"/>
    <s v="EGY"/>
    <x v="0"/>
    <s v="M"/>
    <s v="Import"/>
    <n v="710"/>
    <s v="ZAF"/>
    <x v="21"/>
    <n v="0"/>
    <s v="W00"/>
    <s v="World"/>
    <s v="H6"/>
    <s v="HS"/>
    <b v="1"/>
    <s v="382499"/>
    <s v="Chemical products, mixtures and preparations; n.e.c. heading 3824"/>
    <n v="6"/>
    <b v="1"/>
    <s v="C00"/>
    <s v="TOTAL CPC"/>
    <s v="0"/>
    <n v="0"/>
    <s v="TOTAL MOT"/>
    <n v="8"/>
    <s v="kg"/>
    <n v="8873.7379999999994"/>
    <b v="1"/>
    <n v="-1"/>
    <s v="N/A"/>
    <n v="0"/>
    <b v="0"/>
    <n v="8873.7379999999994"/>
    <b v="1"/>
    <n v="0"/>
    <b v="0"/>
    <n v="41874.514000000003"/>
    <m/>
    <n v="41874.514000000003"/>
    <n v="6"/>
    <b v="1"/>
    <b v="0"/>
  </r>
  <r>
    <s v="C"/>
    <s v="M"/>
    <n v="20240301"/>
    <x v="1"/>
    <x v="7"/>
    <s v="202403"/>
    <n v="818"/>
    <s v="EGY"/>
    <x v="0"/>
    <s v="M"/>
    <s v="Import"/>
    <n v="724"/>
    <s v="ESP"/>
    <x v="22"/>
    <n v="0"/>
    <s v="W00"/>
    <s v="World"/>
    <s v="H6"/>
    <s v="HS"/>
    <b v="1"/>
    <s v="382499"/>
    <s v="Chemical products, mixtures and preparations; n.e.c. heading 3824"/>
    <n v="6"/>
    <b v="1"/>
    <s v="C00"/>
    <s v="TOTAL CPC"/>
    <s v="0"/>
    <n v="0"/>
    <s v="TOTAL MOT"/>
    <n v="8"/>
    <s v="kg"/>
    <n v="336436.46399999998"/>
    <b v="1"/>
    <n v="-1"/>
    <s v="N/A"/>
    <n v="0"/>
    <b v="0"/>
    <n v="336436.46399999998"/>
    <b v="1"/>
    <n v="0"/>
    <b v="0"/>
    <n v="1587618.804"/>
    <m/>
    <n v="1587618.804"/>
    <n v="6"/>
    <b v="1"/>
    <b v="0"/>
  </r>
  <r>
    <s v="C"/>
    <s v="M"/>
    <n v="20240101"/>
    <x v="1"/>
    <x v="8"/>
    <s v="202401"/>
    <n v="818"/>
    <s v="EGY"/>
    <x v="0"/>
    <s v="M"/>
    <s v="Import"/>
    <n v="752"/>
    <s v="SWE"/>
    <x v="37"/>
    <n v="0"/>
    <s v="W00"/>
    <s v="World"/>
    <s v="H6"/>
    <s v="HS"/>
    <b v="1"/>
    <s v="382499"/>
    <s v="Chemical products, mixtures and preparations; n.e.c. heading 3824"/>
    <n v="6"/>
    <b v="1"/>
    <s v="C00"/>
    <s v="TOTAL CPC"/>
    <s v="0"/>
    <n v="0"/>
    <s v="TOTAL MOT"/>
    <n v="8"/>
    <s v="kg"/>
    <n v="479.14499999999998"/>
    <b v="1"/>
    <n v="-1"/>
    <s v="N/A"/>
    <n v="0"/>
    <b v="0"/>
    <n v="479.14499999999998"/>
    <b v="1"/>
    <n v="0"/>
    <b v="0"/>
    <n v="2261.0520000000001"/>
    <m/>
    <n v="2261.0520000000001"/>
    <n v="6"/>
    <b v="1"/>
    <b v="0"/>
  </r>
  <r>
    <s v="C"/>
    <s v="M"/>
    <n v="20240201"/>
    <x v="1"/>
    <x v="9"/>
    <s v="202402"/>
    <n v="818"/>
    <s v="EGY"/>
    <x v="0"/>
    <s v="M"/>
    <s v="Import"/>
    <n v="757"/>
    <s v="CHE"/>
    <x v="23"/>
    <n v="0"/>
    <s v="W00"/>
    <s v="World"/>
    <s v="H6"/>
    <s v="HS"/>
    <b v="1"/>
    <s v="382499"/>
    <s v="Chemical products, mixtures and preparations; n.e.c. heading 3824"/>
    <n v="6"/>
    <b v="1"/>
    <s v="C00"/>
    <s v="TOTAL CPC"/>
    <s v="0"/>
    <n v="0"/>
    <s v="TOTAL MOT"/>
    <n v="8"/>
    <s v="kg"/>
    <n v="9285.0370000000003"/>
    <b v="1"/>
    <n v="-1"/>
    <s v="N/A"/>
    <n v="0"/>
    <b v="0"/>
    <n v="9285.0370000000003"/>
    <b v="1"/>
    <n v="0"/>
    <b v="0"/>
    <n v="43815.402000000002"/>
    <m/>
    <n v="43815.402000000002"/>
    <n v="6"/>
    <b v="1"/>
    <b v="0"/>
  </r>
  <r>
    <s v="C"/>
    <s v="M"/>
    <n v="20240201"/>
    <x v="1"/>
    <x v="9"/>
    <s v="202402"/>
    <n v="818"/>
    <s v="EGY"/>
    <x v="0"/>
    <s v="M"/>
    <s v="Import"/>
    <n v="764"/>
    <s v="THA"/>
    <x v="24"/>
    <n v="0"/>
    <s v="W00"/>
    <s v="World"/>
    <s v="H6"/>
    <s v="HS"/>
    <b v="1"/>
    <s v="382499"/>
    <s v="Chemical products, mixtures and preparations; n.e.c. heading 3824"/>
    <n v="6"/>
    <b v="1"/>
    <s v="C00"/>
    <s v="TOTAL CPC"/>
    <s v="0"/>
    <n v="0"/>
    <s v="TOTAL MOT"/>
    <n v="8"/>
    <s v="kg"/>
    <n v="14662.135"/>
    <b v="1"/>
    <n v="-1"/>
    <s v="N/A"/>
    <n v="0"/>
    <b v="0"/>
    <n v="14662.135"/>
    <b v="1"/>
    <n v="0"/>
    <b v="0"/>
    <n v="69189.528999999995"/>
    <m/>
    <n v="69189.528999999995"/>
    <n v="6"/>
    <b v="1"/>
    <b v="0"/>
  </r>
  <r>
    <s v="C"/>
    <s v="M"/>
    <n v="20240301"/>
    <x v="1"/>
    <x v="7"/>
    <s v="202403"/>
    <n v="818"/>
    <s v="EGY"/>
    <x v="0"/>
    <s v="M"/>
    <s v="Import"/>
    <n v="784"/>
    <s v="ARE"/>
    <x v="25"/>
    <n v="0"/>
    <s v="W00"/>
    <s v="World"/>
    <s v="H6"/>
    <s v="HS"/>
    <b v="1"/>
    <s v="382499"/>
    <s v="Chemical products, mixtures and preparations; n.e.c. heading 3824"/>
    <n v="6"/>
    <b v="1"/>
    <s v="C00"/>
    <s v="TOTAL CPC"/>
    <s v="0"/>
    <n v="0"/>
    <s v="TOTAL MOT"/>
    <n v="8"/>
    <s v="kg"/>
    <n v="58137.012000000002"/>
    <b v="1"/>
    <n v="-1"/>
    <s v="N/A"/>
    <n v="0"/>
    <b v="0"/>
    <n v="58137.012000000002"/>
    <b v="1"/>
    <n v="0"/>
    <b v="0"/>
    <n v="274344.26400000002"/>
    <m/>
    <n v="274344.26400000002"/>
    <n v="6"/>
    <b v="1"/>
    <b v="0"/>
  </r>
  <r>
    <s v="C"/>
    <s v="M"/>
    <n v="20240301"/>
    <x v="1"/>
    <x v="7"/>
    <s v="202403"/>
    <n v="818"/>
    <s v="EGY"/>
    <x v="0"/>
    <s v="M"/>
    <s v="Import"/>
    <n v="792"/>
    <s v="TUR"/>
    <x v="26"/>
    <n v="0"/>
    <s v="W00"/>
    <s v="World"/>
    <s v="H6"/>
    <s v="HS"/>
    <b v="1"/>
    <s v="382499"/>
    <s v="Chemical products, mixtures and preparations; n.e.c. heading 3824"/>
    <n v="6"/>
    <b v="1"/>
    <s v="C00"/>
    <s v="TOTAL CPC"/>
    <s v="0"/>
    <n v="0"/>
    <s v="TOTAL MOT"/>
    <n v="8"/>
    <s v="kg"/>
    <n v="109141.193"/>
    <b v="1"/>
    <n v="-1"/>
    <s v="N/A"/>
    <n v="0"/>
    <b v="0"/>
    <n v="109141.193"/>
    <b v="1"/>
    <n v="0"/>
    <b v="0"/>
    <n v="515029.22200000001"/>
    <m/>
    <n v="515029.22200000001"/>
    <n v="6"/>
    <b v="1"/>
    <b v="0"/>
  </r>
  <r>
    <s v="C"/>
    <s v="M"/>
    <n v="20240301"/>
    <x v="1"/>
    <x v="7"/>
    <s v="202403"/>
    <n v="818"/>
    <s v="EGY"/>
    <x v="0"/>
    <s v="M"/>
    <s v="Import"/>
    <n v="804"/>
    <s v="UKR"/>
    <x v="43"/>
    <n v="0"/>
    <s v="W00"/>
    <s v="World"/>
    <s v="H6"/>
    <s v="HS"/>
    <b v="1"/>
    <s v="382499"/>
    <s v="Chemical products, mixtures and preparations; n.e.c. heading 3824"/>
    <n v="6"/>
    <b v="1"/>
    <s v="C00"/>
    <s v="TOTAL CPC"/>
    <s v="0"/>
    <n v="0"/>
    <s v="TOTAL MOT"/>
    <n v="8"/>
    <s v="kg"/>
    <n v="15239.971"/>
    <b v="1"/>
    <n v="-1"/>
    <s v="N/A"/>
    <n v="0"/>
    <b v="0"/>
    <n v="15239.971"/>
    <b v="1"/>
    <n v="0"/>
    <b v="0"/>
    <n v="71916.297000000006"/>
    <m/>
    <n v="71916.297000000006"/>
    <n v="6"/>
    <b v="1"/>
    <b v="0"/>
  </r>
  <r>
    <s v="C"/>
    <s v="M"/>
    <n v="20240301"/>
    <x v="1"/>
    <x v="7"/>
    <s v="202403"/>
    <n v="818"/>
    <s v="EGY"/>
    <x v="0"/>
    <s v="M"/>
    <s v="Import"/>
    <n v="826"/>
    <s v="GBR"/>
    <x v="27"/>
    <n v="0"/>
    <s v="W00"/>
    <s v="World"/>
    <s v="H6"/>
    <s v="HS"/>
    <b v="1"/>
    <s v="382499"/>
    <s v="Chemical products, mixtures and preparations; n.e.c. heading 3824"/>
    <n v="6"/>
    <b v="1"/>
    <s v="C00"/>
    <s v="TOTAL CPC"/>
    <s v="0"/>
    <n v="0"/>
    <s v="TOTAL MOT"/>
    <n v="8"/>
    <s v="kg"/>
    <n v="11284841.174000001"/>
    <b v="1"/>
    <n v="-1"/>
    <s v="N/A"/>
    <n v="0"/>
    <b v="0"/>
    <n v="11284841.174000001"/>
    <b v="1"/>
    <n v="0"/>
    <b v="0"/>
    <n v="53252331.365000002"/>
    <m/>
    <n v="53252331.365000002"/>
    <n v="6"/>
    <b v="1"/>
    <b v="0"/>
  </r>
  <r>
    <s v="C"/>
    <s v="M"/>
    <n v="20240301"/>
    <x v="1"/>
    <x v="7"/>
    <s v="202403"/>
    <n v="818"/>
    <s v="EGY"/>
    <x v="0"/>
    <s v="M"/>
    <s v="Import"/>
    <n v="842"/>
    <s v="USA"/>
    <x v="28"/>
    <n v="0"/>
    <s v="W00"/>
    <s v="World"/>
    <s v="H6"/>
    <s v="HS"/>
    <b v="1"/>
    <s v="382499"/>
    <s v="Chemical products, mixtures and preparations; n.e.c. heading 3824"/>
    <n v="6"/>
    <b v="1"/>
    <s v="C00"/>
    <s v="TOTAL CPC"/>
    <s v="0"/>
    <n v="0"/>
    <s v="TOTAL MOT"/>
    <n v="8"/>
    <s v="kg"/>
    <n v="9097106.8289999999"/>
    <b v="1"/>
    <n v="-1"/>
    <s v="N/A"/>
    <n v="0"/>
    <b v="0"/>
    <n v="9097106.8289999999"/>
    <b v="1"/>
    <n v="0"/>
    <b v="0"/>
    <n v="42928574.699000001"/>
    <m/>
    <n v="42928574.699000001"/>
    <n v="6"/>
    <b v="1"/>
    <b v="0"/>
  </r>
  <r>
    <s v="C"/>
    <s v="M"/>
    <n v="20240401"/>
    <x v="1"/>
    <x v="10"/>
    <s v="202404"/>
    <n v="818"/>
    <s v="EGY"/>
    <x v="0"/>
    <s v="M"/>
    <s v="Import"/>
    <n v="0"/>
    <s v="W00"/>
    <x v="0"/>
    <n v="0"/>
    <s v="W00"/>
    <s v="World"/>
    <s v="H6"/>
    <s v="HS"/>
    <b v="1"/>
    <s v="382499"/>
    <s v="Chemical products, mixtures and preparations; n.e.c. heading 3824"/>
    <n v="6"/>
    <b v="1"/>
    <s v="C00"/>
    <s v="TOTAL CPC"/>
    <s v="0"/>
    <n v="0"/>
    <s v="TOTAL MOT"/>
    <n v="8"/>
    <s v="kg"/>
    <n v="8853987.4130000006"/>
    <b v="1"/>
    <n v="-1"/>
    <s v="N/A"/>
    <n v="0"/>
    <b v="0"/>
    <n v="8853987.4130000006"/>
    <b v="1"/>
    <n v="0"/>
    <b v="0"/>
    <n v="41781312.148000002"/>
    <m/>
    <n v="41781312.148000002"/>
    <n v="6"/>
    <b v="0"/>
    <b v="1"/>
  </r>
  <r>
    <s v="C"/>
    <s v="M"/>
    <n v="20240501"/>
    <x v="1"/>
    <x v="11"/>
    <s v="202405"/>
    <n v="818"/>
    <s v="EGY"/>
    <x v="0"/>
    <s v="M"/>
    <s v="Import"/>
    <n v="0"/>
    <s v="W00"/>
    <x v="0"/>
    <n v="0"/>
    <s v="W00"/>
    <s v="World"/>
    <s v="H6"/>
    <s v="HS"/>
    <b v="1"/>
    <s v="382499"/>
    <s v="Chemical products, mixtures and preparations; n.e.c. heading 3824"/>
    <n v="6"/>
    <b v="1"/>
    <s v="C00"/>
    <s v="TOTAL CPC"/>
    <s v="0"/>
    <n v="0"/>
    <s v="TOTAL MOT"/>
    <n v="8"/>
    <s v="kg"/>
    <n v="5062405.5140000004"/>
    <b v="1"/>
    <n v="-1"/>
    <s v="N/A"/>
    <n v="0"/>
    <b v="0"/>
    <n v="5062405.5140000004"/>
    <b v="1"/>
    <n v="0"/>
    <b v="0"/>
    <n v="23889117.427000001"/>
    <m/>
    <n v="23889117.427000001"/>
    <n v="6"/>
    <b v="0"/>
    <b v="1"/>
  </r>
  <r>
    <s v="C"/>
    <s v="M"/>
    <n v="20240301"/>
    <x v="1"/>
    <x v="7"/>
    <s v="202403"/>
    <n v="818"/>
    <s v="EGY"/>
    <x v="0"/>
    <s v="M"/>
    <s v="Import"/>
    <n v="0"/>
    <s v="W00"/>
    <x v="0"/>
    <n v="0"/>
    <s v="W00"/>
    <s v="World"/>
    <s v="H6"/>
    <s v="HS"/>
    <b v="1"/>
    <s v="382499"/>
    <s v="Chemical products, mixtures and preparations; n.e.c. heading 3824"/>
    <n v="6"/>
    <b v="1"/>
    <s v="C00"/>
    <s v="TOTAL CPC"/>
    <s v="0"/>
    <n v="0"/>
    <s v="TOTAL MOT"/>
    <n v="8"/>
    <s v="kg"/>
    <n v="23209335.420000002"/>
    <b v="1"/>
    <n v="-1"/>
    <s v="N/A"/>
    <n v="0"/>
    <b v="0"/>
    <n v="23209335.420000002"/>
    <b v="1"/>
    <n v="0"/>
    <b v="0"/>
    <n v="109523138.295"/>
    <m/>
    <n v="109523138.295"/>
    <n v="6"/>
    <b v="0"/>
    <b v="1"/>
  </r>
  <r>
    <s v="C"/>
    <s v="M"/>
    <n v="20240201"/>
    <x v="1"/>
    <x v="9"/>
    <s v="202402"/>
    <n v="818"/>
    <s v="EGY"/>
    <x v="0"/>
    <s v="M"/>
    <s v="Import"/>
    <n v="0"/>
    <s v="W00"/>
    <x v="0"/>
    <n v="0"/>
    <s v="W00"/>
    <s v="World"/>
    <s v="H6"/>
    <s v="HS"/>
    <b v="1"/>
    <s v="382499"/>
    <s v="Chemical products, mixtures and preparations; n.e.c. heading 3824"/>
    <n v="6"/>
    <b v="1"/>
    <s v="C00"/>
    <s v="TOTAL CPC"/>
    <s v="0"/>
    <n v="0"/>
    <s v="TOTAL MOT"/>
    <n v="8"/>
    <s v="kg"/>
    <n v="3438611.8470000001"/>
    <b v="1"/>
    <n v="-1"/>
    <s v="N/A"/>
    <n v="0"/>
    <b v="0"/>
    <n v="3438611.8470000001"/>
    <b v="1"/>
    <n v="0"/>
    <b v="0"/>
    <n v="16226555.136"/>
    <m/>
    <n v="16226555.136"/>
    <n v="6"/>
    <b v="0"/>
    <b v="1"/>
  </r>
  <r>
    <s v="C"/>
    <s v="M"/>
    <n v="20240101"/>
    <x v="1"/>
    <x v="8"/>
    <s v="202401"/>
    <n v="818"/>
    <s v="EGY"/>
    <x v="0"/>
    <s v="M"/>
    <s v="Import"/>
    <n v="0"/>
    <s v="W00"/>
    <x v="0"/>
    <n v="0"/>
    <s v="W00"/>
    <s v="World"/>
    <s v="H6"/>
    <s v="HS"/>
    <b v="1"/>
    <s v="382499"/>
    <s v="Chemical products, mixtures and preparations; n.e.c. heading 3824"/>
    <n v="6"/>
    <b v="1"/>
    <s v="C00"/>
    <s v="TOTAL CPC"/>
    <s v="0"/>
    <n v="0"/>
    <s v="TOTAL MOT"/>
    <n v="8"/>
    <s v="kg"/>
    <n v="3553764.0989999999"/>
    <b v="1"/>
    <n v="-1"/>
    <s v="N/A"/>
    <n v="0"/>
    <b v="0"/>
    <n v="3553764.0989999999"/>
    <b v="1"/>
    <n v="0"/>
    <b v="0"/>
    <n v="16769950.098999999"/>
    <m/>
    <n v="16769950.098999999"/>
    <n v="6"/>
    <b v="0"/>
    <b v="1"/>
  </r>
  <r>
    <s v="C"/>
    <s v="M"/>
    <n v="20240201"/>
    <x v="1"/>
    <x v="9"/>
    <s v="202402"/>
    <n v="818"/>
    <s v="EGY"/>
    <x v="0"/>
    <s v="M"/>
    <s v="Import"/>
    <n v="36"/>
    <s v="AUS"/>
    <x v="2"/>
    <n v="0"/>
    <s v="W00"/>
    <s v="World"/>
    <s v="H6"/>
    <s v="HS"/>
    <b v="1"/>
    <s v="382499"/>
    <s v="Chemical products, mixtures and preparations; n.e.c. heading 3824"/>
    <n v="6"/>
    <b v="1"/>
    <s v="C00"/>
    <s v="TOTAL CPC"/>
    <s v="0"/>
    <n v="0"/>
    <s v="TOTAL MOT"/>
    <n v="8"/>
    <s v="kg"/>
    <n v="1706.9480000000001"/>
    <b v="1"/>
    <n v="-1"/>
    <s v="N/A"/>
    <n v="0"/>
    <b v="0"/>
    <n v="1706.9480000000001"/>
    <b v="1"/>
    <n v="0"/>
    <b v="0"/>
    <n v="8054.9620000000004"/>
    <m/>
    <n v="8054.9620000000004"/>
    <n v="6"/>
    <b v="1"/>
    <b v="0"/>
  </r>
  <r>
    <s v="C"/>
    <s v="M"/>
    <n v="20240101"/>
    <x v="1"/>
    <x v="8"/>
    <s v="202401"/>
    <n v="818"/>
    <s v="EGY"/>
    <x v="0"/>
    <s v="M"/>
    <s v="Import"/>
    <n v="36"/>
    <s v="AUS"/>
    <x v="2"/>
    <n v="0"/>
    <s v="W00"/>
    <s v="World"/>
    <s v="H6"/>
    <s v="HS"/>
    <b v="1"/>
    <s v="382499"/>
    <s v="Chemical products, mixtures and preparations; n.e.c. heading 3824"/>
    <n v="6"/>
    <b v="1"/>
    <s v="C00"/>
    <s v="TOTAL CPC"/>
    <s v="0"/>
    <n v="0"/>
    <s v="TOTAL MOT"/>
    <n v="8"/>
    <s v="kg"/>
    <n v="1176.741"/>
    <b v="1"/>
    <n v="-1"/>
    <s v="N/A"/>
    <n v="0"/>
    <b v="0"/>
    <n v="1176.741"/>
    <b v="1"/>
    <n v="0"/>
    <b v="0"/>
    <n v="5552.9520000000002"/>
    <m/>
    <n v="5552.9520000000002"/>
    <n v="6"/>
    <b v="1"/>
    <b v="0"/>
  </r>
  <r>
    <s v="C"/>
    <s v="M"/>
    <n v="20240601"/>
    <x v="1"/>
    <x v="6"/>
    <s v="202406"/>
    <n v="818"/>
    <s v="EGY"/>
    <x v="0"/>
    <s v="M"/>
    <s v="Import"/>
    <n v="36"/>
    <s v="AUS"/>
    <x v="2"/>
    <n v="0"/>
    <s v="W00"/>
    <s v="World"/>
    <s v="H6"/>
    <s v="HS"/>
    <b v="1"/>
    <s v="382499"/>
    <s v="Chemical products, mixtures and preparations; n.e.c. heading 3824"/>
    <n v="6"/>
    <b v="1"/>
    <s v="C00"/>
    <s v="TOTAL CPC"/>
    <s v="0"/>
    <n v="0"/>
    <s v="TOTAL MOT"/>
    <n v="8"/>
    <s v="kg"/>
    <n v="6939.8680000000004"/>
    <b v="1"/>
    <n v="-1"/>
    <s v="N/A"/>
    <n v="0"/>
    <b v="0"/>
    <n v="6939.8680000000004"/>
    <b v="1"/>
    <n v="0"/>
    <b v="0"/>
    <n v="32748.723999999998"/>
    <m/>
    <n v="32748.723999999998"/>
    <n v="6"/>
    <b v="1"/>
    <b v="0"/>
  </r>
  <r>
    <s v="C"/>
    <s v="M"/>
    <n v="20240501"/>
    <x v="1"/>
    <x v="11"/>
    <s v="202405"/>
    <n v="818"/>
    <s v="EGY"/>
    <x v="0"/>
    <s v="M"/>
    <s v="Import"/>
    <n v="36"/>
    <s v="AUS"/>
    <x v="2"/>
    <n v="0"/>
    <s v="W00"/>
    <s v="World"/>
    <s v="H6"/>
    <s v="HS"/>
    <b v="1"/>
    <s v="382499"/>
    <s v="Chemical products, mixtures and preparations; n.e.c. heading 3824"/>
    <n v="6"/>
    <b v="1"/>
    <s v="C00"/>
    <s v="TOTAL CPC"/>
    <s v="0"/>
    <n v="0"/>
    <s v="TOTAL MOT"/>
    <n v="8"/>
    <s v="kg"/>
    <n v="34501.866000000002"/>
    <b v="1"/>
    <n v="-1"/>
    <s v="N/A"/>
    <n v="0"/>
    <b v="0"/>
    <n v="34501.866000000002"/>
    <b v="1"/>
    <n v="0"/>
    <b v="0"/>
    <n v="162811.755"/>
    <m/>
    <n v="162811.755"/>
    <n v="6"/>
    <b v="1"/>
    <b v="0"/>
  </r>
  <r>
    <s v="C"/>
    <s v="M"/>
    <n v="20240301"/>
    <x v="1"/>
    <x v="7"/>
    <s v="202403"/>
    <n v="818"/>
    <s v="EGY"/>
    <x v="0"/>
    <s v="M"/>
    <s v="Import"/>
    <n v="40"/>
    <s v="AUT"/>
    <x v="3"/>
    <n v="0"/>
    <s v="W00"/>
    <s v="World"/>
    <s v="H6"/>
    <s v="HS"/>
    <b v="1"/>
    <s v="382499"/>
    <s v="Chemical products, mixtures and preparations; n.e.c. heading 3824"/>
    <n v="6"/>
    <b v="1"/>
    <s v="C00"/>
    <s v="TOTAL CPC"/>
    <s v="0"/>
    <n v="0"/>
    <s v="TOTAL MOT"/>
    <n v="8"/>
    <s v="kg"/>
    <n v="2486.3130000000001"/>
    <b v="1"/>
    <n v="-1"/>
    <s v="N/A"/>
    <n v="0"/>
    <b v="0"/>
    <n v="2486.3130000000001"/>
    <b v="1"/>
    <n v="0"/>
    <b v="0"/>
    <n v="11732.727999999999"/>
    <m/>
    <n v="11732.727999999999"/>
    <n v="6"/>
    <b v="1"/>
    <b v="0"/>
  </r>
  <r>
    <s v="C"/>
    <s v="M"/>
    <n v="20240401"/>
    <x v="1"/>
    <x v="10"/>
    <s v="202404"/>
    <n v="818"/>
    <s v="EGY"/>
    <x v="0"/>
    <s v="M"/>
    <s v="Import"/>
    <n v="40"/>
    <s v="AUT"/>
    <x v="3"/>
    <n v="0"/>
    <s v="W00"/>
    <s v="World"/>
    <s v="H6"/>
    <s v="HS"/>
    <b v="1"/>
    <s v="382499"/>
    <s v="Chemical products, mixtures and preparations; n.e.c. heading 3824"/>
    <n v="6"/>
    <b v="1"/>
    <s v="C00"/>
    <s v="TOTAL CPC"/>
    <s v="0"/>
    <n v="0"/>
    <s v="TOTAL MOT"/>
    <n v="8"/>
    <s v="kg"/>
    <n v="22757.107"/>
    <b v="1"/>
    <n v="-1"/>
    <s v="N/A"/>
    <n v="0"/>
    <b v="0"/>
    <n v="22757.107"/>
    <b v="1"/>
    <n v="0"/>
    <b v="0"/>
    <n v="107389.103"/>
    <m/>
    <n v="107389.103"/>
    <n v="6"/>
    <b v="1"/>
    <b v="0"/>
  </r>
  <r>
    <s v="C"/>
    <s v="M"/>
    <n v="20240201"/>
    <x v="1"/>
    <x v="9"/>
    <s v="202402"/>
    <n v="818"/>
    <s v="EGY"/>
    <x v="0"/>
    <s v="M"/>
    <s v="Import"/>
    <n v="56"/>
    <s v="BEL"/>
    <x v="4"/>
    <n v="0"/>
    <s v="W00"/>
    <s v="World"/>
    <s v="H6"/>
    <s v="HS"/>
    <b v="1"/>
    <s v="382499"/>
    <s v="Chemical products, mixtures and preparations; n.e.c. heading 3824"/>
    <n v="6"/>
    <b v="1"/>
    <s v="C00"/>
    <s v="TOTAL CPC"/>
    <s v="0"/>
    <n v="0"/>
    <s v="TOTAL MOT"/>
    <n v="8"/>
    <s v="kg"/>
    <n v="76003.048999999999"/>
    <b v="1"/>
    <n v="-1"/>
    <s v="N/A"/>
    <n v="0"/>
    <b v="0"/>
    <n v="76003.048999999999"/>
    <b v="1"/>
    <n v="0"/>
    <b v="0"/>
    <n v="358652.76899999997"/>
    <m/>
    <n v="358652.76899999997"/>
    <n v="6"/>
    <b v="1"/>
    <b v="0"/>
  </r>
  <r>
    <s v="C"/>
    <s v="M"/>
    <n v="20240601"/>
    <x v="1"/>
    <x v="6"/>
    <s v="202406"/>
    <n v="818"/>
    <s v="EGY"/>
    <x v="0"/>
    <s v="M"/>
    <s v="Import"/>
    <n v="56"/>
    <s v="BEL"/>
    <x v="4"/>
    <n v="0"/>
    <s v="W00"/>
    <s v="World"/>
    <s v="H6"/>
    <s v="HS"/>
    <b v="1"/>
    <s v="382499"/>
    <s v="Chemical products, mixtures and preparations; n.e.c. heading 3824"/>
    <n v="6"/>
    <b v="1"/>
    <s v="C00"/>
    <s v="TOTAL CPC"/>
    <s v="0"/>
    <n v="0"/>
    <s v="TOTAL MOT"/>
    <n v="8"/>
    <s v="kg"/>
    <n v="6555.8919999999998"/>
    <b v="1"/>
    <n v="-1"/>
    <s v="N/A"/>
    <n v="0"/>
    <b v="0"/>
    <n v="6555.8919999999998"/>
    <b v="1"/>
    <n v="0"/>
    <b v="0"/>
    <n v="30936.769"/>
    <m/>
    <n v="30936.769"/>
    <n v="6"/>
    <b v="1"/>
    <b v="0"/>
  </r>
  <r>
    <s v="C"/>
    <s v="M"/>
    <n v="20240301"/>
    <x v="1"/>
    <x v="7"/>
    <s v="202403"/>
    <n v="818"/>
    <s v="EGY"/>
    <x v="0"/>
    <s v="M"/>
    <s v="Import"/>
    <n v="56"/>
    <s v="BEL"/>
    <x v="4"/>
    <n v="0"/>
    <s v="W00"/>
    <s v="World"/>
    <s v="H6"/>
    <s v="HS"/>
    <b v="1"/>
    <s v="382499"/>
    <s v="Chemical products, mixtures and preparations; n.e.c. heading 3824"/>
    <n v="6"/>
    <b v="1"/>
    <s v="C00"/>
    <s v="TOTAL CPC"/>
    <s v="0"/>
    <n v="0"/>
    <s v="TOTAL MOT"/>
    <n v="8"/>
    <s v="kg"/>
    <n v="42985.737999999998"/>
    <b v="1"/>
    <n v="-1"/>
    <s v="N/A"/>
    <n v="0"/>
    <b v="0"/>
    <n v="42985.737999999998"/>
    <b v="1"/>
    <n v="0"/>
    <b v="0"/>
    <n v="202846.51800000001"/>
    <m/>
    <n v="202846.51800000001"/>
    <n v="6"/>
    <b v="1"/>
    <b v="0"/>
  </r>
  <r>
    <s v="C"/>
    <s v="M"/>
    <n v="20240401"/>
    <x v="1"/>
    <x v="10"/>
    <s v="202404"/>
    <n v="818"/>
    <s v="EGY"/>
    <x v="0"/>
    <s v="M"/>
    <s v="Import"/>
    <n v="56"/>
    <s v="BEL"/>
    <x v="4"/>
    <n v="0"/>
    <s v="W00"/>
    <s v="World"/>
    <s v="H6"/>
    <s v="HS"/>
    <b v="1"/>
    <s v="382499"/>
    <s v="Chemical products, mixtures and preparations; n.e.c. heading 3824"/>
    <n v="6"/>
    <b v="1"/>
    <s v="C00"/>
    <s v="TOTAL CPC"/>
    <s v="0"/>
    <n v="0"/>
    <s v="TOTAL MOT"/>
    <n v="8"/>
    <s v="kg"/>
    <n v="171650.815"/>
    <b v="1"/>
    <n v="-1"/>
    <s v="N/A"/>
    <n v="0"/>
    <b v="0"/>
    <n v="171650.815"/>
    <b v="1"/>
    <n v="0"/>
    <b v="0"/>
    <n v="810007.51"/>
    <m/>
    <n v="810007.51"/>
    <n v="6"/>
    <b v="1"/>
    <b v="0"/>
  </r>
  <r>
    <s v="C"/>
    <s v="M"/>
    <n v="20240501"/>
    <x v="1"/>
    <x v="11"/>
    <s v="202405"/>
    <n v="818"/>
    <s v="EGY"/>
    <x v="0"/>
    <s v="M"/>
    <s v="Import"/>
    <n v="56"/>
    <s v="BEL"/>
    <x v="4"/>
    <n v="0"/>
    <s v="W00"/>
    <s v="World"/>
    <s v="H6"/>
    <s v="HS"/>
    <b v="1"/>
    <s v="382499"/>
    <s v="Chemical products, mixtures and preparations; n.e.c. heading 3824"/>
    <n v="6"/>
    <b v="1"/>
    <s v="C00"/>
    <s v="TOTAL CPC"/>
    <s v="0"/>
    <n v="0"/>
    <s v="TOTAL MOT"/>
    <n v="8"/>
    <s v="kg"/>
    <n v="101528.02499999999"/>
    <b v="1"/>
    <n v="-1"/>
    <s v="N/A"/>
    <n v="0"/>
    <b v="0"/>
    <n v="101528.02499999999"/>
    <b v="1"/>
    <n v="0"/>
    <b v="0"/>
    <n v="479103.24300000002"/>
    <m/>
    <n v="479103.24300000002"/>
    <n v="6"/>
    <b v="1"/>
    <b v="0"/>
  </r>
  <r>
    <s v="C"/>
    <s v="M"/>
    <n v="20240501"/>
    <x v="1"/>
    <x v="11"/>
    <s v="202405"/>
    <n v="818"/>
    <s v="EGY"/>
    <x v="0"/>
    <s v="M"/>
    <s v="Import"/>
    <n v="76"/>
    <s v="BRA"/>
    <x v="5"/>
    <n v="0"/>
    <s v="W00"/>
    <s v="World"/>
    <s v="H6"/>
    <s v="HS"/>
    <b v="1"/>
    <s v="382499"/>
    <s v="Chemical products, mixtures and preparations; n.e.c. heading 3824"/>
    <n v="6"/>
    <b v="1"/>
    <s v="C00"/>
    <s v="TOTAL CPC"/>
    <s v="0"/>
    <n v="0"/>
    <s v="TOTAL MOT"/>
    <n v="8"/>
    <s v="kg"/>
    <n v="15075.089"/>
    <b v="1"/>
    <n v="-1"/>
    <s v="N/A"/>
    <n v="0"/>
    <b v="0"/>
    <n v="15075.089"/>
    <b v="1"/>
    <n v="0"/>
    <b v="0"/>
    <n v="71138.228000000003"/>
    <m/>
    <n v="71138.228000000003"/>
    <n v="6"/>
    <b v="1"/>
    <b v="0"/>
  </r>
  <r>
    <s v="C"/>
    <s v="M"/>
    <n v="20240601"/>
    <x v="1"/>
    <x v="6"/>
    <s v="202406"/>
    <n v="818"/>
    <s v="EGY"/>
    <x v="0"/>
    <s v="M"/>
    <s v="Import"/>
    <n v="76"/>
    <s v="BRA"/>
    <x v="5"/>
    <n v="0"/>
    <s v="W00"/>
    <s v="World"/>
    <s v="H6"/>
    <s v="HS"/>
    <b v="1"/>
    <s v="382499"/>
    <s v="Chemical products, mixtures and preparations; n.e.c. heading 3824"/>
    <n v="6"/>
    <b v="1"/>
    <s v="C00"/>
    <s v="TOTAL CPC"/>
    <s v="0"/>
    <n v="0"/>
    <s v="TOTAL MOT"/>
    <n v="8"/>
    <s v="kg"/>
    <n v="2190.4540000000002"/>
    <b v="1"/>
    <n v="-1"/>
    <s v="N/A"/>
    <n v="0"/>
    <b v="0"/>
    <n v="2190.4540000000002"/>
    <b v="1"/>
    <n v="0"/>
    <b v="0"/>
    <n v="10336.59"/>
    <m/>
    <n v="10336.59"/>
    <n v="6"/>
    <b v="1"/>
    <b v="0"/>
  </r>
  <r>
    <s v="C"/>
    <s v="M"/>
    <n v="20240301"/>
    <x v="1"/>
    <x v="7"/>
    <s v="202403"/>
    <n v="818"/>
    <s v="EGY"/>
    <x v="0"/>
    <s v="M"/>
    <s v="Import"/>
    <n v="76"/>
    <s v="BRA"/>
    <x v="5"/>
    <n v="0"/>
    <s v="W00"/>
    <s v="World"/>
    <s v="H6"/>
    <s v="HS"/>
    <b v="1"/>
    <s v="382499"/>
    <s v="Chemical products, mixtures and preparations; n.e.c. heading 3824"/>
    <n v="6"/>
    <b v="1"/>
    <s v="C00"/>
    <s v="TOTAL CPC"/>
    <s v="0"/>
    <n v="0"/>
    <s v="TOTAL MOT"/>
    <n v="8"/>
    <s v="kg"/>
    <n v="34779.576000000001"/>
    <b v="1"/>
    <n v="-1"/>
    <s v="N/A"/>
    <n v="0"/>
    <b v="0"/>
    <n v="34779.576000000001"/>
    <b v="1"/>
    <n v="0"/>
    <b v="0"/>
    <n v="164122.24600000001"/>
    <m/>
    <n v="164122.24600000001"/>
    <n v="6"/>
    <b v="1"/>
    <b v="0"/>
  </r>
  <r>
    <s v="C"/>
    <s v="M"/>
    <n v="20240401"/>
    <x v="1"/>
    <x v="10"/>
    <s v="202404"/>
    <n v="818"/>
    <s v="EGY"/>
    <x v="0"/>
    <s v="M"/>
    <s v="Import"/>
    <n v="76"/>
    <s v="BRA"/>
    <x v="5"/>
    <n v="0"/>
    <s v="W00"/>
    <s v="World"/>
    <s v="H6"/>
    <s v="HS"/>
    <b v="1"/>
    <s v="382499"/>
    <s v="Chemical products, mixtures and preparations; n.e.c. heading 3824"/>
    <n v="6"/>
    <b v="1"/>
    <s v="C00"/>
    <s v="TOTAL CPC"/>
    <s v="0"/>
    <n v="0"/>
    <s v="TOTAL MOT"/>
    <n v="8"/>
    <s v="kg"/>
    <n v="9117.2379999999994"/>
    <b v="1"/>
    <n v="-1"/>
    <s v="N/A"/>
    <n v="0"/>
    <b v="0"/>
    <n v="9117.2379999999994"/>
    <b v="1"/>
    <n v="0"/>
    <b v="0"/>
    <n v="43023.57"/>
    <m/>
    <n v="43023.57"/>
    <n v="6"/>
    <b v="1"/>
    <b v="0"/>
  </r>
  <r>
    <s v="C"/>
    <s v="M"/>
    <n v="20240101"/>
    <x v="1"/>
    <x v="8"/>
    <s v="202401"/>
    <n v="818"/>
    <s v="EGY"/>
    <x v="0"/>
    <s v="M"/>
    <s v="Import"/>
    <n v="76"/>
    <s v="BRA"/>
    <x v="5"/>
    <n v="0"/>
    <s v="W00"/>
    <s v="World"/>
    <s v="H6"/>
    <s v="HS"/>
    <b v="1"/>
    <s v="382499"/>
    <s v="Chemical products, mixtures and preparations; n.e.c. heading 3824"/>
    <n v="6"/>
    <b v="1"/>
    <s v="C00"/>
    <s v="TOTAL CPC"/>
    <s v="0"/>
    <n v="0"/>
    <s v="TOTAL MOT"/>
    <n v="8"/>
    <s v="kg"/>
    <n v="3801.9360000000001"/>
    <b v="1"/>
    <n v="-1"/>
    <s v="N/A"/>
    <n v="0"/>
    <b v="0"/>
    <n v="3801.9360000000001"/>
    <b v="1"/>
    <n v="0"/>
    <b v="0"/>
    <n v="17941.057000000001"/>
    <m/>
    <n v="17941.057000000001"/>
    <n v="6"/>
    <b v="1"/>
    <b v="0"/>
  </r>
  <r>
    <s v="C"/>
    <s v="M"/>
    <n v="20240101"/>
    <x v="1"/>
    <x v="8"/>
    <s v="202401"/>
    <n v="818"/>
    <s v="EGY"/>
    <x v="0"/>
    <s v="M"/>
    <s v="Import"/>
    <n v="124"/>
    <s v="CAN"/>
    <x v="48"/>
    <n v="0"/>
    <s v="W00"/>
    <s v="World"/>
    <s v="H6"/>
    <s v="HS"/>
    <b v="1"/>
    <s v="382499"/>
    <s v="Chemical products, mixtures and preparations; n.e.c. heading 3824"/>
    <n v="6"/>
    <b v="1"/>
    <s v="C00"/>
    <s v="TOTAL CPC"/>
    <s v="0"/>
    <n v="0"/>
    <s v="TOTAL MOT"/>
    <n v="8"/>
    <s v="kg"/>
    <n v="39724.084000000003"/>
    <b v="1"/>
    <n v="-1"/>
    <s v="N/A"/>
    <n v="0"/>
    <b v="0"/>
    <n v="39724.084000000003"/>
    <b v="1"/>
    <n v="0"/>
    <b v="0"/>
    <n v="187455.016"/>
    <m/>
    <n v="187455.016"/>
    <n v="6"/>
    <b v="1"/>
    <b v="0"/>
  </r>
  <r>
    <s v="C"/>
    <s v="M"/>
    <n v="20240601"/>
    <x v="1"/>
    <x v="6"/>
    <s v="202406"/>
    <n v="818"/>
    <s v="EGY"/>
    <x v="0"/>
    <s v="M"/>
    <s v="Import"/>
    <n v="124"/>
    <s v="CAN"/>
    <x v="48"/>
    <n v="0"/>
    <s v="W00"/>
    <s v="World"/>
    <s v="H6"/>
    <s v="HS"/>
    <b v="1"/>
    <s v="382499"/>
    <s v="Chemical products, mixtures and preparations; n.e.c. heading 3824"/>
    <n v="6"/>
    <b v="1"/>
    <s v="C00"/>
    <s v="TOTAL CPC"/>
    <s v="0"/>
    <n v="0"/>
    <s v="TOTAL MOT"/>
    <n v="8"/>
    <s v="kg"/>
    <n v="1870.5740000000001"/>
    <b v="1"/>
    <n v="-1"/>
    <s v="N/A"/>
    <n v="0"/>
    <b v="0"/>
    <n v="1870.5740000000001"/>
    <b v="1"/>
    <n v="0"/>
    <b v="0"/>
    <n v="8827.1029999999992"/>
    <m/>
    <n v="8827.1029999999992"/>
    <n v="6"/>
    <b v="1"/>
    <b v="0"/>
  </r>
  <r>
    <s v="C"/>
    <s v="M"/>
    <n v="20240301"/>
    <x v="1"/>
    <x v="7"/>
    <s v="202403"/>
    <n v="818"/>
    <s v="EGY"/>
    <x v="0"/>
    <s v="M"/>
    <s v="Import"/>
    <n v="124"/>
    <s v="CAN"/>
    <x v="48"/>
    <n v="0"/>
    <s v="W00"/>
    <s v="World"/>
    <s v="H6"/>
    <s v="HS"/>
    <b v="1"/>
    <s v="382499"/>
    <s v="Chemical products, mixtures and preparations; n.e.c. heading 3824"/>
    <n v="6"/>
    <b v="1"/>
    <s v="C00"/>
    <s v="TOTAL CPC"/>
    <s v="0"/>
    <n v="0"/>
    <s v="TOTAL MOT"/>
    <n v="8"/>
    <s v="kg"/>
    <n v="275.92200000000003"/>
    <b v="1"/>
    <n v="-1"/>
    <s v="N/A"/>
    <n v="0"/>
    <b v="0"/>
    <n v="275.92200000000003"/>
    <b v="1"/>
    <n v="0"/>
    <b v="0"/>
    <n v="1302.0530000000001"/>
    <m/>
    <n v="1302.0530000000001"/>
    <n v="6"/>
    <b v="1"/>
    <b v="0"/>
  </r>
  <r>
    <s v="C"/>
    <s v="M"/>
    <n v="20240401"/>
    <x v="1"/>
    <x v="10"/>
    <s v="202404"/>
    <n v="818"/>
    <s v="EGY"/>
    <x v="0"/>
    <s v="M"/>
    <s v="Import"/>
    <n v="124"/>
    <s v="CAN"/>
    <x v="48"/>
    <n v="0"/>
    <s v="W00"/>
    <s v="World"/>
    <s v="H6"/>
    <s v="HS"/>
    <b v="1"/>
    <s v="382499"/>
    <s v="Chemical products, mixtures and preparations; n.e.c. heading 3824"/>
    <n v="6"/>
    <b v="1"/>
    <s v="C00"/>
    <s v="TOTAL CPC"/>
    <s v="0"/>
    <n v="0"/>
    <s v="TOTAL MOT"/>
    <n v="8"/>
    <s v="kg"/>
    <n v="2924.498"/>
    <b v="1"/>
    <n v="-1"/>
    <s v="N/A"/>
    <n v="0"/>
    <b v="0"/>
    <n v="2924.498"/>
    <b v="1"/>
    <n v="0"/>
    <b v="0"/>
    <n v="13800.487999999999"/>
    <m/>
    <n v="13800.487999999999"/>
    <n v="6"/>
    <b v="1"/>
    <b v="0"/>
  </r>
  <r>
    <s v="C"/>
    <s v="M"/>
    <n v="20240501"/>
    <x v="1"/>
    <x v="11"/>
    <s v="202405"/>
    <n v="818"/>
    <s v="EGY"/>
    <x v="0"/>
    <s v="M"/>
    <s v="Import"/>
    <n v="124"/>
    <s v="CAN"/>
    <x v="48"/>
    <n v="0"/>
    <s v="W00"/>
    <s v="World"/>
    <s v="H6"/>
    <s v="HS"/>
    <b v="1"/>
    <s v="382499"/>
    <s v="Chemical products, mixtures and preparations; n.e.c. heading 3824"/>
    <n v="6"/>
    <b v="1"/>
    <s v="C00"/>
    <s v="TOTAL CPC"/>
    <s v="0"/>
    <n v="0"/>
    <s v="TOTAL MOT"/>
    <n v="8"/>
    <s v="kg"/>
    <n v="664.83399999999995"/>
    <b v="1"/>
    <n v="-1"/>
    <s v="N/A"/>
    <n v="0"/>
    <b v="0"/>
    <n v="664.83399999999995"/>
    <b v="1"/>
    <n v="0"/>
    <b v="0"/>
    <n v="3137.3040000000001"/>
    <m/>
    <n v="3137.3040000000001"/>
    <n v="6"/>
    <b v="1"/>
    <b v="0"/>
  </r>
  <r>
    <s v="C"/>
    <s v="M"/>
    <n v="20240201"/>
    <x v="1"/>
    <x v="9"/>
    <s v="202402"/>
    <n v="818"/>
    <s v="EGY"/>
    <x v="0"/>
    <s v="M"/>
    <s v="Import"/>
    <n v="156"/>
    <s v="CHN"/>
    <x v="6"/>
    <n v="0"/>
    <s v="W00"/>
    <s v="World"/>
    <s v="H6"/>
    <s v="HS"/>
    <b v="1"/>
    <s v="382499"/>
    <s v="Chemical products, mixtures and preparations; n.e.c. heading 3824"/>
    <n v="6"/>
    <b v="1"/>
    <s v="C00"/>
    <s v="TOTAL CPC"/>
    <s v="0"/>
    <n v="0"/>
    <s v="TOTAL MOT"/>
    <n v="8"/>
    <s v="kg"/>
    <n v="736605.57"/>
    <b v="1"/>
    <n v="-1"/>
    <s v="N/A"/>
    <n v="0"/>
    <b v="0"/>
    <n v="736605.57"/>
    <b v="1"/>
    <n v="0"/>
    <b v="0"/>
    <n v="3475987.2349999999"/>
    <m/>
    <n v="3475987.2349999999"/>
    <n v="6"/>
    <b v="1"/>
    <b v="0"/>
  </r>
  <r>
    <s v="C"/>
    <s v="M"/>
    <n v="20240601"/>
    <x v="1"/>
    <x v="6"/>
    <s v="202406"/>
    <n v="818"/>
    <s v="EGY"/>
    <x v="0"/>
    <s v="M"/>
    <s v="Import"/>
    <n v="156"/>
    <s v="CHN"/>
    <x v="6"/>
    <n v="0"/>
    <s v="W00"/>
    <s v="World"/>
    <s v="H6"/>
    <s v="HS"/>
    <b v="1"/>
    <s v="382499"/>
    <s v="Chemical products, mixtures and preparations; n.e.c. heading 3824"/>
    <n v="6"/>
    <b v="1"/>
    <s v="C00"/>
    <s v="TOTAL CPC"/>
    <s v="0"/>
    <n v="0"/>
    <s v="TOTAL MOT"/>
    <n v="8"/>
    <s v="kg"/>
    <n v="510083.64399999997"/>
    <b v="1"/>
    <n v="-1"/>
    <s v="N/A"/>
    <n v="0"/>
    <b v="0"/>
    <n v="510083.64399999997"/>
    <b v="1"/>
    <n v="0"/>
    <b v="0"/>
    <n v="2407047.0120000001"/>
    <m/>
    <n v="2407047.0120000001"/>
    <n v="6"/>
    <b v="1"/>
    <b v="0"/>
  </r>
  <r>
    <s v="C"/>
    <s v="M"/>
    <n v="20240401"/>
    <x v="1"/>
    <x v="10"/>
    <s v="202404"/>
    <n v="818"/>
    <s v="EGY"/>
    <x v="0"/>
    <s v="M"/>
    <s v="Import"/>
    <n v="156"/>
    <s v="CHN"/>
    <x v="6"/>
    <n v="0"/>
    <s v="W00"/>
    <s v="World"/>
    <s v="H6"/>
    <s v="HS"/>
    <b v="1"/>
    <s v="382499"/>
    <s v="Chemical products, mixtures and preparations; n.e.c. heading 3824"/>
    <n v="6"/>
    <b v="1"/>
    <s v="C00"/>
    <s v="TOTAL CPC"/>
    <s v="0"/>
    <n v="0"/>
    <s v="TOTAL MOT"/>
    <n v="8"/>
    <s v="kg"/>
    <n v="492741.04100000003"/>
    <b v="1"/>
    <n v="-1"/>
    <s v="N/A"/>
    <n v="0"/>
    <b v="0"/>
    <n v="492741.04100000003"/>
    <b v="1"/>
    <n v="0"/>
    <b v="0"/>
    <n v="2325208.5490000001"/>
    <m/>
    <n v="2325208.5490000001"/>
    <n v="6"/>
    <b v="1"/>
    <b v="0"/>
  </r>
  <r>
    <s v="C"/>
    <s v="M"/>
    <n v="20240501"/>
    <x v="1"/>
    <x v="11"/>
    <s v="202405"/>
    <n v="818"/>
    <s v="EGY"/>
    <x v="0"/>
    <s v="M"/>
    <s v="Import"/>
    <n v="156"/>
    <s v="CHN"/>
    <x v="6"/>
    <n v="0"/>
    <s v="W00"/>
    <s v="World"/>
    <s v="H6"/>
    <s v="HS"/>
    <b v="1"/>
    <s v="382499"/>
    <s v="Chemical products, mixtures and preparations; n.e.c. heading 3824"/>
    <n v="6"/>
    <b v="1"/>
    <s v="C00"/>
    <s v="TOTAL CPC"/>
    <s v="0"/>
    <n v="0"/>
    <s v="TOTAL MOT"/>
    <n v="8"/>
    <s v="kg"/>
    <n v="825500.47400000005"/>
    <b v="1"/>
    <n v="-1"/>
    <s v="N/A"/>
    <n v="0"/>
    <b v="0"/>
    <n v="825500.47400000005"/>
    <b v="1"/>
    <n v="0"/>
    <b v="0"/>
    <n v="3895475.72"/>
    <m/>
    <n v="3895475.72"/>
    <n v="6"/>
    <b v="1"/>
    <b v="0"/>
  </r>
  <r>
    <s v="C"/>
    <s v="M"/>
    <n v="20240301"/>
    <x v="1"/>
    <x v="7"/>
    <s v="202403"/>
    <n v="818"/>
    <s v="EGY"/>
    <x v="0"/>
    <s v="M"/>
    <s v="Import"/>
    <n v="156"/>
    <s v="CHN"/>
    <x v="6"/>
    <n v="0"/>
    <s v="W00"/>
    <s v="World"/>
    <s v="H6"/>
    <s v="HS"/>
    <b v="1"/>
    <s v="382499"/>
    <s v="Chemical products, mixtures and preparations; n.e.c. heading 3824"/>
    <n v="6"/>
    <b v="1"/>
    <s v="C00"/>
    <s v="TOTAL CPC"/>
    <s v="0"/>
    <n v="0"/>
    <s v="TOTAL MOT"/>
    <n v="8"/>
    <s v="kg"/>
    <n v="693586.95"/>
    <b v="1"/>
    <n v="-1"/>
    <s v="N/A"/>
    <n v="0"/>
    <b v="0"/>
    <n v="693586.95"/>
    <b v="1"/>
    <n v="0"/>
    <b v="0"/>
    <n v="3272985.551"/>
    <m/>
    <n v="3272985.551"/>
    <n v="6"/>
    <b v="1"/>
    <b v="0"/>
  </r>
  <r>
    <s v="C"/>
    <s v="M"/>
    <n v="20240101"/>
    <x v="1"/>
    <x v="8"/>
    <s v="202401"/>
    <n v="818"/>
    <s v="EGY"/>
    <x v="0"/>
    <s v="M"/>
    <s v="Import"/>
    <n v="208"/>
    <s v="DNK"/>
    <x v="7"/>
    <n v="0"/>
    <s v="W00"/>
    <s v="World"/>
    <s v="H6"/>
    <s v="HS"/>
    <b v="1"/>
    <s v="382499"/>
    <s v="Chemical products, mixtures and preparations; n.e.c. heading 3824"/>
    <n v="6"/>
    <b v="1"/>
    <s v="C00"/>
    <s v="TOTAL CPC"/>
    <s v="0"/>
    <n v="0"/>
    <s v="TOTAL MOT"/>
    <n v="8"/>
    <s v="kg"/>
    <n v="15727.673000000001"/>
    <b v="1"/>
    <n v="-1"/>
    <s v="N/A"/>
    <n v="0"/>
    <b v="0"/>
    <n v="15727.673000000001"/>
    <b v="1"/>
    <n v="0"/>
    <b v="0"/>
    <n v="74217.725999999995"/>
    <m/>
    <n v="74217.725999999995"/>
    <n v="6"/>
    <b v="1"/>
    <b v="0"/>
  </r>
  <r>
    <s v="C"/>
    <s v="M"/>
    <n v="20240601"/>
    <x v="1"/>
    <x v="6"/>
    <s v="202406"/>
    <n v="818"/>
    <s v="EGY"/>
    <x v="0"/>
    <s v="M"/>
    <s v="Import"/>
    <n v="208"/>
    <s v="DNK"/>
    <x v="7"/>
    <n v="0"/>
    <s v="W00"/>
    <s v="World"/>
    <s v="H6"/>
    <s v="HS"/>
    <b v="1"/>
    <s v="382499"/>
    <s v="Chemical products, mixtures and preparations; n.e.c. heading 3824"/>
    <n v="6"/>
    <b v="1"/>
    <s v="C00"/>
    <s v="TOTAL CPC"/>
    <s v="0"/>
    <n v="0"/>
    <s v="TOTAL MOT"/>
    <n v="8"/>
    <s v="kg"/>
    <n v="12456.296"/>
    <b v="1"/>
    <n v="-1"/>
    <s v="N/A"/>
    <n v="0"/>
    <b v="0"/>
    <n v="12456.296"/>
    <b v="1"/>
    <n v="0"/>
    <b v="0"/>
    <n v="58780.34"/>
    <m/>
    <n v="58780.34"/>
    <n v="6"/>
    <b v="1"/>
    <b v="0"/>
  </r>
  <r>
    <s v="C"/>
    <s v="M"/>
    <n v="20240401"/>
    <x v="1"/>
    <x v="10"/>
    <s v="202404"/>
    <n v="818"/>
    <s v="EGY"/>
    <x v="0"/>
    <s v="M"/>
    <s v="Import"/>
    <n v="208"/>
    <s v="DNK"/>
    <x v="7"/>
    <n v="0"/>
    <s v="W00"/>
    <s v="World"/>
    <s v="H6"/>
    <s v="HS"/>
    <b v="1"/>
    <s v="382499"/>
    <s v="Chemical products, mixtures and preparations; n.e.c. heading 3824"/>
    <n v="6"/>
    <b v="1"/>
    <s v="C00"/>
    <s v="TOTAL CPC"/>
    <s v="0"/>
    <n v="0"/>
    <s v="TOTAL MOT"/>
    <n v="8"/>
    <s v="kg"/>
    <n v="8072.2539999999999"/>
    <b v="1"/>
    <n v="-1"/>
    <s v="N/A"/>
    <n v="0"/>
    <b v="0"/>
    <n v="8072.2539999999999"/>
    <b v="1"/>
    <n v="0"/>
    <b v="0"/>
    <n v="38092.372000000003"/>
    <m/>
    <n v="38092.372000000003"/>
    <n v="6"/>
    <b v="1"/>
    <b v="0"/>
  </r>
  <r>
    <s v="C"/>
    <s v="M"/>
    <n v="20240501"/>
    <x v="1"/>
    <x v="11"/>
    <s v="202405"/>
    <n v="818"/>
    <s v="EGY"/>
    <x v="0"/>
    <s v="M"/>
    <s v="Import"/>
    <n v="208"/>
    <s v="DNK"/>
    <x v="7"/>
    <n v="0"/>
    <s v="W00"/>
    <s v="World"/>
    <s v="H6"/>
    <s v="HS"/>
    <b v="1"/>
    <s v="382499"/>
    <s v="Chemical products, mixtures and preparations; n.e.c. heading 3824"/>
    <n v="6"/>
    <b v="1"/>
    <s v="C00"/>
    <s v="TOTAL CPC"/>
    <s v="0"/>
    <n v="0"/>
    <s v="TOTAL MOT"/>
    <n v="8"/>
    <s v="kg"/>
    <n v="73304.349000000002"/>
    <b v="1"/>
    <n v="-1"/>
    <s v="N/A"/>
    <n v="0"/>
    <b v="0"/>
    <n v="73304.349000000002"/>
    <b v="1"/>
    <n v="0"/>
    <b v="0"/>
    <n v="345917.80200000003"/>
    <m/>
    <n v="345917.80200000003"/>
    <n v="6"/>
    <b v="1"/>
    <b v="0"/>
  </r>
  <r>
    <s v="C"/>
    <s v="M"/>
    <n v="20240301"/>
    <x v="1"/>
    <x v="7"/>
    <s v="202403"/>
    <n v="818"/>
    <s v="EGY"/>
    <x v="0"/>
    <s v="M"/>
    <s v="Import"/>
    <n v="208"/>
    <s v="DNK"/>
    <x v="7"/>
    <n v="0"/>
    <s v="W00"/>
    <s v="World"/>
    <s v="H6"/>
    <s v="HS"/>
    <b v="1"/>
    <s v="382499"/>
    <s v="Chemical products, mixtures and preparations; n.e.c. heading 3824"/>
    <n v="6"/>
    <b v="1"/>
    <s v="C00"/>
    <s v="TOTAL CPC"/>
    <s v="0"/>
    <n v="0"/>
    <s v="TOTAL MOT"/>
    <n v="8"/>
    <s v="kg"/>
    <n v="78587.716"/>
    <b v="1"/>
    <n v="-1"/>
    <s v="N/A"/>
    <n v="0"/>
    <b v="0"/>
    <n v="78587.716"/>
    <b v="1"/>
    <n v="0"/>
    <b v="0"/>
    <n v="370849.625"/>
    <m/>
    <n v="370849.625"/>
    <n v="6"/>
    <b v="1"/>
    <b v="0"/>
  </r>
  <r>
    <s v="C"/>
    <s v="M"/>
    <n v="20240201"/>
    <x v="1"/>
    <x v="9"/>
    <s v="202402"/>
    <n v="818"/>
    <s v="EGY"/>
    <x v="0"/>
    <s v="M"/>
    <s v="Import"/>
    <n v="246"/>
    <s v="FIN"/>
    <x v="54"/>
    <n v="0"/>
    <s v="W00"/>
    <s v="World"/>
    <s v="H6"/>
    <s v="HS"/>
    <b v="1"/>
    <s v="382499"/>
    <s v="Chemical products, mixtures and preparations; n.e.c. heading 3824"/>
    <n v="6"/>
    <b v="1"/>
    <s v="C00"/>
    <s v="TOTAL CPC"/>
    <s v="0"/>
    <n v="0"/>
    <s v="TOTAL MOT"/>
    <n v="8"/>
    <s v="kg"/>
    <n v="266.80700000000002"/>
    <b v="1"/>
    <n v="-1"/>
    <s v="N/A"/>
    <n v="0"/>
    <b v="0"/>
    <n v="266.80700000000002"/>
    <b v="1"/>
    <n v="0"/>
    <b v="0"/>
    <n v="1259.0419999999999"/>
    <m/>
    <n v="1259.0419999999999"/>
    <n v="6"/>
    <b v="1"/>
    <b v="0"/>
  </r>
  <r>
    <s v="C"/>
    <s v="M"/>
    <n v="20240101"/>
    <x v="1"/>
    <x v="8"/>
    <s v="202401"/>
    <n v="818"/>
    <s v="EGY"/>
    <x v="0"/>
    <s v="M"/>
    <s v="Import"/>
    <n v="251"/>
    <s v="FRA"/>
    <x v="8"/>
    <n v="0"/>
    <s v="W00"/>
    <s v="World"/>
    <s v="H6"/>
    <s v="HS"/>
    <b v="1"/>
    <s v="382499"/>
    <s v="Chemical products, mixtures and preparations; n.e.c. heading 3824"/>
    <n v="6"/>
    <b v="1"/>
    <s v="C00"/>
    <s v="TOTAL CPC"/>
    <s v="0"/>
    <n v="0"/>
    <s v="TOTAL MOT"/>
    <n v="8"/>
    <s v="kg"/>
    <n v="287877.54300000001"/>
    <b v="1"/>
    <n v="-1"/>
    <s v="N/A"/>
    <n v="0"/>
    <b v="0"/>
    <n v="287877.54300000001"/>
    <b v="1"/>
    <n v="0"/>
    <b v="0"/>
    <n v="1358472.8470000001"/>
    <m/>
    <n v="1358472.8470000001"/>
    <n v="6"/>
    <b v="1"/>
    <b v="0"/>
  </r>
  <r>
    <s v="C"/>
    <s v="M"/>
    <n v="20240601"/>
    <x v="1"/>
    <x v="6"/>
    <s v="202406"/>
    <n v="818"/>
    <s v="EGY"/>
    <x v="0"/>
    <s v="M"/>
    <s v="Import"/>
    <n v="251"/>
    <s v="FRA"/>
    <x v="8"/>
    <n v="0"/>
    <s v="W00"/>
    <s v="World"/>
    <s v="H6"/>
    <s v="HS"/>
    <b v="1"/>
    <s v="382499"/>
    <s v="Chemical products, mixtures and preparations; n.e.c. heading 3824"/>
    <n v="6"/>
    <b v="1"/>
    <s v="C00"/>
    <s v="TOTAL CPC"/>
    <s v="0"/>
    <n v="0"/>
    <s v="TOTAL MOT"/>
    <n v="8"/>
    <s v="kg"/>
    <n v="73513.37"/>
    <b v="1"/>
    <n v="-1"/>
    <s v="N/A"/>
    <n v="0"/>
    <b v="0"/>
    <n v="73513.37"/>
    <b v="1"/>
    <n v="0"/>
    <b v="0"/>
    <n v="346904.16"/>
    <m/>
    <n v="346904.16"/>
    <n v="6"/>
    <b v="1"/>
    <b v="0"/>
  </r>
  <r>
    <s v="C"/>
    <s v="M"/>
    <n v="20240401"/>
    <x v="1"/>
    <x v="10"/>
    <s v="202404"/>
    <n v="818"/>
    <s v="EGY"/>
    <x v="0"/>
    <s v="M"/>
    <s v="Import"/>
    <n v="251"/>
    <s v="FRA"/>
    <x v="8"/>
    <n v="0"/>
    <s v="W00"/>
    <s v="World"/>
    <s v="H6"/>
    <s v="HS"/>
    <b v="1"/>
    <s v="382499"/>
    <s v="Chemical products, mixtures and preparations; n.e.c. heading 3824"/>
    <n v="6"/>
    <b v="1"/>
    <s v="C00"/>
    <s v="TOTAL CPC"/>
    <s v="0"/>
    <n v="0"/>
    <s v="TOTAL MOT"/>
    <n v="8"/>
    <s v="kg"/>
    <n v="178257.57399999999"/>
    <b v="1"/>
    <n v="-1"/>
    <s v="N/A"/>
    <n v="0"/>
    <b v="0"/>
    <n v="178257.57399999999"/>
    <b v="1"/>
    <n v="0"/>
    <b v="0"/>
    <n v="841184.31400000001"/>
    <m/>
    <n v="841184.31400000001"/>
    <n v="6"/>
    <b v="1"/>
    <b v="0"/>
  </r>
  <r>
    <s v="C"/>
    <s v="M"/>
    <n v="20240501"/>
    <x v="1"/>
    <x v="11"/>
    <s v="202405"/>
    <n v="818"/>
    <s v="EGY"/>
    <x v="0"/>
    <s v="M"/>
    <s v="Import"/>
    <n v="251"/>
    <s v="FRA"/>
    <x v="8"/>
    <n v="0"/>
    <s v="W00"/>
    <s v="World"/>
    <s v="H6"/>
    <s v="HS"/>
    <b v="1"/>
    <s v="382499"/>
    <s v="Chemical products, mixtures and preparations; n.e.c. heading 3824"/>
    <n v="6"/>
    <b v="1"/>
    <s v="C00"/>
    <s v="TOTAL CPC"/>
    <s v="0"/>
    <n v="0"/>
    <s v="TOTAL MOT"/>
    <n v="8"/>
    <s v="kg"/>
    <n v="176224.40299999999"/>
    <b v="1"/>
    <n v="-1"/>
    <s v="N/A"/>
    <n v="0"/>
    <b v="0"/>
    <n v="176224.40299999999"/>
    <b v="1"/>
    <n v="0"/>
    <b v="0"/>
    <n v="831589.93400000001"/>
    <m/>
    <n v="831589.93400000001"/>
    <n v="6"/>
    <b v="1"/>
    <b v="0"/>
  </r>
  <r>
    <s v="C"/>
    <s v="M"/>
    <n v="20240301"/>
    <x v="1"/>
    <x v="7"/>
    <s v="202403"/>
    <n v="818"/>
    <s v="EGY"/>
    <x v="0"/>
    <s v="M"/>
    <s v="Import"/>
    <n v="251"/>
    <s v="FRA"/>
    <x v="8"/>
    <n v="0"/>
    <s v="W00"/>
    <s v="World"/>
    <s v="H6"/>
    <s v="HS"/>
    <b v="1"/>
    <s v="382499"/>
    <s v="Chemical products, mixtures and preparations; n.e.c. heading 3824"/>
    <n v="6"/>
    <b v="1"/>
    <s v="C00"/>
    <s v="TOTAL CPC"/>
    <s v="0"/>
    <n v="0"/>
    <s v="TOTAL MOT"/>
    <n v="8"/>
    <s v="kg"/>
    <n v="111585.20699999999"/>
    <b v="1"/>
    <n v="-1"/>
    <s v="N/A"/>
    <n v="0"/>
    <b v="0"/>
    <n v="111585.20699999999"/>
    <b v="1"/>
    <n v="0"/>
    <b v="0"/>
    <n v="526562.34600000002"/>
    <m/>
    <n v="526562.34600000002"/>
    <n v="6"/>
    <b v="1"/>
    <b v="0"/>
  </r>
  <r>
    <s v="C"/>
    <s v="M"/>
    <n v="20240201"/>
    <x v="1"/>
    <x v="9"/>
    <s v="202402"/>
    <n v="818"/>
    <s v="EGY"/>
    <x v="0"/>
    <s v="M"/>
    <s v="Import"/>
    <n v="268"/>
    <s v="GEO"/>
    <x v="49"/>
    <n v="0"/>
    <s v="W00"/>
    <s v="World"/>
    <s v="H6"/>
    <s v="HS"/>
    <b v="1"/>
    <s v="382499"/>
    <s v="Chemical products, mixtures and preparations; n.e.c. heading 3824"/>
    <n v="6"/>
    <b v="1"/>
    <s v="C00"/>
    <s v="TOTAL CPC"/>
    <s v="0"/>
    <n v="0"/>
    <s v="TOTAL MOT"/>
    <n v="8"/>
    <s v="kg"/>
    <n v="4600.6490000000003"/>
    <b v="1"/>
    <n v="-1"/>
    <s v="N/A"/>
    <n v="0"/>
    <b v="0"/>
    <n v="4600.6490000000003"/>
    <b v="1"/>
    <n v="0"/>
    <b v="0"/>
    <n v="21710.123"/>
    <m/>
    <n v="21710.123"/>
    <n v="6"/>
    <b v="1"/>
    <b v="0"/>
  </r>
  <r>
    <s v="C"/>
    <s v="M"/>
    <n v="20240101"/>
    <x v="1"/>
    <x v="8"/>
    <s v="202401"/>
    <n v="818"/>
    <s v="EGY"/>
    <x v="0"/>
    <s v="M"/>
    <s v="Import"/>
    <n v="276"/>
    <s v="DEU"/>
    <x v="9"/>
    <n v="0"/>
    <s v="W00"/>
    <s v="World"/>
    <s v="H6"/>
    <s v="HS"/>
    <b v="1"/>
    <s v="382499"/>
    <s v="Chemical products, mixtures and preparations; n.e.c. heading 3824"/>
    <n v="6"/>
    <b v="1"/>
    <s v="C00"/>
    <s v="TOTAL CPC"/>
    <s v="0"/>
    <n v="0"/>
    <s v="TOTAL MOT"/>
    <n v="8"/>
    <s v="kg"/>
    <n v="445570.99599999998"/>
    <b v="1"/>
    <n v="-1"/>
    <s v="N/A"/>
    <n v="0"/>
    <b v="0"/>
    <n v="445570.99599999998"/>
    <b v="1"/>
    <n v="0"/>
    <b v="0"/>
    <n v="2102616.5950000002"/>
    <m/>
    <n v="2102616.5950000002"/>
    <n v="6"/>
    <b v="1"/>
    <b v="0"/>
  </r>
  <r>
    <s v="C"/>
    <s v="M"/>
    <n v="20240601"/>
    <x v="1"/>
    <x v="6"/>
    <s v="202406"/>
    <n v="818"/>
    <s v="EGY"/>
    <x v="0"/>
    <s v="M"/>
    <s v="Import"/>
    <n v="276"/>
    <s v="DEU"/>
    <x v="9"/>
    <n v="0"/>
    <s v="W00"/>
    <s v="World"/>
    <s v="H6"/>
    <s v="HS"/>
    <b v="1"/>
    <s v="382499"/>
    <s v="Chemical products, mixtures and preparations; n.e.c. heading 3824"/>
    <n v="6"/>
    <b v="1"/>
    <s v="C00"/>
    <s v="TOTAL CPC"/>
    <s v="0"/>
    <n v="0"/>
    <s v="TOTAL MOT"/>
    <n v="8"/>
    <s v="kg"/>
    <n v="343255.484"/>
    <b v="1"/>
    <n v="-1"/>
    <s v="N/A"/>
    <n v="0"/>
    <b v="0"/>
    <n v="343255.484"/>
    <b v="1"/>
    <n v="0"/>
    <b v="0"/>
    <n v="1619797.2549999999"/>
    <m/>
    <n v="1619797.2549999999"/>
    <n v="6"/>
    <b v="1"/>
    <b v="0"/>
  </r>
  <r>
    <s v="C"/>
    <s v="M"/>
    <n v="20240401"/>
    <x v="1"/>
    <x v="10"/>
    <s v="202404"/>
    <n v="818"/>
    <s v="EGY"/>
    <x v="0"/>
    <s v="M"/>
    <s v="Import"/>
    <n v="276"/>
    <s v="DEU"/>
    <x v="9"/>
    <n v="0"/>
    <s v="W00"/>
    <s v="World"/>
    <s v="H6"/>
    <s v="HS"/>
    <b v="1"/>
    <s v="382499"/>
    <s v="Chemical products, mixtures and preparations; n.e.c. heading 3824"/>
    <n v="6"/>
    <b v="1"/>
    <s v="C00"/>
    <s v="TOTAL CPC"/>
    <s v="0"/>
    <n v="0"/>
    <s v="TOTAL MOT"/>
    <n v="8"/>
    <s v="kg"/>
    <n v="468491.98300000001"/>
    <b v="1"/>
    <n v="-1"/>
    <s v="N/A"/>
    <n v="0"/>
    <b v="0"/>
    <n v="468491.98300000001"/>
    <b v="1"/>
    <n v="0"/>
    <b v="0"/>
    <n v="2210779.0359999998"/>
    <m/>
    <n v="2210779.0359999998"/>
    <n v="6"/>
    <b v="1"/>
    <b v="0"/>
  </r>
  <r>
    <s v="C"/>
    <s v="M"/>
    <n v="20240501"/>
    <x v="1"/>
    <x v="11"/>
    <s v="202405"/>
    <n v="818"/>
    <s v="EGY"/>
    <x v="0"/>
    <s v="M"/>
    <s v="Import"/>
    <n v="276"/>
    <s v="DEU"/>
    <x v="9"/>
    <n v="0"/>
    <s v="W00"/>
    <s v="World"/>
    <s v="H6"/>
    <s v="HS"/>
    <b v="1"/>
    <s v="382499"/>
    <s v="Chemical products, mixtures and preparations; n.e.c. heading 3824"/>
    <n v="6"/>
    <b v="1"/>
    <s v="C00"/>
    <s v="TOTAL CPC"/>
    <s v="0"/>
    <n v="0"/>
    <s v="TOTAL MOT"/>
    <n v="8"/>
    <s v="kg"/>
    <n v="549445.76399999997"/>
    <b v="1"/>
    <n v="-1"/>
    <s v="N/A"/>
    <n v="0"/>
    <b v="0"/>
    <n v="549445.76399999997"/>
    <b v="1"/>
    <n v="0"/>
    <b v="0"/>
    <n v="2592793.946"/>
    <m/>
    <n v="2592793.946"/>
    <n v="6"/>
    <b v="1"/>
    <b v="0"/>
  </r>
  <r>
    <s v="C"/>
    <s v="M"/>
    <n v="20240301"/>
    <x v="1"/>
    <x v="7"/>
    <s v="202403"/>
    <n v="818"/>
    <s v="EGY"/>
    <x v="0"/>
    <s v="M"/>
    <s v="Import"/>
    <n v="276"/>
    <s v="DEU"/>
    <x v="9"/>
    <n v="0"/>
    <s v="W00"/>
    <s v="World"/>
    <s v="H6"/>
    <s v="HS"/>
    <b v="1"/>
    <s v="382499"/>
    <s v="Chemical products, mixtures and preparations; n.e.c. heading 3824"/>
    <n v="6"/>
    <b v="1"/>
    <s v="C00"/>
    <s v="TOTAL CPC"/>
    <s v="0"/>
    <n v="0"/>
    <s v="TOTAL MOT"/>
    <n v="8"/>
    <s v="kg"/>
    <n v="358295.86200000002"/>
    <b v="1"/>
    <n v="-1"/>
    <s v="N/A"/>
    <n v="0"/>
    <b v="0"/>
    <n v="358295.86200000002"/>
    <b v="1"/>
    <n v="0"/>
    <b v="0"/>
    <n v="1690771.6910000001"/>
    <m/>
    <n v="1690771.6910000001"/>
    <n v="6"/>
    <b v="1"/>
    <b v="0"/>
  </r>
  <r>
    <s v="C"/>
    <s v="M"/>
    <n v="20240301"/>
    <x v="1"/>
    <x v="7"/>
    <s v="202403"/>
    <n v="818"/>
    <s v="EGY"/>
    <x v="0"/>
    <s v="M"/>
    <s v="Import"/>
    <n v="300"/>
    <s v="GRC"/>
    <x v="38"/>
    <n v="0"/>
    <s v="W00"/>
    <s v="World"/>
    <s v="H6"/>
    <s v="HS"/>
    <b v="1"/>
    <s v="382499"/>
    <s v="Chemical products, mixtures and preparations; n.e.c. heading 3824"/>
    <n v="6"/>
    <b v="1"/>
    <s v="C00"/>
    <s v="TOTAL CPC"/>
    <s v="0"/>
    <n v="0"/>
    <s v="TOTAL MOT"/>
    <n v="8"/>
    <s v="kg"/>
    <n v="854.83199999999999"/>
    <b v="1"/>
    <n v="-1"/>
    <s v="N/A"/>
    <n v="0"/>
    <b v="0"/>
    <n v="854.83199999999999"/>
    <b v="1"/>
    <n v="0"/>
    <b v="0"/>
    <n v="4033.8879999999999"/>
    <m/>
    <n v="4033.8879999999999"/>
    <n v="6"/>
    <b v="1"/>
    <b v="0"/>
  </r>
  <r>
    <s v="C"/>
    <s v="M"/>
    <n v="20240101"/>
    <x v="1"/>
    <x v="8"/>
    <s v="202401"/>
    <n v="818"/>
    <s v="EGY"/>
    <x v="0"/>
    <s v="M"/>
    <s v="Import"/>
    <n v="300"/>
    <s v="GRC"/>
    <x v="38"/>
    <n v="0"/>
    <s v="W00"/>
    <s v="World"/>
    <s v="H6"/>
    <s v="HS"/>
    <b v="1"/>
    <s v="382499"/>
    <s v="Chemical products, mixtures and preparations; n.e.c. heading 3824"/>
    <n v="6"/>
    <b v="1"/>
    <s v="C00"/>
    <s v="TOTAL CPC"/>
    <s v="0"/>
    <n v="0"/>
    <s v="TOTAL MOT"/>
    <n v="8"/>
    <s v="kg"/>
    <n v="139.60400000000001"/>
    <b v="1"/>
    <n v="-1"/>
    <s v="N/A"/>
    <n v="0"/>
    <b v="0"/>
    <n v="139.60400000000001"/>
    <b v="1"/>
    <n v="0"/>
    <b v="0"/>
    <n v="658.78099999999995"/>
    <m/>
    <n v="658.78099999999995"/>
    <n v="6"/>
    <b v="1"/>
    <b v="0"/>
  </r>
  <r>
    <s v="C"/>
    <s v="M"/>
    <n v="20240201"/>
    <x v="1"/>
    <x v="9"/>
    <s v="202402"/>
    <n v="818"/>
    <s v="EGY"/>
    <x v="0"/>
    <s v="M"/>
    <s v="Import"/>
    <n v="344"/>
    <s v="HKG"/>
    <x v="10"/>
    <n v="0"/>
    <s v="W00"/>
    <s v="World"/>
    <s v="H6"/>
    <s v="HS"/>
    <b v="1"/>
    <s v="382499"/>
    <s v="Chemical products, mixtures and preparations; n.e.c. heading 3824"/>
    <n v="6"/>
    <b v="1"/>
    <s v="C00"/>
    <s v="TOTAL CPC"/>
    <s v="0"/>
    <n v="0"/>
    <s v="TOTAL MOT"/>
    <n v="8"/>
    <s v="kg"/>
    <n v="2257.4810000000002"/>
    <b v="1"/>
    <n v="-1"/>
    <s v="N/A"/>
    <n v="0"/>
    <b v="0"/>
    <n v="2257.4810000000002"/>
    <b v="1"/>
    <n v="0"/>
    <b v="0"/>
    <n v="10652.885"/>
    <m/>
    <n v="10652.885"/>
    <n v="6"/>
    <b v="1"/>
    <b v="0"/>
  </r>
  <r>
    <s v="C"/>
    <s v="M"/>
    <n v="20240101"/>
    <x v="1"/>
    <x v="8"/>
    <s v="202401"/>
    <n v="818"/>
    <s v="EGY"/>
    <x v="0"/>
    <s v="M"/>
    <s v="Import"/>
    <n v="360"/>
    <s v="IDN"/>
    <x v="44"/>
    <n v="0"/>
    <s v="W00"/>
    <s v="World"/>
    <s v="H6"/>
    <s v="HS"/>
    <b v="1"/>
    <s v="382499"/>
    <s v="Chemical products, mixtures and preparations; n.e.c. heading 3824"/>
    <n v="6"/>
    <b v="1"/>
    <s v="C00"/>
    <s v="TOTAL CPC"/>
    <s v="0"/>
    <n v="0"/>
    <s v="TOTAL MOT"/>
    <n v="8"/>
    <s v="kg"/>
    <n v="3.423"/>
    <b v="1"/>
    <n v="-1"/>
    <s v="N/A"/>
    <n v="0"/>
    <b v="0"/>
    <n v="3.423"/>
    <b v="1"/>
    <n v="0"/>
    <b v="0"/>
    <n v="16.151"/>
    <m/>
    <n v="16.151"/>
    <n v="6"/>
    <b v="1"/>
    <b v="0"/>
  </r>
  <r>
    <s v="C"/>
    <s v="M"/>
    <n v="20240501"/>
    <x v="1"/>
    <x v="11"/>
    <s v="202405"/>
    <n v="818"/>
    <s v="EGY"/>
    <x v="0"/>
    <s v="M"/>
    <s v="Import"/>
    <n v="360"/>
    <s v="IDN"/>
    <x v="44"/>
    <n v="0"/>
    <s v="W00"/>
    <s v="World"/>
    <s v="H6"/>
    <s v="HS"/>
    <b v="1"/>
    <s v="382499"/>
    <s v="Chemical products, mixtures and preparations; n.e.c. heading 3824"/>
    <n v="6"/>
    <b v="1"/>
    <s v="C00"/>
    <s v="TOTAL CPC"/>
    <s v="0"/>
    <n v="0"/>
    <s v="TOTAL MOT"/>
    <n v="8"/>
    <s v="kg"/>
    <n v="5467.8509999999997"/>
    <b v="1"/>
    <n v="-1"/>
    <s v="N/A"/>
    <n v="0"/>
    <b v="0"/>
    <n v="5467.8509999999997"/>
    <b v="1"/>
    <n v="0"/>
    <b v="0"/>
    <n v="25802.384999999998"/>
    <m/>
    <n v="25802.384999999998"/>
    <n v="6"/>
    <b v="1"/>
    <b v="0"/>
  </r>
  <r>
    <s v="C"/>
    <s v="M"/>
    <n v="20240601"/>
    <x v="1"/>
    <x v="6"/>
    <s v="202406"/>
    <n v="818"/>
    <s v="EGY"/>
    <x v="0"/>
    <s v="M"/>
    <s v="Import"/>
    <n v="360"/>
    <s v="IDN"/>
    <x v="44"/>
    <n v="0"/>
    <s v="W00"/>
    <s v="World"/>
    <s v="H6"/>
    <s v="HS"/>
    <b v="1"/>
    <s v="382499"/>
    <s v="Chemical products, mixtures and preparations; n.e.c. heading 3824"/>
    <n v="6"/>
    <b v="1"/>
    <s v="C00"/>
    <s v="TOTAL CPC"/>
    <s v="0"/>
    <n v="0"/>
    <s v="TOTAL MOT"/>
    <n v="8"/>
    <s v="kg"/>
    <n v="21969.620999999999"/>
    <b v="1"/>
    <n v="-1"/>
    <s v="N/A"/>
    <n v="0"/>
    <b v="0"/>
    <n v="21969.620999999999"/>
    <b v="1"/>
    <n v="0"/>
    <b v="0"/>
    <n v="103673.016"/>
    <m/>
    <n v="103673.016"/>
    <n v="6"/>
    <b v="1"/>
    <b v="0"/>
  </r>
  <r>
    <s v="C"/>
    <s v="M"/>
    <n v="20240201"/>
    <x v="1"/>
    <x v="9"/>
    <s v="202402"/>
    <n v="818"/>
    <s v="EGY"/>
    <x v="0"/>
    <s v="M"/>
    <s v="Import"/>
    <n v="376"/>
    <s v="ISR"/>
    <x v="11"/>
    <n v="0"/>
    <s v="W00"/>
    <s v="World"/>
    <s v="H6"/>
    <s v="HS"/>
    <b v="1"/>
    <s v="382499"/>
    <s v="Chemical products, mixtures and preparations; n.e.c. heading 3824"/>
    <n v="6"/>
    <b v="1"/>
    <s v="C00"/>
    <s v="TOTAL CPC"/>
    <s v="0"/>
    <n v="0"/>
    <s v="TOTAL MOT"/>
    <n v="8"/>
    <s v="kg"/>
    <n v="2101.1509999999998"/>
    <b v="1"/>
    <n v="-1"/>
    <s v="N/A"/>
    <n v="0"/>
    <b v="0"/>
    <n v="2101.1509999999998"/>
    <b v="1"/>
    <n v="0"/>
    <b v="0"/>
    <n v="9915.1769999999997"/>
    <m/>
    <n v="9915.1769999999997"/>
    <n v="6"/>
    <b v="1"/>
    <b v="0"/>
  </r>
  <r>
    <s v="C"/>
    <s v="M"/>
    <n v="20240301"/>
    <x v="1"/>
    <x v="7"/>
    <s v="202403"/>
    <n v="818"/>
    <s v="EGY"/>
    <x v="0"/>
    <s v="M"/>
    <s v="Import"/>
    <n v="376"/>
    <s v="ISR"/>
    <x v="11"/>
    <n v="0"/>
    <s v="W00"/>
    <s v="World"/>
    <s v="H6"/>
    <s v="HS"/>
    <b v="1"/>
    <s v="382499"/>
    <s v="Chemical products, mixtures and preparations; n.e.c. heading 3824"/>
    <n v="6"/>
    <b v="1"/>
    <s v="C00"/>
    <s v="TOTAL CPC"/>
    <s v="0"/>
    <n v="0"/>
    <s v="TOTAL MOT"/>
    <n v="8"/>
    <s v="kg"/>
    <n v="8180.6840000000002"/>
    <b v="1"/>
    <n v="-1"/>
    <s v="N/A"/>
    <n v="0"/>
    <b v="0"/>
    <n v="8180.6840000000002"/>
    <b v="1"/>
    <n v="0"/>
    <b v="0"/>
    <n v="38604.042999999998"/>
    <m/>
    <n v="38604.042999999998"/>
    <n v="6"/>
    <b v="1"/>
    <b v="0"/>
  </r>
  <r>
    <s v="C"/>
    <s v="M"/>
    <n v="20240501"/>
    <x v="1"/>
    <x v="11"/>
    <s v="202405"/>
    <n v="818"/>
    <s v="EGY"/>
    <x v="0"/>
    <s v="M"/>
    <s v="Import"/>
    <n v="376"/>
    <s v="ISR"/>
    <x v="11"/>
    <n v="0"/>
    <s v="W00"/>
    <s v="World"/>
    <s v="H6"/>
    <s v="HS"/>
    <b v="1"/>
    <s v="382499"/>
    <s v="Chemical products, mixtures and preparations; n.e.c. heading 3824"/>
    <n v="6"/>
    <b v="1"/>
    <s v="C00"/>
    <s v="TOTAL CPC"/>
    <s v="0"/>
    <n v="0"/>
    <s v="TOTAL MOT"/>
    <n v="8"/>
    <s v="kg"/>
    <n v="6365.8220000000001"/>
    <b v="1"/>
    <n v="-1"/>
    <s v="N/A"/>
    <n v="0"/>
    <b v="0"/>
    <n v="6365.8220000000001"/>
    <b v="1"/>
    <n v="0"/>
    <b v="0"/>
    <n v="30039.842000000001"/>
    <m/>
    <n v="30039.842000000001"/>
    <n v="6"/>
    <b v="1"/>
    <b v="0"/>
  </r>
  <r>
    <s v="C"/>
    <s v="M"/>
    <n v="20240601"/>
    <x v="1"/>
    <x v="6"/>
    <s v="202406"/>
    <n v="818"/>
    <s v="EGY"/>
    <x v="0"/>
    <s v="M"/>
    <s v="Import"/>
    <n v="376"/>
    <s v="ISR"/>
    <x v="11"/>
    <n v="0"/>
    <s v="W00"/>
    <s v="World"/>
    <s v="H6"/>
    <s v="HS"/>
    <b v="1"/>
    <s v="382499"/>
    <s v="Chemical products, mixtures and preparations; n.e.c. heading 3824"/>
    <n v="6"/>
    <b v="1"/>
    <s v="C00"/>
    <s v="TOTAL CPC"/>
    <s v="0"/>
    <n v="0"/>
    <s v="TOTAL MOT"/>
    <n v="8"/>
    <s v="kg"/>
    <n v="8877.1689999999999"/>
    <b v="1"/>
    <n v="-1"/>
    <s v="N/A"/>
    <n v="0"/>
    <b v="0"/>
    <n v="8877.1689999999999"/>
    <b v="1"/>
    <n v="0"/>
    <b v="0"/>
    <n v="41890.703000000001"/>
    <m/>
    <n v="41890.703000000001"/>
    <n v="6"/>
    <b v="1"/>
    <b v="0"/>
  </r>
  <r>
    <s v="C"/>
    <s v="M"/>
    <n v="20240101"/>
    <x v="1"/>
    <x v="8"/>
    <s v="202401"/>
    <n v="818"/>
    <s v="EGY"/>
    <x v="0"/>
    <s v="M"/>
    <s v="Import"/>
    <n v="380"/>
    <s v="ITA"/>
    <x v="12"/>
    <n v="0"/>
    <s v="W00"/>
    <s v="World"/>
    <s v="H6"/>
    <s v="HS"/>
    <b v="1"/>
    <s v="382499"/>
    <s v="Chemical products, mixtures and preparations; n.e.c. heading 3824"/>
    <n v="6"/>
    <b v="1"/>
    <s v="C00"/>
    <s v="TOTAL CPC"/>
    <s v="0"/>
    <n v="0"/>
    <s v="TOTAL MOT"/>
    <n v="8"/>
    <s v="kg"/>
    <n v="97489.043999999994"/>
    <b v="1"/>
    <n v="-1"/>
    <s v="N/A"/>
    <n v="0"/>
    <b v="0"/>
    <n v="97489.043999999994"/>
    <b v="1"/>
    <n v="0"/>
    <b v="0"/>
    <n v="460043.59"/>
    <m/>
    <n v="460043.59"/>
    <n v="6"/>
    <b v="1"/>
    <b v="0"/>
  </r>
  <r>
    <s v="C"/>
    <s v="M"/>
    <n v="20240501"/>
    <x v="1"/>
    <x v="11"/>
    <s v="202405"/>
    <n v="818"/>
    <s v="EGY"/>
    <x v="0"/>
    <s v="M"/>
    <s v="Import"/>
    <n v="380"/>
    <s v="ITA"/>
    <x v="12"/>
    <n v="0"/>
    <s v="W00"/>
    <s v="World"/>
    <s v="H6"/>
    <s v="HS"/>
    <b v="1"/>
    <s v="382499"/>
    <s v="Chemical products, mixtures and preparations; n.e.c. heading 3824"/>
    <n v="6"/>
    <b v="1"/>
    <s v="C00"/>
    <s v="TOTAL CPC"/>
    <s v="0"/>
    <n v="0"/>
    <s v="TOTAL MOT"/>
    <n v="8"/>
    <s v="kg"/>
    <n v="141186.296"/>
    <b v="1"/>
    <n v="-1"/>
    <s v="N/A"/>
    <n v="0"/>
    <b v="0"/>
    <n v="141186.296"/>
    <b v="1"/>
    <n v="0"/>
    <b v="0"/>
    <n v="666247.69299999997"/>
    <m/>
    <n v="666247.69299999997"/>
    <n v="6"/>
    <b v="1"/>
    <b v="0"/>
  </r>
  <r>
    <s v="C"/>
    <s v="M"/>
    <n v="20240601"/>
    <x v="1"/>
    <x v="6"/>
    <s v="202406"/>
    <n v="818"/>
    <s v="EGY"/>
    <x v="0"/>
    <s v="M"/>
    <s v="Import"/>
    <n v="380"/>
    <s v="ITA"/>
    <x v="12"/>
    <n v="0"/>
    <s v="W00"/>
    <s v="World"/>
    <s v="H6"/>
    <s v="HS"/>
    <b v="1"/>
    <s v="382499"/>
    <s v="Chemical products, mixtures and preparations; n.e.c. heading 3824"/>
    <n v="6"/>
    <b v="1"/>
    <s v="C00"/>
    <s v="TOTAL CPC"/>
    <s v="0"/>
    <n v="0"/>
    <s v="TOTAL MOT"/>
    <n v="8"/>
    <s v="kg"/>
    <n v="167778.44399999999"/>
    <b v="1"/>
    <n v="-1"/>
    <s v="N/A"/>
    <n v="0"/>
    <b v="0"/>
    <n v="167778.44399999999"/>
    <b v="1"/>
    <n v="0"/>
    <b v="0"/>
    <n v="791734.076"/>
    <m/>
    <n v="791734.076"/>
    <n v="6"/>
    <b v="1"/>
    <b v="0"/>
  </r>
  <r>
    <s v="C"/>
    <s v="M"/>
    <n v="20240401"/>
    <x v="1"/>
    <x v="10"/>
    <s v="202404"/>
    <n v="818"/>
    <s v="EGY"/>
    <x v="0"/>
    <s v="M"/>
    <s v="Import"/>
    <n v="380"/>
    <s v="ITA"/>
    <x v="12"/>
    <n v="0"/>
    <s v="W00"/>
    <s v="World"/>
    <s v="H6"/>
    <s v="HS"/>
    <b v="1"/>
    <s v="382499"/>
    <s v="Chemical products, mixtures and preparations; n.e.c. heading 3824"/>
    <n v="6"/>
    <b v="1"/>
    <s v="C00"/>
    <s v="TOTAL CPC"/>
    <s v="0"/>
    <n v="0"/>
    <s v="TOTAL MOT"/>
    <n v="8"/>
    <s v="kg"/>
    <n v="260717.14799999999"/>
    <b v="1"/>
    <n v="-1"/>
    <s v="N/A"/>
    <n v="0"/>
    <b v="0"/>
    <n v="260717.14799999999"/>
    <b v="1"/>
    <n v="0"/>
    <b v="0"/>
    <n v="1230304.949"/>
    <m/>
    <n v="1230304.949"/>
    <n v="6"/>
    <b v="1"/>
    <b v="0"/>
  </r>
  <r>
    <s v="C"/>
    <s v="M"/>
    <n v="20240201"/>
    <x v="1"/>
    <x v="9"/>
    <s v="202402"/>
    <n v="818"/>
    <s v="EGY"/>
    <x v="0"/>
    <s v="M"/>
    <s v="Import"/>
    <n v="380"/>
    <s v="ITA"/>
    <x v="12"/>
    <n v="0"/>
    <s v="W00"/>
    <s v="World"/>
    <s v="H6"/>
    <s v="HS"/>
    <b v="1"/>
    <s v="382499"/>
    <s v="Chemical products, mixtures and preparations; n.e.c. heading 3824"/>
    <n v="6"/>
    <b v="1"/>
    <s v="C00"/>
    <s v="TOTAL CPC"/>
    <s v="0"/>
    <n v="0"/>
    <s v="TOTAL MOT"/>
    <n v="8"/>
    <s v="kg"/>
    <n v="90097.702000000005"/>
    <b v="1"/>
    <n v="-1"/>
    <s v="N/A"/>
    <n v="0"/>
    <b v="0"/>
    <n v="90097.702000000005"/>
    <b v="1"/>
    <n v="0"/>
    <b v="0"/>
    <n v="425164.39399999997"/>
    <m/>
    <n v="425164.39399999997"/>
    <n v="6"/>
    <b v="1"/>
    <b v="0"/>
  </r>
  <r>
    <s v="C"/>
    <s v="M"/>
    <n v="20240101"/>
    <x v="1"/>
    <x v="8"/>
    <s v="202401"/>
    <n v="818"/>
    <s v="EGY"/>
    <x v="0"/>
    <s v="M"/>
    <s v="Import"/>
    <n v="392"/>
    <s v="JPN"/>
    <x v="30"/>
    <n v="0"/>
    <s v="W00"/>
    <s v="World"/>
    <s v="H6"/>
    <s v="HS"/>
    <b v="1"/>
    <s v="382499"/>
    <s v="Chemical products, mixtures and preparations; n.e.c. heading 3824"/>
    <n v="6"/>
    <b v="1"/>
    <s v="C00"/>
    <s v="TOTAL CPC"/>
    <s v="0"/>
    <n v="0"/>
    <s v="TOTAL MOT"/>
    <n v="8"/>
    <s v="kg"/>
    <n v="4014.1190000000001"/>
    <b v="1"/>
    <n v="-1"/>
    <s v="N/A"/>
    <n v="0"/>
    <b v="0"/>
    <n v="4014.1190000000001"/>
    <b v="1"/>
    <n v="0"/>
    <b v="0"/>
    <n v="18942.331999999999"/>
    <m/>
    <n v="18942.331999999999"/>
    <n v="6"/>
    <b v="1"/>
    <b v="0"/>
  </r>
  <r>
    <s v="C"/>
    <s v="M"/>
    <n v="20240501"/>
    <x v="1"/>
    <x v="11"/>
    <s v="202405"/>
    <n v="818"/>
    <s v="EGY"/>
    <x v="0"/>
    <s v="M"/>
    <s v="Import"/>
    <n v="392"/>
    <s v="JPN"/>
    <x v="30"/>
    <n v="0"/>
    <s v="W00"/>
    <s v="World"/>
    <s v="H6"/>
    <s v="HS"/>
    <b v="1"/>
    <s v="382499"/>
    <s v="Chemical products, mixtures and preparations; n.e.c. heading 3824"/>
    <n v="6"/>
    <b v="1"/>
    <s v="C00"/>
    <s v="TOTAL CPC"/>
    <s v="0"/>
    <n v="0"/>
    <s v="TOTAL MOT"/>
    <n v="8"/>
    <s v="kg"/>
    <n v="17123.437999999998"/>
    <b v="1"/>
    <n v="-1"/>
    <s v="N/A"/>
    <n v="0"/>
    <b v="0"/>
    <n v="17123.437999999998"/>
    <b v="1"/>
    <n v="0"/>
    <b v="0"/>
    <n v="80804.236000000004"/>
    <m/>
    <n v="80804.236000000004"/>
    <n v="6"/>
    <b v="1"/>
    <b v="0"/>
  </r>
  <r>
    <s v="C"/>
    <s v="M"/>
    <n v="20240601"/>
    <x v="1"/>
    <x v="6"/>
    <s v="202406"/>
    <n v="818"/>
    <s v="EGY"/>
    <x v="0"/>
    <s v="M"/>
    <s v="Import"/>
    <n v="392"/>
    <s v="JPN"/>
    <x v="30"/>
    <n v="0"/>
    <s v="W00"/>
    <s v="World"/>
    <s v="H6"/>
    <s v="HS"/>
    <b v="1"/>
    <s v="382499"/>
    <s v="Chemical products, mixtures and preparations; n.e.c. heading 3824"/>
    <n v="6"/>
    <b v="1"/>
    <s v="C00"/>
    <s v="TOTAL CPC"/>
    <s v="0"/>
    <n v="0"/>
    <s v="TOTAL MOT"/>
    <n v="8"/>
    <s v="kg"/>
    <n v="480.32"/>
    <b v="1"/>
    <n v="-1"/>
    <s v="N/A"/>
    <n v="0"/>
    <b v="0"/>
    <n v="480.32"/>
    <b v="1"/>
    <n v="0"/>
    <b v="0"/>
    <n v="2266.5920000000001"/>
    <m/>
    <n v="2266.5920000000001"/>
    <n v="6"/>
    <b v="1"/>
    <b v="0"/>
  </r>
  <r>
    <s v="C"/>
    <s v="M"/>
    <n v="20240301"/>
    <x v="1"/>
    <x v="7"/>
    <s v="202403"/>
    <n v="818"/>
    <s v="EGY"/>
    <x v="0"/>
    <s v="M"/>
    <s v="Import"/>
    <n v="392"/>
    <s v="JPN"/>
    <x v="30"/>
    <n v="0"/>
    <s v="W00"/>
    <s v="World"/>
    <s v="H6"/>
    <s v="HS"/>
    <b v="1"/>
    <s v="382499"/>
    <s v="Chemical products, mixtures and preparations; n.e.c. heading 3824"/>
    <n v="6"/>
    <b v="1"/>
    <s v="C00"/>
    <s v="TOTAL CPC"/>
    <s v="0"/>
    <n v="0"/>
    <s v="TOTAL MOT"/>
    <n v="8"/>
    <s v="kg"/>
    <n v="40.411000000000001"/>
    <b v="1"/>
    <n v="-1"/>
    <s v="N/A"/>
    <n v="0"/>
    <b v="0"/>
    <n v="40.411000000000001"/>
    <b v="1"/>
    <n v="0"/>
    <b v="0"/>
    <n v="190.696"/>
    <m/>
    <n v="190.696"/>
    <n v="6"/>
    <b v="1"/>
    <b v="0"/>
  </r>
  <r>
    <s v="C"/>
    <s v="M"/>
    <n v="20240401"/>
    <x v="1"/>
    <x v="10"/>
    <s v="202404"/>
    <n v="818"/>
    <s v="EGY"/>
    <x v="0"/>
    <s v="M"/>
    <s v="Import"/>
    <n v="392"/>
    <s v="JPN"/>
    <x v="30"/>
    <n v="0"/>
    <s v="W00"/>
    <s v="World"/>
    <s v="H6"/>
    <s v="HS"/>
    <b v="1"/>
    <s v="382499"/>
    <s v="Chemical products, mixtures and preparations; n.e.c. heading 3824"/>
    <n v="6"/>
    <b v="1"/>
    <s v="C00"/>
    <s v="TOTAL CPC"/>
    <s v="0"/>
    <n v="0"/>
    <s v="TOTAL MOT"/>
    <n v="8"/>
    <s v="kg"/>
    <n v="4182.3559999999998"/>
    <b v="1"/>
    <n v="-1"/>
    <s v="N/A"/>
    <n v="0"/>
    <b v="0"/>
    <n v="4182.3559999999998"/>
    <b v="1"/>
    <n v="0"/>
    <b v="0"/>
    <n v="19736.231"/>
    <m/>
    <n v="19736.231"/>
    <n v="6"/>
    <b v="1"/>
    <b v="0"/>
  </r>
  <r>
    <s v="C"/>
    <s v="M"/>
    <n v="20240601"/>
    <x v="1"/>
    <x v="6"/>
    <s v="202406"/>
    <n v="818"/>
    <s v="EGY"/>
    <x v="0"/>
    <s v="M"/>
    <s v="Import"/>
    <n v="400"/>
    <s v="JOR"/>
    <x v="40"/>
    <n v="0"/>
    <s v="W00"/>
    <s v="World"/>
    <s v="H6"/>
    <s v="HS"/>
    <b v="1"/>
    <s v="382499"/>
    <s v="Chemical products, mixtures and preparations; n.e.c. heading 3824"/>
    <n v="6"/>
    <b v="1"/>
    <s v="C00"/>
    <s v="TOTAL CPC"/>
    <s v="0"/>
    <n v="0"/>
    <s v="TOTAL MOT"/>
    <n v="8"/>
    <s v="kg"/>
    <n v="74464.932000000001"/>
    <b v="1"/>
    <n v="-1"/>
    <s v="N/A"/>
    <n v="0"/>
    <b v="0"/>
    <n v="74464.932000000001"/>
    <b v="1"/>
    <n v="0"/>
    <b v="0"/>
    <n v="351394.50799999997"/>
    <m/>
    <n v="351394.50799999997"/>
    <n v="6"/>
    <b v="1"/>
    <b v="0"/>
  </r>
  <r>
    <s v="C"/>
    <s v="M"/>
    <n v="20240401"/>
    <x v="1"/>
    <x v="10"/>
    <s v="202404"/>
    <n v="818"/>
    <s v="EGY"/>
    <x v="0"/>
    <s v="M"/>
    <s v="Import"/>
    <n v="400"/>
    <s v="JOR"/>
    <x v="40"/>
    <n v="0"/>
    <s v="W00"/>
    <s v="World"/>
    <s v="H6"/>
    <s v="HS"/>
    <b v="1"/>
    <s v="382499"/>
    <s v="Chemical products, mixtures and preparations; n.e.c. heading 3824"/>
    <n v="6"/>
    <b v="1"/>
    <s v="C00"/>
    <s v="TOTAL CPC"/>
    <s v="0"/>
    <n v="0"/>
    <s v="TOTAL MOT"/>
    <n v="8"/>
    <s v="kg"/>
    <n v="24033.437999999998"/>
    <b v="1"/>
    <n v="-1"/>
    <s v="N/A"/>
    <n v="0"/>
    <b v="0"/>
    <n v="24033.437999999998"/>
    <b v="1"/>
    <n v="0"/>
    <b v="0"/>
    <n v="113412.016"/>
    <m/>
    <n v="113412.016"/>
    <n v="6"/>
    <b v="1"/>
    <b v="0"/>
  </r>
  <r>
    <s v="C"/>
    <s v="M"/>
    <n v="20240101"/>
    <x v="1"/>
    <x v="8"/>
    <s v="202401"/>
    <n v="818"/>
    <s v="EGY"/>
    <x v="0"/>
    <s v="M"/>
    <s v="Import"/>
    <n v="410"/>
    <s v="KOR"/>
    <x v="13"/>
    <n v="0"/>
    <s v="W00"/>
    <s v="World"/>
    <s v="H6"/>
    <s v="HS"/>
    <b v="1"/>
    <s v="382499"/>
    <s v="Chemical products, mixtures and preparations; n.e.c. heading 3824"/>
    <n v="6"/>
    <b v="1"/>
    <s v="C00"/>
    <s v="TOTAL CPC"/>
    <s v="0"/>
    <n v="0"/>
    <s v="TOTAL MOT"/>
    <n v="8"/>
    <s v="kg"/>
    <n v="27122.964"/>
    <b v="1"/>
    <n v="-1"/>
    <s v="N/A"/>
    <n v="0"/>
    <b v="0"/>
    <n v="27122.964"/>
    <b v="1"/>
    <n v="0"/>
    <b v="0"/>
    <n v="127991.26300000001"/>
    <m/>
    <n v="127991.26300000001"/>
    <n v="6"/>
    <b v="1"/>
    <b v="0"/>
  </r>
  <r>
    <s v="C"/>
    <s v="M"/>
    <n v="20240501"/>
    <x v="1"/>
    <x v="11"/>
    <s v="202405"/>
    <n v="818"/>
    <s v="EGY"/>
    <x v="0"/>
    <s v="M"/>
    <s v="Import"/>
    <n v="410"/>
    <s v="KOR"/>
    <x v="13"/>
    <n v="0"/>
    <s v="W00"/>
    <s v="World"/>
    <s v="H6"/>
    <s v="HS"/>
    <b v="1"/>
    <s v="382499"/>
    <s v="Chemical products, mixtures and preparations; n.e.c. heading 3824"/>
    <n v="6"/>
    <b v="1"/>
    <s v="C00"/>
    <s v="TOTAL CPC"/>
    <s v="0"/>
    <n v="0"/>
    <s v="TOTAL MOT"/>
    <n v="8"/>
    <s v="kg"/>
    <n v="64718.114000000001"/>
    <b v="1"/>
    <n v="-1"/>
    <s v="N/A"/>
    <n v="0"/>
    <b v="0"/>
    <n v="64718.114000000001"/>
    <b v="1"/>
    <n v="0"/>
    <b v="0"/>
    <n v="305399.995"/>
    <m/>
    <n v="305399.995"/>
    <n v="6"/>
    <b v="1"/>
    <b v="0"/>
  </r>
  <r>
    <s v="C"/>
    <s v="M"/>
    <n v="20240601"/>
    <x v="1"/>
    <x v="6"/>
    <s v="202406"/>
    <n v="818"/>
    <s v="EGY"/>
    <x v="0"/>
    <s v="M"/>
    <s v="Import"/>
    <n v="410"/>
    <s v="KOR"/>
    <x v="13"/>
    <n v="0"/>
    <s v="W00"/>
    <s v="World"/>
    <s v="H6"/>
    <s v="HS"/>
    <b v="1"/>
    <s v="382499"/>
    <s v="Chemical products, mixtures and preparations; n.e.c. heading 3824"/>
    <n v="6"/>
    <b v="1"/>
    <s v="C00"/>
    <s v="TOTAL CPC"/>
    <s v="0"/>
    <n v="0"/>
    <s v="TOTAL MOT"/>
    <n v="8"/>
    <s v="kg"/>
    <n v="33870.203000000001"/>
    <b v="1"/>
    <n v="-1"/>
    <s v="N/A"/>
    <n v="0"/>
    <b v="0"/>
    <n v="33870.203000000001"/>
    <b v="1"/>
    <n v="0"/>
    <b v="0"/>
    <n v="159830.98499999999"/>
    <m/>
    <n v="159830.98499999999"/>
    <n v="6"/>
    <b v="1"/>
    <b v="0"/>
  </r>
  <r>
    <s v="C"/>
    <s v="M"/>
    <n v="20240401"/>
    <x v="1"/>
    <x v="10"/>
    <s v="202404"/>
    <n v="818"/>
    <s v="EGY"/>
    <x v="0"/>
    <s v="M"/>
    <s v="Import"/>
    <n v="410"/>
    <s v="KOR"/>
    <x v="13"/>
    <n v="0"/>
    <s v="W00"/>
    <s v="World"/>
    <s v="H6"/>
    <s v="HS"/>
    <b v="1"/>
    <s v="382499"/>
    <s v="Chemical products, mixtures and preparations; n.e.c. heading 3824"/>
    <n v="6"/>
    <b v="1"/>
    <s v="C00"/>
    <s v="TOTAL CPC"/>
    <s v="0"/>
    <n v="0"/>
    <s v="TOTAL MOT"/>
    <n v="8"/>
    <s v="kg"/>
    <n v="34794.667999999998"/>
    <b v="1"/>
    <n v="-1"/>
    <s v="N/A"/>
    <n v="0"/>
    <b v="0"/>
    <n v="34794.667999999998"/>
    <b v="1"/>
    <n v="0"/>
    <b v="0"/>
    <n v="164193.467"/>
    <m/>
    <n v="164193.467"/>
    <n v="6"/>
    <b v="1"/>
    <b v="0"/>
  </r>
  <r>
    <s v="C"/>
    <s v="M"/>
    <n v="20240201"/>
    <x v="1"/>
    <x v="9"/>
    <s v="202402"/>
    <n v="818"/>
    <s v="EGY"/>
    <x v="0"/>
    <s v="M"/>
    <s v="Import"/>
    <n v="410"/>
    <s v="KOR"/>
    <x v="13"/>
    <n v="0"/>
    <s v="W00"/>
    <s v="World"/>
    <s v="H6"/>
    <s v="HS"/>
    <b v="1"/>
    <s v="382499"/>
    <s v="Chemical products, mixtures and preparations; n.e.c. heading 3824"/>
    <n v="6"/>
    <b v="1"/>
    <s v="C00"/>
    <s v="TOTAL CPC"/>
    <s v="0"/>
    <n v="0"/>
    <s v="TOTAL MOT"/>
    <n v="8"/>
    <s v="kg"/>
    <n v="64179.807999999997"/>
    <b v="1"/>
    <n v="-1"/>
    <s v="N/A"/>
    <n v="0"/>
    <b v="0"/>
    <n v="64179.807999999997"/>
    <b v="1"/>
    <n v="0"/>
    <b v="0"/>
    <n v="302859.77"/>
    <m/>
    <n v="302859.77"/>
    <n v="6"/>
    <b v="1"/>
    <b v="0"/>
  </r>
  <r>
    <s v="C"/>
    <s v="M"/>
    <n v="20240301"/>
    <x v="1"/>
    <x v="7"/>
    <s v="202403"/>
    <n v="818"/>
    <s v="EGY"/>
    <x v="0"/>
    <s v="M"/>
    <s v="Import"/>
    <n v="458"/>
    <s v="MYS"/>
    <x v="14"/>
    <n v="0"/>
    <s v="W00"/>
    <s v="World"/>
    <s v="H6"/>
    <s v="HS"/>
    <b v="1"/>
    <s v="382499"/>
    <s v="Chemical products, mixtures and preparations; n.e.c. heading 3824"/>
    <n v="6"/>
    <b v="1"/>
    <s v="C00"/>
    <s v="TOTAL CPC"/>
    <s v="0"/>
    <n v="0"/>
    <s v="TOTAL MOT"/>
    <n v="8"/>
    <s v="kg"/>
    <n v="10681.566999999999"/>
    <b v="1"/>
    <n v="-1"/>
    <s v="N/A"/>
    <n v="0"/>
    <b v="0"/>
    <n v="10681.566999999999"/>
    <b v="1"/>
    <n v="0"/>
    <b v="0"/>
    <n v="50405.525000000001"/>
    <m/>
    <n v="50405.525000000001"/>
    <n v="6"/>
    <b v="1"/>
    <b v="0"/>
  </r>
  <r>
    <s v="C"/>
    <s v="M"/>
    <n v="20240101"/>
    <x v="1"/>
    <x v="8"/>
    <s v="202401"/>
    <n v="818"/>
    <s v="EGY"/>
    <x v="0"/>
    <s v="M"/>
    <s v="Import"/>
    <n v="458"/>
    <s v="MYS"/>
    <x v="14"/>
    <n v="0"/>
    <s v="W00"/>
    <s v="World"/>
    <s v="H6"/>
    <s v="HS"/>
    <b v="1"/>
    <s v="382499"/>
    <s v="Chemical products, mixtures and preparations; n.e.c. heading 3824"/>
    <n v="6"/>
    <b v="1"/>
    <s v="C00"/>
    <s v="TOTAL CPC"/>
    <s v="0"/>
    <n v="0"/>
    <s v="TOTAL MOT"/>
    <n v="8"/>
    <s v="kg"/>
    <n v="49818.985999999997"/>
    <b v="1"/>
    <n v="-1"/>
    <s v="N/A"/>
    <n v="0"/>
    <b v="0"/>
    <n v="49818.985999999997"/>
    <b v="1"/>
    <n v="0"/>
    <b v="0"/>
    <n v="235092.11300000001"/>
    <m/>
    <n v="235092.11300000001"/>
    <n v="6"/>
    <b v="1"/>
    <b v="0"/>
  </r>
  <r>
    <s v="C"/>
    <s v="M"/>
    <n v="20240501"/>
    <x v="1"/>
    <x v="11"/>
    <s v="202405"/>
    <n v="818"/>
    <s v="EGY"/>
    <x v="0"/>
    <s v="M"/>
    <s v="Import"/>
    <n v="458"/>
    <s v="MYS"/>
    <x v="14"/>
    <n v="0"/>
    <s v="W00"/>
    <s v="World"/>
    <s v="H6"/>
    <s v="HS"/>
    <b v="1"/>
    <s v="382499"/>
    <s v="Chemical products, mixtures and preparations; n.e.c. heading 3824"/>
    <n v="6"/>
    <b v="1"/>
    <s v="C00"/>
    <s v="TOTAL CPC"/>
    <s v="0"/>
    <n v="0"/>
    <s v="TOTAL MOT"/>
    <n v="8"/>
    <s v="kg"/>
    <n v="30749.516"/>
    <b v="1"/>
    <n v="-1"/>
    <s v="N/A"/>
    <n v="0"/>
    <b v="0"/>
    <n v="30749.516"/>
    <b v="1"/>
    <n v="0"/>
    <b v="0"/>
    <n v="145104.69099999999"/>
    <m/>
    <n v="145104.69099999999"/>
    <n v="6"/>
    <b v="1"/>
    <b v="0"/>
  </r>
  <r>
    <s v="C"/>
    <s v="M"/>
    <n v="20240501"/>
    <x v="1"/>
    <x v="11"/>
    <s v="202405"/>
    <n v="818"/>
    <s v="EGY"/>
    <x v="0"/>
    <s v="M"/>
    <s v="Import"/>
    <n v="484"/>
    <s v="MEX"/>
    <x v="32"/>
    <n v="0"/>
    <s v="W00"/>
    <s v="World"/>
    <s v="H6"/>
    <s v="HS"/>
    <b v="1"/>
    <s v="382499"/>
    <s v="Chemical products, mixtures and preparations; n.e.c. heading 3824"/>
    <n v="6"/>
    <b v="1"/>
    <s v="C00"/>
    <s v="TOTAL CPC"/>
    <s v="0"/>
    <n v="0"/>
    <s v="TOTAL MOT"/>
    <n v="8"/>
    <s v="kg"/>
    <n v="50.356999999999999"/>
    <b v="1"/>
    <n v="-1"/>
    <s v="N/A"/>
    <n v="0"/>
    <b v="0"/>
    <n v="50.356999999999999"/>
    <b v="1"/>
    <n v="0"/>
    <b v="0"/>
    <n v="237.63300000000001"/>
    <m/>
    <n v="237.63300000000001"/>
    <n v="6"/>
    <b v="1"/>
    <b v="0"/>
  </r>
  <r>
    <s v="C"/>
    <s v="M"/>
    <n v="20240201"/>
    <x v="1"/>
    <x v="9"/>
    <s v="202402"/>
    <n v="818"/>
    <s v="EGY"/>
    <x v="0"/>
    <s v="M"/>
    <s v="Import"/>
    <n v="490"/>
    <s v="S19"/>
    <x v="15"/>
    <n v="0"/>
    <s v="W00"/>
    <s v="World"/>
    <s v="H6"/>
    <s v="HS"/>
    <b v="1"/>
    <s v="382499"/>
    <s v="Chemical products, mixtures and preparations; n.e.c. heading 3824"/>
    <n v="6"/>
    <b v="1"/>
    <s v="C00"/>
    <s v="TOTAL CPC"/>
    <s v="0"/>
    <n v="0"/>
    <s v="TOTAL MOT"/>
    <n v="8"/>
    <s v="kg"/>
    <n v="26895.963"/>
    <b v="1"/>
    <n v="-1"/>
    <s v="N/A"/>
    <n v="0"/>
    <b v="0"/>
    <n v="26895.963"/>
    <b v="1"/>
    <n v="0"/>
    <b v="0"/>
    <n v="126920.06299999999"/>
    <m/>
    <n v="126920.06299999999"/>
    <n v="6"/>
    <b v="1"/>
    <b v="0"/>
  </r>
  <r>
    <s v="C"/>
    <s v="M"/>
    <n v="20240101"/>
    <x v="1"/>
    <x v="8"/>
    <s v="202401"/>
    <n v="818"/>
    <s v="EGY"/>
    <x v="0"/>
    <s v="M"/>
    <s v="Import"/>
    <n v="490"/>
    <s v="S19"/>
    <x v="15"/>
    <n v="0"/>
    <s v="W00"/>
    <s v="World"/>
    <s v="H6"/>
    <s v="HS"/>
    <b v="1"/>
    <s v="382499"/>
    <s v="Chemical products, mixtures and preparations; n.e.c. heading 3824"/>
    <n v="6"/>
    <b v="1"/>
    <s v="C00"/>
    <s v="TOTAL CPC"/>
    <s v="0"/>
    <n v="0"/>
    <s v="TOTAL MOT"/>
    <n v="8"/>
    <s v="kg"/>
    <n v="34947.002"/>
    <b v="1"/>
    <n v="-1"/>
    <s v="N/A"/>
    <n v="0"/>
    <b v="0"/>
    <n v="34947.002"/>
    <b v="1"/>
    <n v="0"/>
    <b v="0"/>
    <n v="164912.318"/>
    <m/>
    <n v="164912.318"/>
    <n v="6"/>
    <b v="1"/>
    <b v="0"/>
  </r>
  <r>
    <s v="C"/>
    <s v="M"/>
    <n v="20240101"/>
    <x v="1"/>
    <x v="8"/>
    <s v="202401"/>
    <n v="818"/>
    <s v="EGY"/>
    <x v="0"/>
    <s v="M"/>
    <s v="Import"/>
    <n v="528"/>
    <s v="NLD"/>
    <x v="33"/>
    <n v="0"/>
    <s v="W00"/>
    <s v="World"/>
    <s v="H6"/>
    <s v="HS"/>
    <b v="1"/>
    <s v="382499"/>
    <s v="Chemical products, mixtures and preparations; n.e.c. heading 3824"/>
    <n v="6"/>
    <b v="1"/>
    <s v="C00"/>
    <s v="TOTAL CPC"/>
    <s v="0"/>
    <n v="0"/>
    <s v="TOTAL MOT"/>
    <n v="8"/>
    <s v="kg"/>
    <n v="124657.537"/>
    <b v="1"/>
    <n v="-1"/>
    <s v="N/A"/>
    <n v="0"/>
    <b v="0"/>
    <n v="124657.537"/>
    <b v="1"/>
    <n v="0"/>
    <b v="0"/>
    <n v="588249.70299999998"/>
    <m/>
    <n v="588249.70299999998"/>
    <n v="6"/>
    <b v="1"/>
    <b v="0"/>
  </r>
  <r>
    <s v="C"/>
    <s v="M"/>
    <n v="20240601"/>
    <x v="1"/>
    <x v="6"/>
    <s v="202406"/>
    <n v="818"/>
    <s v="EGY"/>
    <x v="0"/>
    <s v="M"/>
    <s v="Import"/>
    <n v="528"/>
    <s v="NLD"/>
    <x v="33"/>
    <n v="0"/>
    <s v="W00"/>
    <s v="World"/>
    <s v="H6"/>
    <s v="HS"/>
    <b v="1"/>
    <s v="382499"/>
    <s v="Chemical products, mixtures and preparations; n.e.c. heading 3824"/>
    <n v="6"/>
    <b v="1"/>
    <s v="C00"/>
    <s v="TOTAL CPC"/>
    <s v="0"/>
    <n v="0"/>
    <s v="TOTAL MOT"/>
    <n v="8"/>
    <s v="kg"/>
    <n v="109801.38400000001"/>
    <b v="1"/>
    <n v="-1"/>
    <s v="N/A"/>
    <n v="0"/>
    <b v="0"/>
    <n v="109801.38400000001"/>
    <b v="1"/>
    <n v="0"/>
    <b v="0"/>
    <n v="518144.61700000003"/>
    <m/>
    <n v="518144.61700000003"/>
    <n v="6"/>
    <b v="1"/>
    <b v="0"/>
  </r>
  <r>
    <s v="C"/>
    <s v="M"/>
    <n v="20240401"/>
    <x v="1"/>
    <x v="10"/>
    <s v="202404"/>
    <n v="818"/>
    <s v="EGY"/>
    <x v="0"/>
    <s v="M"/>
    <s v="Import"/>
    <n v="528"/>
    <s v="NLD"/>
    <x v="33"/>
    <n v="0"/>
    <s v="W00"/>
    <s v="World"/>
    <s v="H6"/>
    <s v="HS"/>
    <b v="1"/>
    <s v="382499"/>
    <s v="Chemical products, mixtures and preparations; n.e.c. heading 3824"/>
    <n v="6"/>
    <b v="1"/>
    <s v="C00"/>
    <s v="TOTAL CPC"/>
    <s v="0"/>
    <n v="0"/>
    <s v="TOTAL MOT"/>
    <n v="8"/>
    <s v="kg"/>
    <n v="95742.831000000006"/>
    <b v="1"/>
    <n v="-1"/>
    <s v="N/A"/>
    <n v="0"/>
    <b v="0"/>
    <n v="95742.831000000006"/>
    <b v="1"/>
    <n v="0"/>
    <b v="0"/>
    <n v="451803.34100000001"/>
    <m/>
    <n v="451803.34100000001"/>
    <n v="6"/>
    <b v="1"/>
    <b v="0"/>
  </r>
  <r>
    <s v="C"/>
    <s v="M"/>
    <n v="20240501"/>
    <x v="1"/>
    <x v="11"/>
    <s v="202405"/>
    <n v="818"/>
    <s v="EGY"/>
    <x v="0"/>
    <s v="M"/>
    <s v="Import"/>
    <n v="528"/>
    <s v="NLD"/>
    <x v="33"/>
    <n v="0"/>
    <s v="W00"/>
    <s v="World"/>
    <s v="H6"/>
    <s v="HS"/>
    <b v="1"/>
    <s v="382499"/>
    <s v="Chemical products, mixtures and preparations; n.e.c. heading 3824"/>
    <n v="6"/>
    <b v="1"/>
    <s v="C00"/>
    <s v="TOTAL CPC"/>
    <s v="0"/>
    <n v="0"/>
    <s v="TOTAL MOT"/>
    <n v="8"/>
    <s v="kg"/>
    <n v="115831.319"/>
    <b v="1"/>
    <n v="-1"/>
    <s v="N/A"/>
    <n v="0"/>
    <b v="0"/>
    <n v="115831.319"/>
    <b v="1"/>
    <n v="0"/>
    <b v="0"/>
    <n v="546599.43099999998"/>
    <m/>
    <n v="546599.43099999998"/>
    <n v="6"/>
    <b v="1"/>
    <b v="0"/>
  </r>
  <r>
    <s v="C"/>
    <s v="M"/>
    <n v="20240201"/>
    <x v="1"/>
    <x v="9"/>
    <s v="202402"/>
    <n v="818"/>
    <s v="EGY"/>
    <x v="0"/>
    <s v="M"/>
    <s v="Import"/>
    <n v="528"/>
    <s v="NLD"/>
    <x v="33"/>
    <n v="0"/>
    <s v="W00"/>
    <s v="World"/>
    <s v="H6"/>
    <s v="HS"/>
    <b v="1"/>
    <s v="382499"/>
    <s v="Chemical products, mixtures and preparations; n.e.c. heading 3824"/>
    <n v="6"/>
    <b v="1"/>
    <s v="C00"/>
    <s v="TOTAL CPC"/>
    <s v="0"/>
    <n v="0"/>
    <s v="TOTAL MOT"/>
    <n v="8"/>
    <s v="kg"/>
    <n v="177560.08300000001"/>
    <b v="1"/>
    <n v="-1"/>
    <s v="N/A"/>
    <n v="0"/>
    <b v="0"/>
    <n v="177560.08300000001"/>
    <b v="1"/>
    <n v="0"/>
    <b v="0"/>
    <n v="837892.90599999996"/>
    <m/>
    <n v="837892.90599999996"/>
    <n v="6"/>
    <b v="1"/>
    <b v="0"/>
  </r>
  <r>
    <s v="C"/>
    <s v="M"/>
    <n v="20240101"/>
    <x v="1"/>
    <x v="8"/>
    <s v="202401"/>
    <n v="818"/>
    <s v="EGY"/>
    <x v="0"/>
    <s v="M"/>
    <s v="Import"/>
    <n v="568"/>
    <s v="E19"/>
    <x v="34"/>
    <n v="0"/>
    <s v="W00"/>
    <s v="World"/>
    <s v="H6"/>
    <s v="HS"/>
    <b v="1"/>
    <s v="382499"/>
    <s v="Chemical products, mixtures and preparations; n.e.c. heading 3824"/>
    <n v="6"/>
    <b v="1"/>
    <s v="C00"/>
    <s v="TOTAL CPC"/>
    <s v="0"/>
    <n v="0"/>
    <s v="TOTAL MOT"/>
    <n v="8"/>
    <s v="kg"/>
    <n v="15027.906000000001"/>
    <b v="1"/>
    <n v="-1"/>
    <s v="N/A"/>
    <n v="0"/>
    <b v="0"/>
    <n v="15027.906000000001"/>
    <b v="1"/>
    <n v="0"/>
    <b v="0"/>
    <n v="70915.577999999994"/>
    <m/>
    <n v="70915.577999999994"/>
    <n v="6"/>
    <b v="1"/>
    <b v="0"/>
  </r>
  <r>
    <s v="C"/>
    <s v="M"/>
    <n v="20240601"/>
    <x v="1"/>
    <x v="6"/>
    <s v="202406"/>
    <n v="818"/>
    <s v="EGY"/>
    <x v="0"/>
    <s v="M"/>
    <s v="Import"/>
    <n v="568"/>
    <s v="E19"/>
    <x v="34"/>
    <n v="0"/>
    <s v="W00"/>
    <s v="World"/>
    <s v="H6"/>
    <s v="HS"/>
    <b v="1"/>
    <s v="382499"/>
    <s v="Chemical products, mixtures and preparations; n.e.c. heading 3824"/>
    <n v="6"/>
    <b v="1"/>
    <s v="C00"/>
    <s v="TOTAL CPC"/>
    <s v="0"/>
    <n v="0"/>
    <s v="TOTAL MOT"/>
    <n v="8"/>
    <s v="kg"/>
    <n v="16587.916000000001"/>
    <b v="1"/>
    <n v="-1"/>
    <s v="N/A"/>
    <n v="0"/>
    <b v="0"/>
    <n v="16587.916000000001"/>
    <b v="1"/>
    <n v="0"/>
    <b v="0"/>
    <n v="78277.149999999994"/>
    <m/>
    <n v="78277.149999999994"/>
    <n v="6"/>
    <b v="1"/>
    <b v="0"/>
  </r>
  <r>
    <s v="C"/>
    <s v="M"/>
    <n v="20240401"/>
    <x v="1"/>
    <x v="10"/>
    <s v="202404"/>
    <n v="818"/>
    <s v="EGY"/>
    <x v="0"/>
    <s v="M"/>
    <s v="Import"/>
    <n v="568"/>
    <s v="E19"/>
    <x v="34"/>
    <n v="0"/>
    <s v="W00"/>
    <s v="World"/>
    <s v="H6"/>
    <s v="HS"/>
    <b v="1"/>
    <s v="382499"/>
    <s v="Chemical products, mixtures and preparations; n.e.c. heading 3824"/>
    <n v="6"/>
    <b v="1"/>
    <s v="C00"/>
    <s v="TOTAL CPC"/>
    <s v="0"/>
    <n v="0"/>
    <s v="TOTAL MOT"/>
    <n v="8"/>
    <s v="kg"/>
    <n v="3084.3330000000001"/>
    <b v="1"/>
    <n v="-1"/>
    <s v="N/A"/>
    <n v="0"/>
    <b v="0"/>
    <n v="3084.3330000000001"/>
    <b v="1"/>
    <n v="0"/>
    <b v="0"/>
    <n v="14554.74"/>
    <m/>
    <n v="14554.74"/>
    <n v="6"/>
    <b v="1"/>
    <b v="0"/>
  </r>
  <r>
    <s v="C"/>
    <s v="M"/>
    <n v="20240501"/>
    <x v="1"/>
    <x v="11"/>
    <s v="202405"/>
    <n v="818"/>
    <s v="EGY"/>
    <x v="0"/>
    <s v="M"/>
    <s v="Import"/>
    <n v="568"/>
    <s v="E19"/>
    <x v="34"/>
    <n v="0"/>
    <s v="W00"/>
    <s v="World"/>
    <s v="H6"/>
    <s v="HS"/>
    <b v="1"/>
    <s v="382499"/>
    <s v="Chemical products, mixtures and preparations; n.e.c. heading 3824"/>
    <n v="6"/>
    <b v="1"/>
    <s v="C00"/>
    <s v="TOTAL CPC"/>
    <s v="0"/>
    <n v="0"/>
    <s v="TOTAL MOT"/>
    <n v="8"/>
    <s v="kg"/>
    <n v="18686.094000000001"/>
    <b v="1"/>
    <n v="-1"/>
    <s v="N/A"/>
    <n v="0"/>
    <b v="0"/>
    <n v="18686.094000000001"/>
    <b v="1"/>
    <n v="0"/>
    <b v="0"/>
    <n v="88178.297999999995"/>
    <m/>
    <n v="88178.297999999995"/>
    <n v="6"/>
    <b v="1"/>
    <b v="0"/>
  </r>
  <r>
    <s v="C"/>
    <s v="M"/>
    <n v="20240201"/>
    <x v="1"/>
    <x v="9"/>
    <s v="202402"/>
    <n v="818"/>
    <s v="EGY"/>
    <x v="0"/>
    <s v="M"/>
    <s v="Import"/>
    <n v="568"/>
    <s v="E19"/>
    <x v="34"/>
    <n v="0"/>
    <s v="W00"/>
    <s v="World"/>
    <s v="H6"/>
    <s v="HS"/>
    <b v="1"/>
    <s v="382499"/>
    <s v="Chemical products, mixtures and preparations; n.e.c. heading 3824"/>
    <n v="6"/>
    <b v="1"/>
    <s v="C00"/>
    <s v="TOTAL CPC"/>
    <s v="0"/>
    <n v="0"/>
    <s v="TOTAL MOT"/>
    <n v="8"/>
    <s v="kg"/>
    <n v="33772.491000000002"/>
    <b v="1"/>
    <n v="-1"/>
    <s v="N/A"/>
    <n v="0"/>
    <b v="0"/>
    <n v="33772.491000000002"/>
    <b v="1"/>
    <n v="0"/>
    <b v="0"/>
    <n v="159369.889"/>
    <m/>
    <n v="159369.889"/>
    <n v="6"/>
    <b v="1"/>
    <b v="0"/>
  </r>
  <r>
    <s v="C"/>
    <s v="M"/>
    <n v="20240301"/>
    <x v="1"/>
    <x v="7"/>
    <s v="202403"/>
    <n v="818"/>
    <s v="EGY"/>
    <x v="0"/>
    <s v="M"/>
    <s v="Import"/>
    <n v="579"/>
    <s v="NOR"/>
    <x v="16"/>
    <n v="0"/>
    <s v="W00"/>
    <s v="World"/>
    <s v="H6"/>
    <s v="HS"/>
    <b v="1"/>
    <s v="382499"/>
    <s v="Chemical products, mixtures and preparations; n.e.c. heading 3824"/>
    <n v="6"/>
    <b v="1"/>
    <s v="C00"/>
    <s v="TOTAL CPC"/>
    <s v="0"/>
    <n v="0"/>
    <s v="TOTAL MOT"/>
    <n v="8"/>
    <s v="kg"/>
    <n v="1253.8489999999999"/>
    <b v="1"/>
    <n v="-1"/>
    <s v="N/A"/>
    <n v="0"/>
    <b v="0"/>
    <n v="1253.8489999999999"/>
    <b v="1"/>
    <n v="0"/>
    <b v="0"/>
    <n v="5916.8209999999999"/>
    <m/>
    <n v="5916.8209999999999"/>
    <n v="6"/>
    <b v="1"/>
    <b v="0"/>
  </r>
  <r>
    <s v="C"/>
    <s v="M"/>
    <n v="20240101"/>
    <x v="1"/>
    <x v="8"/>
    <s v="202401"/>
    <n v="818"/>
    <s v="EGY"/>
    <x v="0"/>
    <s v="M"/>
    <s v="Import"/>
    <n v="616"/>
    <s v="POL"/>
    <x v="35"/>
    <n v="0"/>
    <s v="W00"/>
    <s v="World"/>
    <s v="H6"/>
    <s v="HS"/>
    <b v="1"/>
    <s v="382499"/>
    <s v="Chemical products, mixtures and preparations; n.e.c. heading 3824"/>
    <n v="6"/>
    <b v="1"/>
    <s v="C00"/>
    <s v="TOTAL CPC"/>
    <s v="0"/>
    <n v="0"/>
    <s v="TOTAL MOT"/>
    <n v="8"/>
    <s v="kg"/>
    <n v="3264.4760000000001"/>
    <b v="1"/>
    <n v="-1"/>
    <s v="N/A"/>
    <n v="0"/>
    <b v="0"/>
    <n v="3264.4760000000001"/>
    <b v="1"/>
    <n v="0"/>
    <b v="0"/>
    <n v="15404.821"/>
    <m/>
    <n v="15404.821"/>
    <n v="6"/>
    <b v="1"/>
    <b v="0"/>
  </r>
  <r>
    <s v="C"/>
    <s v="M"/>
    <n v="20240101"/>
    <x v="1"/>
    <x v="8"/>
    <s v="202401"/>
    <n v="818"/>
    <s v="EGY"/>
    <x v="0"/>
    <s v="M"/>
    <s v="Import"/>
    <n v="634"/>
    <s v="QAT"/>
    <x v="17"/>
    <n v="0"/>
    <s v="W00"/>
    <s v="World"/>
    <s v="H6"/>
    <s v="HS"/>
    <b v="1"/>
    <s v="382499"/>
    <s v="Chemical products, mixtures and preparations; n.e.c. heading 3824"/>
    <n v="6"/>
    <b v="1"/>
    <s v="C00"/>
    <s v="TOTAL CPC"/>
    <s v="0"/>
    <n v="0"/>
    <s v="TOTAL MOT"/>
    <n v="8"/>
    <s v="kg"/>
    <n v="212336.75700000001"/>
    <b v="1"/>
    <n v="-1"/>
    <s v="N/A"/>
    <n v="0"/>
    <b v="0"/>
    <n v="212336.75700000001"/>
    <b v="1"/>
    <n v="0"/>
    <b v="0"/>
    <n v="1002001.461"/>
    <m/>
    <n v="1002001.461"/>
    <n v="6"/>
    <b v="1"/>
    <b v="0"/>
  </r>
  <r>
    <s v="C"/>
    <s v="M"/>
    <n v="20240601"/>
    <x v="1"/>
    <x v="6"/>
    <s v="202406"/>
    <n v="818"/>
    <s v="EGY"/>
    <x v="0"/>
    <s v="M"/>
    <s v="Import"/>
    <n v="634"/>
    <s v="QAT"/>
    <x v="17"/>
    <n v="0"/>
    <s v="W00"/>
    <s v="World"/>
    <s v="H6"/>
    <s v="HS"/>
    <b v="1"/>
    <s v="382499"/>
    <s v="Chemical products, mixtures and preparations; n.e.c. heading 3824"/>
    <n v="6"/>
    <b v="1"/>
    <s v="C00"/>
    <s v="TOTAL CPC"/>
    <s v="0"/>
    <n v="0"/>
    <s v="TOTAL MOT"/>
    <n v="8"/>
    <s v="kg"/>
    <n v="101734.23299999999"/>
    <b v="1"/>
    <n v="-1"/>
    <s v="N/A"/>
    <n v="0"/>
    <b v="0"/>
    <n v="101734.23299999999"/>
    <b v="1"/>
    <n v="0"/>
    <b v="0"/>
    <n v="480076.326"/>
    <m/>
    <n v="480076.326"/>
    <n v="6"/>
    <b v="1"/>
    <b v="0"/>
  </r>
  <r>
    <s v="C"/>
    <s v="M"/>
    <n v="20240401"/>
    <x v="1"/>
    <x v="10"/>
    <s v="202404"/>
    <n v="818"/>
    <s v="EGY"/>
    <x v="0"/>
    <s v="M"/>
    <s v="Import"/>
    <n v="634"/>
    <s v="QAT"/>
    <x v="17"/>
    <n v="0"/>
    <s v="W00"/>
    <s v="World"/>
    <s v="H6"/>
    <s v="HS"/>
    <b v="1"/>
    <s v="382499"/>
    <s v="Chemical products, mixtures and preparations; n.e.c. heading 3824"/>
    <n v="6"/>
    <b v="1"/>
    <s v="C00"/>
    <s v="TOTAL CPC"/>
    <s v="0"/>
    <n v="0"/>
    <s v="TOTAL MOT"/>
    <n v="8"/>
    <s v="kg"/>
    <n v="118745.87699999999"/>
    <b v="1"/>
    <n v="-1"/>
    <s v="N/A"/>
    <n v="0"/>
    <b v="0"/>
    <n v="118745.87699999999"/>
    <b v="1"/>
    <n v="0"/>
    <b v="0"/>
    <n v="560353.01599999995"/>
    <m/>
    <n v="560353.01599999995"/>
    <n v="6"/>
    <b v="1"/>
    <b v="0"/>
  </r>
  <r>
    <s v="C"/>
    <s v="M"/>
    <n v="20240501"/>
    <x v="1"/>
    <x v="11"/>
    <s v="202405"/>
    <n v="818"/>
    <s v="EGY"/>
    <x v="0"/>
    <s v="M"/>
    <s v="Import"/>
    <n v="634"/>
    <s v="QAT"/>
    <x v="17"/>
    <n v="0"/>
    <s v="W00"/>
    <s v="World"/>
    <s v="H6"/>
    <s v="HS"/>
    <b v="1"/>
    <s v="382499"/>
    <s v="Chemical products, mixtures and preparations; n.e.c. heading 3824"/>
    <n v="6"/>
    <b v="1"/>
    <s v="C00"/>
    <s v="TOTAL CPC"/>
    <s v="0"/>
    <n v="0"/>
    <s v="TOTAL MOT"/>
    <n v="8"/>
    <s v="kg"/>
    <n v="21125.573"/>
    <b v="1"/>
    <n v="-1"/>
    <s v="N/A"/>
    <n v="0"/>
    <b v="0"/>
    <n v="21125.573"/>
    <b v="1"/>
    <n v="0"/>
    <b v="0"/>
    <n v="99690.016000000003"/>
    <m/>
    <n v="99690.016000000003"/>
    <n v="6"/>
    <b v="1"/>
    <b v="0"/>
  </r>
  <r>
    <s v="C"/>
    <s v="M"/>
    <n v="20240201"/>
    <x v="1"/>
    <x v="9"/>
    <s v="202402"/>
    <n v="818"/>
    <s v="EGY"/>
    <x v="0"/>
    <s v="M"/>
    <s v="Import"/>
    <n v="634"/>
    <s v="QAT"/>
    <x v="17"/>
    <n v="0"/>
    <s v="W00"/>
    <s v="World"/>
    <s v="H6"/>
    <s v="HS"/>
    <b v="1"/>
    <s v="382499"/>
    <s v="Chemical products, mixtures and preparations; n.e.c. heading 3824"/>
    <n v="6"/>
    <b v="1"/>
    <s v="C00"/>
    <s v="TOTAL CPC"/>
    <s v="0"/>
    <n v="0"/>
    <s v="TOTAL MOT"/>
    <n v="8"/>
    <s v="kg"/>
    <n v="71921.024999999994"/>
    <b v="1"/>
    <n v="-1"/>
    <s v="N/A"/>
    <n v="0"/>
    <b v="0"/>
    <n v="71921.024999999994"/>
    <b v="1"/>
    <n v="0"/>
    <b v="0"/>
    <n v="339390"/>
    <m/>
    <n v="339390"/>
    <n v="6"/>
    <b v="1"/>
    <b v="0"/>
  </r>
  <r>
    <s v="C"/>
    <s v="M"/>
    <n v="20240201"/>
    <x v="1"/>
    <x v="9"/>
    <s v="202402"/>
    <n v="818"/>
    <s v="EGY"/>
    <x v="0"/>
    <s v="M"/>
    <s v="Import"/>
    <n v="643"/>
    <s v="RUS"/>
    <x v="46"/>
    <n v="0"/>
    <s v="W00"/>
    <s v="World"/>
    <s v="H6"/>
    <s v="HS"/>
    <b v="1"/>
    <s v="382499"/>
    <s v="Chemical products, mixtures and preparations; n.e.c. heading 3824"/>
    <n v="6"/>
    <b v="1"/>
    <s v="C00"/>
    <s v="TOTAL CPC"/>
    <s v="0"/>
    <n v="0"/>
    <s v="TOTAL MOT"/>
    <n v="8"/>
    <s v="kg"/>
    <n v="3996.527"/>
    <b v="1"/>
    <n v="-1"/>
    <s v="N/A"/>
    <n v="0"/>
    <b v="0"/>
    <n v="3996.527"/>
    <b v="1"/>
    <n v="0"/>
    <b v="0"/>
    <n v="18859.315999999999"/>
    <m/>
    <n v="18859.315999999999"/>
    <n v="6"/>
    <b v="1"/>
    <b v="0"/>
  </r>
  <r>
    <s v="C"/>
    <s v="M"/>
    <n v="20240101"/>
    <x v="1"/>
    <x v="8"/>
    <s v="202401"/>
    <n v="818"/>
    <s v="EGY"/>
    <x v="0"/>
    <s v="M"/>
    <s v="Import"/>
    <n v="682"/>
    <s v="SAU"/>
    <x v="18"/>
    <n v="0"/>
    <s v="W00"/>
    <s v="World"/>
    <s v="H6"/>
    <s v="HS"/>
    <b v="1"/>
    <s v="382499"/>
    <s v="Chemical products, mixtures and preparations; n.e.c. heading 3824"/>
    <n v="6"/>
    <b v="1"/>
    <s v="C00"/>
    <s v="TOTAL CPC"/>
    <s v="0"/>
    <n v="0"/>
    <s v="TOTAL MOT"/>
    <n v="8"/>
    <s v="kg"/>
    <n v="7495.8360000000002"/>
    <b v="1"/>
    <n v="-1"/>
    <s v="N/A"/>
    <n v="0"/>
    <b v="0"/>
    <n v="7495.8360000000002"/>
    <b v="1"/>
    <n v="0"/>
    <b v="0"/>
    <n v="35372.296000000002"/>
    <m/>
    <n v="35372.296000000002"/>
    <n v="6"/>
    <b v="1"/>
    <b v="0"/>
  </r>
  <r>
    <s v="C"/>
    <s v="M"/>
    <n v="20240601"/>
    <x v="1"/>
    <x v="6"/>
    <s v="202406"/>
    <n v="818"/>
    <s v="EGY"/>
    <x v="0"/>
    <s v="M"/>
    <s v="Import"/>
    <n v="682"/>
    <s v="SAU"/>
    <x v="18"/>
    <n v="0"/>
    <s v="W00"/>
    <s v="World"/>
    <s v="H6"/>
    <s v="HS"/>
    <b v="1"/>
    <s v="382499"/>
    <s v="Chemical products, mixtures and preparations; n.e.c. heading 3824"/>
    <n v="6"/>
    <b v="1"/>
    <s v="C00"/>
    <s v="TOTAL CPC"/>
    <s v="0"/>
    <n v="0"/>
    <s v="TOTAL MOT"/>
    <n v="8"/>
    <s v="kg"/>
    <n v="5233.4549999999999"/>
    <b v="1"/>
    <n v="-1"/>
    <s v="N/A"/>
    <n v="0"/>
    <b v="0"/>
    <n v="5233.4549999999999"/>
    <b v="1"/>
    <n v="0"/>
    <b v="0"/>
    <n v="24696.285"/>
    <m/>
    <n v="24696.285"/>
    <n v="6"/>
    <b v="1"/>
    <b v="0"/>
  </r>
  <r>
    <s v="C"/>
    <s v="M"/>
    <n v="20240401"/>
    <x v="1"/>
    <x v="10"/>
    <s v="202404"/>
    <n v="818"/>
    <s v="EGY"/>
    <x v="0"/>
    <s v="M"/>
    <s v="Import"/>
    <n v="682"/>
    <s v="SAU"/>
    <x v="18"/>
    <n v="0"/>
    <s v="W00"/>
    <s v="World"/>
    <s v="H6"/>
    <s v="HS"/>
    <b v="1"/>
    <s v="382499"/>
    <s v="Chemical products, mixtures and preparations; n.e.c. heading 3824"/>
    <n v="6"/>
    <b v="1"/>
    <s v="C00"/>
    <s v="TOTAL CPC"/>
    <s v="0"/>
    <n v="0"/>
    <s v="TOTAL MOT"/>
    <n v="8"/>
    <s v="kg"/>
    <n v="38486.512999999999"/>
    <b v="1"/>
    <n v="-1"/>
    <s v="N/A"/>
    <n v="0"/>
    <b v="0"/>
    <n v="38486.512999999999"/>
    <b v="1"/>
    <n v="0"/>
    <b v="0"/>
    <n v="181615.011"/>
    <m/>
    <n v="181615.011"/>
    <n v="6"/>
    <b v="1"/>
    <b v="0"/>
  </r>
  <r>
    <s v="C"/>
    <s v="M"/>
    <n v="20240501"/>
    <x v="1"/>
    <x v="11"/>
    <s v="202405"/>
    <n v="818"/>
    <s v="EGY"/>
    <x v="0"/>
    <s v="M"/>
    <s v="Import"/>
    <n v="682"/>
    <s v="SAU"/>
    <x v="18"/>
    <n v="0"/>
    <s v="W00"/>
    <s v="World"/>
    <s v="H6"/>
    <s v="HS"/>
    <b v="1"/>
    <s v="382499"/>
    <s v="Chemical products, mixtures and preparations; n.e.c. heading 3824"/>
    <n v="6"/>
    <b v="1"/>
    <s v="C00"/>
    <s v="TOTAL CPC"/>
    <s v="0"/>
    <n v="0"/>
    <s v="TOTAL MOT"/>
    <n v="8"/>
    <s v="kg"/>
    <n v="63322.072999999997"/>
    <b v="1"/>
    <n v="-1"/>
    <s v="N/A"/>
    <n v="0"/>
    <b v="0"/>
    <n v="63322.072999999997"/>
    <b v="1"/>
    <n v="0"/>
    <b v="0"/>
    <n v="298812.18300000002"/>
    <m/>
    <n v="298812.18300000002"/>
    <n v="6"/>
    <b v="1"/>
    <b v="0"/>
  </r>
  <r>
    <s v="C"/>
    <s v="M"/>
    <n v="20240201"/>
    <x v="1"/>
    <x v="9"/>
    <s v="202402"/>
    <n v="818"/>
    <s v="EGY"/>
    <x v="0"/>
    <s v="M"/>
    <s v="Import"/>
    <n v="682"/>
    <s v="SAU"/>
    <x v="18"/>
    <n v="0"/>
    <s v="W00"/>
    <s v="World"/>
    <s v="H6"/>
    <s v="HS"/>
    <b v="1"/>
    <s v="382499"/>
    <s v="Chemical products, mixtures and preparations; n.e.c. heading 3824"/>
    <n v="6"/>
    <b v="1"/>
    <s v="C00"/>
    <s v="TOTAL CPC"/>
    <s v="0"/>
    <n v="0"/>
    <s v="TOTAL MOT"/>
    <n v="8"/>
    <s v="kg"/>
    <n v="40381.008000000002"/>
    <b v="1"/>
    <n v="-1"/>
    <s v="N/A"/>
    <n v="0"/>
    <b v="0"/>
    <n v="40381.008000000002"/>
    <b v="1"/>
    <n v="0"/>
    <b v="0"/>
    <n v="190554.99299999999"/>
    <m/>
    <n v="190554.99299999999"/>
    <n v="6"/>
    <b v="1"/>
    <b v="0"/>
  </r>
  <r>
    <s v="C"/>
    <s v="M"/>
    <n v="20240101"/>
    <x v="1"/>
    <x v="8"/>
    <s v="202401"/>
    <n v="818"/>
    <s v="EGY"/>
    <x v="0"/>
    <s v="M"/>
    <s v="Import"/>
    <n v="699"/>
    <s v="IND"/>
    <x v="19"/>
    <n v="0"/>
    <s v="W00"/>
    <s v="World"/>
    <s v="H6"/>
    <s v="HS"/>
    <b v="1"/>
    <s v="382499"/>
    <s v="Chemical products, mixtures and preparations; n.e.c. heading 3824"/>
    <n v="6"/>
    <b v="1"/>
    <s v="C00"/>
    <s v="TOTAL CPC"/>
    <s v="0"/>
    <n v="0"/>
    <s v="TOTAL MOT"/>
    <n v="8"/>
    <s v="kg"/>
    <n v="136962.85399999999"/>
    <b v="1"/>
    <n v="-1"/>
    <s v="N/A"/>
    <n v="0"/>
    <b v="0"/>
    <n v="136962.85399999999"/>
    <b v="1"/>
    <n v="0"/>
    <b v="0"/>
    <n v="646317.58400000003"/>
    <m/>
    <n v="646317.58400000003"/>
    <n v="6"/>
    <b v="1"/>
    <b v="0"/>
  </r>
  <r>
    <s v="C"/>
    <s v="M"/>
    <n v="20240601"/>
    <x v="1"/>
    <x v="6"/>
    <s v="202406"/>
    <n v="818"/>
    <s v="EGY"/>
    <x v="0"/>
    <s v="M"/>
    <s v="Import"/>
    <n v="699"/>
    <s v="IND"/>
    <x v="19"/>
    <n v="0"/>
    <s v="W00"/>
    <s v="World"/>
    <s v="H6"/>
    <s v="HS"/>
    <b v="1"/>
    <s v="382499"/>
    <s v="Chemical products, mixtures and preparations; n.e.c. heading 3824"/>
    <n v="6"/>
    <b v="1"/>
    <s v="C00"/>
    <s v="TOTAL CPC"/>
    <s v="0"/>
    <n v="0"/>
    <s v="TOTAL MOT"/>
    <n v="8"/>
    <s v="kg"/>
    <n v="167340.68400000001"/>
    <b v="1"/>
    <n v="-1"/>
    <s v="N/A"/>
    <n v="0"/>
    <b v="0"/>
    <n v="167340.68400000001"/>
    <b v="1"/>
    <n v="0"/>
    <b v="0"/>
    <n v="789668.32"/>
    <m/>
    <n v="789668.32"/>
    <n v="6"/>
    <b v="1"/>
    <b v="0"/>
  </r>
  <r>
    <s v="C"/>
    <s v="M"/>
    <n v="20240401"/>
    <x v="1"/>
    <x v="10"/>
    <s v="202404"/>
    <n v="818"/>
    <s v="EGY"/>
    <x v="0"/>
    <s v="M"/>
    <s v="Import"/>
    <n v="699"/>
    <s v="IND"/>
    <x v="19"/>
    <n v="0"/>
    <s v="W00"/>
    <s v="World"/>
    <s v="H6"/>
    <s v="HS"/>
    <b v="1"/>
    <s v="382499"/>
    <s v="Chemical products, mixtures and preparations; n.e.c. heading 3824"/>
    <n v="6"/>
    <b v="1"/>
    <s v="C00"/>
    <s v="TOTAL CPC"/>
    <s v="0"/>
    <n v="0"/>
    <s v="TOTAL MOT"/>
    <n v="8"/>
    <s v="kg"/>
    <n v="197743.59099999999"/>
    <b v="1"/>
    <n v="-1"/>
    <s v="N/A"/>
    <n v="0"/>
    <b v="0"/>
    <n v="197743.59099999999"/>
    <b v="1"/>
    <n v="0"/>
    <b v="0"/>
    <n v="933137.39199999999"/>
    <m/>
    <n v="933137.39199999999"/>
    <n v="6"/>
    <b v="1"/>
    <b v="0"/>
  </r>
  <r>
    <s v="C"/>
    <s v="M"/>
    <n v="20240501"/>
    <x v="1"/>
    <x v="11"/>
    <s v="202405"/>
    <n v="818"/>
    <s v="EGY"/>
    <x v="0"/>
    <s v="M"/>
    <s v="Import"/>
    <n v="699"/>
    <s v="IND"/>
    <x v="19"/>
    <n v="0"/>
    <s v="W00"/>
    <s v="World"/>
    <s v="H6"/>
    <s v="HS"/>
    <b v="1"/>
    <s v="382499"/>
    <s v="Chemical products, mixtures and preparations; n.e.c. heading 3824"/>
    <n v="6"/>
    <b v="1"/>
    <s v="C00"/>
    <s v="TOTAL CPC"/>
    <s v="0"/>
    <n v="0"/>
    <s v="TOTAL MOT"/>
    <n v="8"/>
    <s v="kg"/>
    <n v="364756.43300000002"/>
    <b v="1"/>
    <n v="-1"/>
    <s v="N/A"/>
    <n v="0"/>
    <b v="0"/>
    <n v="364756.43300000002"/>
    <b v="1"/>
    <n v="0"/>
    <b v="0"/>
    <n v="1721258.6470000001"/>
    <m/>
    <n v="1721258.6470000001"/>
    <n v="6"/>
    <b v="1"/>
    <b v="0"/>
  </r>
  <r>
    <s v="C"/>
    <s v="M"/>
    <n v="20240201"/>
    <x v="1"/>
    <x v="9"/>
    <s v="202402"/>
    <n v="818"/>
    <s v="EGY"/>
    <x v="0"/>
    <s v="M"/>
    <s v="Import"/>
    <n v="699"/>
    <s v="IND"/>
    <x v="19"/>
    <n v="0"/>
    <s v="W00"/>
    <s v="World"/>
    <s v="H6"/>
    <s v="HS"/>
    <b v="1"/>
    <s v="382499"/>
    <s v="Chemical products, mixtures and preparations; n.e.c. heading 3824"/>
    <n v="6"/>
    <b v="1"/>
    <s v="C00"/>
    <s v="TOTAL CPC"/>
    <s v="0"/>
    <n v="0"/>
    <s v="TOTAL MOT"/>
    <n v="8"/>
    <s v="kg"/>
    <n v="233371.003"/>
    <b v="1"/>
    <n v="-1"/>
    <s v="N/A"/>
    <n v="0"/>
    <b v="0"/>
    <n v="233371.003"/>
    <b v="1"/>
    <n v="0"/>
    <b v="0"/>
    <n v="1101260.5149999999"/>
    <m/>
    <n v="1101260.5149999999"/>
    <n v="6"/>
    <b v="1"/>
    <b v="0"/>
  </r>
  <r>
    <s v="C"/>
    <s v="M"/>
    <n v="20240201"/>
    <x v="1"/>
    <x v="9"/>
    <s v="202402"/>
    <n v="818"/>
    <s v="EGY"/>
    <x v="0"/>
    <s v="M"/>
    <s v="Import"/>
    <n v="702"/>
    <s v="SGP"/>
    <x v="20"/>
    <n v="0"/>
    <s v="W00"/>
    <s v="World"/>
    <s v="H6"/>
    <s v="HS"/>
    <b v="1"/>
    <s v="382499"/>
    <s v="Chemical products, mixtures and preparations; n.e.c. heading 3824"/>
    <n v="6"/>
    <b v="1"/>
    <s v="C00"/>
    <s v="TOTAL CPC"/>
    <s v="0"/>
    <n v="0"/>
    <s v="TOTAL MOT"/>
    <n v="8"/>
    <s v="kg"/>
    <n v="28826.93"/>
    <b v="1"/>
    <n v="-1"/>
    <s v="N/A"/>
    <n v="0"/>
    <b v="0"/>
    <n v="28826.93"/>
    <b v="1"/>
    <n v="0"/>
    <b v="0"/>
    <n v="136032.152"/>
    <m/>
    <n v="136032.152"/>
    <n v="6"/>
    <b v="1"/>
    <b v="0"/>
  </r>
  <r>
    <s v="C"/>
    <s v="M"/>
    <n v="20240101"/>
    <x v="1"/>
    <x v="8"/>
    <s v="202401"/>
    <n v="818"/>
    <s v="EGY"/>
    <x v="0"/>
    <s v="M"/>
    <s v="Import"/>
    <n v="702"/>
    <s v="SGP"/>
    <x v="20"/>
    <n v="0"/>
    <s v="W00"/>
    <s v="World"/>
    <s v="H6"/>
    <s v="HS"/>
    <b v="1"/>
    <s v="382499"/>
    <s v="Chemical products, mixtures and preparations; n.e.c. heading 3824"/>
    <n v="6"/>
    <b v="1"/>
    <s v="C00"/>
    <s v="TOTAL CPC"/>
    <s v="0"/>
    <n v="0"/>
    <s v="TOTAL MOT"/>
    <n v="8"/>
    <s v="kg"/>
    <n v="5413.52"/>
    <b v="1"/>
    <n v="-1"/>
    <s v="N/A"/>
    <n v="0"/>
    <b v="0"/>
    <n v="5413.52"/>
    <b v="1"/>
    <n v="0"/>
    <b v="0"/>
    <n v="25546"/>
    <m/>
    <n v="25546"/>
    <n v="6"/>
    <b v="1"/>
    <b v="0"/>
  </r>
  <r>
    <s v="C"/>
    <s v="M"/>
    <n v="20240601"/>
    <x v="1"/>
    <x v="6"/>
    <s v="202406"/>
    <n v="818"/>
    <s v="EGY"/>
    <x v="0"/>
    <s v="M"/>
    <s v="Import"/>
    <n v="702"/>
    <s v="SGP"/>
    <x v="20"/>
    <n v="0"/>
    <s v="W00"/>
    <s v="World"/>
    <s v="H6"/>
    <s v="HS"/>
    <b v="1"/>
    <s v="382499"/>
    <s v="Chemical products, mixtures and preparations; n.e.c. heading 3824"/>
    <n v="6"/>
    <b v="1"/>
    <s v="C00"/>
    <s v="TOTAL CPC"/>
    <s v="0"/>
    <n v="0"/>
    <s v="TOTAL MOT"/>
    <n v="8"/>
    <s v="kg"/>
    <n v="111.24"/>
    <b v="1"/>
    <n v="-1"/>
    <s v="N/A"/>
    <n v="0"/>
    <b v="0"/>
    <n v="111.24"/>
    <b v="1"/>
    <n v="0"/>
    <b v="0"/>
    <n v="524.93299999999999"/>
    <m/>
    <n v="524.93299999999999"/>
    <n v="6"/>
    <b v="1"/>
    <b v="0"/>
  </r>
  <r>
    <s v="C"/>
    <s v="M"/>
    <n v="20240401"/>
    <x v="1"/>
    <x v="10"/>
    <s v="202404"/>
    <n v="818"/>
    <s v="EGY"/>
    <x v="0"/>
    <s v="M"/>
    <s v="Import"/>
    <n v="702"/>
    <s v="SGP"/>
    <x v="20"/>
    <n v="0"/>
    <s v="W00"/>
    <s v="World"/>
    <s v="H6"/>
    <s v="HS"/>
    <b v="1"/>
    <s v="382499"/>
    <s v="Chemical products, mixtures and preparations; n.e.c. heading 3824"/>
    <n v="6"/>
    <b v="1"/>
    <s v="C00"/>
    <s v="TOTAL CPC"/>
    <s v="0"/>
    <n v="0"/>
    <s v="TOTAL MOT"/>
    <n v="8"/>
    <s v="kg"/>
    <n v="11843.784"/>
    <b v="1"/>
    <n v="-1"/>
    <s v="N/A"/>
    <n v="0"/>
    <b v="0"/>
    <n v="11843.784"/>
    <b v="1"/>
    <n v="0"/>
    <b v="0"/>
    <n v="55889.940999999999"/>
    <m/>
    <n v="55889.940999999999"/>
    <n v="6"/>
    <b v="1"/>
    <b v="0"/>
  </r>
  <r>
    <s v="C"/>
    <s v="M"/>
    <n v="20240301"/>
    <x v="1"/>
    <x v="7"/>
    <s v="202403"/>
    <n v="818"/>
    <s v="EGY"/>
    <x v="0"/>
    <s v="M"/>
    <s v="Import"/>
    <n v="704"/>
    <s v="VNM"/>
    <x v="47"/>
    <n v="0"/>
    <s v="W00"/>
    <s v="World"/>
    <s v="H6"/>
    <s v="HS"/>
    <b v="1"/>
    <s v="382499"/>
    <s v="Chemical products, mixtures and preparations; n.e.c. heading 3824"/>
    <n v="6"/>
    <b v="1"/>
    <s v="C00"/>
    <s v="TOTAL CPC"/>
    <s v="0"/>
    <n v="0"/>
    <s v="TOTAL MOT"/>
    <n v="8"/>
    <s v="kg"/>
    <n v="89364.058000000005"/>
    <b v="1"/>
    <n v="-1"/>
    <s v="N/A"/>
    <n v="0"/>
    <b v="0"/>
    <n v="89364.058000000005"/>
    <b v="1"/>
    <n v="0"/>
    <b v="0"/>
    <n v="421702.38299999997"/>
    <m/>
    <n v="421702.38299999997"/>
    <n v="6"/>
    <b v="1"/>
    <b v="0"/>
  </r>
  <r>
    <s v="C"/>
    <s v="M"/>
    <n v="20240101"/>
    <x v="1"/>
    <x v="8"/>
    <s v="202401"/>
    <n v="818"/>
    <s v="EGY"/>
    <x v="0"/>
    <s v="M"/>
    <s v="Import"/>
    <n v="704"/>
    <s v="VNM"/>
    <x v="47"/>
    <n v="0"/>
    <s v="W00"/>
    <s v="World"/>
    <s v="H6"/>
    <s v="HS"/>
    <b v="1"/>
    <s v="382499"/>
    <s v="Chemical products, mixtures and preparations; n.e.c. heading 3824"/>
    <n v="6"/>
    <b v="1"/>
    <s v="C00"/>
    <s v="TOTAL CPC"/>
    <s v="0"/>
    <n v="0"/>
    <s v="TOTAL MOT"/>
    <n v="8"/>
    <s v="kg"/>
    <n v="81899.180999999997"/>
    <b v="1"/>
    <n v="-1"/>
    <s v="N/A"/>
    <n v="0"/>
    <b v="0"/>
    <n v="81899.180999999997"/>
    <b v="1"/>
    <n v="0"/>
    <b v="0"/>
    <n v="386476.18"/>
    <m/>
    <n v="386476.18"/>
    <n v="6"/>
    <b v="1"/>
    <b v="0"/>
  </r>
  <r>
    <s v="C"/>
    <s v="M"/>
    <n v="20240401"/>
    <x v="1"/>
    <x v="10"/>
    <s v="202404"/>
    <n v="818"/>
    <s v="EGY"/>
    <x v="0"/>
    <s v="M"/>
    <s v="Import"/>
    <n v="704"/>
    <s v="VNM"/>
    <x v="47"/>
    <n v="0"/>
    <s v="W00"/>
    <s v="World"/>
    <s v="H6"/>
    <s v="HS"/>
    <b v="1"/>
    <s v="382499"/>
    <s v="Chemical products, mixtures and preparations; n.e.c. heading 3824"/>
    <n v="6"/>
    <b v="1"/>
    <s v="C00"/>
    <s v="TOTAL CPC"/>
    <s v="0"/>
    <n v="0"/>
    <s v="TOTAL MOT"/>
    <n v="8"/>
    <s v="kg"/>
    <n v="178249.88200000001"/>
    <b v="1"/>
    <n v="-1"/>
    <s v="N/A"/>
    <n v="0"/>
    <b v="0"/>
    <n v="178249.88200000001"/>
    <b v="1"/>
    <n v="0"/>
    <b v="0"/>
    <n v="841148.01599999995"/>
    <m/>
    <n v="841148.01599999995"/>
    <n v="6"/>
    <b v="1"/>
    <b v="0"/>
  </r>
  <r>
    <s v="C"/>
    <s v="M"/>
    <n v="20240301"/>
    <x v="1"/>
    <x v="7"/>
    <s v="202403"/>
    <n v="818"/>
    <s v="EGY"/>
    <x v="0"/>
    <s v="M"/>
    <s v="Import"/>
    <n v="710"/>
    <s v="ZAF"/>
    <x v="21"/>
    <n v="0"/>
    <s v="W00"/>
    <s v="World"/>
    <s v="H6"/>
    <s v="HS"/>
    <b v="1"/>
    <s v="382499"/>
    <s v="Chemical products, mixtures and preparations; n.e.c. heading 3824"/>
    <n v="6"/>
    <b v="1"/>
    <s v="C00"/>
    <s v="TOTAL CPC"/>
    <s v="0"/>
    <n v="0"/>
    <s v="TOTAL MOT"/>
    <n v="8"/>
    <s v="kg"/>
    <n v="8797.6740000000009"/>
    <b v="1"/>
    <n v="-1"/>
    <s v="N/A"/>
    <n v="0"/>
    <b v="0"/>
    <n v="8797.6740000000009"/>
    <b v="1"/>
    <n v="0"/>
    <b v="0"/>
    <n v="41515.574000000001"/>
    <m/>
    <n v="41515.574000000001"/>
    <n v="6"/>
    <b v="1"/>
    <b v="0"/>
  </r>
  <r>
    <s v="C"/>
    <s v="M"/>
    <n v="20240101"/>
    <x v="1"/>
    <x v="8"/>
    <s v="202401"/>
    <n v="818"/>
    <s v="EGY"/>
    <x v="0"/>
    <s v="M"/>
    <s v="Import"/>
    <n v="710"/>
    <s v="ZAF"/>
    <x v="21"/>
    <n v="0"/>
    <s v="W00"/>
    <s v="World"/>
    <s v="H6"/>
    <s v="HS"/>
    <b v="1"/>
    <s v="382499"/>
    <s v="Chemical products, mixtures and preparations; n.e.c. heading 3824"/>
    <n v="6"/>
    <b v="1"/>
    <s v="C00"/>
    <s v="TOTAL CPC"/>
    <s v="0"/>
    <n v="0"/>
    <s v="TOTAL MOT"/>
    <n v="8"/>
    <s v="kg"/>
    <n v="23814.899000000001"/>
    <b v="1"/>
    <n v="-1"/>
    <s v="N/A"/>
    <n v="0"/>
    <b v="0"/>
    <n v="23814.899000000001"/>
    <b v="1"/>
    <n v="0"/>
    <b v="0"/>
    <n v="112380.746"/>
    <m/>
    <n v="112380.746"/>
    <n v="6"/>
    <b v="1"/>
    <b v="0"/>
  </r>
  <r>
    <s v="C"/>
    <s v="M"/>
    <n v="20240101"/>
    <x v="1"/>
    <x v="8"/>
    <s v="202401"/>
    <n v="818"/>
    <s v="EGY"/>
    <x v="0"/>
    <s v="M"/>
    <s v="Import"/>
    <n v="724"/>
    <s v="ESP"/>
    <x v="22"/>
    <n v="0"/>
    <s v="W00"/>
    <s v="World"/>
    <s v="H6"/>
    <s v="HS"/>
    <b v="1"/>
    <s v="382499"/>
    <s v="Chemical products, mixtures and preparations; n.e.c. heading 3824"/>
    <n v="6"/>
    <b v="1"/>
    <s v="C00"/>
    <s v="TOTAL CPC"/>
    <s v="0"/>
    <n v="0"/>
    <s v="TOTAL MOT"/>
    <n v="8"/>
    <s v="kg"/>
    <n v="148960.56700000001"/>
    <b v="1"/>
    <n v="-1"/>
    <s v="N/A"/>
    <n v="0"/>
    <b v="0"/>
    <n v="148960.56700000001"/>
    <b v="1"/>
    <n v="0"/>
    <b v="0"/>
    <n v="702933.90599999996"/>
    <m/>
    <n v="702933.90599999996"/>
    <n v="6"/>
    <b v="1"/>
    <b v="0"/>
  </r>
  <r>
    <s v="C"/>
    <s v="M"/>
    <n v="20240601"/>
    <x v="1"/>
    <x v="6"/>
    <s v="202406"/>
    <n v="818"/>
    <s v="EGY"/>
    <x v="0"/>
    <s v="M"/>
    <s v="Import"/>
    <n v="724"/>
    <s v="ESP"/>
    <x v="22"/>
    <n v="0"/>
    <s v="W00"/>
    <s v="World"/>
    <s v="H6"/>
    <s v="HS"/>
    <b v="1"/>
    <s v="382499"/>
    <s v="Chemical products, mixtures and preparations; n.e.c. heading 3824"/>
    <n v="6"/>
    <b v="1"/>
    <s v="C00"/>
    <s v="TOTAL CPC"/>
    <s v="0"/>
    <n v="0"/>
    <s v="TOTAL MOT"/>
    <n v="8"/>
    <s v="kg"/>
    <n v="284974.924"/>
    <b v="1"/>
    <n v="-1"/>
    <s v="N/A"/>
    <n v="0"/>
    <b v="0"/>
    <n v="284974.924"/>
    <b v="1"/>
    <n v="0"/>
    <b v="0"/>
    <n v="1344775.602"/>
    <m/>
    <n v="1344775.602"/>
    <n v="6"/>
    <b v="1"/>
    <b v="0"/>
  </r>
  <r>
    <s v="C"/>
    <s v="M"/>
    <n v="20240401"/>
    <x v="1"/>
    <x v="10"/>
    <s v="202404"/>
    <n v="818"/>
    <s v="EGY"/>
    <x v="0"/>
    <s v="M"/>
    <s v="Import"/>
    <n v="724"/>
    <s v="ESP"/>
    <x v="22"/>
    <n v="0"/>
    <s v="W00"/>
    <s v="World"/>
    <s v="H6"/>
    <s v="HS"/>
    <b v="1"/>
    <s v="382499"/>
    <s v="Chemical products, mixtures and preparations; n.e.c. heading 3824"/>
    <n v="6"/>
    <b v="1"/>
    <s v="C00"/>
    <s v="TOTAL CPC"/>
    <s v="0"/>
    <n v="0"/>
    <s v="TOTAL MOT"/>
    <n v="8"/>
    <s v="kg"/>
    <n v="325170.41100000002"/>
    <b v="1"/>
    <n v="-1"/>
    <s v="N/A"/>
    <n v="0"/>
    <b v="0"/>
    <n v="325170.41100000002"/>
    <b v="1"/>
    <n v="0"/>
    <b v="0"/>
    <n v="1534455.1340000001"/>
    <m/>
    <n v="1534455.1340000001"/>
    <n v="6"/>
    <b v="1"/>
    <b v="0"/>
  </r>
  <r>
    <s v="C"/>
    <s v="M"/>
    <n v="20240501"/>
    <x v="1"/>
    <x v="11"/>
    <s v="202405"/>
    <n v="818"/>
    <s v="EGY"/>
    <x v="0"/>
    <s v="M"/>
    <s v="Import"/>
    <n v="724"/>
    <s v="ESP"/>
    <x v="22"/>
    <n v="0"/>
    <s v="W00"/>
    <s v="World"/>
    <s v="H6"/>
    <s v="HS"/>
    <b v="1"/>
    <s v="382499"/>
    <s v="Chemical products, mixtures and preparations; n.e.c. heading 3824"/>
    <n v="6"/>
    <b v="1"/>
    <s v="C00"/>
    <s v="TOTAL CPC"/>
    <s v="0"/>
    <n v="0"/>
    <s v="TOTAL MOT"/>
    <n v="8"/>
    <s v="kg"/>
    <n v="563422.48499999999"/>
    <b v="1"/>
    <n v="-1"/>
    <s v="N/A"/>
    <n v="0"/>
    <b v="0"/>
    <n v="563422.48499999999"/>
    <b v="1"/>
    <n v="0"/>
    <b v="0"/>
    <n v="2658749.0619999999"/>
    <m/>
    <n v="2658749.0619999999"/>
    <n v="6"/>
    <b v="1"/>
    <b v="0"/>
  </r>
  <r>
    <s v="C"/>
    <s v="M"/>
    <n v="20240201"/>
    <x v="1"/>
    <x v="9"/>
    <s v="202402"/>
    <n v="818"/>
    <s v="EGY"/>
    <x v="0"/>
    <s v="M"/>
    <s v="Import"/>
    <n v="724"/>
    <s v="ESP"/>
    <x v="22"/>
    <n v="0"/>
    <s v="W00"/>
    <s v="World"/>
    <s v="H6"/>
    <s v="HS"/>
    <b v="1"/>
    <s v="382499"/>
    <s v="Chemical products, mixtures and preparations; n.e.c. heading 3824"/>
    <n v="6"/>
    <b v="1"/>
    <s v="C00"/>
    <s v="TOTAL CPC"/>
    <s v="0"/>
    <n v="0"/>
    <s v="TOTAL MOT"/>
    <n v="8"/>
    <s v="kg"/>
    <n v="362785.45500000002"/>
    <b v="1"/>
    <n v="-1"/>
    <s v="N/A"/>
    <n v="0"/>
    <b v="0"/>
    <n v="362785.45500000002"/>
    <b v="1"/>
    <n v="0"/>
    <b v="0"/>
    <n v="1711957.7479999999"/>
    <m/>
    <n v="1711957.7479999999"/>
    <n v="6"/>
    <b v="1"/>
    <b v="0"/>
  </r>
  <r>
    <s v="C"/>
    <s v="M"/>
    <n v="20240501"/>
    <x v="1"/>
    <x v="11"/>
    <s v="202405"/>
    <n v="818"/>
    <s v="EGY"/>
    <x v="0"/>
    <s v="M"/>
    <s v="Import"/>
    <n v="752"/>
    <s v="SWE"/>
    <x v="37"/>
    <n v="0"/>
    <s v="W00"/>
    <s v="World"/>
    <s v="H6"/>
    <s v="HS"/>
    <b v="1"/>
    <s v="382499"/>
    <s v="Chemical products, mixtures and preparations; n.e.c. heading 3824"/>
    <n v="6"/>
    <b v="1"/>
    <s v="C00"/>
    <s v="TOTAL CPC"/>
    <s v="0"/>
    <n v="0"/>
    <s v="TOTAL MOT"/>
    <n v="8"/>
    <s v="kg"/>
    <n v="6337.607"/>
    <b v="1"/>
    <n v="-1"/>
    <s v="N/A"/>
    <n v="0"/>
    <b v="0"/>
    <n v="6337.607"/>
    <b v="1"/>
    <n v="0"/>
    <b v="0"/>
    <n v="29906.701000000001"/>
    <m/>
    <n v="29906.701000000001"/>
    <n v="6"/>
    <b v="1"/>
    <b v="0"/>
  </r>
  <r>
    <s v="C"/>
    <s v="M"/>
    <n v="20240601"/>
    <x v="1"/>
    <x v="6"/>
    <s v="202406"/>
    <n v="818"/>
    <s v="EGY"/>
    <x v="0"/>
    <s v="M"/>
    <s v="Import"/>
    <n v="752"/>
    <s v="SWE"/>
    <x v="37"/>
    <n v="0"/>
    <s v="W00"/>
    <s v="World"/>
    <s v="H6"/>
    <s v="HS"/>
    <b v="1"/>
    <s v="382499"/>
    <s v="Chemical products, mixtures and preparations; n.e.c. heading 3824"/>
    <n v="6"/>
    <b v="1"/>
    <s v="C00"/>
    <s v="TOTAL CPC"/>
    <s v="0"/>
    <n v="0"/>
    <s v="TOTAL MOT"/>
    <n v="8"/>
    <s v="kg"/>
    <n v="554.69100000000003"/>
    <b v="1"/>
    <n v="-1"/>
    <s v="N/A"/>
    <n v="0"/>
    <b v="0"/>
    <n v="554.69100000000003"/>
    <b v="1"/>
    <n v="0"/>
    <b v="0"/>
    <n v="2617.5459999999998"/>
    <m/>
    <n v="2617.5459999999998"/>
    <n v="6"/>
    <b v="1"/>
    <b v="0"/>
  </r>
  <r>
    <s v="C"/>
    <s v="M"/>
    <n v="20240401"/>
    <x v="1"/>
    <x v="10"/>
    <s v="202404"/>
    <n v="818"/>
    <s v="EGY"/>
    <x v="0"/>
    <s v="M"/>
    <s v="Import"/>
    <n v="752"/>
    <s v="SWE"/>
    <x v="37"/>
    <n v="0"/>
    <s v="W00"/>
    <s v="World"/>
    <s v="H6"/>
    <s v="HS"/>
    <b v="1"/>
    <s v="382499"/>
    <s v="Chemical products, mixtures and preparations; n.e.c. heading 3824"/>
    <n v="6"/>
    <b v="1"/>
    <s v="C00"/>
    <s v="TOTAL CPC"/>
    <s v="0"/>
    <n v="0"/>
    <s v="TOTAL MOT"/>
    <n v="8"/>
    <s v="kg"/>
    <n v="180227.31899999999"/>
    <b v="1"/>
    <n v="-1"/>
    <s v="N/A"/>
    <n v="0"/>
    <b v="0"/>
    <n v="180227.31899999999"/>
    <b v="1"/>
    <n v="0"/>
    <b v="0"/>
    <n v="850479.39800000004"/>
    <m/>
    <n v="850479.39800000004"/>
    <n v="6"/>
    <b v="1"/>
    <b v="0"/>
  </r>
  <r>
    <s v="C"/>
    <s v="M"/>
    <n v="20240201"/>
    <x v="1"/>
    <x v="9"/>
    <s v="202402"/>
    <n v="818"/>
    <s v="EGY"/>
    <x v="0"/>
    <s v="M"/>
    <s v="Import"/>
    <n v="752"/>
    <s v="SWE"/>
    <x v="37"/>
    <n v="0"/>
    <s v="W00"/>
    <s v="World"/>
    <s v="H6"/>
    <s v="HS"/>
    <b v="1"/>
    <s v="382499"/>
    <s v="Chemical products, mixtures and preparations; n.e.c. heading 3824"/>
    <n v="6"/>
    <b v="1"/>
    <s v="C00"/>
    <s v="TOTAL CPC"/>
    <s v="0"/>
    <n v="0"/>
    <s v="TOTAL MOT"/>
    <n v="8"/>
    <s v="kg"/>
    <n v="12848.127"/>
    <b v="1"/>
    <n v="-1"/>
    <s v="N/A"/>
    <n v="0"/>
    <b v="0"/>
    <n v="12848.127"/>
    <b v="1"/>
    <n v="0"/>
    <b v="0"/>
    <n v="60629.358999999997"/>
    <m/>
    <n v="60629.358999999997"/>
    <n v="6"/>
    <b v="1"/>
    <b v="0"/>
  </r>
  <r>
    <s v="C"/>
    <s v="M"/>
    <n v="20240301"/>
    <x v="1"/>
    <x v="7"/>
    <s v="202403"/>
    <n v="818"/>
    <s v="EGY"/>
    <x v="0"/>
    <s v="M"/>
    <s v="Import"/>
    <n v="752"/>
    <s v="SWE"/>
    <x v="37"/>
    <n v="0"/>
    <s v="W00"/>
    <s v="World"/>
    <s v="H6"/>
    <s v="HS"/>
    <b v="1"/>
    <s v="382499"/>
    <s v="Chemical products, mixtures and preparations; n.e.c. heading 3824"/>
    <n v="6"/>
    <b v="1"/>
    <s v="C00"/>
    <s v="TOTAL CPC"/>
    <s v="0"/>
    <n v="0"/>
    <s v="TOTAL MOT"/>
    <n v="8"/>
    <s v="kg"/>
    <n v="40315.222000000002"/>
    <b v="1"/>
    <n v="-1"/>
    <s v="N/A"/>
    <n v="0"/>
    <b v="0"/>
    <n v="40315.222000000002"/>
    <b v="1"/>
    <n v="0"/>
    <b v="0"/>
    <n v="190244.55499999999"/>
    <m/>
    <n v="190244.55499999999"/>
    <n v="6"/>
    <b v="1"/>
    <b v="0"/>
  </r>
  <r>
    <s v="C"/>
    <s v="M"/>
    <n v="20240301"/>
    <x v="1"/>
    <x v="7"/>
    <s v="202403"/>
    <n v="818"/>
    <s v="EGY"/>
    <x v="0"/>
    <s v="M"/>
    <s v="Import"/>
    <n v="757"/>
    <s v="CHE"/>
    <x v="23"/>
    <n v="0"/>
    <s v="W00"/>
    <s v="World"/>
    <s v="H6"/>
    <s v="HS"/>
    <b v="1"/>
    <s v="382499"/>
    <s v="Chemical products, mixtures and preparations; n.e.c. heading 3824"/>
    <n v="6"/>
    <b v="1"/>
    <s v="C00"/>
    <s v="TOTAL CPC"/>
    <s v="0"/>
    <n v="0"/>
    <s v="TOTAL MOT"/>
    <n v="8"/>
    <s v="kg"/>
    <n v="96939.524000000005"/>
    <b v="1"/>
    <n v="-1"/>
    <s v="N/A"/>
    <n v="0"/>
    <b v="0"/>
    <n v="96939.524000000005"/>
    <b v="1"/>
    <n v="0"/>
    <b v="0"/>
    <n v="457450.44799999997"/>
    <m/>
    <n v="457450.44799999997"/>
    <n v="6"/>
    <b v="1"/>
    <b v="0"/>
  </r>
  <r>
    <s v="C"/>
    <s v="M"/>
    <n v="20240101"/>
    <x v="1"/>
    <x v="8"/>
    <s v="202401"/>
    <n v="818"/>
    <s v="EGY"/>
    <x v="0"/>
    <s v="M"/>
    <s v="Import"/>
    <n v="757"/>
    <s v="CHE"/>
    <x v="23"/>
    <n v="0"/>
    <s v="W00"/>
    <s v="World"/>
    <s v="H6"/>
    <s v="HS"/>
    <b v="1"/>
    <s v="382499"/>
    <s v="Chemical products, mixtures and preparations; n.e.c. heading 3824"/>
    <n v="6"/>
    <b v="1"/>
    <s v="C00"/>
    <s v="TOTAL CPC"/>
    <s v="0"/>
    <n v="0"/>
    <s v="TOTAL MOT"/>
    <n v="8"/>
    <s v="kg"/>
    <n v="12446.665999999999"/>
    <b v="1"/>
    <n v="-1"/>
    <s v="N/A"/>
    <n v="0"/>
    <b v="0"/>
    <n v="12446.665999999999"/>
    <b v="1"/>
    <n v="0"/>
    <b v="0"/>
    <n v="58734.894999999997"/>
    <m/>
    <n v="58734.894999999997"/>
    <n v="6"/>
    <b v="1"/>
    <b v="0"/>
  </r>
  <r>
    <s v="C"/>
    <s v="M"/>
    <n v="20240601"/>
    <x v="1"/>
    <x v="6"/>
    <s v="202406"/>
    <n v="818"/>
    <s v="EGY"/>
    <x v="0"/>
    <s v="M"/>
    <s v="Import"/>
    <n v="757"/>
    <s v="CHE"/>
    <x v="23"/>
    <n v="0"/>
    <s v="W00"/>
    <s v="World"/>
    <s v="H6"/>
    <s v="HS"/>
    <b v="1"/>
    <s v="382499"/>
    <s v="Chemical products, mixtures and preparations; n.e.c. heading 3824"/>
    <n v="6"/>
    <b v="1"/>
    <s v="C00"/>
    <s v="TOTAL CPC"/>
    <s v="0"/>
    <n v="0"/>
    <s v="TOTAL MOT"/>
    <n v="8"/>
    <s v="kg"/>
    <n v="6374.5209999999997"/>
    <b v="1"/>
    <n v="-1"/>
    <s v="N/A"/>
    <n v="0"/>
    <b v="0"/>
    <n v="6374.5209999999997"/>
    <b v="1"/>
    <n v="0"/>
    <b v="0"/>
    <n v="30080.893"/>
    <m/>
    <n v="30080.893"/>
    <n v="6"/>
    <b v="1"/>
    <b v="0"/>
  </r>
  <r>
    <s v="C"/>
    <s v="M"/>
    <n v="20240401"/>
    <x v="1"/>
    <x v="10"/>
    <s v="202404"/>
    <n v="818"/>
    <s v="EGY"/>
    <x v="0"/>
    <s v="M"/>
    <s v="Import"/>
    <n v="757"/>
    <s v="CHE"/>
    <x v="23"/>
    <n v="0"/>
    <s v="W00"/>
    <s v="World"/>
    <s v="H6"/>
    <s v="HS"/>
    <b v="1"/>
    <s v="382499"/>
    <s v="Chemical products, mixtures and preparations; n.e.c. heading 3824"/>
    <n v="6"/>
    <b v="1"/>
    <s v="C00"/>
    <s v="TOTAL CPC"/>
    <s v="0"/>
    <n v="0"/>
    <s v="TOTAL MOT"/>
    <n v="8"/>
    <s v="kg"/>
    <n v="16269.612999999999"/>
    <b v="1"/>
    <n v="-1"/>
    <s v="N/A"/>
    <n v="0"/>
    <b v="0"/>
    <n v="16269.612999999999"/>
    <b v="1"/>
    <n v="0"/>
    <b v="0"/>
    <n v="76775.101999999999"/>
    <m/>
    <n v="76775.101999999999"/>
    <n v="6"/>
    <b v="1"/>
    <b v="0"/>
  </r>
  <r>
    <s v="C"/>
    <s v="M"/>
    <n v="20240301"/>
    <x v="1"/>
    <x v="7"/>
    <s v="202403"/>
    <n v="818"/>
    <s v="EGY"/>
    <x v="0"/>
    <s v="M"/>
    <s v="Import"/>
    <n v="764"/>
    <s v="THA"/>
    <x v="24"/>
    <n v="0"/>
    <s v="W00"/>
    <s v="World"/>
    <s v="H6"/>
    <s v="HS"/>
    <b v="1"/>
    <s v="382499"/>
    <s v="Chemical products, mixtures and preparations; n.e.c. heading 3824"/>
    <n v="6"/>
    <b v="1"/>
    <s v="C00"/>
    <s v="TOTAL CPC"/>
    <s v="0"/>
    <n v="0"/>
    <s v="TOTAL MOT"/>
    <n v="8"/>
    <s v="kg"/>
    <n v="86.299000000000007"/>
    <b v="1"/>
    <n v="-1"/>
    <s v="N/A"/>
    <n v="0"/>
    <b v="0"/>
    <n v="86.299000000000007"/>
    <b v="1"/>
    <n v="0"/>
    <b v="0"/>
    <n v="407.24"/>
    <m/>
    <n v="407.24"/>
    <n v="6"/>
    <b v="1"/>
    <b v="0"/>
  </r>
  <r>
    <s v="C"/>
    <s v="M"/>
    <n v="20240101"/>
    <x v="1"/>
    <x v="8"/>
    <s v="202401"/>
    <n v="818"/>
    <s v="EGY"/>
    <x v="0"/>
    <s v="M"/>
    <s v="Import"/>
    <n v="764"/>
    <s v="THA"/>
    <x v="24"/>
    <n v="0"/>
    <s v="W00"/>
    <s v="World"/>
    <s v="H6"/>
    <s v="HS"/>
    <b v="1"/>
    <s v="382499"/>
    <s v="Chemical products, mixtures and preparations; n.e.c. heading 3824"/>
    <n v="6"/>
    <b v="1"/>
    <s v="C00"/>
    <s v="TOTAL CPC"/>
    <s v="0"/>
    <n v="0"/>
    <s v="TOTAL MOT"/>
    <n v="8"/>
    <s v="kg"/>
    <n v="4263.8850000000002"/>
    <b v="1"/>
    <n v="-1"/>
    <s v="N/A"/>
    <n v="0"/>
    <b v="0"/>
    <n v="4263.8850000000002"/>
    <b v="1"/>
    <n v="0"/>
    <b v="0"/>
    <n v="20120.955999999998"/>
    <m/>
    <n v="20120.955999999998"/>
    <n v="6"/>
    <b v="1"/>
    <b v="0"/>
  </r>
  <r>
    <s v="C"/>
    <s v="M"/>
    <n v="20240401"/>
    <x v="1"/>
    <x v="10"/>
    <s v="202404"/>
    <n v="818"/>
    <s v="EGY"/>
    <x v="0"/>
    <s v="M"/>
    <s v="Import"/>
    <n v="764"/>
    <s v="THA"/>
    <x v="24"/>
    <n v="0"/>
    <s v="W00"/>
    <s v="World"/>
    <s v="H6"/>
    <s v="HS"/>
    <b v="1"/>
    <s v="382499"/>
    <s v="Chemical products, mixtures and preparations; n.e.c. heading 3824"/>
    <n v="6"/>
    <b v="1"/>
    <s v="C00"/>
    <s v="TOTAL CPC"/>
    <s v="0"/>
    <n v="0"/>
    <s v="TOTAL MOT"/>
    <n v="8"/>
    <s v="kg"/>
    <n v="2704.5740000000001"/>
    <b v="1"/>
    <n v="-1"/>
    <s v="N/A"/>
    <n v="0"/>
    <b v="0"/>
    <n v="2704.5740000000001"/>
    <b v="1"/>
    <n v="0"/>
    <b v="0"/>
    <n v="12762.686"/>
    <m/>
    <n v="12762.686"/>
    <n v="6"/>
    <b v="1"/>
    <b v="0"/>
  </r>
  <r>
    <s v="C"/>
    <s v="M"/>
    <n v="20240501"/>
    <x v="1"/>
    <x v="11"/>
    <s v="202405"/>
    <n v="818"/>
    <s v="EGY"/>
    <x v="0"/>
    <s v="M"/>
    <s v="Import"/>
    <n v="764"/>
    <s v="THA"/>
    <x v="24"/>
    <n v="0"/>
    <s v="W00"/>
    <s v="World"/>
    <s v="H6"/>
    <s v="HS"/>
    <b v="1"/>
    <s v="382499"/>
    <s v="Chemical products, mixtures and preparations; n.e.c. heading 3824"/>
    <n v="6"/>
    <b v="1"/>
    <s v="C00"/>
    <s v="TOTAL CPC"/>
    <s v="0"/>
    <n v="0"/>
    <s v="TOTAL MOT"/>
    <n v="8"/>
    <s v="kg"/>
    <n v="8653.2870000000003"/>
    <b v="1"/>
    <n v="-1"/>
    <s v="N/A"/>
    <n v="0"/>
    <b v="0"/>
    <n v="8653.2870000000003"/>
    <b v="1"/>
    <n v="0"/>
    <b v="0"/>
    <n v="40834.220999999998"/>
    <m/>
    <n v="40834.220999999998"/>
    <n v="6"/>
    <b v="1"/>
    <b v="0"/>
  </r>
  <r>
    <s v="C"/>
    <s v="M"/>
    <n v="20240101"/>
    <x v="1"/>
    <x v="8"/>
    <s v="202401"/>
    <n v="818"/>
    <s v="EGY"/>
    <x v="0"/>
    <s v="M"/>
    <s v="Import"/>
    <n v="784"/>
    <s v="ARE"/>
    <x v="25"/>
    <n v="0"/>
    <s v="W00"/>
    <s v="World"/>
    <s v="H6"/>
    <s v="HS"/>
    <b v="1"/>
    <s v="382499"/>
    <s v="Chemical products, mixtures and preparations; n.e.c. heading 3824"/>
    <n v="6"/>
    <b v="1"/>
    <s v="C00"/>
    <s v="TOTAL CPC"/>
    <s v="0"/>
    <n v="0"/>
    <s v="TOTAL MOT"/>
    <n v="8"/>
    <s v="kg"/>
    <n v="121889.712"/>
    <b v="1"/>
    <n v="-1"/>
    <s v="N/A"/>
    <n v="0"/>
    <b v="0"/>
    <n v="121889.712"/>
    <b v="1"/>
    <n v="0"/>
    <b v="0"/>
    <n v="575188.54"/>
    <m/>
    <n v="575188.54"/>
    <n v="6"/>
    <b v="1"/>
    <b v="0"/>
  </r>
  <r>
    <s v="C"/>
    <s v="M"/>
    <n v="20240601"/>
    <x v="1"/>
    <x v="6"/>
    <s v="202406"/>
    <n v="818"/>
    <s v="EGY"/>
    <x v="0"/>
    <s v="M"/>
    <s v="Import"/>
    <n v="784"/>
    <s v="ARE"/>
    <x v="25"/>
    <n v="0"/>
    <s v="W00"/>
    <s v="World"/>
    <s v="H6"/>
    <s v="HS"/>
    <b v="1"/>
    <s v="382499"/>
    <s v="Chemical products, mixtures and preparations; n.e.c. heading 3824"/>
    <n v="6"/>
    <b v="1"/>
    <s v="C00"/>
    <s v="TOTAL CPC"/>
    <s v="0"/>
    <n v="0"/>
    <s v="TOTAL MOT"/>
    <n v="8"/>
    <s v="kg"/>
    <n v="51737.53"/>
    <b v="1"/>
    <n v="-1"/>
    <s v="N/A"/>
    <n v="0"/>
    <b v="0"/>
    <n v="51737.53"/>
    <b v="1"/>
    <n v="0"/>
    <b v="0"/>
    <n v="244145.579"/>
    <m/>
    <n v="244145.579"/>
    <n v="6"/>
    <b v="1"/>
    <b v="0"/>
  </r>
  <r>
    <s v="C"/>
    <s v="M"/>
    <n v="20240401"/>
    <x v="1"/>
    <x v="10"/>
    <s v="202404"/>
    <n v="818"/>
    <s v="EGY"/>
    <x v="0"/>
    <s v="M"/>
    <s v="Import"/>
    <n v="784"/>
    <s v="ARE"/>
    <x v="25"/>
    <n v="0"/>
    <s v="W00"/>
    <s v="World"/>
    <s v="H6"/>
    <s v="HS"/>
    <b v="1"/>
    <s v="382499"/>
    <s v="Chemical products, mixtures and preparations; n.e.c. heading 3824"/>
    <n v="6"/>
    <b v="1"/>
    <s v="C00"/>
    <s v="TOTAL CPC"/>
    <s v="0"/>
    <n v="0"/>
    <s v="TOTAL MOT"/>
    <n v="8"/>
    <s v="kg"/>
    <n v="33613.527000000002"/>
    <b v="1"/>
    <n v="-1"/>
    <s v="N/A"/>
    <n v="0"/>
    <b v="0"/>
    <n v="33613.527000000002"/>
    <b v="1"/>
    <n v="0"/>
    <b v="0"/>
    <n v="158619.74799999999"/>
    <m/>
    <n v="158619.74799999999"/>
    <n v="6"/>
    <b v="1"/>
    <b v="0"/>
  </r>
  <r>
    <s v="C"/>
    <s v="M"/>
    <n v="20240501"/>
    <x v="1"/>
    <x v="11"/>
    <s v="202405"/>
    <n v="818"/>
    <s v="EGY"/>
    <x v="0"/>
    <s v="M"/>
    <s v="Import"/>
    <n v="784"/>
    <s v="ARE"/>
    <x v="25"/>
    <n v="0"/>
    <s v="W00"/>
    <s v="World"/>
    <s v="H6"/>
    <s v="HS"/>
    <b v="1"/>
    <s v="382499"/>
    <s v="Chemical products, mixtures and preparations; n.e.c. heading 3824"/>
    <n v="6"/>
    <b v="1"/>
    <s v="C00"/>
    <s v="TOTAL CPC"/>
    <s v="0"/>
    <n v="0"/>
    <s v="TOTAL MOT"/>
    <n v="8"/>
    <s v="kg"/>
    <n v="28531.043000000001"/>
    <b v="1"/>
    <n v="-1"/>
    <s v="N/A"/>
    <n v="0"/>
    <b v="0"/>
    <n v="28531.043000000001"/>
    <b v="1"/>
    <n v="0"/>
    <b v="0"/>
    <n v="134635.88099999999"/>
    <m/>
    <n v="134635.88099999999"/>
    <n v="6"/>
    <b v="1"/>
    <b v="0"/>
  </r>
  <r>
    <s v="C"/>
    <s v="M"/>
    <n v="20240201"/>
    <x v="1"/>
    <x v="9"/>
    <s v="202402"/>
    <n v="818"/>
    <s v="EGY"/>
    <x v="0"/>
    <s v="M"/>
    <s v="Import"/>
    <n v="784"/>
    <s v="ARE"/>
    <x v="25"/>
    <n v="0"/>
    <s v="W00"/>
    <s v="World"/>
    <s v="H6"/>
    <s v="HS"/>
    <b v="1"/>
    <s v="382499"/>
    <s v="Chemical products, mixtures and preparations; n.e.c. heading 3824"/>
    <n v="6"/>
    <b v="1"/>
    <s v="C00"/>
    <s v="TOTAL CPC"/>
    <s v="0"/>
    <n v="0"/>
    <s v="TOTAL MOT"/>
    <n v="8"/>
    <s v="kg"/>
    <n v="78225.38"/>
    <b v="1"/>
    <n v="-1"/>
    <s v="N/A"/>
    <n v="0"/>
    <b v="0"/>
    <n v="78225.38"/>
    <b v="1"/>
    <n v="0"/>
    <b v="0"/>
    <n v="369139.78499999997"/>
    <m/>
    <n v="369139.78499999997"/>
    <n v="6"/>
    <b v="1"/>
    <b v="0"/>
  </r>
  <r>
    <s v="C"/>
    <s v="M"/>
    <n v="20240101"/>
    <x v="1"/>
    <x v="8"/>
    <s v="202401"/>
    <n v="818"/>
    <s v="EGY"/>
    <x v="0"/>
    <s v="M"/>
    <s v="Import"/>
    <n v="792"/>
    <s v="TUR"/>
    <x v="26"/>
    <n v="0"/>
    <s v="W00"/>
    <s v="World"/>
    <s v="H6"/>
    <s v="HS"/>
    <b v="1"/>
    <s v="382499"/>
    <s v="Chemical products, mixtures and preparations; n.e.c. heading 3824"/>
    <n v="6"/>
    <b v="1"/>
    <s v="C00"/>
    <s v="TOTAL CPC"/>
    <s v="0"/>
    <n v="0"/>
    <s v="TOTAL MOT"/>
    <n v="8"/>
    <s v="kg"/>
    <n v="213448.69899999999"/>
    <b v="1"/>
    <n v="-1"/>
    <s v="N/A"/>
    <n v="0"/>
    <b v="0"/>
    <n v="213448.69899999999"/>
    <b v="1"/>
    <n v="0"/>
    <b v="0"/>
    <n v="1007248.632"/>
    <m/>
    <n v="1007248.632"/>
    <n v="6"/>
    <b v="1"/>
    <b v="0"/>
  </r>
  <r>
    <s v="C"/>
    <s v="M"/>
    <n v="20240601"/>
    <x v="1"/>
    <x v="6"/>
    <s v="202406"/>
    <n v="818"/>
    <s v="EGY"/>
    <x v="0"/>
    <s v="M"/>
    <s v="Import"/>
    <n v="792"/>
    <s v="TUR"/>
    <x v="26"/>
    <n v="0"/>
    <s v="W00"/>
    <s v="World"/>
    <s v="H6"/>
    <s v="HS"/>
    <b v="1"/>
    <s v="382499"/>
    <s v="Chemical products, mixtures and preparations; n.e.c. heading 3824"/>
    <n v="6"/>
    <b v="1"/>
    <s v="C00"/>
    <s v="TOTAL CPC"/>
    <s v="0"/>
    <n v="0"/>
    <s v="TOTAL MOT"/>
    <n v="8"/>
    <s v="kg"/>
    <n v="149668.19500000001"/>
    <b v="1"/>
    <n v="-1"/>
    <s v="N/A"/>
    <n v="0"/>
    <b v="0"/>
    <n v="149668.19500000001"/>
    <b v="1"/>
    <n v="0"/>
    <b v="0"/>
    <n v="706273.15"/>
    <m/>
    <n v="706273.15"/>
    <n v="6"/>
    <b v="1"/>
    <b v="0"/>
  </r>
  <r>
    <s v="C"/>
    <s v="M"/>
    <n v="20240401"/>
    <x v="1"/>
    <x v="10"/>
    <s v="202404"/>
    <n v="818"/>
    <s v="EGY"/>
    <x v="0"/>
    <s v="M"/>
    <s v="Import"/>
    <n v="792"/>
    <s v="TUR"/>
    <x v="26"/>
    <n v="0"/>
    <s v="W00"/>
    <s v="World"/>
    <s v="H6"/>
    <s v="HS"/>
    <b v="1"/>
    <s v="382499"/>
    <s v="Chemical products, mixtures and preparations; n.e.c. heading 3824"/>
    <n v="6"/>
    <b v="1"/>
    <s v="C00"/>
    <s v="TOTAL CPC"/>
    <s v="0"/>
    <n v="0"/>
    <s v="TOTAL MOT"/>
    <n v="8"/>
    <s v="kg"/>
    <n v="194049.68700000001"/>
    <b v="1"/>
    <n v="-1"/>
    <s v="N/A"/>
    <n v="0"/>
    <b v="0"/>
    <n v="194049.68700000001"/>
    <b v="1"/>
    <n v="0"/>
    <b v="0"/>
    <n v="915706.13100000005"/>
    <m/>
    <n v="915706.13100000005"/>
    <n v="6"/>
    <b v="1"/>
    <b v="0"/>
  </r>
  <r>
    <s v="C"/>
    <s v="M"/>
    <n v="20240501"/>
    <x v="1"/>
    <x v="11"/>
    <s v="202405"/>
    <n v="818"/>
    <s v="EGY"/>
    <x v="0"/>
    <s v="M"/>
    <s v="Import"/>
    <n v="792"/>
    <s v="TUR"/>
    <x v="26"/>
    <n v="0"/>
    <s v="W00"/>
    <s v="World"/>
    <s v="H6"/>
    <s v="HS"/>
    <b v="1"/>
    <s v="382499"/>
    <s v="Chemical products, mixtures and preparations; n.e.c. heading 3824"/>
    <n v="6"/>
    <b v="1"/>
    <s v="C00"/>
    <s v="TOTAL CPC"/>
    <s v="0"/>
    <n v="0"/>
    <s v="TOTAL MOT"/>
    <n v="8"/>
    <s v="kg"/>
    <n v="203483.549"/>
    <b v="1"/>
    <n v="-1"/>
    <s v="N/A"/>
    <n v="0"/>
    <b v="0"/>
    <n v="203483.549"/>
    <b v="1"/>
    <n v="0"/>
    <b v="0"/>
    <n v="960223.82700000005"/>
    <m/>
    <n v="960223.82700000005"/>
    <n v="6"/>
    <b v="1"/>
    <b v="0"/>
  </r>
  <r>
    <s v="C"/>
    <s v="M"/>
    <n v="20240201"/>
    <x v="1"/>
    <x v="9"/>
    <s v="202402"/>
    <n v="818"/>
    <s v="EGY"/>
    <x v="0"/>
    <s v="M"/>
    <s v="Import"/>
    <n v="792"/>
    <s v="TUR"/>
    <x v="26"/>
    <n v="0"/>
    <s v="W00"/>
    <s v="World"/>
    <s v="H6"/>
    <s v="HS"/>
    <b v="1"/>
    <s v="382499"/>
    <s v="Chemical products, mixtures and preparations; n.e.c. heading 3824"/>
    <n v="6"/>
    <b v="1"/>
    <s v="C00"/>
    <s v="TOTAL CPC"/>
    <s v="0"/>
    <n v="0"/>
    <s v="TOTAL MOT"/>
    <n v="8"/>
    <s v="kg"/>
    <n v="187723.14300000001"/>
    <b v="1"/>
    <n v="-1"/>
    <s v="N/A"/>
    <n v="0"/>
    <b v="0"/>
    <n v="187723.14300000001"/>
    <b v="1"/>
    <n v="0"/>
    <b v="0"/>
    <n v="885851.63600000006"/>
    <m/>
    <n v="885851.63600000006"/>
    <n v="6"/>
    <b v="1"/>
    <b v="0"/>
  </r>
  <r>
    <s v="C"/>
    <s v="M"/>
    <n v="20240101"/>
    <x v="1"/>
    <x v="8"/>
    <s v="202401"/>
    <n v="818"/>
    <s v="EGY"/>
    <x v="0"/>
    <s v="M"/>
    <s v="Import"/>
    <n v="826"/>
    <s v="GBR"/>
    <x v="27"/>
    <n v="0"/>
    <s v="W00"/>
    <s v="World"/>
    <s v="H6"/>
    <s v="HS"/>
    <b v="1"/>
    <s v="382499"/>
    <s v="Chemical products, mixtures and preparations; n.e.c. heading 3824"/>
    <n v="6"/>
    <b v="1"/>
    <s v="C00"/>
    <s v="TOTAL CPC"/>
    <s v="0"/>
    <n v="0"/>
    <s v="TOTAL MOT"/>
    <n v="8"/>
    <s v="kg"/>
    <n v="172897.43"/>
    <b v="1"/>
    <n v="-1"/>
    <s v="N/A"/>
    <n v="0"/>
    <b v="0"/>
    <n v="172897.43"/>
    <b v="1"/>
    <n v="0"/>
    <b v="0"/>
    <n v="815890.19200000004"/>
    <m/>
    <n v="815890.19200000004"/>
    <n v="6"/>
    <b v="1"/>
    <b v="0"/>
  </r>
  <r>
    <s v="C"/>
    <s v="M"/>
    <n v="20240601"/>
    <x v="1"/>
    <x v="6"/>
    <s v="202406"/>
    <n v="818"/>
    <s v="EGY"/>
    <x v="0"/>
    <s v="M"/>
    <s v="Import"/>
    <n v="826"/>
    <s v="GBR"/>
    <x v="27"/>
    <n v="0"/>
    <s v="W00"/>
    <s v="World"/>
    <s v="H6"/>
    <s v="HS"/>
    <b v="1"/>
    <s v="382499"/>
    <s v="Chemical products, mixtures and preparations; n.e.c. heading 3824"/>
    <n v="6"/>
    <b v="1"/>
    <s v="C00"/>
    <s v="TOTAL CPC"/>
    <s v="0"/>
    <n v="0"/>
    <s v="TOTAL MOT"/>
    <n v="8"/>
    <s v="kg"/>
    <n v="84356.789000000004"/>
    <b v="1"/>
    <n v="-1"/>
    <s v="N/A"/>
    <n v="0"/>
    <b v="0"/>
    <n v="84356.789000000004"/>
    <b v="1"/>
    <n v="0"/>
    <b v="0"/>
    <n v="398073.45"/>
    <m/>
    <n v="398073.45"/>
    <n v="6"/>
    <b v="1"/>
    <b v="0"/>
  </r>
  <r>
    <s v="C"/>
    <s v="M"/>
    <n v="20240401"/>
    <x v="1"/>
    <x v="10"/>
    <s v="202404"/>
    <n v="818"/>
    <s v="EGY"/>
    <x v="0"/>
    <s v="M"/>
    <s v="Import"/>
    <n v="826"/>
    <s v="GBR"/>
    <x v="27"/>
    <n v="0"/>
    <s v="W00"/>
    <s v="World"/>
    <s v="H6"/>
    <s v="HS"/>
    <b v="1"/>
    <s v="382499"/>
    <s v="Chemical products, mixtures and preparations; n.e.c. heading 3824"/>
    <n v="6"/>
    <b v="1"/>
    <s v="C00"/>
    <s v="TOTAL CPC"/>
    <s v="0"/>
    <n v="0"/>
    <s v="TOTAL MOT"/>
    <n v="8"/>
    <s v="kg"/>
    <n v="1035847.862"/>
    <b v="1"/>
    <n v="-1"/>
    <s v="N/A"/>
    <n v="0"/>
    <b v="0"/>
    <n v="1035847.862"/>
    <b v="1"/>
    <n v="0"/>
    <b v="0"/>
    <n v="4888089.4960000003"/>
    <m/>
    <n v="4888089.4960000003"/>
    <n v="6"/>
    <b v="1"/>
    <b v="0"/>
  </r>
  <r>
    <s v="C"/>
    <s v="M"/>
    <n v="20240501"/>
    <x v="1"/>
    <x v="11"/>
    <s v="202405"/>
    <n v="818"/>
    <s v="EGY"/>
    <x v="0"/>
    <s v="M"/>
    <s v="Import"/>
    <n v="826"/>
    <s v="GBR"/>
    <x v="27"/>
    <n v="0"/>
    <s v="W00"/>
    <s v="World"/>
    <s v="H6"/>
    <s v="HS"/>
    <b v="1"/>
    <s v="382499"/>
    <s v="Chemical products, mixtures and preparations; n.e.c. heading 3824"/>
    <n v="6"/>
    <b v="1"/>
    <s v="C00"/>
    <s v="TOTAL CPC"/>
    <s v="0"/>
    <n v="0"/>
    <s v="TOTAL MOT"/>
    <n v="8"/>
    <s v="kg"/>
    <n v="118638.35"/>
    <b v="1"/>
    <n v="-1"/>
    <s v="N/A"/>
    <n v="0"/>
    <b v="0"/>
    <n v="118638.35"/>
    <b v="1"/>
    <n v="0"/>
    <b v="0"/>
    <n v="559845.60699999996"/>
    <m/>
    <n v="559845.60699999996"/>
    <n v="6"/>
    <b v="1"/>
    <b v="0"/>
  </r>
  <r>
    <s v="C"/>
    <s v="M"/>
    <n v="20240201"/>
    <x v="1"/>
    <x v="9"/>
    <s v="202402"/>
    <n v="818"/>
    <s v="EGY"/>
    <x v="0"/>
    <s v="M"/>
    <s v="Import"/>
    <n v="826"/>
    <s v="GBR"/>
    <x v="27"/>
    <n v="0"/>
    <s v="W00"/>
    <s v="World"/>
    <s v="H6"/>
    <s v="HS"/>
    <b v="1"/>
    <s v="382499"/>
    <s v="Chemical products, mixtures and preparations; n.e.c. heading 3824"/>
    <n v="6"/>
    <b v="1"/>
    <s v="C00"/>
    <s v="TOTAL CPC"/>
    <s v="0"/>
    <n v="0"/>
    <s v="TOTAL MOT"/>
    <n v="8"/>
    <s v="kg"/>
    <n v="57811.053999999996"/>
    <b v="1"/>
    <n v="-1"/>
    <s v="N/A"/>
    <n v="0"/>
    <b v="0"/>
    <n v="57811.053999999996"/>
    <b v="1"/>
    <n v="0"/>
    <b v="0"/>
    <n v="272806.09000000003"/>
    <m/>
    <n v="272806.09000000003"/>
    <n v="6"/>
    <b v="1"/>
    <b v="0"/>
  </r>
  <r>
    <s v="C"/>
    <s v="M"/>
    <n v="20240101"/>
    <x v="1"/>
    <x v="8"/>
    <s v="202401"/>
    <n v="818"/>
    <s v="EGY"/>
    <x v="0"/>
    <s v="M"/>
    <s v="Import"/>
    <n v="842"/>
    <s v="USA"/>
    <x v="28"/>
    <n v="0"/>
    <s v="W00"/>
    <s v="World"/>
    <s v="H6"/>
    <s v="HS"/>
    <b v="1"/>
    <s v="382499"/>
    <s v="Chemical products, mixtures and preparations; n.e.c. heading 3824"/>
    <n v="6"/>
    <b v="1"/>
    <s v="C00"/>
    <s v="TOTAL CPC"/>
    <s v="0"/>
    <n v="0"/>
    <s v="TOTAL MOT"/>
    <n v="8"/>
    <s v="kg"/>
    <n v="455140.91899999999"/>
    <b v="1"/>
    <n v="-1"/>
    <s v="N/A"/>
    <n v="0"/>
    <b v="0"/>
    <n v="455140.91899999999"/>
    <b v="1"/>
    <n v="0"/>
    <b v="0"/>
    <n v="2147776.3530000001"/>
    <m/>
    <n v="2147776.3530000001"/>
    <n v="6"/>
    <b v="1"/>
    <b v="0"/>
  </r>
  <r>
    <s v="C"/>
    <s v="M"/>
    <n v="20240601"/>
    <x v="1"/>
    <x v="6"/>
    <s v="202406"/>
    <n v="818"/>
    <s v="EGY"/>
    <x v="0"/>
    <s v="M"/>
    <s v="Import"/>
    <n v="842"/>
    <s v="USA"/>
    <x v="28"/>
    <n v="0"/>
    <s v="W00"/>
    <s v="World"/>
    <s v="H6"/>
    <s v="HS"/>
    <b v="1"/>
    <s v="382499"/>
    <s v="Chemical products, mixtures and preparations; n.e.c. heading 3824"/>
    <n v="6"/>
    <b v="1"/>
    <s v="C00"/>
    <s v="TOTAL CPC"/>
    <s v="0"/>
    <n v="0"/>
    <s v="TOTAL MOT"/>
    <n v="8"/>
    <s v="kg"/>
    <n v="1025812.499"/>
    <b v="1"/>
    <n v="-1"/>
    <s v="N/A"/>
    <n v="0"/>
    <b v="0"/>
    <n v="1025812.499"/>
    <b v="1"/>
    <n v="0"/>
    <b v="0"/>
    <n v="4840733.3569999998"/>
    <m/>
    <n v="4840733.3569999998"/>
    <n v="6"/>
    <b v="1"/>
    <b v="0"/>
  </r>
  <r>
    <s v="C"/>
    <s v="M"/>
    <n v="20240401"/>
    <x v="1"/>
    <x v="10"/>
    <s v="202404"/>
    <n v="818"/>
    <s v="EGY"/>
    <x v="0"/>
    <s v="M"/>
    <s v="Import"/>
    <n v="842"/>
    <s v="USA"/>
    <x v="28"/>
    <n v="0"/>
    <s v="W00"/>
    <s v="World"/>
    <s v="H6"/>
    <s v="HS"/>
    <b v="1"/>
    <s v="382499"/>
    <s v="Chemical products, mixtures and preparations; n.e.c. heading 3824"/>
    <n v="6"/>
    <b v="1"/>
    <s v="C00"/>
    <s v="TOTAL CPC"/>
    <s v="0"/>
    <n v="0"/>
    <s v="TOTAL MOT"/>
    <n v="8"/>
    <s v="kg"/>
    <n v="4679636.7170000002"/>
    <b v="1"/>
    <n v="-1"/>
    <s v="N/A"/>
    <n v="0"/>
    <b v="0"/>
    <n v="4679636.7170000002"/>
    <b v="1"/>
    <n v="0"/>
    <b v="0"/>
    <n v="22082859.767000001"/>
    <m/>
    <n v="22082859.767000001"/>
    <n v="6"/>
    <b v="1"/>
    <b v="0"/>
  </r>
  <r>
    <s v="C"/>
    <s v="M"/>
    <n v="20240501"/>
    <x v="1"/>
    <x v="11"/>
    <s v="202405"/>
    <n v="818"/>
    <s v="EGY"/>
    <x v="0"/>
    <s v="M"/>
    <s v="Import"/>
    <n v="842"/>
    <s v="USA"/>
    <x v="28"/>
    <n v="0"/>
    <s v="W00"/>
    <s v="World"/>
    <s v="H6"/>
    <s v="HS"/>
    <b v="1"/>
    <s v="382499"/>
    <s v="Chemical products, mixtures and preparations; n.e.c. heading 3824"/>
    <n v="6"/>
    <b v="1"/>
    <s v="C00"/>
    <s v="TOTAL CPC"/>
    <s v="0"/>
    <n v="0"/>
    <s v="TOTAL MOT"/>
    <n v="8"/>
    <s v="kg"/>
    <n v="1400781.4369999999"/>
    <b v="1"/>
    <n v="-1"/>
    <s v="N/A"/>
    <n v="0"/>
    <b v="0"/>
    <n v="1400781.4369999999"/>
    <b v="1"/>
    <n v="0"/>
    <b v="0"/>
    <n v="6610184.0590000004"/>
    <m/>
    <n v="6610184.0590000004"/>
    <n v="6"/>
    <b v="1"/>
    <b v="0"/>
  </r>
  <r>
    <s v="C"/>
    <s v="M"/>
    <n v="20240201"/>
    <x v="1"/>
    <x v="9"/>
    <s v="202402"/>
    <n v="818"/>
    <s v="EGY"/>
    <x v="0"/>
    <s v="M"/>
    <s v="Import"/>
    <n v="842"/>
    <s v="USA"/>
    <x v="28"/>
    <n v="0"/>
    <s v="W00"/>
    <s v="World"/>
    <s v="H6"/>
    <s v="HS"/>
    <b v="1"/>
    <s v="382499"/>
    <s v="Chemical products, mixtures and preparations; n.e.c. heading 3824"/>
    <n v="6"/>
    <b v="1"/>
    <s v="C00"/>
    <s v="TOTAL CPC"/>
    <s v="0"/>
    <n v="0"/>
    <s v="TOTAL MOT"/>
    <n v="8"/>
    <s v="kg"/>
    <n v="183146.818"/>
    <b v="1"/>
    <n v="-1"/>
    <s v="N/A"/>
    <n v="0"/>
    <b v="0"/>
    <n v="183146.818"/>
    <b v="1"/>
    <n v="0"/>
    <b v="0"/>
    <n v="864256.29500000004"/>
    <m/>
    <n v="864256.29500000004"/>
    <n v="6"/>
    <b v="1"/>
    <b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C"/>
    <s v="M"/>
    <n v="20240301"/>
    <x v="0"/>
    <x v="0"/>
    <s v="202403"/>
    <n v="818"/>
    <s v="EGY"/>
    <x v="0"/>
    <s v="M"/>
    <s v="Import"/>
    <n v="0"/>
    <s v="W00"/>
    <x v="0"/>
    <n v="0"/>
    <s v="W00"/>
    <s v="World"/>
    <s v="H6"/>
    <s v="HS"/>
    <b v="1"/>
    <s v="283919"/>
    <s v="Silicates; of sodium (excluding sodium metasilicates)"/>
    <n v="6"/>
    <b v="1"/>
    <s v="C00"/>
    <s v="TOTAL CPC"/>
    <s v="0"/>
    <n v="0"/>
    <s v="TOTAL MOT"/>
    <n v="8"/>
    <s v="kg"/>
    <n v="103420.861"/>
    <b v="1"/>
    <n v="-1"/>
    <s v="N/A"/>
    <n v="0"/>
    <b v="0"/>
    <n v="103420.861"/>
    <b v="1"/>
    <n v="0"/>
    <b v="0"/>
    <n v="60002.095000000001"/>
    <m/>
    <n v="60002.095000000001"/>
    <n v="6"/>
    <b v="0"/>
    <b v="1"/>
  </r>
  <r>
    <s v="C"/>
    <s v="M"/>
    <n v="20240401"/>
    <x v="0"/>
    <x v="1"/>
    <s v="202404"/>
    <n v="818"/>
    <s v="EGY"/>
    <x v="0"/>
    <s v="M"/>
    <s v="Import"/>
    <n v="0"/>
    <s v="W00"/>
    <x v="0"/>
    <n v="0"/>
    <s v="W00"/>
    <s v="World"/>
    <s v="H6"/>
    <s v="HS"/>
    <b v="1"/>
    <s v="283919"/>
    <s v="Silicates; of sodium (excluding sodium metasilicates)"/>
    <n v="6"/>
    <b v="1"/>
    <s v="C00"/>
    <s v="TOTAL CPC"/>
    <s v="0"/>
    <n v="0"/>
    <s v="TOTAL MOT"/>
    <n v="8"/>
    <s v="kg"/>
    <n v="99205.039000000004"/>
    <b v="1"/>
    <n v="-1"/>
    <s v="N/A"/>
    <n v="0"/>
    <b v="0"/>
    <n v="99205.039000000004"/>
    <b v="1"/>
    <n v="0"/>
    <b v="0"/>
    <n v="57556.184999999998"/>
    <m/>
    <n v="57556.184999999998"/>
    <n v="6"/>
    <b v="0"/>
    <b v="1"/>
  </r>
  <r>
    <s v="C"/>
    <s v="M"/>
    <n v="20240501"/>
    <x v="0"/>
    <x v="2"/>
    <s v="202405"/>
    <n v="818"/>
    <s v="EGY"/>
    <x v="0"/>
    <s v="M"/>
    <s v="Import"/>
    <n v="0"/>
    <s v="W00"/>
    <x v="0"/>
    <n v="0"/>
    <s v="W00"/>
    <s v="World"/>
    <s v="H6"/>
    <s v="HS"/>
    <b v="1"/>
    <s v="283919"/>
    <s v="Silicates; of sodium (excluding sodium metasilicates)"/>
    <n v="6"/>
    <b v="1"/>
    <s v="C00"/>
    <s v="TOTAL CPC"/>
    <s v="0"/>
    <n v="0"/>
    <s v="TOTAL MOT"/>
    <n v="8"/>
    <s v="kg"/>
    <n v="166291.06099999999"/>
    <b v="1"/>
    <n v="-1"/>
    <s v="N/A"/>
    <n v="0"/>
    <b v="0"/>
    <n v="166291.06099999999"/>
    <b v="1"/>
    <n v="0"/>
    <b v="0"/>
    <n v="96477.751000000004"/>
    <m/>
    <n v="96477.751000000004"/>
    <n v="6"/>
    <b v="0"/>
    <b v="1"/>
  </r>
  <r>
    <s v="C"/>
    <s v="M"/>
    <n v="20240101"/>
    <x v="0"/>
    <x v="3"/>
    <s v="202401"/>
    <n v="818"/>
    <s v="EGY"/>
    <x v="0"/>
    <s v="M"/>
    <s v="Import"/>
    <n v="0"/>
    <s v="W00"/>
    <x v="0"/>
    <n v="0"/>
    <s v="W00"/>
    <s v="World"/>
    <s v="H6"/>
    <s v="HS"/>
    <b v="1"/>
    <s v="283919"/>
    <s v="Silicates; of sodium (excluding sodium metasilicates)"/>
    <n v="6"/>
    <b v="1"/>
    <s v="C00"/>
    <s v="TOTAL CPC"/>
    <s v="0"/>
    <n v="0"/>
    <s v="TOTAL MOT"/>
    <n v="8"/>
    <s v="kg"/>
    <n v="120289.664"/>
    <b v="1"/>
    <n v="-1"/>
    <s v="N/A"/>
    <n v="0"/>
    <b v="0"/>
    <n v="120289.664"/>
    <b v="1"/>
    <n v="0"/>
    <b v="0"/>
    <n v="69788.937000000005"/>
    <m/>
    <n v="69788.937000000005"/>
    <n v="6"/>
    <b v="0"/>
    <b v="1"/>
  </r>
  <r>
    <s v="C"/>
    <s v="M"/>
    <n v="20240201"/>
    <x v="0"/>
    <x v="4"/>
    <s v="202402"/>
    <n v="818"/>
    <s v="EGY"/>
    <x v="0"/>
    <s v="M"/>
    <s v="Import"/>
    <n v="0"/>
    <s v="W00"/>
    <x v="0"/>
    <n v="0"/>
    <s v="W00"/>
    <s v="World"/>
    <s v="H6"/>
    <s v="HS"/>
    <b v="1"/>
    <s v="283919"/>
    <s v="Silicates; of sodium (excluding sodium metasilicates)"/>
    <n v="6"/>
    <b v="1"/>
    <s v="C00"/>
    <s v="TOTAL CPC"/>
    <s v="0"/>
    <n v="0"/>
    <s v="TOTAL MOT"/>
    <n v="8"/>
    <s v="kg"/>
    <n v="8593.4030000000002"/>
    <b v="1"/>
    <n v="-1"/>
    <s v="N/A"/>
    <n v="0"/>
    <b v="0"/>
    <n v="8593.4030000000002"/>
    <b v="1"/>
    <n v="0"/>
    <b v="0"/>
    <n v="4985.6689999999999"/>
    <m/>
    <n v="4985.6689999999999"/>
    <n v="6"/>
    <b v="0"/>
    <b v="1"/>
  </r>
  <r>
    <s v="C"/>
    <s v="M"/>
    <n v="20240501"/>
    <x v="0"/>
    <x v="2"/>
    <s v="202405"/>
    <n v="818"/>
    <s v="EGY"/>
    <x v="0"/>
    <s v="M"/>
    <s v="Import"/>
    <n v="699"/>
    <s v="IND"/>
    <x v="1"/>
    <n v="0"/>
    <s v="W00"/>
    <s v="World"/>
    <s v="H6"/>
    <s v="HS"/>
    <b v="1"/>
    <s v="283919"/>
    <s v="Silicates; of sodium (excluding sodium metasilicates)"/>
    <n v="6"/>
    <b v="1"/>
    <s v="C00"/>
    <s v="TOTAL CPC"/>
    <s v="0"/>
    <n v="0"/>
    <s v="TOTAL MOT"/>
    <n v="8"/>
    <s v="kg"/>
    <n v="37658.6"/>
    <b v="1"/>
    <n v="-1"/>
    <s v="N/A"/>
    <n v="0"/>
    <b v="0"/>
    <n v="37658.6"/>
    <b v="1"/>
    <n v="0"/>
    <b v="0"/>
    <n v="21848.541000000001"/>
    <m/>
    <n v="21848.541000000001"/>
    <n v="6"/>
    <b v="1"/>
    <b v="0"/>
  </r>
  <r>
    <s v="C"/>
    <s v="M"/>
    <n v="20240401"/>
    <x v="0"/>
    <x v="1"/>
    <s v="202404"/>
    <n v="818"/>
    <s v="EGY"/>
    <x v="0"/>
    <s v="M"/>
    <s v="Import"/>
    <n v="699"/>
    <s v="IND"/>
    <x v="1"/>
    <n v="0"/>
    <s v="W00"/>
    <s v="World"/>
    <s v="H6"/>
    <s v="HS"/>
    <b v="1"/>
    <s v="283919"/>
    <s v="Silicates; of sodium (excluding sodium metasilicates)"/>
    <n v="6"/>
    <b v="1"/>
    <s v="C00"/>
    <s v="TOTAL CPC"/>
    <s v="0"/>
    <n v="0"/>
    <s v="TOTAL MOT"/>
    <n v="8"/>
    <s v="kg"/>
    <n v="19247.757000000001"/>
    <b v="1"/>
    <n v="-1"/>
    <s v="N/A"/>
    <n v="0"/>
    <b v="0"/>
    <n v="19247.757000000001"/>
    <b v="1"/>
    <n v="0"/>
    <b v="0"/>
    <n v="11167.048000000001"/>
    <m/>
    <n v="11167.048000000001"/>
    <n v="6"/>
    <b v="1"/>
    <b v="0"/>
  </r>
  <r>
    <s v="C"/>
    <s v="M"/>
    <n v="20240101"/>
    <x v="0"/>
    <x v="3"/>
    <s v="202401"/>
    <n v="818"/>
    <s v="EGY"/>
    <x v="0"/>
    <s v="M"/>
    <s v="Import"/>
    <n v="699"/>
    <s v="IND"/>
    <x v="1"/>
    <n v="0"/>
    <s v="W00"/>
    <s v="World"/>
    <s v="H6"/>
    <s v="HS"/>
    <b v="1"/>
    <s v="283919"/>
    <s v="Silicates; of sodium (excluding sodium metasilicates)"/>
    <n v="6"/>
    <b v="1"/>
    <s v="C00"/>
    <s v="TOTAL CPC"/>
    <s v="0"/>
    <n v="0"/>
    <s v="TOTAL MOT"/>
    <n v="8"/>
    <s v="kg"/>
    <n v="18829.293000000001"/>
    <b v="1"/>
    <n v="-1"/>
    <s v="N/A"/>
    <n v="0"/>
    <b v="0"/>
    <n v="18829.293000000001"/>
    <b v="1"/>
    <n v="0"/>
    <b v="0"/>
    <n v="10924.267"/>
    <m/>
    <n v="10924.267"/>
    <n v="6"/>
    <b v="1"/>
    <b v="0"/>
  </r>
  <r>
    <s v="C"/>
    <s v="M"/>
    <n v="20240501"/>
    <x v="0"/>
    <x v="2"/>
    <s v="202405"/>
    <n v="818"/>
    <s v="EGY"/>
    <x v="0"/>
    <s v="M"/>
    <s v="Import"/>
    <n v="842"/>
    <s v="USA"/>
    <x v="2"/>
    <n v="0"/>
    <s v="W00"/>
    <s v="World"/>
    <s v="H6"/>
    <s v="HS"/>
    <b v="1"/>
    <s v="283919"/>
    <s v="Silicates; of sodium (excluding sodium metasilicates)"/>
    <n v="6"/>
    <b v="1"/>
    <s v="C00"/>
    <s v="TOTAL CPC"/>
    <s v="0"/>
    <n v="0"/>
    <s v="TOTAL MOT"/>
    <n v="8"/>
    <s v="kg"/>
    <n v="96719.077000000005"/>
    <b v="1"/>
    <n v="-1"/>
    <s v="N/A"/>
    <n v="0"/>
    <b v="0"/>
    <n v="96719.077000000005"/>
    <b v="1"/>
    <n v="0"/>
    <b v="0"/>
    <n v="56113.894999999997"/>
    <m/>
    <n v="56113.894999999997"/>
    <n v="6"/>
    <b v="1"/>
    <b v="0"/>
  </r>
  <r>
    <s v="C"/>
    <s v="M"/>
    <n v="20240301"/>
    <x v="0"/>
    <x v="0"/>
    <s v="202403"/>
    <n v="818"/>
    <s v="EGY"/>
    <x v="0"/>
    <s v="M"/>
    <s v="Import"/>
    <n v="842"/>
    <s v="USA"/>
    <x v="2"/>
    <n v="0"/>
    <s v="W00"/>
    <s v="World"/>
    <s v="H6"/>
    <s v="HS"/>
    <b v="1"/>
    <s v="283919"/>
    <s v="Silicates; of sodium (excluding sodium metasilicates)"/>
    <n v="6"/>
    <b v="1"/>
    <s v="C00"/>
    <s v="TOTAL CPC"/>
    <s v="0"/>
    <n v="0"/>
    <s v="TOTAL MOT"/>
    <n v="8"/>
    <s v="kg"/>
    <n v="97694.835000000006"/>
    <b v="1"/>
    <n v="-1"/>
    <s v="N/A"/>
    <n v="0"/>
    <b v="0"/>
    <n v="97694.835000000006"/>
    <b v="1"/>
    <n v="0"/>
    <b v="0"/>
    <n v="56680.004000000001"/>
    <m/>
    <n v="56680.004000000001"/>
    <n v="6"/>
    <b v="1"/>
    <b v="0"/>
  </r>
  <r>
    <s v="C"/>
    <s v="M"/>
    <n v="20240101"/>
    <x v="0"/>
    <x v="3"/>
    <s v="202401"/>
    <n v="818"/>
    <s v="EGY"/>
    <x v="0"/>
    <s v="M"/>
    <s v="Import"/>
    <n v="842"/>
    <s v="USA"/>
    <x v="2"/>
    <n v="0"/>
    <s v="W00"/>
    <s v="World"/>
    <s v="H6"/>
    <s v="HS"/>
    <b v="1"/>
    <s v="283919"/>
    <s v="Silicates; of sodium (excluding sodium metasilicates)"/>
    <n v="6"/>
    <b v="1"/>
    <s v="C00"/>
    <s v="TOTAL CPC"/>
    <s v="0"/>
    <n v="0"/>
    <s v="TOTAL MOT"/>
    <n v="8"/>
    <s v="kg"/>
    <n v="96846.153999999995"/>
    <b v="1"/>
    <n v="-1"/>
    <s v="N/A"/>
    <n v="0"/>
    <b v="0"/>
    <n v="96846.153999999995"/>
    <b v="1"/>
    <n v="0"/>
    <b v="0"/>
    <n v="56187.620999999999"/>
    <m/>
    <n v="56187.620999999999"/>
    <n v="6"/>
    <b v="1"/>
    <b v="0"/>
  </r>
  <r>
    <s v="C"/>
    <s v="M"/>
    <n v="20240201"/>
    <x v="0"/>
    <x v="4"/>
    <s v="202402"/>
    <n v="818"/>
    <s v="EGY"/>
    <x v="0"/>
    <s v="M"/>
    <s v="Import"/>
    <n v="156"/>
    <s v="CHN"/>
    <x v="3"/>
    <n v="0"/>
    <s v="W00"/>
    <s v="World"/>
    <s v="H6"/>
    <s v="HS"/>
    <b v="1"/>
    <s v="283919"/>
    <s v="Silicates; of sodium (excluding sodium metasilicates)"/>
    <n v="6"/>
    <b v="1"/>
    <s v="C00"/>
    <s v="TOTAL CPC"/>
    <s v="0"/>
    <n v="0"/>
    <s v="TOTAL MOT"/>
    <n v="8"/>
    <s v="kg"/>
    <n v="3504.799"/>
    <b v="1"/>
    <n v="-1"/>
    <s v="N/A"/>
    <n v="0"/>
    <b v="0"/>
    <n v="3504.799"/>
    <b v="1"/>
    <n v="0"/>
    <b v="0"/>
    <n v="2033.393"/>
    <m/>
    <n v="2033.393"/>
    <n v="6"/>
    <b v="1"/>
    <b v="0"/>
  </r>
  <r>
    <s v="C"/>
    <s v="M"/>
    <n v="20240301"/>
    <x v="0"/>
    <x v="0"/>
    <s v="202403"/>
    <n v="818"/>
    <s v="EGY"/>
    <x v="0"/>
    <s v="M"/>
    <s v="Import"/>
    <n v="156"/>
    <s v="CHN"/>
    <x v="3"/>
    <n v="0"/>
    <s v="W00"/>
    <s v="World"/>
    <s v="H6"/>
    <s v="HS"/>
    <b v="1"/>
    <s v="283919"/>
    <s v="Silicates; of sodium (excluding sodium metasilicates)"/>
    <n v="6"/>
    <b v="1"/>
    <s v="C00"/>
    <s v="TOTAL CPC"/>
    <s v="0"/>
    <n v="0"/>
    <s v="TOTAL MOT"/>
    <n v="8"/>
    <s v="kg"/>
    <n v="5726.0259999999998"/>
    <b v="1"/>
    <n v="-1"/>
    <s v="N/A"/>
    <n v="0"/>
    <b v="0"/>
    <n v="5726.0259999999998"/>
    <b v="1"/>
    <n v="0"/>
    <b v="0"/>
    <n v="3322.0909999999999"/>
    <m/>
    <n v="3322.0909999999999"/>
    <n v="6"/>
    <b v="1"/>
    <b v="0"/>
  </r>
  <r>
    <s v="C"/>
    <s v="M"/>
    <n v="20240501"/>
    <x v="0"/>
    <x v="2"/>
    <s v="202405"/>
    <n v="818"/>
    <s v="EGY"/>
    <x v="0"/>
    <s v="M"/>
    <s v="Import"/>
    <n v="156"/>
    <s v="CHN"/>
    <x v="3"/>
    <n v="0"/>
    <s v="W00"/>
    <s v="World"/>
    <s v="H6"/>
    <s v="HS"/>
    <b v="1"/>
    <s v="283919"/>
    <s v="Silicates; of sodium (excluding sodium metasilicates)"/>
    <n v="6"/>
    <b v="1"/>
    <s v="C00"/>
    <s v="TOTAL CPC"/>
    <s v="0"/>
    <n v="0"/>
    <s v="TOTAL MOT"/>
    <n v="8"/>
    <s v="kg"/>
    <n v="21856.260999999999"/>
    <b v="1"/>
    <n v="-1"/>
    <s v="N/A"/>
    <n v="0"/>
    <b v="0"/>
    <n v="21856.260999999999"/>
    <b v="1"/>
    <n v="0"/>
    <b v="0"/>
    <n v="12680.434999999999"/>
    <m/>
    <n v="12680.434999999999"/>
    <n v="6"/>
    <b v="1"/>
    <b v="0"/>
  </r>
  <r>
    <s v="C"/>
    <s v="M"/>
    <n v="20240401"/>
    <x v="0"/>
    <x v="1"/>
    <s v="202404"/>
    <n v="818"/>
    <s v="EGY"/>
    <x v="0"/>
    <s v="M"/>
    <s v="Import"/>
    <n v="784"/>
    <s v="ARE"/>
    <x v="4"/>
    <n v="0"/>
    <s v="W00"/>
    <s v="World"/>
    <s v="H6"/>
    <s v="HS"/>
    <b v="1"/>
    <s v="283919"/>
    <s v="Silicates; of sodium (excluding sodium metasilicates)"/>
    <n v="6"/>
    <b v="1"/>
    <s v="C00"/>
    <s v="TOTAL CPC"/>
    <s v="0"/>
    <n v="0"/>
    <s v="TOTAL MOT"/>
    <n v="8"/>
    <s v="kg"/>
    <n v="7799.7110000000002"/>
    <b v="1"/>
    <n v="-1"/>
    <s v="N/A"/>
    <n v="0"/>
    <b v="0"/>
    <n v="7799.7110000000002"/>
    <b v="1"/>
    <n v="0"/>
    <b v="0"/>
    <n v="4525.1899999999996"/>
    <m/>
    <n v="4525.1899999999996"/>
    <n v="6"/>
    <b v="1"/>
    <b v="0"/>
  </r>
  <r>
    <s v="C"/>
    <s v="M"/>
    <n v="20240201"/>
    <x v="0"/>
    <x v="4"/>
    <s v="202402"/>
    <n v="818"/>
    <s v="EGY"/>
    <x v="0"/>
    <s v="M"/>
    <s v="Import"/>
    <n v="724"/>
    <s v="ESP"/>
    <x v="5"/>
    <n v="0"/>
    <s v="W00"/>
    <s v="World"/>
    <s v="H6"/>
    <s v="HS"/>
    <b v="1"/>
    <s v="283919"/>
    <s v="Silicates; of sodium (excluding sodium metasilicates)"/>
    <n v="6"/>
    <b v="1"/>
    <s v="C00"/>
    <s v="TOTAL CPC"/>
    <s v="0"/>
    <n v="0"/>
    <s v="TOTAL MOT"/>
    <n v="8"/>
    <s v="kg"/>
    <n v="4323.5050000000001"/>
    <b v="1"/>
    <n v="-1"/>
    <s v="N/A"/>
    <n v="0"/>
    <b v="0"/>
    <n v="4323.5050000000001"/>
    <b v="1"/>
    <n v="0"/>
    <b v="0"/>
    <n v="2508.3850000000002"/>
    <m/>
    <n v="2508.3850000000002"/>
    <n v="6"/>
    <b v="1"/>
    <b v="0"/>
  </r>
  <r>
    <s v="C"/>
    <s v="M"/>
    <n v="20240101"/>
    <x v="0"/>
    <x v="3"/>
    <s v="202401"/>
    <n v="818"/>
    <s v="EGY"/>
    <x v="0"/>
    <s v="M"/>
    <s v="Import"/>
    <n v="724"/>
    <s v="ESP"/>
    <x v="5"/>
    <n v="0"/>
    <s v="W00"/>
    <s v="World"/>
    <s v="H6"/>
    <s v="HS"/>
    <b v="1"/>
    <s v="283919"/>
    <s v="Silicates; of sodium (excluding sodium metasilicates)"/>
    <n v="6"/>
    <b v="1"/>
    <s v="C00"/>
    <s v="TOTAL CPC"/>
    <s v="0"/>
    <n v="0"/>
    <s v="TOTAL MOT"/>
    <n v="8"/>
    <s v="kg"/>
    <n v="4614.2169999999996"/>
    <b v="1"/>
    <n v="-1"/>
    <s v="N/A"/>
    <n v="0"/>
    <b v="0"/>
    <n v="4614.2169999999996"/>
    <b v="1"/>
    <n v="0"/>
    <b v="0"/>
    <n v="2677.049"/>
    <m/>
    <n v="2677.049"/>
    <n v="6"/>
    <b v="1"/>
    <b v="0"/>
  </r>
  <r>
    <s v="C"/>
    <s v="M"/>
    <n v="20240401"/>
    <x v="0"/>
    <x v="1"/>
    <s v="202404"/>
    <n v="818"/>
    <s v="EGY"/>
    <x v="0"/>
    <s v="M"/>
    <s v="Import"/>
    <n v="682"/>
    <s v="SAU"/>
    <x v="6"/>
    <n v="0"/>
    <s v="W00"/>
    <s v="World"/>
    <s v="H6"/>
    <s v="HS"/>
    <b v="1"/>
    <s v="283919"/>
    <s v="Silicates; of sodium (excluding sodium metasilicates)"/>
    <n v="6"/>
    <b v="1"/>
    <s v="C00"/>
    <s v="TOTAL CPC"/>
    <s v="0"/>
    <n v="0"/>
    <s v="TOTAL MOT"/>
    <n v="8"/>
    <s v="kg"/>
    <n v="57348.264999999999"/>
    <b v="1"/>
    <n v="-1"/>
    <s v="N/A"/>
    <n v="0"/>
    <b v="0"/>
    <n v="57348.264999999999"/>
    <b v="1"/>
    <n v="0"/>
    <b v="0"/>
    <n v="33271.972999999998"/>
    <m/>
    <n v="33271.972999999998"/>
    <n v="6"/>
    <b v="1"/>
    <b v="0"/>
  </r>
  <r>
    <s v="C"/>
    <s v="M"/>
    <n v="20240401"/>
    <x v="0"/>
    <x v="1"/>
    <s v="202404"/>
    <n v="818"/>
    <s v="EGY"/>
    <x v="0"/>
    <s v="M"/>
    <s v="Import"/>
    <n v="792"/>
    <s v="TUR"/>
    <x v="7"/>
    <n v="0"/>
    <s v="W00"/>
    <s v="World"/>
    <s v="H6"/>
    <s v="HS"/>
    <b v="1"/>
    <s v="283919"/>
    <s v="Silicates; of sodium (excluding sodium metasilicates)"/>
    <n v="6"/>
    <b v="1"/>
    <s v="C00"/>
    <s v="TOTAL CPC"/>
    <s v="0"/>
    <n v="0"/>
    <s v="TOTAL MOT"/>
    <n v="8"/>
    <s v="kg"/>
    <n v="14809.306"/>
    <b v="1"/>
    <n v="-1"/>
    <s v="N/A"/>
    <n v="0"/>
    <b v="0"/>
    <n v="14809.306"/>
    <b v="1"/>
    <n v="0"/>
    <b v="0"/>
    <n v="8591.9750000000004"/>
    <m/>
    <n v="8591.9750000000004"/>
    <n v="6"/>
    <b v="1"/>
    <b v="0"/>
  </r>
  <r>
    <s v="C"/>
    <s v="M"/>
    <n v="20240501"/>
    <x v="0"/>
    <x v="2"/>
    <s v="202405"/>
    <n v="818"/>
    <s v="EGY"/>
    <x v="0"/>
    <s v="M"/>
    <s v="Import"/>
    <n v="276"/>
    <s v="DEU"/>
    <x v="8"/>
    <n v="0"/>
    <s v="W00"/>
    <s v="World"/>
    <s v="H6"/>
    <s v="HS"/>
    <b v="1"/>
    <s v="283919"/>
    <s v="Silicates; of sodium (excluding sodium metasilicates)"/>
    <n v="6"/>
    <b v="1"/>
    <s v="C00"/>
    <s v="TOTAL CPC"/>
    <s v="0"/>
    <n v="0"/>
    <s v="TOTAL MOT"/>
    <n v="8"/>
    <s v="kg"/>
    <n v="10057.123"/>
    <b v="1"/>
    <n v="-1"/>
    <s v="N/A"/>
    <n v="0"/>
    <b v="0"/>
    <n v="10057.123"/>
    <b v="1"/>
    <n v="0"/>
    <b v="0"/>
    <n v="5834.8810000000003"/>
    <m/>
    <n v="5834.8810000000003"/>
    <n v="6"/>
    <b v="1"/>
    <b v="0"/>
  </r>
  <r>
    <s v="C"/>
    <s v="M"/>
    <n v="20240201"/>
    <x v="0"/>
    <x v="4"/>
    <s v="202402"/>
    <n v="818"/>
    <s v="EGY"/>
    <x v="0"/>
    <s v="M"/>
    <s v="Import"/>
    <n v="276"/>
    <s v="DEU"/>
    <x v="8"/>
    <n v="0"/>
    <s v="W00"/>
    <s v="World"/>
    <s v="H6"/>
    <s v="HS"/>
    <b v="1"/>
    <s v="283919"/>
    <s v="Silicates; of sodium (excluding sodium metasilicates)"/>
    <n v="6"/>
    <b v="1"/>
    <s v="C00"/>
    <s v="TOTAL CPC"/>
    <s v="0"/>
    <n v="0"/>
    <s v="TOTAL MOT"/>
    <n v="8"/>
    <s v="kg"/>
    <n v="765.09900000000005"/>
    <b v="1"/>
    <n v="-1"/>
    <s v="N/A"/>
    <n v="0"/>
    <b v="0"/>
    <n v="765.09900000000005"/>
    <b v="1"/>
    <n v="0"/>
    <b v="0"/>
    <n v="443.89100000000002"/>
    <m/>
    <n v="443.89100000000002"/>
    <n v="6"/>
    <b v="1"/>
    <b v="0"/>
  </r>
  <r>
    <s v="C"/>
    <s v="M"/>
    <n v="20230701"/>
    <x v="1"/>
    <x v="5"/>
    <s v="202307"/>
    <n v="818"/>
    <s v="EGY"/>
    <x v="0"/>
    <s v="M"/>
    <s v="Import"/>
    <n v="0"/>
    <s v="W00"/>
    <x v="0"/>
    <n v="0"/>
    <s v="W00"/>
    <s v="World"/>
    <s v="H6"/>
    <s v="HS"/>
    <b v="1"/>
    <s v="283919"/>
    <s v="Silicates; of sodium (excluding sodium metasilicates)"/>
    <n v="6"/>
    <b v="1"/>
    <s v="C00"/>
    <s v="TOTAL CPC"/>
    <s v="0"/>
    <n v="0"/>
    <s v="TOTAL MOT"/>
    <n v="8"/>
    <s v="kg"/>
    <n v="4719.2740000000003"/>
    <b v="1"/>
    <n v="-1"/>
    <s v="N/A"/>
    <n v="0"/>
    <b v="0"/>
    <n v="4719.2740000000003"/>
    <b v="1"/>
    <n v="0"/>
    <b v="0"/>
    <n v="2738"/>
    <m/>
    <n v="2738"/>
    <n v="6"/>
    <b v="0"/>
    <b v="1"/>
  </r>
  <r>
    <s v="C"/>
    <s v="M"/>
    <n v="20230701"/>
    <x v="1"/>
    <x v="5"/>
    <s v="202307"/>
    <n v="818"/>
    <s v="EGY"/>
    <x v="0"/>
    <s v="M"/>
    <s v="Import"/>
    <n v="156"/>
    <s v="CHN"/>
    <x v="3"/>
    <n v="0"/>
    <s v="W00"/>
    <s v="World"/>
    <s v="H6"/>
    <s v="HS"/>
    <b v="1"/>
    <s v="283919"/>
    <s v="Silicates; of sodium (excluding sodium metasilicates)"/>
    <n v="6"/>
    <b v="1"/>
    <s v="C00"/>
    <s v="TOTAL CPC"/>
    <s v="0"/>
    <n v="0"/>
    <s v="TOTAL MOT"/>
    <n v="8"/>
    <s v="kg"/>
    <n v="4719.2740000000003"/>
    <b v="1"/>
    <n v="-1"/>
    <s v="N/A"/>
    <n v="0"/>
    <b v="0"/>
    <n v="4719.2740000000003"/>
    <b v="1"/>
    <n v="0"/>
    <b v="0"/>
    <n v="2738"/>
    <m/>
    <n v="2738"/>
    <n v="6"/>
    <b v="1"/>
    <b v="0"/>
  </r>
  <r>
    <s v="C"/>
    <s v="M"/>
    <n v="20230801"/>
    <x v="1"/>
    <x v="6"/>
    <s v="202308"/>
    <n v="818"/>
    <s v="EGY"/>
    <x v="0"/>
    <s v="M"/>
    <s v="Import"/>
    <n v="0"/>
    <s v="W00"/>
    <x v="0"/>
    <n v="0"/>
    <s v="W00"/>
    <s v="World"/>
    <s v="H6"/>
    <s v="HS"/>
    <b v="1"/>
    <s v="283919"/>
    <s v="Silicates; of sodium (excluding sodium metasilicates)"/>
    <n v="6"/>
    <b v="1"/>
    <s v="C00"/>
    <s v="TOTAL CPC"/>
    <s v="0"/>
    <n v="0"/>
    <s v="TOTAL MOT"/>
    <n v="8"/>
    <s v="kg"/>
    <n v="34066.163"/>
    <b v="1"/>
    <n v="-1"/>
    <s v="N/A"/>
    <n v="0"/>
    <b v="0"/>
    <n v="34066.163"/>
    <b v="1"/>
    <n v="0"/>
    <b v="0"/>
    <n v="19764.302"/>
    <m/>
    <n v="19764.302"/>
    <n v="6"/>
    <b v="0"/>
    <b v="1"/>
  </r>
  <r>
    <s v="C"/>
    <s v="M"/>
    <n v="20230801"/>
    <x v="1"/>
    <x v="6"/>
    <s v="202308"/>
    <n v="818"/>
    <s v="EGY"/>
    <x v="0"/>
    <s v="M"/>
    <s v="Import"/>
    <n v="344"/>
    <s v="HKG"/>
    <x v="9"/>
    <n v="0"/>
    <s v="W00"/>
    <s v="World"/>
    <s v="H6"/>
    <s v="HS"/>
    <b v="1"/>
    <s v="283919"/>
    <s v="Silicates; of sodium (excluding sodium metasilicates)"/>
    <n v="6"/>
    <b v="1"/>
    <s v="C00"/>
    <s v="TOTAL CPC"/>
    <s v="0"/>
    <n v="0"/>
    <s v="TOTAL MOT"/>
    <n v="8"/>
    <s v="kg"/>
    <n v="14665.683999999999"/>
    <b v="1"/>
    <n v="-1"/>
    <s v="N/A"/>
    <n v="0"/>
    <b v="0"/>
    <n v="14665.683999999999"/>
    <b v="1"/>
    <n v="0"/>
    <b v="0"/>
    <n v="8508.6479999999992"/>
    <m/>
    <n v="8508.6479999999992"/>
    <n v="6"/>
    <b v="1"/>
    <b v="0"/>
  </r>
  <r>
    <s v="C"/>
    <s v="M"/>
    <n v="20230801"/>
    <x v="1"/>
    <x v="6"/>
    <s v="202308"/>
    <n v="818"/>
    <s v="EGY"/>
    <x v="0"/>
    <s v="M"/>
    <s v="Import"/>
    <n v="699"/>
    <s v="IND"/>
    <x v="1"/>
    <n v="0"/>
    <s v="W00"/>
    <s v="World"/>
    <s v="H6"/>
    <s v="HS"/>
    <b v="1"/>
    <s v="283919"/>
    <s v="Silicates; of sodium (excluding sodium metasilicates)"/>
    <n v="6"/>
    <b v="1"/>
    <s v="C00"/>
    <s v="TOTAL CPC"/>
    <s v="0"/>
    <n v="0"/>
    <s v="TOTAL MOT"/>
    <n v="8"/>
    <s v="kg"/>
    <n v="18829.293000000001"/>
    <b v="1"/>
    <n v="-1"/>
    <s v="N/A"/>
    <n v="0"/>
    <b v="0"/>
    <n v="18829.293000000001"/>
    <b v="1"/>
    <n v="0"/>
    <b v="0"/>
    <n v="10924.267"/>
    <m/>
    <n v="10924.267"/>
    <n v="6"/>
    <b v="1"/>
    <b v="0"/>
  </r>
  <r>
    <s v="C"/>
    <s v="M"/>
    <n v="20230801"/>
    <x v="1"/>
    <x v="6"/>
    <s v="202308"/>
    <n v="818"/>
    <s v="EGY"/>
    <x v="0"/>
    <s v="M"/>
    <s v="Import"/>
    <n v="156"/>
    <s v="CHN"/>
    <x v="3"/>
    <n v="0"/>
    <s v="W00"/>
    <s v="World"/>
    <s v="H6"/>
    <s v="HS"/>
    <b v="1"/>
    <s v="283919"/>
    <s v="Silicates; of sodium (excluding sodium metasilicates)"/>
    <n v="6"/>
    <b v="1"/>
    <s v="C00"/>
    <s v="TOTAL CPC"/>
    <s v="0"/>
    <n v="0"/>
    <s v="TOTAL MOT"/>
    <n v="8"/>
    <s v="kg"/>
    <n v="571.18600000000004"/>
    <b v="1"/>
    <n v="-1"/>
    <s v="N/A"/>
    <n v="0"/>
    <b v="0"/>
    <n v="571.18600000000004"/>
    <b v="1"/>
    <n v="0"/>
    <b v="0"/>
    <n v="331.387"/>
    <m/>
    <n v="331.387"/>
    <n v="6"/>
    <b v="1"/>
    <b v="0"/>
  </r>
  <r>
    <s v="C"/>
    <s v="M"/>
    <n v="20230901"/>
    <x v="1"/>
    <x v="7"/>
    <s v="202309"/>
    <n v="818"/>
    <s v="EGY"/>
    <x v="0"/>
    <s v="M"/>
    <s v="Import"/>
    <n v="0"/>
    <s v="W00"/>
    <x v="0"/>
    <n v="0"/>
    <s v="W00"/>
    <s v="World"/>
    <s v="H6"/>
    <s v="HS"/>
    <b v="1"/>
    <s v="283919"/>
    <s v="Silicates; of sodium (excluding sodium metasilicates)"/>
    <n v="6"/>
    <b v="1"/>
    <s v="C00"/>
    <s v="TOTAL CPC"/>
    <s v="0"/>
    <n v="0"/>
    <s v="TOTAL MOT"/>
    <n v="8"/>
    <s v="kg"/>
    <n v="118709.70299999999"/>
    <b v="1"/>
    <n v="-1"/>
    <s v="N/A"/>
    <n v="0"/>
    <b v="0"/>
    <n v="118709.70299999999"/>
    <b v="1"/>
    <n v="0"/>
    <b v="0"/>
    <n v="68872.284"/>
    <m/>
    <n v="68872.284"/>
    <n v="6"/>
    <b v="0"/>
    <b v="1"/>
  </r>
  <r>
    <s v="C"/>
    <s v="M"/>
    <n v="20230901"/>
    <x v="1"/>
    <x v="7"/>
    <s v="202309"/>
    <n v="818"/>
    <s v="EGY"/>
    <x v="0"/>
    <s v="M"/>
    <s v="Import"/>
    <n v="344"/>
    <s v="HKG"/>
    <x v="9"/>
    <n v="0"/>
    <s v="W00"/>
    <s v="World"/>
    <s v="H6"/>
    <s v="HS"/>
    <b v="1"/>
    <s v="283919"/>
    <s v="Silicates; of sodium (excluding sodium metasilicates)"/>
    <n v="6"/>
    <b v="1"/>
    <s v="C00"/>
    <s v="TOTAL CPC"/>
    <s v="0"/>
    <n v="0"/>
    <s v="TOTAL MOT"/>
    <n v="8"/>
    <s v="kg"/>
    <n v="5695.3410000000003"/>
    <b v="1"/>
    <n v="-1"/>
    <s v="N/A"/>
    <n v="0"/>
    <b v="0"/>
    <n v="5695.3410000000003"/>
    <b v="1"/>
    <n v="0"/>
    <b v="0"/>
    <n v="3304.2890000000002"/>
    <m/>
    <n v="3304.2890000000002"/>
    <n v="6"/>
    <b v="1"/>
    <b v="0"/>
  </r>
  <r>
    <s v="C"/>
    <s v="M"/>
    <n v="20230901"/>
    <x v="1"/>
    <x v="7"/>
    <s v="202309"/>
    <n v="818"/>
    <s v="EGY"/>
    <x v="0"/>
    <s v="M"/>
    <s v="Import"/>
    <n v="842"/>
    <s v="USA"/>
    <x v="2"/>
    <n v="0"/>
    <s v="W00"/>
    <s v="World"/>
    <s v="H6"/>
    <s v="HS"/>
    <b v="1"/>
    <s v="283919"/>
    <s v="Silicates; of sodium (excluding sodium metasilicates)"/>
    <n v="6"/>
    <b v="1"/>
    <s v="C00"/>
    <s v="TOTAL CPC"/>
    <s v="0"/>
    <n v="0"/>
    <s v="TOTAL MOT"/>
    <n v="8"/>
    <s v="kg"/>
    <n v="96926.324999999997"/>
    <b v="1"/>
    <n v="-1"/>
    <s v="N/A"/>
    <n v="0"/>
    <b v="0"/>
    <n v="96926.324999999997"/>
    <b v="1"/>
    <n v="0"/>
    <b v="0"/>
    <n v="56234.135000000002"/>
    <m/>
    <n v="56234.135000000002"/>
    <n v="6"/>
    <b v="1"/>
    <b v="0"/>
  </r>
  <r>
    <s v="C"/>
    <s v="M"/>
    <n v="20230901"/>
    <x v="1"/>
    <x v="7"/>
    <s v="202309"/>
    <n v="818"/>
    <s v="EGY"/>
    <x v="0"/>
    <s v="M"/>
    <s v="Import"/>
    <n v="156"/>
    <s v="CHN"/>
    <x v="3"/>
    <n v="0"/>
    <s v="W00"/>
    <s v="World"/>
    <s v="H6"/>
    <s v="HS"/>
    <b v="1"/>
    <s v="283919"/>
    <s v="Silicates; of sodium (excluding sodium metasilicates)"/>
    <n v="6"/>
    <b v="1"/>
    <s v="C00"/>
    <s v="TOTAL CPC"/>
    <s v="0"/>
    <n v="0"/>
    <s v="TOTAL MOT"/>
    <n v="8"/>
    <s v="kg"/>
    <n v="16088.036"/>
    <b v="1"/>
    <n v="-1"/>
    <s v="N/A"/>
    <n v="0"/>
    <b v="0"/>
    <n v="16088.036"/>
    <b v="1"/>
    <n v="0"/>
    <b v="0"/>
    <n v="9333.86"/>
    <m/>
    <n v="9333.86"/>
    <n v="6"/>
    <b v="1"/>
    <b v="0"/>
  </r>
  <r>
    <s v="C"/>
    <s v="M"/>
    <n v="20231001"/>
    <x v="1"/>
    <x v="8"/>
    <s v="202310"/>
    <n v="818"/>
    <s v="EGY"/>
    <x v="0"/>
    <s v="M"/>
    <s v="Import"/>
    <n v="0"/>
    <s v="W00"/>
    <x v="0"/>
    <n v="0"/>
    <s v="W00"/>
    <s v="World"/>
    <s v="H6"/>
    <s v="HS"/>
    <b v="1"/>
    <s v="283919"/>
    <s v="Silicates; of sodium (excluding sodium metasilicates)"/>
    <n v="6"/>
    <b v="1"/>
    <s v="C00"/>
    <s v="TOTAL CPC"/>
    <s v="0"/>
    <n v="0"/>
    <s v="TOTAL MOT"/>
    <n v="8"/>
    <s v="kg"/>
    <n v="77065.267999999996"/>
    <b v="1"/>
    <n v="-1"/>
    <s v="N/A"/>
    <n v="0"/>
    <b v="0"/>
    <n v="77065.267999999996"/>
    <b v="1"/>
    <n v="0"/>
    <b v="0"/>
    <n v="44711.264999999999"/>
    <m/>
    <n v="44711.264999999999"/>
    <n v="6"/>
    <b v="0"/>
    <b v="1"/>
  </r>
  <r>
    <s v="C"/>
    <s v="M"/>
    <n v="20231001"/>
    <x v="1"/>
    <x v="8"/>
    <s v="202310"/>
    <n v="818"/>
    <s v="EGY"/>
    <x v="0"/>
    <s v="M"/>
    <s v="Import"/>
    <n v="344"/>
    <s v="HKG"/>
    <x v="9"/>
    <n v="0"/>
    <s v="W00"/>
    <s v="World"/>
    <s v="H6"/>
    <s v="HS"/>
    <b v="1"/>
    <s v="283919"/>
    <s v="Silicates; of sodium (excluding sodium metasilicates)"/>
    <n v="6"/>
    <b v="1"/>
    <s v="C00"/>
    <s v="TOTAL CPC"/>
    <s v="0"/>
    <n v="0"/>
    <s v="TOTAL MOT"/>
    <n v="8"/>
    <s v="kg"/>
    <n v="28971.895"/>
    <b v="1"/>
    <n v="-1"/>
    <s v="N/A"/>
    <n v="0"/>
    <b v="0"/>
    <n v="28971.895"/>
    <b v="1"/>
    <n v="0"/>
    <b v="0"/>
    <n v="16808.741000000002"/>
    <m/>
    <n v="16808.741000000002"/>
    <n v="6"/>
    <b v="1"/>
    <b v="0"/>
  </r>
  <r>
    <s v="C"/>
    <s v="M"/>
    <n v="20231001"/>
    <x v="1"/>
    <x v="8"/>
    <s v="202310"/>
    <n v="818"/>
    <s v="EGY"/>
    <x v="0"/>
    <s v="M"/>
    <s v="Import"/>
    <n v="699"/>
    <s v="IND"/>
    <x v="1"/>
    <n v="0"/>
    <s v="W00"/>
    <s v="World"/>
    <s v="H6"/>
    <s v="HS"/>
    <b v="1"/>
    <s v="283919"/>
    <s v="Silicates; of sodium (excluding sodium metasilicates)"/>
    <n v="6"/>
    <b v="1"/>
    <s v="C00"/>
    <s v="TOTAL CPC"/>
    <s v="0"/>
    <n v="0"/>
    <s v="TOTAL MOT"/>
    <n v="8"/>
    <s v="kg"/>
    <n v="47073.233999999997"/>
    <b v="1"/>
    <n v="-1"/>
    <s v="N/A"/>
    <n v="0"/>
    <b v="0"/>
    <n v="47073.233999999997"/>
    <b v="1"/>
    <n v="0"/>
    <b v="0"/>
    <n v="27310.667000000001"/>
    <m/>
    <n v="27310.667000000001"/>
    <n v="6"/>
    <b v="1"/>
    <b v="0"/>
  </r>
  <r>
    <s v="C"/>
    <s v="M"/>
    <n v="20231001"/>
    <x v="1"/>
    <x v="8"/>
    <s v="202310"/>
    <n v="818"/>
    <s v="EGY"/>
    <x v="0"/>
    <s v="M"/>
    <s v="Import"/>
    <n v="156"/>
    <s v="CHN"/>
    <x v="3"/>
    <n v="0"/>
    <s v="W00"/>
    <s v="World"/>
    <s v="H6"/>
    <s v="HS"/>
    <b v="1"/>
    <s v="283919"/>
    <s v="Silicates; of sodium (excluding sodium metasilicates)"/>
    <n v="6"/>
    <b v="1"/>
    <s v="C00"/>
    <s v="TOTAL CPC"/>
    <s v="0"/>
    <n v="0"/>
    <s v="TOTAL MOT"/>
    <n v="8"/>
    <s v="kg"/>
    <n v="1020.138"/>
    <b v="1"/>
    <n v="-1"/>
    <s v="N/A"/>
    <n v="0"/>
    <b v="0"/>
    <n v="1020.138"/>
    <b v="1"/>
    <n v="0"/>
    <b v="0"/>
    <n v="591.85699999999997"/>
    <m/>
    <n v="591.85699999999997"/>
    <n v="6"/>
    <b v="1"/>
    <b v="0"/>
  </r>
  <r>
    <s v="C"/>
    <s v="M"/>
    <n v="20231201"/>
    <x v="1"/>
    <x v="9"/>
    <s v="202312"/>
    <n v="818"/>
    <s v="EGY"/>
    <x v="0"/>
    <s v="M"/>
    <s v="Import"/>
    <n v="0"/>
    <s v="W00"/>
    <x v="0"/>
    <n v="0"/>
    <s v="W00"/>
    <s v="World"/>
    <s v="H6"/>
    <s v="HS"/>
    <b v="1"/>
    <s v="283919"/>
    <s v="Silicates; of sodium (excluding sodium metasilicates)"/>
    <n v="6"/>
    <b v="1"/>
    <s v="C00"/>
    <s v="TOTAL CPC"/>
    <s v="0"/>
    <n v="0"/>
    <s v="TOTAL MOT"/>
    <n v="8"/>
    <s v="kg"/>
    <n v="149650.40299999999"/>
    <b v="1"/>
    <n v="-1"/>
    <s v="N/A"/>
    <n v="0"/>
    <b v="0"/>
    <n v="149650.40299999999"/>
    <b v="1"/>
    <n v="0"/>
    <b v="0"/>
    <n v="86823.274000000005"/>
    <m/>
    <n v="86823.274000000005"/>
    <n v="6"/>
    <b v="0"/>
    <b v="1"/>
  </r>
  <r>
    <s v="C"/>
    <s v="M"/>
    <n v="20231201"/>
    <x v="1"/>
    <x v="9"/>
    <s v="202312"/>
    <n v="818"/>
    <s v="EGY"/>
    <x v="0"/>
    <s v="M"/>
    <s v="Import"/>
    <n v="699"/>
    <s v="IND"/>
    <x v="1"/>
    <n v="0"/>
    <s v="W00"/>
    <s v="World"/>
    <s v="H6"/>
    <s v="HS"/>
    <b v="1"/>
    <s v="283919"/>
    <s v="Silicates; of sodium (excluding sodium metasilicates)"/>
    <n v="6"/>
    <b v="1"/>
    <s v="C00"/>
    <s v="TOTAL CPC"/>
    <s v="0"/>
    <n v="0"/>
    <s v="TOTAL MOT"/>
    <n v="8"/>
    <s v="kg"/>
    <n v="1841.556"/>
    <b v="1"/>
    <n v="-1"/>
    <s v="N/A"/>
    <n v="0"/>
    <b v="0"/>
    <n v="1841.556"/>
    <b v="1"/>
    <n v="0"/>
    <b v="0"/>
    <n v="1068.423"/>
    <m/>
    <n v="1068.423"/>
    <n v="6"/>
    <b v="1"/>
    <b v="0"/>
  </r>
  <r>
    <s v="C"/>
    <s v="M"/>
    <n v="20231201"/>
    <x v="1"/>
    <x v="9"/>
    <s v="202312"/>
    <n v="818"/>
    <s v="EGY"/>
    <x v="0"/>
    <s v="M"/>
    <s v="Import"/>
    <n v="842"/>
    <s v="USA"/>
    <x v="2"/>
    <n v="0"/>
    <s v="W00"/>
    <s v="World"/>
    <s v="H6"/>
    <s v="HS"/>
    <b v="1"/>
    <s v="283919"/>
    <s v="Silicates; of sodium (excluding sodium metasilicates)"/>
    <n v="6"/>
    <b v="1"/>
    <s v="C00"/>
    <s v="TOTAL CPC"/>
    <s v="0"/>
    <n v="0"/>
    <s v="TOTAL MOT"/>
    <n v="8"/>
    <s v="kg"/>
    <n v="147808.848"/>
    <b v="1"/>
    <n v="-1"/>
    <s v="N/A"/>
    <n v="0"/>
    <b v="0"/>
    <n v="147808.848"/>
    <b v="1"/>
    <n v="0"/>
    <b v="0"/>
    <n v="85754.851999999999"/>
    <m/>
    <n v="85754.851999999999"/>
    <n v="6"/>
    <b v="1"/>
    <b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C"/>
    <s v="M"/>
    <n v="20230701"/>
    <x v="0"/>
    <x v="0"/>
    <s v="202307"/>
    <n v="818"/>
    <s v="EGY"/>
    <x v="0"/>
    <s v="M"/>
    <s v="Import"/>
    <n v="414"/>
    <s v="KWT"/>
    <x v="0"/>
    <n v="0"/>
    <s v="W00"/>
    <s v="World"/>
    <s v="H6"/>
    <s v="HS"/>
    <b v="1"/>
    <s v="281511"/>
    <s v="Sodium hydroxide (caustic soda); solid"/>
    <n v="6"/>
    <b v="1"/>
    <s v="C00"/>
    <s v="TOTAL CPC"/>
    <s v="0"/>
    <n v="0"/>
    <s v="TOTAL MOT"/>
    <n v="8"/>
    <s v="kg"/>
    <n v="723590.91299999994"/>
    <b v="1"/>
    <n v="-1"/>
    <s v="N/A"/>
    <n v="0"/>
    <b v="0"/>
    <n v="723590.91299999994"/>
    <b v="1"/>
    <n v="0"/>
    <b v="0"/>
    <n v="630355.34400000004"/>
    <m/>
    <n v="630355.34400000004"/>
    <n v="6"/>
    <b v="1"/>
    <b v="0"/>
  </r>
  <r>
    <s v="C"/>
    <s v="M"/>
    <n v="20230701"/>
    <x v="0"/>
    <x v="0"/>
    <s v="202307"/>
    <n v="818"/>
    <s v="EGY"/>
    <x v="0"/>
    <s v="M"/>
    <s v="Import"/>
    <n v="634"/>
    <s v="QAT"/>
    <x v="1"/>
    <n v="0"/>
    <s v="W00"/>
    <s v="World"/>
    <s v="H6"/>
    <s v="HS"/>
    <b v="1"/>
    <s v="281511"/>
    <s v="Sodium hydroxide (caustic soda); solid"/>
    <n v="6"/>
    <b v="1"/>
    <s v="C00"/>
    <s v="TOTAL CPC"/>
    <s v="0"/>
    <n v="0"/>
    <s v="TOTAL MOT"/>
    <n v="8"/>
    <s v="kg"/>
    <n v="68462.441999999995"/>
    <b v="1"/>
    <n v="-1"/>
    <s v="N/A"/>
    <n v="0"/>
    <b v="0"/>
    <n v="68462.441999999995"/>
    <b v="1"/>
    <n v="0"/>
    <b v="0"/>
    <n v="59640.972999999998"/>
    <m/>
    <n v="59640.972999999998"/>
    <n v="6"/>
    <b v="1"/>
    <b v="0"/>
  </r>
  <r>
    <s v="C"/>
    <s v="M"/>
    <n v="20230701"/>
    <x v="0"/>
    <x v="0"/>
    <s v="202307"/>
    <n v="818"/>
    <s v="EGY"/>
    <x v="0"/>
    <s v="M"/>
    <s v="Import"/>
    <n v="792"/>
    <s v="TUR"/>
    <x v="2"/>
    <n v="0"/>
    <s v="W00"/>
    <s v="World"/>
    <s v="H6"/>
    <s v="HS"/>
    <b v="1"/>
    <s v="281511"/>
    <s v="Sodium hydroxide (caustic soda); solid"/>
    <n v="6"/>
    <b v="1"/>
    <s v="C00"/>
    <s v="TOTAL CPC"/>
    <s v="0"/>
    <n v="0"/>
    <s v="TOTAL MOT"/>
    <n v="8"/>
    <s v="kg"/>
    <n v="45587.760999999999"/>
    <b v="1"/>
    <n v="-1"/>
    <s v="N/A"/>
    <n v="0"/>
    <b v="0"/>
    <n v="45587.760999999999"/>
    <b v="1"/>
    <n v="0"/>
    <b v="0"/>
    <n v="39713.722999999998"/>
    <m/>
    <n v="39713.722999999998"/>
    <n v="6"/>
    <b v="1"/>
    <b v="0"/>
  </r>
  <r>
    <s v="C"/>
    <s v="M"/>
    <n v="20230701"/>
    <x v="0"/>
    <x v="0"/>
    <s v="202307"/>
    <n v="818"/>
    <s v="EGY"/>
    <x v="0"/>
    <s v="M"/>
    <s v="Import"/>
    <n v="276"/>
    <s v="DEU"/>
    <x v="3"/>
    <n v="0"/>
    <s v="W00"/>
    <s v="World"/>
    <s v="H6"/>
    <s v="HS"/>
    <b v="1"/>
    <s v="281511"/>
    <s v="Sodium hydroxide (caustic soda); solid"/>
    <n v="6"/>
    <b v="1"/>
    <s v="C00"/>
    <s v="TOTAL CPC"/>
    <s v="0"/>
    <n v="0"/>
    <s v="TOTAL MOT"/>
    <n v="8"/>
    <s v="kg"/>
    <n v="2624.0129999999999"/>
    <b v="1"/>
    <n v="-1"/>
    <s v="N/A"/>
    <n v="0"/>
    <b v="0"/>
    <n v="2624.0129999999999"/>
    <b v="1"/>
    <n v="0"/>
    <b v="0"/>
    <n v="2285.9050000000002"/>
    <m/>
    <n v="2285.9050000000002"/>
    <n v="6"/>
    <b v="1"/>
    <b v="0"/>
  </r>
  <r>
    <s v="C"/>
    <s v="M"/>
    <n v="20230701"/>
    <x v="0"/>
    <x v="0"/>
    <s v="202307"/>
    <n v="818"/>
    <s v="EGY"/>
    <x v="0"/>
    <s v="M"/>
    <s v="Import"/>
    <n v="0"/>
    <s v="W00"/>
    <x v="4"/>
    <n v="0"/>
    <s v="W00"/>
    <s v="World"/>
    <s v="H6"/>
    <s v="HS"/>
    <b v="1"/>
    <s v="281511"/>
    <s v="Sodium hydroxide (caustic soda); solid"/>
    <n v="6"/>
    <b v="1"/>
    <s v="C00"/>
    <s v="TOTAL CPC"/>
    <s v="0"/>
    <n v="0"/>
    <s v="TOTAL MOT"/>
    <n v="8"/>
    <s v="kg"/>
    <n v="969732.34600000002"/>
    <b v="1"/>
    <n v="-1"/>
    <s v="N/A"/>
    <n v="0"/>
    <b v="0"/>
    <n v="969732.34600000002"/>
    <b v="1"/>
    <n v="0"/>
    <b v="0"/>
    <n v="844781.15300000005"/>
    <m/>
    <n v="844781.15300000005"/>
    <n v="6"/>
    <b v="0"/>
    <b v="1"/>
  </r>
  <r>
    <s v="C"/>
    <s v="M"/>
    <n v="20230701"/>
    <x v="0"/>
    <x v="0"/>
    <s v="202307"/>
    <n v="818"/>
    <s v="EGY"/>
    <x v="0"/>
    <s v="M"/>
    <s v="Import"/>
    <n v="643"/>
    <s v="RUS"/>
    <x v="5"/>
    <n v="0"/>
    <s v="W00"/>
    <s v="World"/>
    <s v="H6"/>
    <s v="HS"/>
    <b v="1"/>
    <s v="281511"/>
    <s v="Sodium hydroxide (caustic soda); solid"/>
    <n v="6"/>
    <b v="1"/>
    <s v="C00"/>
    <s v="TOTAL CPC"/>
    <s v="0"/>
    <n v="0"/>
    <s v="TOTAL MOT"/>
    <n v="8"/>
    <s v="kg"/>
    <n v="70611.656000000003"/>
    <b v="1"/>
    <n v="-1"/>
    <s v="N/A"/>
    <n v="0"/>
    <b v="0"/>
    <n v="70611.656000000003"/>
    <b v="1"/>
    <n v="0"/>
    <b v="0"/>
    <n v="61513.258000000002"/>
    <m/>
    <n v="61513.258000000002"/>
    <n v="6"/>
    <b v="1"/>
    <b v="0"/>
  </r>
  <r>
    <s v="C"/>
    <s v="M"/>
    <n v="20230701"/>
    <x v="0"/>
    <x v="0"/>
    <s v="202307"/>
    <n v="818"/>
    <s v="EGY"/>
    <x v="0"/>
    <s v="M"/>
    <s v="Import"/>
    <n v="699"/>
    <s v="IND"/>
    <x v="6"/>
    <n v="0"/>
    <s v="W00"/>
    <s v="World"/>
    <s v="H6"/>
    <s v="HS"/>
    <b v="1"/>
    <s v="281511"/>
    <s v="Sodium hydroxide (caustic soda); solid"/>
    <n v="6"/>
    <b v="1"/>
    <s v="C00"/>
    <s v="TOTAL CPC"/>
    <s v="0"/>
    <n v="0"/>
    <s v="TOTAL MOT"/>
    <n v="8"/>
    <s v="kg"/>
    <n v="1643.75"/>
    <b v="1"/>
    <n v="-1"/>
    <s v="N/A"/>
    <n v="0"/>
    <b v="0"/>
    <n v="1643.75"/>
    <b v="1"/>
    <n v="0"/>
    <b v="0"/>
    <n v="1431.951"/>
    <m/>
    <n v="1431.951"/>
    <n v="6"/>
    <b v="1"/>
    <b v="0"/>
  </r>
  <r>
    <s v="C"/>
    <s v="M"/>
    <n v="20230701"/>
    <x v="0"/>
    <x v="0"/>
    <s v="202307"/>
    <n v="818"/>
    <s v="EGY"/>
    <x v="0"/>
    <s v="M"/>
    <s v="Import"/>
    <n v="156"/>
    <s v="CHN"/>
    <x v="7"/>
    <n v="0"/>
    <s v="W00"/>
    <s v="World"/>
    <s v="H6"/>
    <s v="HS"/>
    <b v="1"/>
    <s v="281511"/>
    <s v="Sodium hydroxide (caustic soda); solid"/>
    <n v="6"/>
    <b v="1"/>
    <s v="C00"/>
    <s v="TOTAL CPC"/>
    <s v="0"/>
    <n v="0"/>
    <s v="TOTAL MOT"/>
    <n v="8"/>
    <s v="kg"/>
    <n v="57211.811999999998"/>
    <b v="1"/>
    <n v="-1"/>
    <s v="N/A"/>
    <n v="0"/>
    <b v="0"/>
    <n v="57211.811999999998"/>
    <b v="1"/>
    <n v="0"/>
    <b v="0"/>
    <n v="49840"/>
    <m/>
    <n v="49840"/>
    <n v="6"/>
    <b v="1"/>
    <b v="0"/>
  </r>
  <r>
    <s v="C"/>
    <s v="M"/>
    <n v="20230801"/>
    <x v="0"/>
    <x v="1"/>
    <s v="202308"/>
    <n v="818"/>
    <s v="EGY"/>
    <x v="0"/>
    <s v="M"/>
    <s v="Import"/>
    <n v="792"/>
    <s v="TUR"/>
    <x v="2"/>
    <n v="0"/>
    <s v="W00"/>
    <s v="World"/>
    <s v="H6"/>
    <s v="HS"/>
    <b v="1"/>
    <s v="281511"/>
    <s v="Sodium hydroxide (caustic soda); solid"/>
    <n v="6"/>
    <b v="1"/>
    <s v="C00"/>
    <s v="TOTAL CPC"/>
    <s v="0"/>
    <n v="0"/>
    <s v="TOTAL MOT"/>
    <n v="8"/>
    <s v="kg"/>
    <n v="110.038"/>
    <b v="1"/>
    <n v="-1"/>
    <s v="N/A"/>
    <n v="0"/>
    <b v="0"/>
    <n v="110.038"/>
    <b v="1"/>
    <n v="0"/>
    <b v="0"/>
    <n v="95.86"/>
    <m/>
    <n v="95.86"/>
    <n v="6"/>
    <b v="1"/>
    <b v="0"/>
  </r>
  <r>
    <s v="C"/>
    <s v="M"/>
    <n v="20230801"/>
    <x v="0"/>
    <x v="1"/>
    <s v="202308"/>
    <n v="818"/>
    <s v="EGY"/>
    <x v="0"/>
    <s v="M"/>
    <s v="Import"/>
    <n v="0"/>
    <s v="W00"/>
    <x v="4"/>
    <n v="0"/>
    <s v="W00"/>
    <s v="World"/>
    <s v="H6"/>
    <s v="HS"/>
    <b v="1"/>
    <s v="281511"/>
    <s v="Sodium hydroxide (caustic soda); solid"/>
    <n v="6"/>
    <b v="1"/>
    <s v="C00"/>
    <s v="TOTAL CPC"/>
    <s v="0"/>
    <n v="0"/>
    <s v="TOTAL MOT"/>
    <n v="8"/>
    <s v="kg"/>
    <n v="221458.48"/>
    <b v="1"/>
    <n v="-1"/>
    <s v="N/A"/>
    <n v="0"/>
    <b v="0"/>
    <n v="221458.48"/>
    <b v="1"/>
    <n v="0"/>
    <b v="0"/>
    <n v="192923.285"/>
    <m/>
    <n v="192923.285"/>
    <n v="6"/>
    <b v="0"/>
    <b v="1"/>
  </r>
  <r>
    <s v="C"/>
    <s v="M"/>
    <n v="20230801"/>
    <x v="0"/>
    <x v="1"/>
    <s v="202308"/>
    <n v="818"/>
    <s v="EGY"/>
    <x v="0"/>
    <s v="M"/>
    <s v="Import"/>
    <n v="643"/>
    <s v="RUS"/>
    <x v="5"/>
    <n v="0"/>
    <s v="W00"/>
    <s v="World"/>
    <s v="H6"/>
    <s v="HS"/>
    <b v="1"/>
    <s v="281511"/>
    <s v="Sodium hydroxide (caustic soda); solid"/>
    <n v="6"/>
    <b v="1"/>
    <s v="C00"/>
    <s v="TOTAL CPC"/>
    <s v="0"/>
    <n v="0"/>
    <s v="TOTAL MOT"/>
    <n v="8"/>
    <s v="kg"/>
    <n v="23521.382000000001"/>
    <b v="1"/>
    <n v="-1"/>
    <s v="N/A"/>
    <n v="0"/>
    <b v="0"/>
    <n v="23521.382000000001"/>
    <b v="1"/>
    <n v="0"/>
    <b v="0"/>
    <n v="20490.623"/>
    <m/>
    <n v="20490.623"/>
    <n v="6"/>
    <b v="1"/>
    <b v="0"/>
  </r>
  <r>
    <s v="C"/>
    <s v="M"/>
    <n v="20230801"/>
    <x v="0"/>
    <x v="1"/>
    <s v="202308"/>
    <n v="818"/>
    <s v="EGY"/>
    <x v="0"/>
    <s v="M"/>
    <s v="Import"/>
    <n v="699"/>
    <s v="IND"/>
    <x v="6"/>
    <n v="0"/>
    <s v="W00"/>
    <s v="World"/>
    <s v="H6"/>
    <s v="HS"/>
    <b v="1"/>
    <s v="281511"/>
    <s v="Sodium hydroxide (caustic soda); solid"/>
    <n v="6"/>
    <b v="1"/>
    <s v="C00"/>
    <s v="TOTAL CPC"/>
    <s v="0"/>
    <n v="0"/>
    <s v="TOTAL MOT"/>
    <n v="8"/>
    <s v="kg"/>
    <n v="2634.6379999999999"/>
    <b v="1"/>
    <n v="-1"/>
    <s v="N/A"/>
    <n v="0"/>
    <b v="0"/>
    <n v="2634.6379999999999"/>
    <b v="1"/>
    <n v="0"/>
    <b v="0"/>
    <n v="2295.1619999999998"/>
    <m/>
    <n v="2295.1619999999998"/>
    <n v="6"/>
    <b v="1"/>
    <b v="0"/>
  </r>
  <r>
    <s v="C"/>
    <s v="M"/>
    <n v="20230801"/>
    <x v="0"/>
    <x v="1"/>
    <s v="202308"/>
    <n v="818"/>
    <s v="EGY"/>
    <x v="0"/>
    <s v="M"/>
    <s v="Import"/>
    <n v="682"/>
    <s v="SAU"/>
    <x v="8"/>
    <n v="0"/>
    <s v="W00"/>
    <s v="World"/>
    <s v="H6"/>
    <s v="HS"/>
    <b v="1"/>
    <s v="281511"/>
    <s v="Sodium hydroxide (caustic soda); solid"/>
    <n v="6"/>
    <b v="1"/>
    <s v="C00"/>
    <s v="TOTAL CPC"/>
    <s v="0"/>
    <n v="0"/>
    <s v="TOTAL MOT"/>
    <n v="8"/>
    <s v="kg"/>
    <n v="195192.42199999999"/>
    <b v="1"/>
    <n v="-1"/>
    <s v="N/A"/>
    <n v="0"/>
    <b v="0"/>
    <n v="195192.42199999999"/>
    <b v="1"/>
    <n v="0"/>
    <b v="0"/>
    <n v="170041.641"/>
    <m/>
    <n v="170041.641"/>
    <n v="6"/>
    <b v="1"/>
    <b v="0"/>
  </r>
  <r>
    <s v="C"/>
    <s v="M"/>
    <n v="20230901"/>
    <x v="0"/>
    <x v="2"/>
    <s v="202309"/>
    <n v="818"/>
    <s v="EGY"/>
    <x v="0"/>
    <s v="M"/>
    <s v="Import"/>
    <n v="276"/>
    <s v="DEU"/>
    <x v="3"/>
    <n v="0"/>
    <s v="W00"/>
    <s v="World"/>
    <s v="H6"/>
    <s v="HS"/>
    <b v="1"/>
    <s v="281511"/>
    <s v="Sodium hydroxide (caustic soda); solid"/>
    <n v="6"/>
    <b v="1"/>
    <s v="C00"/>
    <s v="TOTAL CPC"/>
    <s v="0"/>
    <n v="0"/>
    <s v="TOTAL MOT"/>
    <n v="8"/>
    <s v="kg"/>
    <n v="3909.3519999999999"/>
    <b v="1"/>
    <n v="-1"/>
    <s v="N/A"/>
    <n v="0"/>
    <b v="0"/>
    <n v="3909.3519999999999"/>
    <b v="1"/>
    <n v="0"/>
    <b v="0"/>
    <n v="3405.6280000000002"/>
    <m/>
    <n v="3405.6280000000002"/>
    <n v="6"/>
    <b v="1"/>
    <b v="0"/>
  </r>
  <r>
    <s v="C"/>
    <s v="M"/>
    <n v="20230901"/>
    <x v="0"/>
    <x v="2"/>
    <s v="202309"/>
    <n v="818"/>
    <s v="EGY"/>
    <x v="0"/>
    <s v="M"/>
    <s v="Import"/>
    <n v="0"/>
    <s v="W00"/>
    <x v="4"/>
    <n v="0"/>
    <s v="W00"/>
    <s v="World"/>
    <s v="H6"/>
    <s v="HS"/>
    <b v="1"/>
    <s v="281511"/>
    <s v="Sodium hydroxide (caustic soda); solid"/>
    <n v="6"/>
    <b v="1"/>
    <s v="C00"/>
    <s v="TOTAL CPC"/>
    <s v="0"/>
    <n v="0"/>
    <s v="TOTAL MOT"/>
    <n v="8"/>
    <s v="kg"/>
    <n v="402267.266"/>
    <b v="1"/>
    <n v="-1"/>
    <s v="N/A"/>
    <n v="0"/>
    <b v="0"/>
    <n v="402267.266"/>
    <b v="1"/>
    <n v="0"/>
    <b v="0"/>
    <n v="350434.63900000002"/>
    <m/>
    <n v="350434.63900000002"/>
    <n v="6"/>
    <b v="0"/>
    <b v="1"/>
  </r>
  <r>
    <s v="C"/>
    <s v="M"/>
    <n v="20230901"/>
    <x v="0"/>
    <x v="2"/>
    <s v="202309"/>
    <n v="818"/>
    <s v="EGY"/>
    <x v="0"/>
    <s v="M"/>
    <s v="Import"/>
    <n v="643"/>
    <s v="RUS"/>
    <x v="5"/>
    <n v="0"/>
    <s v="W00"/>
    <s v="World"/>
    <s v="H6"/>
    <s v="HS"/>
    <b v="1"/>
    <s v="281511"/>
    <s v="Sodium hydroxide (caustic soda); solid"/>
    <n v="6"/>
    <b v="1"/>
    <s v="C00"/>
    <s v="TOTAL CPC"/>
    <s v="0"/>
    <n v="0"/>
    <s v="TOTAL MOT"/>
    <n v="8"/>
    <s v="kg"/>
    <n v="67688.103000000003"/>
    <b v="1"/>
    <n v="-1"/>
    <s v="N/A"/>
    <n v="0"/>
    <b v="0"/>
    <n v="67688.103000000003"/>
    <b v="1"/>
    <n v="0"/>
    <b v="0"/>
    <n v="58966.408000000003"/>
    <m/>
    <n v="58966.408000000003"/>
    <n v="6"/>
    <b v="1"/>
    <b v="0"/>
  </r>
  <r>
    <s v="C"/>
    <s v="M"/>
    <n v="20230901"/>
    <x v="0"/>
    <x v="2"/>
    <s v="202309"/>
    <n v="818"/>
    <s v="EGY"/>
    <x v="0"/>
    <s v="M"/>
    <s v="Import"/>
    <n v="699"/>
    <s v="IND"/>
    <x v="6"/>
    <n v="0"/>
    <s v="W00"/>
    <s v="World"/>
    <s v="H6"/>
    <s v="HS"/>
    <b v="1"/>
    <s v="281511"/>
    <s v="Sodium hydroxide (caustic soda); solid"/>
    <n v="6"/>
    <b v="1"/>
    <s v="C00"/>
    <s v="TOTAL CPC"/>
    <s v="0"/>
    <n v="0"/>
    <s v="TOTAL MOT"/>
    <n v="8"/>
    <s v="kg"/>
    <n v="10790.504000000001"/>
    <b v="1"/>
    <n v="-1"/>
    <s v="N/A"/>
    <n v="0"/>
    <b v="0"/>
    <n v="10790.504000000001"/>
    <b v="1"/>
    <n v="0"/>
    <b v="0"/>
    <n v="9400.1350000000002"/>
    <m/>
    <n v="9400.1350000000002"/>
    <n v="6"/>
    <b v="1"/>
    <b v="0"/>
  </r>
  <r>
    <s v="C"/>
    <s v="M"/>
    <n v="20230901"/>
    <x v="0"/>
    <x v="2"/>
    <s v="202309"/>
    <n v="818"/>
    <s v="EGY"/>
    <x v="0"/>
    <s v="M"/>
    <s v="Import"/>
    <n v="414"/>
    <s v="KWT"/>
    <x v="0"/>
    <n v="0"/>
    <s v="W00"/>
    <s v="World"/>
    <s v="H6"/>
    <s v="HS"/>
    <b v="1"/>
    <s v="281511"/>
    <s v="Sodium hydroxide (caustic soda); solid"/>
    <n v="6"/>
    <b v="1"/>
    <s v="C00"/>
    <s v="TOTAL CPC"/>
    <s v="0"/>
    <n v="0"/>
    <s v="TOTAL MOT"/>
    <n v="8"/>
    <s v="kg"/>
    <n v="319879.30699999997"/>
    <b v="1"/>
    <n v="-1"/>
    <s v="N/A"/>
    <n v="0"/>
    <b v="0"/>
    <n v="319879.30699999997"/>
    <b v="1"/>
    <n v="0"/>
    <b v="0"/>
    <n v="278662.46899999998"/>
    <m/>
    <n v="278662.46899999998"/>
    <n v="6"/>
    <b v="1"/>
    <b v="0"/>
  </r>
  <r>
    <s v="C"/>
    <s v="M"/>
    <n v="20231001"/>
    <x v="0"/>
    <x v="3"/>
    <s v="202310"/>
    <n v="818"/>
    <s v="EGY"/>
    <x v="0"/>
    <s v="M"/>
    <s v="Import"/>
    <n v="276"/>
    <s v="DEU"/>
    <x v="3"/>
    <n v="0"/>
    <s v="W00"/>
    <s v="World"/>
    <s v="H6"/>
    <s v="HS"/>
    <b v="1"/>
    <s v="281511"/>
    <s v="Sodium hydroxide (caustic soda); solid"/>
    <n v="6"/>
    <b v="1"/>
    <s v="C00"/>
    <s v="TOTAL CPC"/>
    <s v="0"/>
    <n v="0"/>
    <s v="TOTAL MOT"/>
    <n v="8"/>
    <s v="kg"/>
    <n v="5716.1670000000004"/>
    <b v="1"/>
    <n v="-1"/>
    <s v="N/A"/>
    <n v="0"/>
    <b v="0"/>
    <n v="5716.1670000000004"/>
    <b v="1"/>
    <n v="0"/>
    <b v="0"/>
    <n v="4979.6319999999996"/>
    <m/>
    <n v="4979.6319999999996"/>
    <n v="6"/>
    <b v="1"/>
    <b v="0"/>
  </r>
  <r>
    <s v="C"/>
    <s v="M"/>
    <n v="20231001"/>
    <x v="0"/>
    <x v="3"/>
    <s v="202310"/>
    <n v="818"/>
    <s v="EGY"/>
    <x v="0"/>
    <s v="M"/>
    <s v="Import"/>
    <n v="0"/>
    <s v="W00"/>
    <x v="4"/>
    <n v="0"/>
    <s v="W00"/>
    <s v="World"/>
    <s v="H6"/>
    <s v="HS"/>
    <b v="1"/>
    <s v="281511"/>
    <s v="Sodium hydroxide (caustic soda); solid"/>
    <n v="6"/>
    <b v="1"/>
    <s v="C00"/>
    <s v="TOTAL CPC"/>
    <s v="0"/>
    <n v="0"/>
    <s v="TOTAL MOT"/>
    <n v="8"/>
    <s v="kg"/>
    <n v="102037.257"/>
    <b v="1"/>
    <n v="-1"/>
    <s v="N/A"/>
    <n v="0"/>
    <b v="0"/>
    <n v="102037.257"/>
    <b v="1"/>
    <n v="0"/>
    <b v="0"/>
    <n v="88889.631999999998"/>
    <m/>
    <n v="88889.631999999998"/>
    <n v="6"/>
    <b v="0"/>
    <b v="1"/>
  </r>
  <r>
    <s v="C"/>
    <s v="M"/>
    <n v="20231001"/>
    <x v="0"/>
    <x v="3"/>
    <s v="202310"/>
    <n v="818"/>
    <s v="EGY"/>
    <x v="0"/>
    <s v="M"/>
    <s v="Import"/>
    <n v="643"/>
    <s v="RUS"/>
    <x v="5"/>
    <n v="0"/>
    <s v="W00"/>
    <s v="World"/>
    <s v="H6"/>
    <s v="HS"/>
    <b v="1"/>
    <s v="281511"/>
    <s v="Sodium hydroxide (caustic soda); solid"/>
    <n v="6"/>
    <b v="1"/>
    <s v="C00"/>
    <s v="TOTAL CPC"/>
    <s v="0"/>
    <n v="0"/>
    <s v="TOTAL MOT"/>
    <n v="8"/>
    <s v="kg"/>
    <n v="20616.475999999999"/>
    <b v="1"/>
    <n v="-1"/>
    <s v="N/A"/>
    <n v="0"/>
    <b v="0"/>
    <n v="20616.475999999999"/>
    <b v="1"/>
    <n v="0"/>
    <b v="0"/>
    <n v="17960.018"/>
    <m/>
    <n v="17960.018"/>
    <n v="6"/>
    <b v="1"/>
    <b v="0"/>
  </r>
  <r>
    <s v="C"/>
    <s v="M"/>
    <n v="20231001"/>
    <x v="0"/>
    <x v="3"/>
    <s v="202310"/>
    <n v="818"/>
    <s v="EGY"/>
    <x v="0"/>
    <s v="M"/>
    <s v="Import"/>
    <n v="699"/>
    <s v="IND"/>
    <x v="6"/>
    <n v="0"/>
    <s v="W00"/>
    <s v="World"/>
    <s v="H6"/>
    <s v="HS"/>
    <b v="1"/>
    <s v="281511"/>
    <s v="Sodium hydroxide (caustic soda); solid"/>
    <n v="6"/>
    <b v="1"/>
    <s v="C00"/>
    <s v="TOTAL CPC"/>
    <s v="0"/>
    <n v="0"/>
    <s v="TOTAL MOT"/>
    <n v="8"/>
    <s v="kg"/>
    <n v="62170.83"/>
    <b v="1"/>
    <n v="-1"/>
    <s v="N/A"/>
    <n v="0"/>
    <b v="0"/>
    <n v="62170.83"/>
    <b v="1"/>
    <n v="0"/>
    <b v="0"/>
    <n v="54160.042999999998"/>
    <m/>
    <n v="54160.042999999998"/>
    <n v="6"/>
    <b v="1"/>
    <b v="0"/>
  </r>
  <r>
    <s v="C"/>
    <s v="M"/>
    <n v="20231001"/>
    <x v="0"/>
    <x v="3"/>
    <s v="202310"/>
    <n v="818"/>
    <s v="EGY"/>
    <x v="0"/>
    <s v="M"/>
    <s v="Import"/>
    <n v="784"/>
    <s v="ARE"/>
    <x v="9"/>
    <n v="0"/>
    <s v="W00"/>
    <s v="World"/>
    <s v="H6"/>
    <s v="HS"/>
    <b v="1"/>
    <s v="281511"/>
    <s v="Sodium hydroxide (caustic soda); solid"/>
    <n v="6"/>
    <b v="1"/>
    <s v="C00"/>
    <s v="TOTAL CPC"/>
    <s v="0"/>
    <n v="0"/>
    <s v="TOTAL MOT"/>
    <n v="8"/>
    <s v="kg"/>
    <n v="13533.784"/>
    <b v="1"/>
    <n v="-1"/>
    <s v="N/A"/>
    <n v="0"/>
    <b v="0"/>
    <n v="13533.784"/>
    <b v="1"/>
    <n v="0"/>
    <b v="0"/>
    <n v="11789.94"/>
    <m/>
    <n v="11789.94"/>
    <n v="6"/>
    <b v="1"/>
    <b v="0"/>
  </r>
  <r>
    <s v="C"/>
    <s v="M"/>
    <n v="20231101"/>
    <x v="0"/>
    <x v="4"/>
    <s v="202311"/>
    <n v="818"/>
    <s v="EGY"/>
    <x v="0"/>
    <s v="M"/>
    <s v="Import"/>
    <n v="0"/>
    <s v="W00"/>
    <x v="4"/>
    <n v="0"/>
    <s v="W00"/>
    <s v="World"/>
    <s v="H6"/>
    <s v="HS"/>
    <b v="1"/>
    <s v="281511"/>
    <s v="Sodium hydroxide (caustic soda); solid"/>
    <n v="6"/>
    <b v="1"/>
    <s v="C00"/>
    <s v="TOTAL CPC"/>
    <s v="0"/>
    <n v="0"/>
    <s v="TOTAL MOT"/>
    <n v="8"/>
    <s v="kg"/>
    <n v="114843.514"/>
    <b v="1"/>
    <n v="-1"/>
    <s v="N/A"/>
    <n v="0"/>
    <b v="0"/>
    <n v="114843.514"/>
    <b v="1"/>
    <n v="0"/>
    <b v="0"/>
    <n v="100045.787"/>
    <m/>
    <n v="100045.787"/>
    <n v="6"/>
    <b v="0"/>
    <b v="1"/>
  </r>
  <r>
    <s v="C"/>
    <s v="M"/>
    <n v="20231101"/>
    <x v="0"/>
    <x v="4"/>
    <s v="202311"/>
    <n v="818"/>
    <s v="EGY"/>
    <x v="0"/>
    <s v="M"/>
    <s v="Import"/>
    <n v="643"/>
    <s v="RUS"/>
    <x v="5"/>
    <n v="0"/>
    <s v="W00"/>
    <s v="World"/>
    <s v="H6"/>
    <s v="HS"/>
    <b v="1"/>
    <s v="281511"/>
    <s v="Sodium hydroxide (caustic soda); solid"/>
    <n v="6"/>
    <b v="1"/>
    <s v="C00"/>
    <s v="TOTAL CPC"/>
    <s v="0"/>
    <n v="0"/>
    <s v="TOTAL MOT"/>
    <n v="8"/>
    <s v="kg"/>
    <n v="85956.856"/>
    <b v="1"/>
    <n v="-1"/>
    <s v="N/A"/>
    <n v="0"/>
    <b v="0"/>
    <n v="85956.856"/>
    <b v="1"/>
    <n v="0"/>
    <b v="0"/>
    <n v="74881.210999999996"/>
    <m/>
    <n v="74881.210999999996"/>
    <n v="6"/>
    <b v="1"/>
    <b v="0"/>
  </r>
  <r>
    <s v="C"/>
    <s v="M"/>
    <n v="20231101"/>
    <x v="0"/>
    <x v="4"/>
    <s v="202311"/>
    <n v="818"/>
    <s v="EGY"/>
    <x v="0"/>
    <s v="M"/>
    <s v="Import"/>
    <n v="699"/>
    <s v="IND"/>
    <x v="6"/>
    <n v="0"/>
    <s v="W00"/>
    <s v="World"/>
    <s v="H6"/>
    <s v="HS"/>
    <b v="1"/>
    <s v="281511"/>
    <s v="Sodium hydroxide (caustic soda); solid"/>
    <n v="6"/>
    <b v="1"/>
    <s v="C00"/>
    <s v="TOTAL CPC"/>
    <s v="0"/>
    <n v="0"/>
    <s v="TOTAL MOT"/>
    <n v="8"/>
    <s v="kg"/>
    <n v="2634.6379999999999"/>
    <b v="1"/>
    <n v="-1"/>
    <s v="N/A"/>
    <n v="0"/>
    <b v="0"/>
    <n v="2634.6379999999999"/>
    <b v="1"/>
    <n v="0"/>
    <b v="0"/>
    <n v="2295.1619999999998"/>
    <m/>
    <n v="2295.1619999999998"/>
    <n v="6"/>
    <b v="1"/>
    <b v="0"/>
  </r>
  <r>
    <s v="C"/>
    <s v="M"/>
    <n v="20231101"/>
    <x v="0"/>
    <x v="4"/>
    <s v="202311"/>
    <n v="818"/>
    <s v="EGY"/>
    <x v="0"/>
    <s v="M"/>
    <s v="Import"/>
    <n v="682"/>
    <s v="SAU"/>
    <x v="8"/>
    <n v="0"/>
    <s v="W00"/>
    <s v="World"/>
    <s v="H6"/>
    <s v="HS"/>
    <b v="1"/>
    <s v="281511"/>
    <s v="Sodium hydroxide (caustic soda); solid"/>
    <n v="6"/>
    <b v="1"/>
    <s v="C00"/>
    <s v="TOTAL CPC"/>
    <s v="0"/>
    <n v="0"/>
    <s v="TOTAL MOT"/>
    <n v="8"/>
    <s v="kg"/>
    <n v="26252.019"/>
    <b v="1"/>
    <n v="-1"/>
    <s v="N/A"/>
    <n v="0"/>
    <b v="0"/>
    <n v="26252.019"/>
    <b v="1"/>
    <n v="0"/>
    <b v="0"/>
    <n v="22869.414000000001"/>
    <m/>
    <n v="22869.414000000001"/>
    <n v="6"/>
    <b v="1"/>
    <b v="0"/>
  </r>
  <r>
    <s v="C"/>
    <s v="M"/>
    <n v="20231201"/>
    <x v="0"/>
    <x v="5"/>
    <s v="202312"/>
    <n v="818"/>
    <s v="EGY"/>
    <x v="0"/>
    <s v="M"/>
    <s v="Import"/>
    <n v="276"/>
    <s v="DEU"/>
    <x v="3"/>
    <n v="0"/>
    <s v="W00"/>
    <s v="World"/>
    <s v="H6"/>
    <s v="HS"/>
    <b v="1"/>
    <s v="281511"/>
    <s v="Sodium hydroxide (caustic soda); solid"/>
    <n v="6"/>
    <b v="1"/>
    <s v="C00"/>
    <s v="TOTAL CPC"/>
    <s v="0"/>
    <n v="0"/>
    <s v="TOTAL MOT"/>
    <n v="8"/>
    <s v="kg"/>
    <n v="797.19600000000003"/>
    <b v="1"/>
    <n v="-1"/>
    <s v="N/A"/>
    <n v="0"/>
    <b v="0"/>
    <n v="797.19600000000003"/>
    <b v="1"/>
    <n v="0"/>
    <b v="0"/>
    <n v="694.476"/>
    <m/>
    <n v="694.476"/>
    <n v="6"/>
    <b v="1"/>
    <b v="0"/>
  </r>
  <r>
    <s v="C"/>
    <s v="M"/>
    <n v="20231201"/>
    <x v="0"/>
    <x v="5"/>
    <s v="202312"/>
    <n v="818"/>
    <s v="EGY"/>
    <x v="0"/>
    <s v="M"/>
    <s v="Import"/>
    <n v="0"/>
    <s v="W00"/>
    <x v="4"/>
    <n v="0"/>
    <s v="W00"/>
    <s v="World"/>
    <s v="H6"/>
    <s v="HS"/>
    <b v="1"/>
    <s v="281511"/>
    <s v="Sodium hydroxide (caustic soda); solid"/>
    <n v="6"/>
    <b v="1"/>
    <s v="C00"/>
    <s v="TOTAL CPC"/>
    <s v="0"/>
    <n v="0"/>
    <s v="TOTAL MOT"/>
    <n v="8"/>
    <s v="kg"/>
    <n v="135714.23699999999"/>
    <b v="1"/>
    <n v="-1"/>
    <s v="N/A"/>
    <n v="0"/>
    <b v="0"/>
    <n v="135714.23699999999"/>
    <b v="1"/>
    <n v="0"/>
    <b v="0"/>
    <n v="118227.292"/>
    <m/>
    <n v="118227.292"/>
    <n v="6"/>
    <b v="0"/>
    <b v="1"/>
  </r>
  <r>
    <s v="C"/>
    <s v="M"/>
    <n v="20231201"/>
    <x v="0"/>
    <x v="5"/>
    <s v="202312"/>
    <n v="818"/>
    <s v="EGY"/>
    <x v="0"/>
    <s v="M"/>
    <s v="Import"/>
    <n v="643"/>
    <s v="RUS"/>
    <x v="5"/>
    <n v="0"/>
    <s v="W00"/>
    <s v="World"/>
    <s v="H6"/>
    <s v="HS"/>
    <b v="1"/>
    <s v="281511"/>
    <s v="Sodium hydroxide (caustic soda); solid"/>
    <n v="6"/>
    <b v="1"/>
    <s v="C00"/>
    <s v="TOTAL CPC"/>
    <s v="0"/>
    <n v="0"/>
    <s v="TOTAL MOT"/>
    <n v="8"/>
    <s v="kg"/>
    <n v="86107.505999999994"/>
    <b v="1"/>
    <n v="-1"/>
    <s v="N/A"/>
    <n v="0"/>
    <b v="0"/>
    <n v="86107.505999999994"/>
    <b v="1"/>
    <n v="0"/>
    <b v="0"/>
    <n v="75012.448999999993"/>
    <m/>
    <n v="75012.448999999993"/>
    <n v="6"/>
    <b v="1"/>
    <b v="0"/>
  </r>
  <r>
    <s v="C"/>
    <s v="M"/>
    <n v="20231201"/>
    <x v="0"/>
    <x v="5"/>
    <s v="202312"/>
    <n v="818"/>
    <s v="EGY"/>
    <x v="0"/>
    <s v="M"/>
    <s v="Import"/>
    <n v="699"/>
    <s v="IND"/>
    <x v="6"/>
    <n v="0"/>
    <s v="W00"/>
    <s v="World"/>
    <s v="H6"/>
    <s v="HS"/>
    <b v="1"/>
    <s v="281511"/>
    <s v="Sodium hydroxide (caustic soda); solid"/>
    <n v="6"/>
    <b v="1"/>
    <s v="C00"/>
    <s v="TOTAL CPC"/>
    <s v="0"/>
    <n v="0"/>
    <s v="TOTAL MOT"/>
    <n v="8"/>
    <s v="kg"/>
    <n v="26677.682000000001"/>
    <b v="1"/>
    <n v="-1"/>
    <s v="N/A"/>
    <n v="0"/>
    <b v="0"/>
    <n v="26677.682000000001"/>
    <b v="1"/>
    <n v="0"/>
    <b v="0"/>
    <n v="23240.231"/>
    <m/>
    <n v="23240.231"/>
    <n v="6"/>
    <b v="1"/>
    <b v="0"/>
  </r>
  <r>
    <s v="C"/>
    <s v="M"/>
    <n v="20231201"/>
    <x v="0"/>
    <x v="5"/>
    <s v="202312"/>
    <n v="818"/>
    <s v="EGY"/>
    <x v="0"/>
    <s v="M"/>
    <s v="Import"/>
    <n v="156"/>
    <s v="CHN"/>
    <x v="7"/>
    <n v="0"/>
    <s v="W00"/>
    <s v="World"/>
    <s v="H6"/>
    <s v="HS"/>
    <b v="1"/>
    <s v="281511"/>
    <s v="Sodium hydroxide (caustic soda); solid"/>
    <n v="6"/>
    <b v="1"/>
    <s v="C00"/>
    <s v="TOTAL CPC"/>
    <s v="0"/>
    <n v="0"/>
    <s v="TOTAL MOT"/>
    <n v="8"/>
    <s v="kg"/>
    <n v="22131.852999999999"/>
    <b v="1"/>
    <n v="-1"/>
    <s v="N/A"/>
    <n v="0"/>
    <b v="0"/>
    <n v="22131.852999999999"/>
    <b v="1"/>
    <n v="0"/>
    <b v="0"/>
    <n v="19280.136999999999"/>
    <m/>
    <n v="19280.136999999999"/>
    <n v="6"/>
    <b v="1"/>
    <b v="0"/>
  </r>
  <r>
    <s v="C"/>
    <s v="M"/>
    <n v="20240601"/>
    <x v="1"/>
    <x v="6"/>
    <s v="202406"/>
    <n v="818"/>
    <s v="EGY"/>
    <x v="0"/>
    <s v="M"/>
    <s v="Import"/>
    <n v="0"/>
    <s v="W00"/>
    <x v="4"/>
    <n v="0"/>
    <s v="W00"/>
    <s v="World"/>
    <s v="H6"/>
    <s v="HS"/>
    <b v="1"/>
    <s v="281511"/>
    <s v="Sodium hydroxide (caustic soda); solid"/>
    <n v="6"/>
    <b v="1"/>
    <s v="C00"/>
    <s v="TOTAL CPC"/>
    <s v="0"/>
    <n v="0"/>
    <s v="TOTAL MOT"/>
    <n v="8"/>
    <s v="kg"/>
    <n v="78604.475999999995"/>
    <b v="1"/>
    <n v="-1"/>
    <s v="N/A"/>
    <n v="0"/>
    <b v="0"/>
    <n v="78604.475999999995"/>
    <b v="1"/>
    <n v="0"/>
    <b v="0"/>
    <n v="68476.194000000003"/>
    <m/>
    <n v="68476.194000000003"/>
    <n v="6"/>
    <b v="0"/>
    <b v="1"/>
  </r>
  <r>
    <s v="C"/>
    <s v="M"/>
    <n v="20240201"/>
    <x v="1"/>
    <x v="7"/>
    <s v="202402"/>
    <n v="818"/>
    <s v="EGY"/>
    <x v="0"/>
    <s v="M"/>
    <s v="Import"/>
    <n v="0"/>
    <s v="W00"/>
    <x v="4"/>
    <n v="0"/>
    <s v="W00"/>
    <s v="World"/>
    <s v="H6"/>
    <s v="HS"/>
    <b v="1"/>
    <s v="281511"/>
    <s v="Sodium hydroxide (caustic soda); solid"/>
    <n v="6"/>
    <b v="1"/>
    <s v="C00"/>
    <s v="TOTAL CPC"/>
    <s v="0"/>
    <n v="0"/>
    <s v="TOTAL MOT"/>
    <n v="8"/>
    <s v="kg"/>
    <n v="51665.883999999998"/>
    <b v="1"/>
    <n v="-1"/>
    <s v="N/A"/>
    <n v="0"/>
    <b v="0"/>
    <n v="51665.883999999998"/>
    <b v="1"/>
    <n v="0"/>
    <b v="0"/>
    <n v="45008.671999999999"/>
    <m/>
    <n v="45008.671999999999"/>
    <n v="6"/>
    <b v="0"/>
    <b v="1"/>
  </r>
  <r>
    <s v="C"/>
    <s v="M"/>
    <n v="20240401"/>
    <x v="1"/>
    <x v="8"/>
    <s v="202404"/>
    <n v="818"/>
    <s v="EGY"/>
    <x v="0"/>
    <s v="M"/>
    <s v="Import"/>
    <n v="0"/>
    <s v="W00"/>
    <x v="4"/>
    <n v="0"/>
    <s v="W00"/>
    <s v="World"/>
    <s v="H6"/>
    <s v="HS"/>
    <b v="1"/>
    <s v="281511"/>
    <s v="Sodium hydroxide (caustic soda); solid"/>
    <n v="6"/>
    <b v="1"/>
    <s v="C00"/>
    <s v="TOTAL CPC"/>
    <s v="0"/>
    <n v="0"/>
    <s v="TOTAL MOT"/>
    <n v="8"/>
    <s v="kg"/>
    <n v="107836.177"/>
    <b v="1"/>
    <n v="-1"/>
    <s v="N/A"/>
    <n v="0"/>
    <b v="0"/>
    <n v="107836.177"/>
    <b v="1"/>
    <n v="0"/>
    <b v="0"/>
    <n v="93941.354000000007"/>
    <m/>
    <n v="93941.354000000007"/>
    <n v="6"/>
    <b v="0"/>
    <b v="1"/>
  </r>
  <r>
    <s v="C"/>
    <s v="M"/>
    <n v="20240501"/>
    <x v="1"/>
    <x v="9"/>
    <s v="202405"/>
    <n v="818"/>
    <s v="EGY"/>
    <x v="0"/>
    <s v="M"/>
    <s v="Import"/>
    <n v="0"/>
    <s v="W00"/>
    <x v="4"/>
    <n v="0"/>
    <s v="W00"/>
    <s v="World"/>
    <s v="H6"/>
    <s v="HS"/>
    <b v="1"/>
    <s v="281511"/>
    <s v="Sodium hydroxide (caustic soda); solid"/>
    <n v="6"/>
    <b v="1"/>
    <s v="C00"/>
    <s v="TOTAL CPC"/>
    <s v="0"/>
    <n v="0"/>
    <s v="TOTAL MOT"/>
    <n v="8"/>
    <s v="kg"/>
    <n v="96405.615999999995"/>
    <b v="1"/>
    <n v="-1"/>
    <s v="N/A"/>
    <n v="0"/>
    <b v="0"/>
    <n v="96405.615999999995"/>
    <b v="1"/>
    <n v="0"/>
    <b v="0"/>
    <n v="83983.634999999995"/>
    <m/>
    <n v="83983.634999999995"/>
    <n v="6"/>
    <b v="0"/>
    <b v="1"/>
  </r>
  <r>
    <s v="C"/>
    <s v="M"/>
    <n v="20240101"/>
    <x v="1"/>
    <x v="10"/>
    <s v="202401"/>
    <n v="818"/>
    <s v="EGY"/>
    <x v="0"/>
    <s v="M"/>
    <s v="Import"/>
    <n v="0"/>
    <s v="W00"/>
    <x v="4"/>
    <n v="0"/>
    <s v="W00"/>
    <s v="World"/>
    <s v="H6"/>
    <s v="HS"/>
    <b v="1"/>
    <s v="281511"/>
    <s v="Sodium hydroxide (caustic soda); solid"/>
    <n v="6"/>
    <b v="1"/>
    <s v="C00"/>
    <s v="TOTAL CPC"/>
    <s v="0"/>
    <n v="0"/>
    <s v="TOTAL MOT"/>
    <n v="8"/>
    <s v="kg"/>
    <n v="90071.877999999997"/>
    <b v="1"/>
    <n v="-1"/>
    <s v="N/A"/>
    <n v="0"/>
    <b v="0"/>
    <n v="90071.877999999997"/>
    <b v="1"/>
    <n v="0"/>
    <b v="0"/>
    <n v="78466.006999999998"/>
    <m/>
    <n v="78466.006999999998"/>
    <n v="6"/>
    <b v="0"/>
    <b v="1"/>
  </r>
  <r>
    <s v="C"/>
    <s v="M"/>
    <n v="20240401"/>
    <x v="1"/>
    <x v="8"/>
    <s v="202404"/>
    <n v="818"/>
    <s v="EGY"/>
    <x v="0"/>
    <s v="M"/>
    <s v="Import"/>
    <n v="643"/>
    <s v="RUS"/>
    <x v="5"/>
    <n v="0"/>
    <s v="W00"/>
    <s v="World"/>
    <s v="H6"/>
    <s v="HS"/>
    <b v="1"/>
    <s v="281511"/>
    <s v="Sodium hydroxide (caustic soda); solid"/>
    <n v="6"/>
    <b v="1"/>
    <s v="C00"/>
    <s v="TOTAL CPC"/>
    <s v="0"/>
    <n v="0"/>
    <s v="TOTAL MOT"/>
    <n v="8"/>
    <s v="kg"/>
    <n v="52579.726999999999"/>
    <b v="1"/>
    <n v="-1"/>
    <s v="N/A"/>
    <n v="0"/>
    <b v="0"/>
    <n v="52579.726999999999"/>
    <b v="1"/>
    <n v="0"/>
    <b v="0"/>
    <n v="45804.766000000003"/>
    <m/>
    <n v="45804.766000000003"/>
    <n v="6"/>
    <b v="1"/>
    <b v="0"/>
  </r>
  <r>
    <s v="C"/>
    <s v="M"/>
    <n v="20240501"/>
    <x v="1"/>
    <x v="9"/>
    <s v="202405"/>
    <n v="818"/>
    <s v="EGY"/>
    <x v="0"/>
    <s v="M"/>
    <s v="Import"/>
    <n v="643"/>
    <s v="RUS"/>
    <x v="5"/>
    <n v="0"/>
    <s v="W00"/>
    <s v="World"/>
    <s v="H6"/>
    <s v="HS"/>
    <b v="1"/>
    <s v="281511"/>
    <s v="Sodium hydroxide (caustic soda); solid"/>
    <n v="6"/>
    <b v="1"/>
    <s v="C00"/>
    <s v="TOTAL CPC"/>
    <s v="0"/>
    <n v="0"/>
    <s v="TOTAL MOT"/>
    <n v="8"/>
    <s v="kg"/>
    <n v="91572.043999999994"/>
    <b v="1"/>
    <n v="-1"/>
    <s v="N/A"/>
    <n v="0"/>
    <b v="0"/>
    <n v="91572.043999999994"/>
    <b v="1"/>
    <n v="0"/>
    <b v="0"/>
    <n v="79772.875"/>
    <m/>
    <n v="79772.875"/>
    <n v="6"/>
    <b v="1"/>
    <b v="0"/>
  </r>
  <r>
    <s v="C"/>
    <s v="M"/>
    <n v="20240601"/>
    <x v="1"/>
    <x v="6"/>
    <s v="202406"/>
    <n v="818"/>
    <s v="EGY"/>
    <x v="0"/>
    <s v="M"/>
    <s v="Import"/>
    <n v="643"/>
    <s v="RUS"/>
    <x v="5"/>
    <n v="0"/>
    <s v="W00"/>
    <s v="World"/>
    <s v="H6"/>
    <s v="HS"/>
    <b v="1"/>
    <s v="281511"/>
    <s v="Sodium hydroxide (caustic soda); solid"/>
    <n v="6"/>
    <b v="1"/>
    <s v="C00"/>
    <s v="TOTAL CPC"/>
    <s v="0"/>
    <n v="0"/>
    <s v="TOTAL MOT"/>
    <n v="8"/>
    <s v="kg"/>
    <n v="70404.675000000003"/>
    <b v="1"/>
    <n v="-1"/>
    <s v="N/A"/>
    <n v="0"/>
    <b v="0"/>
    <n v="70404.675000000003"/>
    <b v="1"/>
    <n v="0"/>
    <b v="0"/>
    <n v="61332.947"/>
    <m/>
    <n v="61332.947"/>
    <n v="6"/>
    <b v="1"/>
    <b v="0"/>
  </r>
  <r>
    <s v="C"/>
    <s v="M"/>
    <n v="20240101"/>
    <x v="1"/>
    <x v="10"/>
    <s v="202401"/>
    <n v="818"/>
    <s v="EGY"/>
    <x v="0"/>
    <s v="M"/>
    <s v="Import"/>
    <n v="643"/>
    <s v="RUS"/>
    <x v="5"/>
    <n v="0"/>
    <s v="W00"/>
    <s v="World"/>
    <s v="H6"/>
    <s v="HS"/>
    <b v="1"/>
    <s v="281511"/>
    <s v="Sodium hydroxide (caustic soda); solid"/>
    <n v="6"/>
    <b v="1"/>
    <s v="C00"/>
    <s v="TOTAL CPC"/>
    <s v="0"/>
    <n v="0"/>
    <s v="TOTAL MOT"/>
    <n v="8"/>
    <s v="kg"/>
    <n v="46661.169000000002"/>
    <b v="1"/>
    <n v="-1"/>
    <s v="N/A"/>
    <n v="0"/>
    <b v="0"/>
    <n v="46661.169000000002"/>
    <b v="1"/>
    <n v="0"/>
    <b v="0"/>
    <n v="40648.82"/>
    <m/>
    <n v="40648.82"/>
    <n v="6"/>
    <b v="1"/>
    <b v="0"/>
  </r>
  <r>
    <s v="C"/>
    <s v="M"/>
    <n v="20240101"/>
    <x v="1"/>
    <x v="10"/>
    <s v="202401"/>
    <n v="818"/>
    <s v="EGY"/>
    <x v="0"/>
    <s v="M"/>
    <s v="Import"/>
    <n v="32"/>
    <s v="ARG"/>
    <x v="10"/>
    <n v="0"/>
    <s v="W00"/>
    <s v="World"/>
    <s v="H6"/>
    <s v="HS"/>
    <b v="1"/>
    <s v="281511"/>
    <s v="Sodium hydroxide (caustic soda); solid"/>
    <n v="6"/>
    <b v="1"/>
    <s v="C00"/>
    <s v="TOTAL CPC"/>
    <s v="0"/>
    <n v="0"/>
    <s v="TOTAL MOT"/>
    <n v="8"/>
    <s v="kg"/>
    <n v="36503.508000000002"/>
    <b v="1"/>
    <n v="-1"/>
    <s v="N/A"/>
    <n v="0"/>
    <b v="0"/>
    <n v="36503.508000000002"/>
    <b v="1"/>
    <n v="0"/>
    <b v="0"/>
    <n v="31799.986000000001"/>
    <m/>
    <n v="31799.986000000001"/>
    <n v="6"/>
    <b v="1"/>
    <b v="0"/>
  </r>
  <r>
    <s v="C"/>
    <s v="M"/>
    <n v="20240401"/>
    <x v="1"/>
    <x v="8"/>
    <s v="202404"/>
    <n v="818"/>
    <s v="EGY"/>
    <x v="0"/>
    <s v="M"/>
    <s v="Import"/>
    <n v="699"/>
    <s v="IND"/>
    <x v="6"/>
    <n v="0"/>
    <s v="W00"/>
    <s v="World"/>
    <s v="H6"/>
    <s v="HS"/>
    <b v="1"/>
    <s v="281511"/>
    <s v="Sodium hydroxide (caustic soda); solid"/>
    <n v="6"/>
    <b v="1"/>
    <s v="C00"/>
    <s v="TOTAL CPC"/>
    <s v="0"/>
    <n v="0"/>
    <s v="TOTAL MOT"/>
    <n v="8"/>
    <s v="kg"/>
    <n v="28429.012999999999"/>
    <b v="1"/>
    <n v="-1"/>
    <s v="N/A"/>
    <n v="0"/>
    <b v="0"/>
    <n v="28429.012999999999"/>
    <b v="1"/>
    <n v="0"/>
    <b v="0"/>
    <n v="24765.9"/>
    <m/>
    <n v="24765.9"/>
    <n v="6"/>
    <b v="1"/>
    <b v="0"/>
  </r>
  <r>
    <s v="C"/>
    <s v="M"/>
    <n v="20240501"/>
    <x v="1"/>
    <x v="9"/>
    <s v="202405"/>
    <n v="818"/>
    <s v="EGY"/>
    <x v="0"/>
    <s v="M"/>
    <s v="Import"/>
    <n v="699"/>
    <s v="IND"/>
    <x v="6"/>
    <n v="0"/>
    <s v="W00"/>
    <s v="World"/>
    <s v="H6"/>
    <s v="HS"/>
    <b v="1"/>
    <s v="281511"/>
    <s v="Sodium hydroxide (caustic soda); solid"/>
    <n v="6"/>
    <b v="1"/>
    <s v="C00"/>
    <s v="TOTAL CPC"/>
    <s v="0"/>
    <n v="0"/>
    <s v="TOTAL MOT"/>
    <n v="8"/>
    <s v="kg"/>
    <n v="2634.5439999999999"/>
    <b v="1"/>
    <n v="-1"/>
    <s v="N/A"/>
    <n v="0"/>
    <b v="0"/>
    <n v="2634.5439999999999"/>
    <b v="1"/>
    <n v="0"/>
    <b v="0"/>
    <n v="2295.08"/>
    <m/>
    <n v="2295.08"/>
    <n v="6"/>
    <b v="1"/>
    <b v="0"/>
  </r>
  <r>
    <s v="C"/>
    <s v="M"/>
    <n v="20240601"/>
    <x v="1"/>
    <x v="6"/>
    <s v="202406"/>
    <n v="818"/>
    <s v="EGY"/>
    <x v="0"/>
    <s v="M"/>
    <s v="Import"/>
    <n v="699"/>
    <s v="IND"/>
    <x v="6"/>
    <n v="0"/>
    <s v="W00"/>
    <s v="World"/>
    <s v="H6"/>
    <s v="HS"/>
    <b v="1"/>
    <s v="281511"/>
    <s v="Sodium hydroxide (caustic soda); solid"/>
    <n v="6"/>
    <b v="1"/>
    <s v="C00"/>
    <s v="TOTAL CPC"/>
    <s v="0"/>
    <n v="0"/>
    <s v="TOTAL MOT"/>
    <n v="8"/>
    <s v="kg"/>
    <n v="8199.8009999999995"/>
    <b v="1"/>
    <n v="-1"/>
    <s v="N/A"/>
    <n v="0"/>
    <b v="0"/>
    <n v="8199.8009999999995"/>
    <b v="1"/>
    <n v="0"/>
    <b v="0"/>
    <n v="7143.2470000000003"/>
    <m/>
    <n v="7143.2470000000003"/>
    <n v="6"/>
    <b v="1"/>
    <b v="0"/>
  </r>
  <r>
    <s v="C"/>
    <s v="M"/>
    <n v="20240401"/>
    <x v="1"/>
    <x v="8"/>
    <s v="202404"/>
    <n v="818"/>
    <s v="EGY"/>
    <x v="0"/>
    <s v="M"/>
    <s v="Import"/>
    <n v="156"/>
    <s v="CHN"/>
    <x v="7"/>
    <n v="0"/>
    <s v="W00"/>
    <s v="World"/>
    <s v="H6"/>
    <s v="HS"/>
    <b v="1"/>
    <s v="281511"/>
    <s v="Sodium hydroxide (caustic soda); solid"/>
    <n v="6"/>
    <b v="1"/>
    <s v="C00"/>
    <s v="TOTAL CPC"/>
    <s v="0"/>
    <n v="0"/>
    <s v="TOTAL MOT"/>
    <n v="8"/>
    <s v="kg"/>
    <n v="22936.694"/>
    <b v="1"/>
    <n v="-1"/>
    <s v="N/A"/>
    <n v="0"/>
    <b v="0"/>
    <n v="22936.694"/>
    <b v="1"/>
    <n v="0"/>
    <b v="0"/>
    <n v="19981.273000000001"/>
    <m/>
    <n v="19981.273000000001"/>
    <n v="6"/>
    <b v="1"/>
    <b v="0"/>
  </r>
  <r>
    <s v="C"/>
    <s v="M"/>
    <n v="20240101"/>
    <x v="1"/>
    <x v="10"/>
    <s v="202401"/>
    <n v="818"/>
    <s v="EGY"/>
    <x v="0"/>
    <s v="M"/>
    <s v="Import"/>
    <n v="414"/>
    <s v="KWT"/>
    <x v="0"/>
    <n v="0"/>
    <s v="W00"/>
    <s v="World"/>
    <s v="H6"/>
    <s v="HS"/>
    <b v="1"/>
    <s v="281511"/>
    <s v="Sodium hydroxide (caustic soda); solid"/>
    <n v="6"/>
    <b v="1"/>
    <s v="C00"/>
    <s v="TOTAL CPC"/>
    <s v="0"/>
    <n v="0"/>
    <s v="TOTAL MOT"/>
    <n v="8"/>
    <s v="kg"/>
    <n v="6907.2020000000002"/>
    <b v="1"/>
    <n v="-1"/>
    <s v="N/A"/>
    <n v="0"/>
    <b v="0"/>
    <n v="6907.2020000000002"/>
    <b v="1"/>
    <n v="0"/>
    <b v="0"/>
    <n v="6017.201"/>
    <m/>
    <n v="6017.201"/>
    <n v="6"/>
    <b v="1"/>
    <b v="0"/>
  </r>
  <r>
    <s v="C"/>
    <s v="M"/>
    <n v="20240201"/>
    <x v="1"/>
    <x v="7"/>
    <s v="202402"/>
    <n v="818"/>
    <s v="EGY"/>
    <x v="0"/>
    <s v="M"/>
    <s v="Import"/>
    <n v="792"/>
    <s v="TUR"/>
    <x v="2"/>
    <n v="0"/>
    <s v="W00"/>
    <s v="World"/>
    <s v="H6"/>
    <s v="HS"/>
    <b v="1"/>
    <s v="281511"/>
    <s v="Sodium hydroxide (caustic soda); solid"/>
    <n v="6"/>
    <b v="1"/>
    <s v="C00"/>
    <s v="TOTAL CPC"/>
    <s v="0"/>
    <n v="0"/>
    <s v="TOTAL MOT"/>
    <n v="8"/>
    <s v="kg"/>
    <n v="42168.99"/>
    <b v="1"/>
    <n v="-1"/>
    <s v="N/A"/>
    <n v="0"/>
    <b v="0"/>
    <n v="42168.99"/>
    <b v="1"/>
    <n v="0"/>
    <b v="0"/>
    <n v="36735.464"/>
    <m/>
    <n v="36735.464"/>
    <n v="6"/>
    <b v="1"/>
    <b v="0"/>
  </r>
  <r>
    <s v="C"/>
    <s v="M"/>
    <n v="20240201"/>
    <x v="1"/>
    <x v="7"/>
    <s v="202402"/>
    <n v="818"/>
    <s v="EGY"/>
    <x v="0"/>
    <s v="M"/>
    <s v="Import"/>
    <n v="276"/>
    <s v="DEU"/>
    <x v="3"/>
    <n v="0"/>
    <s v="W00"/>
    <s v="World"/>
    <s v="H6"/>
    <s v="HS"/>
    <b v="1"/>
    <s v="281511"/>
    <s v="Sodium hydroxide (caustic soda); solid"/>
    <n v="6"/>
    <b v="1"/>
    <s v="C00"/>
    <s v="TOTAL CPC"/>
    <s v="0"/>
    <n v="0"/>
    <s v="TOTAL MOT"/>
    <n v="8"/>
    <s v="kg"/>
    <n v="9496.8950000000004"/>
    <b v="1"/>
    <n v="-1"/>
    <s v="N/A"/>
    <n v="0"/>
    <b v="0"/>
    <n v="9496.8950000000004"/>
    <b v="1"/>
    <n v="0"/>
    <b v="0"/>
    <n v="8273.2080000000005"/>
    <m/>
    <n v="8273.2080000000005"/>
    <n v="6"/>
    <b v="1"/>
    <b v="0"/>
  </r>
  <r>
    <s v="C"/>
    <s v="M"/>
    <n v="20240401"/>
    <x v="1"/>
    <x v="8"/>
    <s v="202404"/>
    <n v="818"/>
    <s v="EGY"/>
    <x v="0"/>
    <s v="M"/>
    <s v="Import"/>
    <n v="276"/>
    <s v="DEU"/>
    <x v="3"/>
    <n v="0"/>
    <s v="W00"/>
    <s v="World"/>
    <s v="H6"/>
    <s v="HS"/>
    <b v="1"/>
    <s v="281511"/>
    <s v="Sodium hydroxide (caustic soda); solid"/>
    <n v="6"/>
    <b v="1"/>
    <s v="C00"/>
    <s v="TOTAL CPC"/>
    <s v="0"/>
    <n v="0"/>
    <s v="TOTAL MOT"/>
    <n v="8"/>
    <s v="kg"/>
    <n v="3890.7429999999999"/>
    <b v="1"/>
    <n v="-1"/>
    <s v="N/A"/>
    <n v="0"/>
    <b v="0"/>
    <n v="3890.7429999999999"/>
    <b v="1"/>
    <n v="0"/>
    <b v="0"/>
    <n v="3389.4160000000002"/>
    <m/>
    <n v="3389.4160000000002"/>
    <n v="6"/>
    <b v="1"/>
    <b v="0"/>
  </r>
  <r>
    <s v="C"/>
    <s v="M"/>
    <n v="20240501"/>
    <x v="1"/>
    <x v="9"/>
    <s v="202405"/>
    <n v="818"/>
    <s v="EGY"/>
    <x v="0"/>
    <s v="M"/>
    <s v="Import"/>
    <n v="203"/>
    <s v="CZE"/>
    <x v="11"/>
    <n v="0"/>
    <s v="W00"/>
    <s v="World"/>
    <s v="H6"/>
    <s v="HS"/>
    <b v="1"/>
    <s v="281511"/>
    <s v="Sodium hydroxide (caustic soda); solid"/>
    <n v="6"/>
    <b v="1"/>
    <s v="C00"/>
    <s v="TOTAL CPC"/>
    <s v="0"/>
    <n v="0"/>
    <s v="TOTAL MOT"/>
    <n v="8"/>
    <s v="kg"/>
    <n v="2199.0279999999998"/>
    <b v="1"/>
    <n v="-1"/>
    <s v="N/A"/>
    <n v="0"/>
    <b v="0"/>
    <n v="2199.0279999999998"/>
    <b v="1"/>
    <n v="0"/>
    <b v="0"/>
    <n v="1915.68"/>
    <m/>
    <n v="1915.68"/>
    <n v="6"/>
    <b v="1"/>
    <b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C"/>
    <s v="M"/>
    <n v="20230701"/>
    <x v="0"/>
    <x v="0"/>
    <s v="202307"/>
    <n v="818"/>
    <s v="EGY"/>
    <x v="0"/>
    <s v="M"/>
    <s v="Import"/>
    <n v="0"/>
    <s v="W00"/>
    <x v="0"/>
    <n v="0"/>
    <s v="W00"/>
    <s v="World"/>
    <s v="H6"/>
    <s v="HS"/>
    <b v="1"/>
    <s v="281512"/>
    <s v="Sodium hydroxide (caustic soda); in aqueous solution (soda lye or liquid soda)"/>
    <n v="6"/>
    <b v="1"/>
    <s v="C00"/>
    <s v="TOTAL CPC"/>
    <s v="0"/>
    <n v="0"/>
    <s v="TOTAL MOT"/>
    <n v="8"/>
    <s v="kg"/>
    <n v="33754.593999999997"/>
    <b v="1"/>
    <n v="-1"/>
    <s v="N/A"/>
    <n v="0"/>
    <b v="0"/>
    <n v="33754.593999999997"/>
    <b v="1"/>
    <n v="0"/>
    <b v="0"/>
    <n v="15250.087"/>
    <m/>
    <n v="15250.087"/>
    <n v="6"/>
    <b v="0"/>
    <b v="1"/>
  </r>
  <r>
    <s v="C"/>
    <s v="M"/>
    <n v="20230701"/>
    <x v="0"/>
    <x v="0"/>
    <s v="202307"/>
    <n v="818"/>
    <s v="EGY"/>
    <x v="0"/>
    <s v="M"/>
    <s v="Import"/>
    <n v="251"/>
    <s v="FRA"/>
    <x v="1"/>
    <n v="0"/>
    <s v="W00"/>
    <s v="World"/>
    <s v="H6"/>
    <s v="HS"/>
    <b v="1"/>
    <s v="281512"/>
    <s v="Sodium hydroxide (caustic soda); in aqueous solution (soda lye or liquid soda)"/>
    <n v="6"/>
    <b v="1"/>
    <s v="C00"/>
    <s v="TOTAL CPC"/>
    <s v="0"/>
    <n v="0"/>
    <s v="TOTAL MOT"/>
    <n v="8"/>
    <s v="kg"/>
    <n v="16461.191999999999"/>
    <b v="1"/>
    <n v="-1"/>
    <s v="N/A"/>
    <n v="0"/>
    <b v="0"/>
    <n v="16461.191999999999"/>
    <b v="1"/>
    <n v="0"/>
    <b v="0"/>
    <n v="7437.05"/>
    <m/>
    <n v="7437.05"/>
    <n v="6"/>
    <b v="1"/>
    <b v="0"/>
  </r>
  <r>
    <s v="C"/>
    <s v="M"/>
    <n v="20230701"/>
    <x v="0"/>
    <x v="0"/>
    <s v="202307"/>
    <n v="818"/>
    <s v="EGY"/>
    <x v="0"/>
    <s v="M"/>
    <s v="Import"/>
    <n v="276"/>
    <s v="DEU"/>
    <x v="2"/>
    <n v="0"/>
    <s v="W00"/>
    <s v="World"/>
    <s v="H6"/>
    <s v="HS"/>
    <b v="1"/>
    <s v="281512"/>
    <s v="Sodium hydroxide (caustic soda); in aqueous solution (soda lye or liquid soda)"/>
    <n v="6"/>
    <b v="1"/>
    <s v="C00"/>
    <s v="TOTAL CPC"/>
    <s v="0"/>
    <n v="0"/>
    <s v="TOTAL MOT"/>
    <n v="8"/>
    <s v="kg"/>
    <n v="17293.401999999998"/>
    <b v="1"/>
    <n v="-1"/>
    <s v="N/A"/>
    <n v="0"/>
    <b v="0"/>
    <n v="17293.401999999998"/>
    <b v="1"/>
    <n v="0"/>
    <b v="0"/>
    <n v="7813.0370000000003"/>
    <m/>
    <n v="7813.0370000000003"/>
    <n v="6"/>
    <b v="1"/>
    <b v="0"/>
  </r>
  <r>
    <s v="C"/>
    <s v="M"/>
    <n v="20230901"/>
    <x v="0"/>
    <x v="1"/>
    <s v="202309"/>
    <n v="818"/>
    <s v="EGY"/>
    <x v="0"/>
    <s v="M"/>
    <s v="Import"/>
    <n v="0"/>
    <s v="W00"/>
    <x v="0"/>
    <n v="0"/>
    <s v="W00"/>
    <s v="World"/>
    <s v="H6"/>
    <s v="HS"/>
    <b v="1"/>
    <s v="281512"/>
    <s v="Sodium hydroxide (caustic soda); in aqueous solution (soda lye or liquid soda)"/>
    <n v="6"/>
    <b v="1"/>
    <s v="C00"/>
    <s v="TOTAL CPC"/>
    <s v="0"/>
    <n v="0"/>
    <s v="TOTAL MOT"/>
    <n v="8"/>
    <s v="kg"/>
    <n v="31307.829000000002"/>
    <b v="1"/>
    <n v="-1"/>
    <s v="N/A"/>
    <n v="0"/>
    <b v="0"/>
    <n v="31307.829000000002"/>
    <b v="1"/>
    <n v="0"/>
    <b v="0"/>
    <n v="14144.656000000001"/>
    <m/>
    <n v="14144.656000000001"/>
    <n v="6"/>
    <b v="0"/>
    <b v="1"/>
  </r>
  <r>
    <s v="C"/>
    <s v="M"/>
    <n v="20230901"/>
    <x v="0"/>
    <x v="1"/>
    <s v="202309"/>
    <n v="818"/>
    <s v="EGY"/>
    <x v="0"/>
    <s v="M"/>
    <s v="Import"/>
    <n v="276"/>
    <s v="DEU"/>
    <x v="2"/>
    <n v="0"/>
    <s v="W00"/>
    <s v="World"/>
    <s v="H6"/>
    <s v="HS"/>
    <b v="1"/>
    <s v="281512"/>
    <s v="Sodium hydroxide (caustic soda); in aqueous solution (soda lye or liquid soda)"/>
    <n v="6"/>
    <b v="1"/>
    <s v="C00"/>
    <s v="TOTAL CPC"/>
    <s v="0"/>
    <n v="0"/>
    <s v="TOTAL MOT"/>
    <n v="8"/>
    <s v="kg"/>
    <n v="31307.829000000002"/>
    <b v="1"/>
    <n v="-1"/>
    <s v="N/A"/>
    <n v="0"/>
    <b v="0"/>
    <n v="31307.829000000002"/>
    <b v="1"/>
    <n v="0"/>
    <b v="0"/>
    <n v="14144.656000000001"/>
    <m/>
    <n v="14144.656000000001"/>
    <n v="6"/>
    <b v="1"/>
    <b v="0"/>
  </r>
  <r>
    <s v="C"/>
    <s v="M"/>
    <n v="20231001"/>
    <x v="0"/>
    <x v="2"/>
    <s v="202310"/>
    <n v="818"/>
    <s v="EGY"/>
    <x v="0"/>
    <s v="M"/>
    <s v="Import"/>
    <n v="0"/>
    <s v="W00"/>
    <x v="0"/>
    <n v="0"/>
    <s v="W00"/>
    <s v="World"/>
    <s v="H6"/>
    <s v="HS"/>
    <b v="1"/>
    <s v="281512"/>
    <s v="Sodium hydroxide (caustic soda); in aqueous solution (soda lye or liquid soda)"/>
    <n v="6"/>
    <b v="1"/>
    <s v="C00"/>
    <s v="TOTAL CPC"/>
    <s v="0"/>
    <n v="0"/>
    <s v="TOTAL MOT"/>
    <n v="8"/>
    <s v="kg"/>
    <n v="32420.385999999999"/>
    <b v="1"/>
    <n v="-1"/>
    <s v="N/A"/>
    <n v="0"/>
    <b v="0"/>
    <n v="32420.385999999999"/>
    <b v="1"/>
    <n v="0"/>
    <b v="0"/>
    <n v="14647.302"/>
    <m/>
    <n v="14647.302"/>
    <n v="6"/>
    <b v="0"/>
    <b v="1"/>
  </r>
  <r>
    <s v="C"/>
    <s v="M"/>
    <n v="20231001"/>
    <x v="0"/>
    <x v="2"/>
    <s v="202310"/>
    <n v="818"/>
    <s v="EGY"/>
    <x v="0"/>
    <s v="M"/>
    <s v="Import"/>
    <n v="276"/>
    <s v="DEU"/>
    <x v="2"/>
    <n v="0"/>
    <s v="W00"/>
    <s v="World"/>
    <s v="H6"/>
    <s v="HS"/>
    <b v="1"/>
    <s v="281512"/>
    <s v="Sodium hydroxide (caustic soda); in aqueous solution (soda lye or liquid soda)"/>
    <n v="6"/>
    <b v="1"/>
    <s v="C00"/>
    <s v="TOTAL CPC"/>
    <s v="0"/>
    <n v="0"/>
    <s v="TOTAL MOT"/>
    <n v="8"/>
    <s v="kg"/>
    <n v="32420.385999999999"/>
    <b v="1"/>
    <n v="-1"/>
    <s v="N/A"/>
    <n v="0"/>
    <b v="0"/>
    <n v="32420.385999999999"/>
    <b v="1"/>
    <n v="0"/>
    <b v="0"/>
    <n v="14647.302"/>
    <m/>
    <n v="14647.302"/>
    <n v="6"/>
    <b v="1"/>
    <b v="0"/>
  </r>
  <r>
    <s v="C"/>
    <s v="M"/>
    <n v="20231101"/>
    <x v="0"/>
    <x v="3"/>
    <s v="202311"/>
    <n v="818"/>
    <s v="EGY"/>
    <x v="0"/>
    <s v="M"/>
    <s v="Import"/>
    <n v="276"/>
    <s v="DEU"/>
    <x v="2"/>
    <n v="0"/>
    <s v="W00"/>
    <s v="World"/>
    <s v="H6"/>
    <s v="HS"/>
    <b v="1"/>
    <s v="281512"/>
    <s v="Sodium hydroxide (caustic soda); in aqueous solution (soda lye or liquid soda)"/>
    <n v="6"/>
    <b v="1"/>
    <s v="C00"/>
    <s v="TOTAL CPC"/>
    <s v="0"/>
    <n v="0"/>
    <s v="TOTAL MOT"/>
    <n v="8"/>
    <s v="kg"/>
    <n v="23508.444"/>
    <b v="1"/>
    <n v="-1"/>
    <s v="N/A"/>
    <n v="0"/>
    <b v="0"/>
    <n v="23508.444"/>
    <b v="1"/>
    <n v="0"/>
    <b v="0"/>
    <n v="10620.949000000001"/>
    <m/>
    <n v="10620.949000000001"/>
    <n v="6"/>
    <b v="1"/>
    <b v="0"/>
  </r>
  <r>
    <s v="C"/>
    <s v="M"/>
    <n v="20231101"/>
    <x v="0"/>
    <x v="3"/>
    <s v="202311"/>
    <n v="818"/>
    <s v="EGY"/>
    <x v="0"/>
    <s v="M"/>
    <s v="Import"/>
    <n v="0"/>
    <s v="W00"/>
    <x v="0"/>
    <n v="0"/>
    <s v="W00"/>
    <s v="World"/>
    <s v="H6"/>
    <s v="HS"/>
    <b v="1"/>
    <s v="281512"/>
    <s v="Sodium hydroxide (caustic soda); in aqueous solution (soda lye or liquid soda)"/>
    <n v="6"/>
    <b v="1"/>
    <s v="C00"/>
    <s v="TOTAL CPC"/>
    <s v="0"/>
    <n v="0"/>
    <s v="TOTAL MOT"/>
    <n v="8"/>
    <s v="kg"/>
    <n v="556698.91700000002"/>
    <b v="1"/>
    <n v="-1"/>
    <s v="N/A"/>
    <n v="0"/>
    <b v="0"/>
    <n v="556698.91700000002"/>
    <b v="1"/>
    <n v="0"/>
    <b v="0"/>
    <n v="251512.64499999999"/>
    <m/>
    <n v="251512.64499999999"/>
    <n v="6"/>
    <b v="0"/>
    <b v="1"/>
  </r>
  <r>
    <s v="C"/>
    <s v="M"/>
    <n v="20231101"/>
    <x v="0"/>
    <x v="3"/>
    <s v="202311"/>
    <n v="818"/>
    <s v="EGY"/>
    <x v="0"/>
    <s v="M"/>
    <s v="Import"/>
    <n v="156"/>
    <s v="CHN"/>
    <x v="3"/>
    <n v="0"/>
    <s v="W00"/>
    <s v="World"/>
    <s v="H6"/>
    <s v="HS"/>
    <b v="1"/>
    <s v="281512"/>
    <s v="Sodium hydroxide (caustic soda); in aqueous solution (soda lye or liquid soda)"/>
    <n v="6"/>
    <b v="1"/>
    <s v="C00"/>
    <s v="TOTAL CPC"/>
    <s v="0"/>
    <n v="0"/>
    <s v="TOTAL MOT"/>
    <n v="8"/>
    <s v="kg"/>
    <n v="81921.150999999998"/>
    <b v="1"/>
    <n v="-1"/>
    <s v="N/A"/>
    <n v="0"/>
    <b v="0"/>
    <n v="81921.150999999998"/>
    <b v="1"/>
    <n v="0"/>
    <b v="0"/>
    <n v="37011.398000000001"/>
    <m/>
    <n v="37011.398000000001"/>
    <n v="6"/>
    <b v="1"/>
    <b v="0"/>
  </r>
  <r>
    <s v="C"/>
    <s v="M"/>
    <n v="20231101"/>
    <x v="0"/>
    <x v="3"/>
    <s v="202311"/>
    <n v="818"/>
    <s v="EGY"/>
    <x v="0"/>
    <s v="M"/>
    <s v="Import"/>
    <n v="414"/>
    <s v="KWT"/>
    <x v="4"/>
    <n v="0"/>
    <s v="W00"/>
    <s v="World"/>
    <s v="H6"/>
    <s v="HS"/>
    <b v="1"/>
    <s v="281512"/>
    <s v="Sodium hydroxide (caustic soda); in aqueous solution (soda lye or liquid soda)"/>
    <n v="6"/>
    <b v="1"/>
    <s v="C00"/>
    <s v="TOTAL CPC"/>
    <s v="0"/>
    <n v="0"/>
    <s v="TOTAL MOT"/>
    <n v="8"/>
    <s v="kg"/>
    <n v="421895.489"/>
    <b v="1"/>
    <n v="-1"/>
    <s v="N/A"/>
    <n v="0"/>
    <b v="0"/>
    <n v="421895.489"/>
    <b v="1"/>
    <n v="0"/>
    <b v="0"/>
    <n v="190609.40599999999"/>
    <m/>
    <n v="190609.40599999999"/>
    <n v="6"/>
    <b v="1"/>
    <b v="0"/>
  </r>
  <r>
    <s v="C"/>
    <s v="M"/>
    <n v="20231101"/>
    <x v="0"/>
    <x v="3"/>
    <s v="202311"/>
    <n v="818"/>
    <s v="EGY"/>
    <x v="0"/>
    <s v="M"/>
    <s v="Import"/>
    <n v="251"/>
    <s v="FRA"/>
    <x v="1"/>
    <n v="0"/>
    <s v="W00"/>
    <s v="World"/>
    <s v="H6"/>
    <s v="HS"/>
    <b v="1"/>
    <s v="281512"/>
    <s v="Sodium hydroxide (caustic soda); in aqueous solution (soda lye or liquid soda)"/>
    <n v="6"/>
    <b v="1"/>
    <s v="C00"/>
    <s v="TOTAL CPC"/>
    <s v="0"/>
    <n v="0"/>
    <s v="TOTAL MOT"/>
    <n v="8"/>
    <s v="kg"/>
    <n v="29373.832999999999"/>
    <b v="1"/>
    <n v="-1"/>
    <s v="N/A"/>
    <n v="0"/>
    <b v="0"/>
    <n v="29373.832999999999"/>
    <b v="1"/>
    <n v="0"/>
    <b v="0"/>
    <n v="13270.891"/>
    <m/>
    <n v="13270.891"/>
    <n v="6"/>
    <b v="1"/>
    <b v="0"/>
  </r>
  <r>
    <s v="C"/>
    <s v="M"/>
    <n v="20231201"/>
    <x v="0"/>
    <x v="4"/>
    <s v="202312"/>
    <n v="818"/>
    <s v="EGY"/>
    <x v="0"/>
    <s v="M"/>
    <s v="Import"/>
    <n v="0"/>
    <s v="W00"/>
    <x v="0"/>
    <n v="0"/>
    <s v="W00"/>
    <s v="World"/>
    <s v="H6"/>
    <s v="HS"/>
    <b v="1"/>
    <s v="281512"/>
    <s v="Sodium hydroxide (caustic soda); in aqueous solution (soda lye or liquid soda)"/>
    <n v="6"/>
    <b v="1"/>
    <s v="C00"/>
    <s v="TOTAL CPC"/>
    <s v="0"/>
    <n v="0"/>
    <s v="TOTAL MOT"/>
    <n v="8"/>
    <s v="kg"/>
    <n v="62437.163"/>
    <b v="1"/>
    <n v="-1"/>
    <s v="N/A"/>
    <n v="0"/>
    <b v="0"/>
    <n v="62437.163"/>
    <b v="1"/>
    <n v="0"/>
    <b v="0"/>
    <n v="28208.67"/>
    <m/>
    <n v="28208.67"/>
    <n v="6"/>
    <b v="0"/>
    <b v="1"/>
  </r>
  <r>
    <s v="C"/>
    <s v="M"/>
    <n v="20231201"/>
    <x v="0"/>
    <x v="4"/>
    <s v="202312"/>
    <n v="818"/>
    <s v="EGY"/>
    <x v="0"/>
    <s v="M"/>
    <s v="Import"/>
    <n v="56"/>
    <s v="BEL"/>
    <x v="5"/>
    <n v="0"/>
    <s v="W00"/>
    <s v="World"/>
    <s v="H6"/>
    <s v="HS"/>
    <b v="1"/>
    <s v="281512"/>
    <s v="Sodium hydroxide (caustic soda); in aqueous solution (soda lye or liquid soda)"/>
    <n v="6"/>
    <b v="1"/>
    <s v="C00"/>
    <s v="TOTAL CPC"/>
    <s v="0"/>
    <n v="0"/>
    <s v="TOTAL MOT"/>
    <n v="8"/>
    <s v="kg"/>
    <n v="62437.163"/>
    <b v="1"/>
    <n v="-1"/>
    <s v="N/A"/>
    <n v="0"/>
    <b v="0"/>
    <n v="62437.163"/>
    <b v="1"/>
    <n v="0"/>
    <b v="0"/>
    <n v="28208.67"/>
    <m/>
    <n v="28208.67"/>
    <n v="6"/>
    <b v="1"/>
    <b v="0"/>
  </r>
  <r>
    <s v="C"/>
    <s v="M"/>
    <n v="20240201"/>
    <x v="1"/>
    <x v="5"/>
    <s v="202402"/>
    <n v="818"/>
    <s v="EGY"/>
    <x v="0"/>
    <s v="M"/>
    <s v="Import"/>
    <n v="0"/>
    <s v="W00"/>
    <x v="0"/>
    <n v="0"/>
    <s v="W00"/>
    <s v="World"/>
    <s v="H6"/>
    <s v="HS"/>
    <b v="1"/>
    <s v="281512"/>
    <s v="Sodium hydroxide (caustic soda); in aqueous solution (soda lye or liquid soda)"/>
    <n v="6"/>
    <b v="1"/>
    <s v="C00"/>
    <s v="TOTAL CPC"/>
    <s v="0"/>
    <n v="0"/>
    <s v="TOTAL MOT"/>
    <n v="8"/>
    <s v="kg"/>
    <n v="28901.21"/>
    <b v="1"/>
    <n v="-1"/>
    <s v="N/A"/>
    <n v="0"/>
    <b v="0"/>
    <n v="28901.21"/>
    <b v="1"/>
    <n v="0"/>
    <b v="0"/>
    <n v="13057.362999999999"/>
    <m/>
    <n v="13057.362999999999"/>
    <n v="6"/>
    <b v="0"/>
    <b v="1"/>
  </r>
  <r>
    <s v="C"/>
    <s v="M"/>
    <n v="20240301"/>
    <x v="1"/>
    <x v="6"/>
    <s v="202403"/>
    <n v="818"/>
    <s v="EGY"/>
    <x v="0"/>
    <s v="M"/>
    <s v="Import"/>
    <n v="0"/>
    <s v="W00"/>
    <x v="0"/>
    <n v="0"/>
    <s v="W00"/>
    <s v="World"/>
    <s v="H6"/>
    <s v="HS"/>
    <b v="1"/>
    <s v="281512"/>
    <s v="Sodium hydroxide (caustic soda); in aqueous solution (soda lye or liquid soda)"/>
    <n v="6"/>
    <b v="1"/>
    <s v="C00"/>
    <s v="TOTAL CPC"/>
    <s v="0"/>
    <n v="0"/>
    <s v="TOTAL MOT"/>
    <n v="8"/>
    <s v="kg"/>
    <n v="2221.6959999999999"/>
    <b v="1"/>
    <n v="-1"/>
    <s v="N/A"/>
    <n v="0"/>
    <b v="0"/>
    <n v="2221.6959999999999"/>
    <b v="1"/>
    <n v="0"/>
    <b v="0"/>
    <n v="1003.747"/>
    <m/>
    <n v="1003.747"/>
    <n v="6"/>
    <b v="0"/>
    <b v="1"/>
  </r>
  <r>
    <s v="C"/>
    <s v="M"/>
    <n v="20240401"/>
    <x v="1"/>
    <x v="7"/>
    <s v="202404"/>
    <n v="818"/>
    <s v="EGY"/>
    <x v="0"/>
    <s v="M"/>
    <s v="Import"/>
    <n v="0"/>
    <s v="W00"/>
    <x v="0"/>
    <n v="0"/>
    <s v="W00"/>
    <s v="World"/>
    <s v="H6"/>
    <s v="HS"/>
    <b v="1"/>
    <s v="281512"/>
    <s v="Sodium hydroxide (caustic soda); in aqueous solution (soda lye or liquid soda)"/>
    <n v="6"/>
    <b v="1"/>
    <s v="C00"/>
    <s v="TOTAL CPC"/>
    <s v="0"/>
    <n v="0"/>
    <s v="TOTAL MOT"/>
    <n v="8"/>
    <s v="kg"/>
    <n v="23129.641"/>
    <b v="1"/>
    <n v="-1"/>
    <s v="N/A"/>
    <n v="0"/>
    <b v="0"/>
    <n v="23129.641"/>
    <b v="1"/>
    <n v="0"/>
    <b v="0"/>
    <n v="10449.808999999999"/>
    <m/>
    <n v="10449.808999999999"/>
    <n v="6"/>
    <b v="0"/>
    <b v="1"/>
  </r>
  <r>
    <s v="C"/>
    <s v="M"/>
    <n v="20240501"/>
    <x v="1"/>
    <x v="8"/>
    <s v="202405"/>
    <n v="818"/>
    <s v="EGY"/>
    <x v="0"/>
    <s v="M"/>
    <s v="Import"/>
    <n v="0"/>
    <s v="W00"/>
    <x v="0"/>
    <n v="0"/>
    <s v="W00"/>
    <s v="World"/>
    <s v="H6"/>
    <s v="HS"/>
    <b v="1"/>
    <s v="281512"/>
    <s v="Sodium hydroxide (caustic soda); in aqueous solution (soda lye or liquid soda)"/>
    <n v="6"/>
    <b v="1"/>
    <s v="C00"/>
    <s v="TOTAL CPC"/>
    <s v="0"/>
    <n v="0"/>
    <s v="TOTAL MOT"/>
    <n v="8"/>
    <s v="kg"/>
    <n v="10615.54"/>
    <b v="1"/>
    <n v="-1"/>
    <s v="N/A"/>
    <n v="0"/>
    <b v="0"/>
    <n v="10615.54"/>
    <b v="1"/>
    <n v="0"/>
    <b v="0"/>
    <n v="4796.0259999999998"/>
    <m/>
    <n v="4796.0259999999998"/>
    <n v="6"/>
    <b v="0"/>
    <b v="1"/>
  </r>
  <r>
    <s v="C"/>
    <s v="M"/>
    <n v="20240601"/>
    <x v="1"/>
    <x v="9"/>
    <s v="202406"/>
    <n v="818"/>
    <s v="EGY"/>
    <x v="0"/>
    <s v="M"/>
    <s v="Import"/>
    <n v="0"/>
    <s v="W00"/>
    <x v="0"/>
    <n v="0"/>
    <s v="W00"/>
    <s v="World"/>
    <s v="H6"/>
    <s v="HS"/>
    <b v="1"/>
    <s v="281512"/>
    <s v="Sodium hydroxide (caustic soda); in aqueous solution (soda lye or liquid soda)"/>
    <n v="6"/>
    <b v="1"/>
    <s v="C00"/>
    <s v="TOTAL CPC"/>
    <s v="0"/>
    <n v="0"/>
    <s v="TOTAL MOT"/>
    <n v="8"/>
    <s v="kg"/>
    <n v="72085.304000000004"/>
    <b v="1"/>
    <n v="-1"/>
    <s v="N/A"/>
    <n v="0"/>
    <b v="0"/>
    <n v="72085.304000000004"/>
    <b v="1"/>
    <n v="0"/>
    <b v="0"/>
    <n v="32567.632000000001"/>
    <m/>
    <n v="32567.632000000001"/>
    <n v="6"/>
    <b v="0"/>
    <b v="1"/>
  </r>
  <r>
    <s v="C"/>
    <s v="M"/>
    <n v="20240101"/>
    <x v="1"/>
    <x v="10"/>
    <s v="202401"/>
    <n v="818"/>
    <s v="EGY"/>
    <x v="0"/>
    <s v="M"/>
    <s v="Import"/>
    <n v="0"/>
    <s v="W00"/>
    <x v="0"/>
    <n v="0"/>
    <s v="W00"/>
    <s v="World"/>
    <s v="H6"/>
    <s v="HS"/>
    <b v="1"/>
    <s v="281512"/>
    <s v="Sodium hydroxide (caustic soda); in aqueous solution (soda lye or liquid soda)"/>
    <n v="6"/>
    <b v="1"/>
    <s v="C00"/>
    <s v="TOTAL CPC"/>
    <s v="0"/>
    <n v="0"/>
    <s v="TOTAL MOT"/>
    <n v="8"/>
    <s v="kg"/>
    <n v="24042.014999999999"/>
    <b v="1"/>
    <n v="-1"/>
    <s v="N/A"/>
    <n v="0"/>
    <b v="0"/>
    <n v="24042.014999999999"/>
    <b v="1"/>
    <n v="0"/>
    <b v="0"/>
    <n v="10862.013000000001"/>
    <m/>
    <n v="10862.013000000001"/>
    <n v="6"/>
    <b v="0"/>
    <b v="1"/>
  </r>
  <r>
    <s v="C"/>
    <s v="M"/>
    <n v="20240401"/>
    <x v="1"/>
    <x v="7"/>
    <s v="202404"/>
    <n v="818"/>
    <s v="EGY"/>
    <x v="0"/>
    <s v="M"/>
    <s v="Import"/>
    <n v="784"/>
    <s v="ARE"/>
    <x v="6"/>
    <n v="0"/>
    <s v="W00"/>
    <s v="World"/>
    <s v="H6"/>
    <s v="HS"/>
    <b v="1"/>
    <s v="281512"/>
    <s v="Sodium hydroxide (caustic soda); in aqueous solution (soda lye or liquid soda)"/>
    <n v="6"/>
    <b v="1"/>
    <s v="C00"/>
    <s v="TOTAL CPC"/>
    <s v="0"/>
    <n v="0"/>
    <s v="TOTAL MOT"/>
    <n v="8"/>
    <s v="kg"/>
    <n v="3821.9119999999998"/>
    <b v="1"/>
    <n v="-1"/>
    <s v="N/A"/>
    <n v="0"/>
    <b v="0"/>
    <n v="3821.9119999999998"/>
    <b v="1"/>
    <n v="0"/>
    <b v="0"/>
    <n v="1726.713"/>
    <m/>
    <n v="1726.713"/>
    <n v="6"/>
    <b v="1"/>
    <b v="0"/>
  </r>
  <r>
    <s v="C"/>
    <s v="M"/>
    <n v="20240301"/>
    <x v="1"/>
    <x v="6"/>
    <s v="202403"/>
    <n v="818"/>
    <s v="EGY"/>
    <x v="0"/>
    <s v="M"/>
    <s v="Import"/>
    <n v="792"/>
    <s v="TUR"/>
    <x v="7"/>
    <n v="0"/>
    <s v="W00"/>
    <s v="World"/>
    <s v="H6"/>
    <s v="HS"/>
    <b v="1"/>
    <s v="281512"/>
    <s v="Sodium hydroxide (caustic soda); in aqueous solution (soda lye or liquid soda)"/>
    <n v="6"/>
    <b v="1"/>
    <s v="C00"/>
    <s v="TOTAL CPC"/>
    <s v="0"/>
    <n v="0"/>
    <s v="TOTAL MOT"/>
    <n v="8"/>
    <s v="kg"/>
    <n v="2221.6959999999999"/>
    <b v="1"/>
    <n v="-1"/>
    <s v="N/A"/>
    <n v="0"/>
    <b v="0"/>
    <n v="2221.6959999999999"/>
    <b v="1"/>
    <n v="0"/>
    <b v="0"/>
    <n v="1003.747"/>
    <m/>
    <n v="1003.747"/>
    <n v="6"/>
    <b v="1"/>
    <b v="0"/>
  </r>
  <r>
    <s v="C"/>
    <s v="M"/>
    <n v="20240601"/>
    <x v="1"/>
    <x v="9"/>
    <s v="202406"/>
    <n v="818"/>
    <s v="EGY"/>
    <x v="0"/>
    <s v="M"/>
    <s v="Import"/>
    <n v="792"/>
    <s v="TUR"/>
    <x v="7"/>
    <n v="0"/>
    <s v="W00"/>
    <s v="World"/>
    <s v="H6"/>
    <s v="HS"/>
    <b v="1"/>
    <s v="281512"/>
    <s v="Sodium hydroxide (caustic soda); in aqueous solution (soda lye or liquid soda)"/>
    <n v="6"/>
    <b v="1"/>
    <s v="C00"/>
    <s v="TOTAL CPC"/>
    <s v="0"/>
    <n v="0"/>
    <s v="TOTAL MOT"/>
    <n v="8"/>
    <s v="kg"/>
    <n v="52435.817999999999"/>
    <b v="1"/>
    <n v="-1"/>
    <s v="N/A"/>
    <n v="0"/>
    <b v="0"/>
    <n v="52435.817999999999"/>
    <b v="1"/>
    <n v="0"/>
    <b v="0"/>
    <n v="23690.133000000002"/>
    <m/>
    <n v="23690.133000000002"/>
    <n v="6"/>
    <b v="1"/>
    <b v="0"/>
  </r>
  <r>
    <s v="C"/>
    <s v="M"/>
    <n v="20240201"/>
    <x v="1"/>
    <x v="5"/>
    <s v="202402"/>
    <n v="818"/>
    <s v="EGY"/>
    <x v="0"/>
    <s v="M"/>
    <s v="Import"/>
    <n v="251"/>
    <s v="FRA"/>
    <x v="1"/>
    <n v="0"/>
    <s v="W00"/>
    <s v="World"/>
    <s v="H6"/>
    <s v="HS"/>
    <b v="1"/>
    <s v="281512"/>
    <s v="Sodium hydroxide (caustic soda); in aqueous solution (soda lye or liquid soda)"/>
    <n v="6"/>
    <b v="1"/>
    <s v="C00"/>
    <s v="TOTAL CPC"/>
    <s v="0"/>
    <n v="0"/>
    <s v="TOTAL MOT"/>
    <n v="8"/>
    <s v="kg"/>
    <n v="10941.394"/>
    <b v="1"/>
    <n v="-1"/>
    <s v="N/A"/>
    <n v="0"/>
    <b v="0"/>
    <n v="10941.394"/>
    <b v="1"/>
    <n v="0"/>
    <b v="0"/>
    <n v="4943.2449999999999"/>
    <m/>
    <n v="4943.2449999999999"/>
    <n v="6"/>
    <b v="1"/>
    <b v="0"/>
  </r>
  <r>
    <s v="C"/>
    <s v="M"/>
    <n v="20240401"/>
    <x v="1"/>
    <x v="7"/>
    <s v="202404"/>
    <n v="818"/>
    <s v="EGY"/>
    <x v="0"/>
    <s v="M"/>
    <s v="Import"/>
    <n v="276"/>
    <s v="DEU"/>
    <x v="2"/>
    <n v="0"/>
    <s v="W00"/>
    <s v="World"/>
    <s v="H6"/>
    <s v="HS"/>
    <b v="1"/>
    <s v="281512"/>
    <s v="Sodium hydroxide (caustic soda); in aqueous solution (soda lye or liquid soda)"/>
    <n v="6"/>
    <b v="1"/>
    <s v="C00"/>
    <s v="TOTAL CPC"/>
    <s v="0"/>
    <n v="0"/>
    <s v="TOTAL MOT"/>
    <n v="8"/>
    <s v="kg"/>
    <n v="19307.728999999999"/>
    <b v="1"/>
    <n v="-1"/>
    <s v="N/A"/>
    <n v="0"/>
    <b v="0"/>
    <n v="19307.728999999999"/>
    <b v="1"/>
    <n v="0"/>
    <b v="0"/>
    <n v="8723.0959999999995"/>
    <m/>
    <n v="8723.0959999999995"/>
    <n v="6"/>
    <b v="1"/>
    <b v="0"/>
  </r>
  <r>
    <s v="C"/>
    <s v="M"/>
    <n v="20240501"/>
    <x v="1"/>
    <x v="8"/>
    <s v="202405"/>
    <n v="818"/>
    <s v="EGY"/>
    <x v="0"/>
    <s v="M"/>
    <s v="Import"/>
    <n v="276"/>
    <s v="DEU"/>
    <x v="2"/>
    <n v="0"/>
    <s v="W00"/>
    <s v="World"/>
    <s v="H6"/>
    <s v="HS"/>
    <b v="1"/>
    <s v="281512"/>
    <s v="Sodium hydroxide (caustic soda); in aqueous solution (soda lye or liquid soda)"/>
    <n v="6"/>
    <b v="1"/>
    <s v="C00"/>
    <s v="TOTAL CPC"/>
    <s v="0"/>
    <n v="0"/>
    <s v="TOTAL MOT"/>
    <n v="8"/>
    <s v="kg"/>
    <n v="10615.54"/>
    <b v="1"/>
    <n v="-1"/>
    <s v="N/A"/>
    <n v="0"/>
    <b v="0"/>
    <n v="10615.54"/>
    <b v="1"/>
    <n v="0"/>
    <b v="0"/>
    <n v="4796.0259999999998"/>
    <m/>
    <n v="4796.0259999999998"/>
    <n v="6"/>
    <b v="1"/>
    <b v="0"/>
  </r>
  <r>
    <s v="C"/>
    <s v="M"/>
    <n v="20240601"/>
    <x v="1"/>
    <x v="9"/>
    <s v="202406"/>
    <n v="818"/>
    <s v="EGY"/>
    <x v="0"/>
    <s v="M"/>
    <s v="Import"/>
    <n v="276"/>
    <s v="DEU"/>
    <x v="2"/>
    <n v="0"/>
    <s v="W00"/>
    <s v="World"/>
    <s v="H6"/>
    <s v="HS"/>
    <b v="1"/>
    <s v="281512"/>
    <s v="Sodium hydroxide (caustic soda); in aqueous solution (soda lye or liquid soda)"/>
    <n v="6"/>
    <b v="1"/>
    <s v="C00"/>
    <s v="TOTAL CPC"/>
    <s v="0"/>
    <n v="0"/>
    <s v="TOTAL MOT"/>
    <n v="8"/>
    <s v="kg"/>
    <n v="19649.486000000001"/>
    <b v="1"/>
    <n v="-1"/>
    <s v="N/A"/>
    <n v="0"/>
    <b v="0"/>
    <n v="19649.486000000001"/>
    <b v="1"/>
    <n v="0"/>
    <b v="0"/>
    <n v="8877.4989999999998"/>
    <m/>
    <n v="8877.4989999999998"/>
    <n v="6"/>
    <b v="1"/>
    <b v="0"/>
  </r>
  <r>
    <s v="C"/>
    <s v="M"/>
    <n v="20240101"/>
    <x v="1"/>
    <x v="10"/>
    <s v="202401"/>
    <n v="818"/>
    <s v="EGY"/>
    <x v="0"/>
    <s v="M"/>
    <s v="Import"/>
    <n v="276"/>
    <s v="DEU"/>
    <x v="2"/>
    <n v="0"/>
    <s v="W00"/>
    <s v="World"/>
    <s v="H6"/>
    <s v="HS"/>
    <b v="1"/>
    <s v="281512"/>
    <s v="Sodium hydroxide (caustic soda); in aqueous solution (soda lye or liquid soda)"/>
    <n v="6"/>
    <b v="1"/>
    <s v="C00"/>
    <s v="TOTAL CPC"/>
    <s v="0"/>
    <n v="0"/>
    <s v="TOTAL MOT"/>
    <n v="8"/>
    <s v="kg"/>
    <n v="24042.014999999999"/>
    <b v="1"/>
    <n v="-1"/>
    <s v="N/A"/>
    <n v="0"/>
    <b v="0"/>
    <n v="24042.014999999999"/>
    <b v="1"/>
    <n v="0"/>
    <b v="0"/>
    <n v="10862.013000000001"/>
    <m/>
    <n v="10862.013000000001"/>
    <n v="6"/>
    <b v="1"/>
    <b v="0"/>
  </r>
  <r>
    <s v="C"/>
    <s v="M"/>
    <n v="20240201"/>
    <x v="1"/>
    <x v="5"/>
    <s v="202402"/>
    <n v="818"/>
    <s v="EGY"/>
    <x v="0"/>
    <s v="M"/>
    <s v="Import"/>
    <n v="276"/>
    <s v="DEU"/>
    <x v="2"/>
    <n v="0"/>
    <s v="W00"/>
    <s v="World"/>
    <s v="H6"/>
    <s v="HS"/>
    <b v="1"/>
    <s v="281512"/>
    <s v="Sodium hydroxide (caustic soda); in aqueous solution (soda lye or liquid soda)"/>
    <n v="6"/>
    <b v="1"/>
    <s v="C00"/>
    <s v="TOTAL CPC"/>
    <s v="0"/>
    <n v="0"/>
    <s v="TOTAL MOT"/>
    <n v="8"/>
    <s v="kg"/>
    <n v="17959.815999999999"/>
    <b v="1"/>
    <n v="-1"/>
    <s v="N/A"/>
    <n v="0"/>
    <b v="0"/>
    <n v="17959.815999999999"/>
    <b v="1"/>
    <n v="0"/>
    <b v="0"/>
    <n v="8114.1180000000004"/>
    <m/>
    <n v="8114.1180000000004"/>
    <n v="6"/>
    <b v="1"/>
    <b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C"/>
    <s v="M"/>
    <n v="20230701"/>
    <x v="0"/>
    <x v="0"/>
    <s v="202307"/>
    <n v="818"/>
    <s v="EGY"/>
    <x v="0"/>
    <s v="M"/>
    <s v="Import"/>
    <n v="0"/>
    <s v="W00"/>
    <x v="0"/>
    <n v="0"/>
    <s v="W00"/>
    <s v="World"/>
    <s v="H6"/>
    <s v="HS"/>
    <b v="1"/>
    <s v="441520"/>
    <s v="Wood; pallets, box pallets and other load boards; pallet collars"/>
    <n v="6"/>
    <b v="1"/>
    <s v="C00"/>
    <s v="TOTAL CPC"/>
    <s v="0"/>
    <n v="0"/>
    <s v="TOTAL MOT"/>
    <n v="5"/>
    <s v="u"/>
    <n v="9352.4920000000002"/>
    <b v="1"/>
    <n v="-1"/>
    <s v="N/A"/>
    <n v="0"/>
    <b v="0"/>
    <n v="163120.19099999999"/>
    <b v="1"/>
    <n v="0"/>
    <b v="0"/>
    <n v="113131.04"/>
    <m/>
    <n v="113131.04"/>
    <n v="6"/>
    <b v="0"/>
    <b v="1"/>
  </r>
  <r>
    <s v="C"/>
    <s v="M"/>
    <n v="20230701"/>
    <x v="0"/>
    <x v="0"/>
    <s v="202307"/>
    <n v="818"/>
    <s v="EGY"/>
    <x v="0"/>
    <s v="M"/>
    <s v="Import"/>
    <n v="710"/>
    <s v="ZAF"/>
    <x v="1"/>
    <n v="0"/>
    <s v="W00"/>
    <s v="World"/>
    <s v="H6"/>
    <s v="HS"/>
    <b v="1"/>
    <s v="441520"/>
    <s v="Wood; pallets, box pallets and other load boards; pallet collars"/>
    <n v="6"/>
    <b v="1"/>
    <s v="C00"/>
    <s v="TOTAL CPC"/>
    <s v="0"/>
    <n v="0"/>
    <s v="TOTAL MOT"/>
    <n v="5"/>
    <s v="u"/>
    <n v="39.070999999999998"/>
    <b v="1"/>
    <n v="-1"/>
    <s v="N/A"/>
    <n v="0"/>
    <b v="0"/>
    <n v="681.45299999999997"/>
    <b v="1"/>
    <n v="0"/>
    <b v="0"/>
    <n v="472.61799999999999"/>
    <m/>
    <n v="472.61799999999999"/>
    <n v="6"/>
    <b v="1"/>
    <b v="0"/>
  </r>
  <r>
    <s v="C"/>
    <s v="M"/>
    <n v="20230701"/>
    <x v="0"/>
    <x v="0"/>
    <s v="202307"/>
    <n v="818"/>
    <s v="EGY"/>
    <x v="0"/>
    <s v="M"/>
    <s v="Import"/>
    <n v="699"/>
    <s v="IND"/>
    <x v="2"/>
    <n v="0"/>
    <s v="W00"/>
    <s v="World"/>
    <s v="H6"/>
    <s v="HS"/>
    <b v="1"/>
    <s v="441520"/>
    <s v="Wood; pallets, box pallets and other load boards; pallet collars"/>
    <n v="6"/>
    <b v="1"/>
    <s v="C00"/>
    <s v="TOTAL CPC"/>
    <s v="0"/>
    <n v="0"/>
    <s v="TOTAL MOT"/>
    <n v="5"/>
    <s v="u"/>
    <n v="8074.9960000000001"/>
    <b v="1"/>
    <n v="-1"/>
    <s v="N/A"/>
    <n v="0"/>
    <b v="0"/>
    <n v="140838.927"/>
    <b v="1"/>
    <n v="0"/>
    <b v="0"/>
    <n v="97678.001999999993"/>
    <m/>
    <n v="97678.001999999993"/>
    <n v="6"/>
    <b v="1"/>
    <b v="0"/>
  </r>
  <r>
    <s v="C"/>
    <s v="M"/>
    <n v="20230701"/>
    <x v="0"/>
    <x v="0"/>
    <s v="202307"/>
    <n v="818"/>
    <s v="EGY"/>
    <x v="0"/>
    <s v="M"/>
    <s v="Import"/>
    <n v="156"/>
    <s v="CHN"/>
    <x v="3"/>
    <n v="0"/>
    <s v="W00"/>
    <s v="World"/>
    <s v="H6"/>
    <s v="HS"/>
    <b v="1"/>
    <s v="441520"/>
    <s v="Wood; pallets, box pallets and other load boards; pallet collars"/>
    <n v="6"/>
    <b v="1"/>
    <s v="C00"/>
    <s v="TOTAL CPC"/>
    <s v="0"/>
    <n v="0"/>
    <s v="TOTAL MOT"/>
    <n v="5"/>
    <s v="u"/>
    <n v="16.617000000000001"/>
    <b v="1"/>
    <n v="-1"/>
    <s v="N/A"/>
    <n v="0"/>
    <b v="0"/>
    <n v="289.81599999999997"/>
    <b v="1"/>
    <n v="0"/>
    <b v="0"/>
    <n v="201"/>
    <m/>
    <n v="201"/>
    <n v="6"/>
    <b v="1"/>
    <b v="0"/>
  </r>
  <r>
    <s v="C"/>
    <s v="M"/>
    <n v="20230701"/>
    <x v="0"/>
    <x v="0"/>
    <s v="202307"/>
    <n v="818"/>
    <s v="EGY"/>
    <x v="0"/>
    <s v="M"/>
    <s v="Import"/>
    <n v="757"/>
    <s v="CHE"/>
    <x v="4"/>
    <n v="0"/>
    <s v="W00"/>
    <s v="World"/>
    <s v="H6"/>
    <s v="HS"/>
    <b v="1"/>
    <s v="441520"/>
    <s v="Wood; pallets, box pallets and other load boards; pallet collars"/>
    <n v="6"/>
    <b v="1"/>
    <s v="C00"/>
    <s v="TOTAL CPC"/>
    <s v="0"/>
    <n v="0"/>
    <s v="TOTAL MOT"/>
    <n v="5"/>
    <s v="u"/>
    <n v="24.669"/>
    <b v="1"/>
    <n v="-1"/>
    <s v="N/A"/>
    <n v="0"/>
    <b v="0"/>
    <n v="430.26900000000001"/>
    <b v="1"/>
    <n v="0"/>
    <b v="0"/>
    <n v="298.411"/>
    <m/>
    <n v="298.411"/>
    <n v="6"/>
    <b v="1"/>
    <b v="0"/>
  </r>
  <r>
    <s v="C"/>
    <s v="M"/>
    <n v="20230701"/>
    <x v="0"/>
    <x v="0"/>
    <s v="202307"/>
    <n v="818"/>
    <s v="EGY"/>
    <x v="0"/>
    <s v="M"/>
    <s v="Import"/>
    <n v="724"/>
    <s v="ESP"/>
    <x v="5"/>
    <n v="0"/>
    <s v="W00"/>
    <s v="World"/>
    <s v="H6"/>
    <s v="HS"/>
    <b v="1"/>
    <s v="441520"/>
    <s v="Wood; pallets, box pallets and other load boards; pallet collars"/>
    <n v="6"/>
    <b v="1"/>
    <s v="C00"/>
    <s v="TOTAL CPC"/>
    <s v="0"/>
    <n v="0"/>
    <s v="TOTAL MOT"/>
    <n v="5"/>
    <s v="u"/>
    <n v="61.262999999999998"/>
    <b v="1"/>
    <n v="-1"/>
    <s v="N/A"/>
    <n v="0"/>
    <b v="0"/>
    <n v="1068.5160000000001"/>
    <b v="1"/>
    <n v="0"/>
    <b v="0"/>
    <n v="741.06299999999999"/>
    <m/>
    <n v="741.06299999999999"/>
    <n v="6"/>
    <b v="1"/>
    <b v="0"/>
  </r>
  <r>
    <s v="C"/>
    <s v="M"/>
    <n v="20230701"/>
    <x v="0"/>
    <x v="0"/>
    <s v="202307"/>
    <n v="818"/>
    <s v="EGY"/>
    <x v="0"/>
    <s v="M"/>
    <s v="Import"/>
    <n v="246"/>
    <s v="FIN"/>
    <x v="6"/>
    <n v="0"/>
    <s v="W00"/>
    <s v="World"/>
    <s v="H6"/>
    <s v="HS"/>
    <b v="1"/>
    <s v="441520"/>
    <s v="Wood; pallets, box pallets and other load boards; pallet collars"/>
    <n v="6"/>
    <b v="1"/>
    <s v="C00"/>
    <s v="TOTAL CPC"/>
    <s v="0"/>
    <n v="0"/>
    <s v="TOTAL MOT"/>
    <n v="5"/>
    <s v="u"/>
    <n v="4.2990000000000004"/>
    <b v="1"/>
    <n v="-1"/>
    <s v="N/A"/>
    <n v="0"/>
    <b v="0"/>
    <n v="74.977000000000004"/>
    <b v="1"/>
    <n v="0"/>
    <b v="0"/>
    <n v="52"/>
    <m/>
    <n v="52"/>
    <n v="6"/>
    <b v="1"/>
    <b v="0"/>
  </r>
  <r>
    <s v="C"/>
    <s v="M"/>
    <n v="20230701"/>
    <x v="0"/>
    <x v="0"/>
    <s v="202307"/>
    <n v="818"/>
    <s v="EGY"/>
    <x v="0"/>
    <s v="M"/>
    <s v="Import"/>
    <n v="372"/>
    <s v="IRL"/>
    <x v="7"/>
    <n v="0"/>
    <s v="W00"/>
    <s v="World"/>
    <s v="H6"/>
    <s v="HS"/>
    <b v="1"/>
    <s v="441520"/>
    <s v="Wood; pallets, box pallets and other load boards; pallet collars"/>
    <n v="6"/>
    <b v="1"/>
    <s v="C00"/>
    <s v="TOTAL CPC"/>
    <s v="0"/>
    <n v="0"/>
    <s v="TOTAL MOT"/>
    <n v="5"/>
    <s v="u"/>
    <n v="18.683"/>
    <b v="1"/>
    <n v="-1"/>
    <s v="N/A"/>
    <n v="0"/>
    <b v="0"/>
    <n v="325.86200000000002"/>
    <b v="1"/>
    <n v="0"/>
    <b v="0"/>
    <n v="226"/>
    <m/>
    <n v="226"/>
    <n v="6"/>
    <b v="1"/>
    <b v="0"/>
  </r>
  <r>
    <s v="C"/>
    <s v="M"/>
    <n v="20230701"/>
    <x v="0"/>
    <x v="0"/>
    <s v="202307"/>
    <n v="818"/>
    <s v="EGY"/>
    <x v="0"/>
    <s v="M"/>
    <s v="Import"/>
    <n v="752"/>
    <s v="SWE"/>
    <x v="8"/>
    <n v="0"/>
    <s v="W00"/>
    <s v="World"/>
    <s v="H6"/>
    <s v="HS"/>
    <b v="1"/>
    <s v="441520"/>
    <s v="Wood; pallets, box pallets and other load boards; pallet collars"/>
    <n v="6"/>
    <b v="1"/>
    <s v="C00"/>
    <s v="TOTAL CPC"/>
    <s v="0"/>
    <n v="0"/>
    <s v="TOTAL MOT"/>
    <n v="5"/>
    <s v="u"/>
    <n v="808.38199999999995"/>
    <b v="1"/>
    <n v="-1"/>
    <s v="N/A"/>
    <n v="0"/>
    <b v="0"/>
    <n v="14099.289000000001"/>
    <b v="1"/>
    <n v="0"/>
    <b v="0"/>
    <n v="9778.4779999999992"/>
    <m/>
    <n v="9778.4779999999992"/>
    <n v="6"/>
    <b v="1"/>
    <b v="0"/>
  </r>
  <r>
    <s v="C"/>
    <s v="M"/>
    <n v="20230701"/>
    <x v="0"/>
    <x v="0"/>
    <s v="202307"/>
    <n v="818"/>
    <s v="EGY"/>
    <x v="0"/>
    <s v="M"/>
    <s v="Import"/>
    <n v="251"/>
    <s v="FRA"/>
    <x v="9"/>
    <n v="0"/>
    <s v="W00"/>
    <s v="World"/>
    <s v="H6"/>
    <s v="HS"/>
    <b v="1"/>
    <s v="441520"/>
    <s v="Wood; pallets, box pallets and other load boards; pallet collars"/>
    <n v="6"/>
    <b v="1"/>
    <s v="C00"/>
    <s v="TOTAL CPC"/>
    <s v="0"/>
    <n v="0"/>
    <s v="TOTAL MOT"/>
    <n v="5"/>
    <s v="u"/>
    <n v="165.339"/>
    <b v="1"/>
    <n v="-1"/>
    <s v="N/A"/>
    <n v="0"/>
    <b v="0"/>
    <n v="2883.739"/>
    <b v="1"/>
    <n v="0"/>
    <b v="0"/>
    <n v="2000"/>
    <m/>
    <n v="2000"/>
    <n v="6"/>
    <b v="1"/>
    <b v="0"/>
  </r>
  <r>
    <s v="C"/>
    <s v="M"/>
    <n v="20230701"/>
    <x v="0"/>
    <x v="0"/>
    <s v="202307"/>
    <n v="818"/>
    <s v="EGY"/>
    <x v="0"/>
    <s v="M"/>
    <s v="Import"/>
    <n v="528"/>
    <s v="NLD"/>
    <x v="10"/>
    <n v="0"/>
    <s v="W00"/>
    <s v="World"/>
    <s v="H6"/>
    <s v="HS"/>
    <b v="1"/>
    <s v="441520"/>
    <s v="Wood; pallets, box pallets and other load boards; pallet collars"/>
    <n v="6"/>
    <b v="1"/>
    <s v="C00"/>
    <s v="TOTAL CPC"/>
    <s v="0"/>
    <n v="0"/>
    <s v="TOTAL MOT"/>
    <n v="5"/>
    <s v="u"/>
    <n v="50.314"/>
    <b v="1"/>
    <n v="-1"/>
    <s v="N/A"/>
    <n v="0"/>
    <b v="0"/>
    <n v="877.53800000000001"/>
    <b v="1"/>
    <n v="0"/>
    <b v="0"/>
    <n v="608.61099999999999"/>
    <m/>
    <n v="608.61099999999999"/>
    <n v="6"/>
    <b v="1"/>
    <b v="0"/>
  </r>
  <r>
    <s v="C"/>
    <s v="M"/>
    <n v="20230701"/>
    <x v="0"/>
    <x v="0"/>
    <s v="202307"/>
    <n v="818"/>
    <s v="EGY"/>
    <x v="0"/>
    <s v="M"/>
    <s v="Import"/>
    <n v="276"/>
    <s v="DEU"/>
    <x v="11"/>
    <n v="0"/>
    <s v="W00"/>
    <s v="World"/>
    <s v="H6"/>
    <s v="HS"/>
    <b v="1"/>
    <s v="441520"/>
    <s v="Wood; pallets, box pallets and other load boards; pallet collars"/>
    <n v="6"/>
    <b v="1"/>
    <s v="C00"/>
    <s v="TOTAL CPC"/>
    <s v="0"/>
    <n v="0"/>
    <s v="TOTAL MOT"/>
    <n v="5"/>
    <s v="u"/>
    <n v="33.119"/>
    <b v="1"/>
    <n v="-1"/>
    <s v="N/A"/>
    <n v="0"/>
    <b v="0"/>
    <n v="577.64200000000005"/>
    <b v="1"/>
    <n v="0"/>
    <b v="0"/>
    <n v="400.62"/>
    <m/>
    <n v="400.62"/>
    <n v="6"/>
    <b v="1"/>
    <b v="0"/>
  </r>
  <r>
    <s v="C"/>
    <s v="M"/>
    <n v="20230701"/>
    <x v="0"/>
    <x v="0"/>
    <s v="202307"/>
    <n v="818"/>
    <s v="EGY"/>
    <x v="0"/>
    <s v="M"/>
    <s v="Import"/>
    <n v="380"/>
    <s v="ITA"/>
    <x v="12"/>
    <n v="0"/>
    <s v="W00"/>
    <s v="World"/>
    <s v="H6"/>
    <s v="HS"/>
    <b v="1"/>
    <s v="441520"/>
    <s v="Wood; pallets, box pallets and other load boards; pallet collars"/>
    <n v="6"/>
    <b v="1"/>
    <s v="C00"/>
    <s v="TOTAL CPC"/>
    <s v="0"/>
    <n v="0"/>
    <s v="TOTAL MOT"/>
    <n v="5"/>
    <s v="u"/>
    <n v="55.738999999999997"/>
    <b v="1"/>
    <n v="-1"/>
    <s v="N/A"/>
    <n v="0"/>
    <b v="0"/>
    <n v="972.16099999999994"/>
    <b v="1"/>
    <n v="0"/>
    <b v="0"/>
    <n v="674.23599999999999"/>
    <m/>
    <n v="674.23599999999999"/>
    <n v="6"/>
    <b v="1"/>
    <b v="0"/>
  </r>
  <r>
    <s v="C"/>
    <s v="M"/>
    <n v="20230801"/>
    <x v="0"/>
    <x v="1"/>
    <s v="202308"/>
    <n v="818"/>
    <s v="EGY"/>
    <x v="0"/>
    <s v="M"/>
    <s v="Import"/>
    <n v="0"/>
    <s v="W00"/>
    <x v="0"/>
    <n v="0"/>
    <s v="W00"/>
    <s v="World"/>
    <s v="H6"/>
    <s v="HS"/>
    <b v="1"/>
    <s v="441520"/>
    <s v="Wood; pallets, box pallets and other load boards; pallet collars"/>
    <n v="6"/>
    <b v="1"/>
    <s v="C00"/>
    <s v="TOTAL CPC"/>
    <s v="0"/>
    <n v="0"/>
    <s v="TOTAL MOT"/>
    <n v="5"/>
    <s v="u"/>
    <n v="6490.3609999999999"/>
    <b v="1"/>
    <n v="-1"/>
    <s v="N/A"/>
    <n v="0"/>
    <b v="0"/>
    <n v="113200.732"/>
    <b v="1"/>
    <n v="0"/>
    <b v="0"/>
    <n v="78509.695999999996"/>
    <m/>
    <n v="78509.695999999996"/>
    <n v="6"/>
    <b v="0"/>
    <b v="1"/>
  </r>
  <r>
    <s v="C"/>
    <s v="M"/>
    <n v="20230801"/>
    <x v="0"/>
    <x v="1"/>
    <s v="202308"/>
    <n v="818"/>
    <s v="EGY"/>
    <x v="0"/>
    <s v="M"/>
    <s v="Import"/>
    <n v="699"/>
    <s v="IND"/>
    <x v="2"/>
    <n v="0"/>
    <s v="W00"/>
    <s v="World"/>
    <s v="H6"/>
    <s v="HS"/>
    <b v="1"/>
    <s v="441520"/>
    <s v="Wood; pallets, box pallets and other load boards; pallet collars"/>
    <n v="6"/>
    <b v="1"/>
    <s v="C00"/>
    <s v="TOTAL CPC"/>
    <s v="0"/>
    <n v="0"/>
    <s v="TOTAL MOT"/>
    <n v="5"/>
    <s v="u"/>
    <n v="6059.8440000000001"/>
    <b v="1"/>
    <n v="-1"/>
    <s v="N/A"/>
    <n v="0"/>
    <b v="0"/>
    <n v="105691.92"/>
    <b v="1"/>
    <n v="0"/>
    <b v="0"/>
    <n v="73302.004000000001"/>
    <m/>
    <n v="73302.004000000001"/>
    <n v="6"/>
    <b v="1"/>
    <b v="0"/>
  </r>
  <r>
    <s v="C"/>
    <s v="M"/>
    <n v="20230801"/>
    <x v="0"/>
    <x v="1"/>
    <s v="202308"/>
    <n v="818"/>
    <s v="EGY"/>
    <x v="0"/>
    <s v="M"/>
    <s v="Import"/>
    <n v="842"/>
    <s v="USA"/>
    <x v="13"/>
    <n v="0"/>
    <s v="W00"/>
    <s v="World"/>
    <s v="H6"/>
    <s v="HS"/>
    <b v="1"/>
    <s v="441520"/>
    <s v="Wood; pallets, box pallets and other load boards; pallet collars"/>
    <n v="6"/>
    <b v="1"/>
    <s v="C00"/>
    <s v="TOTAL CPC"/>
    <s v="0"/>
    <n v="0"/>
    <s v="TOTAL MOT"/>
    <n v="5"/>
    <s v="u"/>
    <n v="8.35"/>
    <b v="1"/>
    <n v="-1"/>
    <s v="N/A"/>
    <n v="0"/>
    <b v="0"/>
    <n v="145.62899999999999"/>
    <b v="1"/>
    <n v="0"/>
    <b v="0"/>
    <n v="101"/>
    <m/>
    <n v="101"/>
    <n v="6"/>
    <b v="1"/>
    <b v="0"/>
  </r>
  <r>
    <s v="C"/>
    <s v="M"/>
    <n v="20230801"/>
    <x v="0"/>
    <x v="1"/>
    <s v="202308"/>
    <n v="818"/>
    <s v="EGY"/>
    <x v="0"/>
    <s v="M"/>
    <s v="Import"/>
    <n v="156"/>
    <s v="CHN"/>
    <x v="3"/>
    <n v="0"/>
    <s v="W00"/>
    <s v="World"/>
    <s v="H6"/>
    <s v="HS"/>
    <b v="1"/>
    <s v="441520"/>
    <s v="Wood; pallets, box pallets and other load boards; pallet collars"/>
    <n v="6"/>
    <b v="1"/>
    <s v="C00"/>
    <s v="TOTAL CPC"/>
    <s v="0"/>
    <n v="0"/>
    <s v="TOTAL MOT"/>
    <n v="5"/>
    <s v="u"/>
    <n v="46.817999999999998"/>
    <b v="1"/>
    <n v="-1"/>
    <s v="N/A"/>
    <n v="0"/>
    <b v="0"/>
    <n v="816.57299999999998"/>
    <b v="1"/>
    <n v="0"/>
    <b v="0"/>
    <n v="566.32899999999995"/>
    <m/>
    <n v="566.32899999999995"/>
    <n v="6"/>
    <b v="1"/>
    <b v="0"/>
  </r>
  <r>
    <s v="C"/>
    <s v="M"/>
    <n v="20230801"/>
    <x v="0"/>
    <x v="1"/>
    <s v="202308"/>
    <n v="818"/>
    <s v="EGY"/>
    <x v="0"/>
    <s v="M"/>
    <s v="Import"/>
    <n v="76"/>
    <s v="BRA"/>
    <x v="14"/>
    <n v="0"/>
    <s v="W00"/>
    <s v="World"/>
    <s v="H6"/>
    <s v="HS"/>
    <b v="1"/>
    <s v="441520"/>
    <s v="Wood; pallets, box pallets and other load boards; pallet collars"/>
    <n v="6"/>
    <b v="1"/>
    <s v="C00"/>
    <s v="TOTAL CPC"/>
    <s v="0"/>
    <n v="0"/>
    <s v="TOTAL MOT"/>
    <n v="5"/>
    <s v="u"/>
    <n v="20.006"/>
    <b v="1"/>
    <n v="-1"/>
    <s v="N/A"/>
    <n v="0"/>
    <b v="0"/>
    <n v="348.93200000000002"/>
    <b v="1"/>
    <n v="0"/>
    <b v="0"/>
    <n v="242"/>
    <m/>
    <n v="242"/>
    <n v="6"/>
    <b v="1"/>
    <b v="0"/>
  </r>
  <r>
    <s v="C"/>
    <s v="M"/>
    <n v="20230801"/>
    <x v="0"/>
    <x v="1"/>
    <s v="202308"/>
    <n v="818"/>
    <s v="EGY"/>
    <x v="0"/>
    <s v="M"/>
    <s v="Import"/>
    <n v="757"/>
    <s v="CHE"/>
    <x v="4"/>
    <n v="0"/>
    <s v="W00"/>
    <s v="World"/>
    <s v="H6"/>
    <s v="HS"/>
    <b v="1"/>
    <s v="441520"/>
    <s v="Wood; pallets, box pallets and other load boards; pallet collars"/>
    <n v="6"/>
    <b v="1"/>
    <s v="C00"/>
    <s v="TOTAL CPC"/>
    <s v="0"/>
    <n v="0"/>
    <s v="TOTAL MOT"/>
    <n v="5"/>
    <s v="u"/>
    <n v="99.96"/>
    <b v="1"/>
    <n v="-1"/>
    <s v="N/A"/>
    <n v="0"/>
    <b v="0"/>
    <n v="1743.4380000000001"/>
    <b v="1"/>
    <n v="0"/>
    <b v="0"/>
    <n v="1209.1510000000001"/>
    <m/>
    <n v="1209.1510000000001"/>
    <n v="6"/>
    <b v="1"/>
    <b v="0"/>
  </r>
  <r>
    <s v="C"/>
    <s v="M"/>
    <n v="20230801"/>
    <x v="0"/>
    <x v="1"/>
    <s v="202308"/>
    <n v="818"/>
    <s v="EGY"/>
    <x v="0"/>
    <s v="M"/>
    <s v="Import"/>
    <n v="442"/>
    <s v="LUX"/>
    <x v="15"/>
    <n v="0"/>
    <s v="W00"/>
    <s v="World"/>
    <s v="H6"/>
    <s v="HS"/>
    <b v="1"/>
    <s v="441520"/>
    <s v="Wood; pallets, box pallets and other load boards; pallet collars"/>
    <n v="6"/>
    <b v="1"/>
    <s v="C00"/>
    <s v="TOTAL CPC"/>
    <s v="0"/>
    <n v="0"/>
    <s v="TOTAL MOT"/>
    <n v="5"/>
    <s v="u"/>
    <n v="1.323"/>
    <b v="1"/>
    <n v="-1"/>
    <s v="N/A"/>
    <n v="0"/>
    <b v="0"/>
    <n v="23.07"/>
    <b v="1"/>
    <n v="0"/>
    <b v="0"/>
    <n v="16"/>
    <m/>
    <n v="16"/>
    <n v="6"/>
    <b v="1"/>
    <b v="0"/>
  </r>
  <r>
    <s v="C"/>
    <s v="M"/>
    <n v="20230801"/>
    <x v="0"/>
    <x v="1"/>
    <s v="202308"/>
    <n v="818"/>
    <s v="EGY"/>
    <x v="0"/>
    <s v="M"/>
    <s v="Import"/>
    <n v="752"/>
    <s v="SWE"/>
    <x v="8"/>
    <n v="0"/>
    <s v="W00"/>
    <s v="World"/>
    <s v="H6"/>
    <s v="HS"/>
    <b v="1"/>
    <s v="441520"/>
    <s v="Wood; pallets, box pallets and other load boards; pallet collars"/>
    <n v="6"/>
    <b v="1"/>
    <s v="C00"/>
    <s v="TOTAL CPC"/>
    <s v="0"/>
    <n v="0"/>
    <s v="TOTAL MOT"/>
    <n v="5"/>
    <s v="u"/>
    <n v="26.536999999999999"/>
    <b v="1"/>
    <n v="-1"/>
    <s v="N/A"/>
    <n v="0"/>
    <b v="0"/>
    <n v="462.84"/>
    <b v="1"/>
    <n v="0"/>
    <b v="0"/>
    <n v="321"/>
    <m/>
    <n v="321"/>
    <n v="6"/>
    <b v="1"/>
    <b v="0"/>
  </r>
  <r>
    <s v="C"/>
    <s v="M"/>
    <n v="20230801"/>
    <x v="0"/>
    <x v="1"/>
    <s v="202308"/>
    <n v="818"/>
    <s v="EGY"/>
    <x v="0"/>
    <s v="M"/>
    <s v="Import"/>
    <n v="792"/>
    <s v="TUR"/>
    <x v="16"/>
    <n v="0"/>
    <s v="W00"/>
    <s v="World"/>
    <s v="H6"/>
    <s v="HS"/>
    <b v="1"/>
    <s v="441520"/>
    <s v="Wood; pallets, box pallets and other load boards; pallet collars"/>
    <n v="6"/>
    <b v="1"/>
    <s v="C00"/>
    <s v="TOTAL CPC"/>
    <s v="0"/>
    <n v="0"/>
    <s v="TOTAL MOT"/>
    <n v="5"/>
    <s v="u"/>
    <n v="13.31"/>
    <b v="1"/>
    <n v="-1"/>
    <s v="N/A"/>
    <n v="0"/>
    <b v="0"/>
    <n v="232.14099999999999"/>
    <b v="1"/>
    <n v="0"/>
    <b v="0"/>
    <n v="161"/>
    <m/>
    <n v="161"/>
    <n v="6"/>
    <b v="1"/>
    <b v="0"/>
  </r>
  <r>
    <s v="C"/>
    <s v="M"/>
    <n v="20230801"/>
    <x v="0"/>
    <x v="1"/>
    <s v="202308"/>
    <n v="818"/>
    <s v="EGY"/>
    <x v="0"/>
    <s v="M"/>
    <s v="Import"/>
    <n v="528"/>
    <s v="NLD"/>
    <x v="10"/>
    <n v="0"/>
    <s v="W00"/>
    <s v="World"/>
    <s v="H6"/>
    <s v="HS"/>
    <b v="1"/>
    <s v="441520"/>
    <s v="Wood; pallets, box pallets and other load boards; pallet collars"/>
    <n v="6"/>
    <b v="1"/>
    <s v="C00"/>
    <s v="TOTAL CPC"/>
    <s v="0"/>
    <n v="0"/>
    <s v="TOTAL MOT"/>
    <n v="5"/>
    <s v="u"/>
    <n v="48.311"/>
    <b v="1"/>
    <n v="-1"/>
    <s v="N/A"/>
    <n v="0"/>
    <b v="0"/>
    <n v="842.61500000000001"/>
    <b v="1"/>
    <n v="0"/>
    <b v="0"/>
    <n v="584.39099999999996"/>
    <m/>
    <n v="584.39099999999996"/>
    <n v="6"/>
    <b v="1"/>
    <b v="0"/>
  </r>
  <r>
    <s v="C"/>
    <s v="M"/>
    <n v="20230801"/>
    <x v="0"/>
    <x v="1"/>
    <s v="202308"/>
    <n v="818"/>
    <s v="EGY"/>
    <x v="0"/>
    <s v="M"/>
    <s v="Import"/>
    <n v="233"/>
    <s v="EST"/>
    <x v="17"/>
    <n v="0"/>
    <s v="W00"/>
    <s v="World"/>
    <s v="H6"/>
    <s v="HS"/>
    <b v="1"/>
    <s v="441520"/>
    <s v="Wood; pallets, box pallets and other load boards; pallet collars"/>
    <n v="6"/>
    <b v="1"/>
    <s v="C00"/>
    <s v="TOTAL CPC"/>
    <s v="0"/>
    <n v="0"/>
    <s v="TOTAL MOT"/>
    <n v="5"/>
    <s v="u"/>
    <n v="23.632000000000001"/>
    <b v="1"/>
    <n v="-1"/>
    <s v="N/A"/>
    <n v="0"/>
    <b v="0"/>
    <n v="412.18099999999998"/>
    <b v="1"/>
    <n v="0"/>
    <b v="0"/>
    <n v="285.86599999999999"/>
    <m/>
    <n v="285.86599999999999"/>
    <n v="6"/>
    <b v="1"/>
    <b v="0"/>
  </r>
  <r>
    <s v="C"/>
    <s v="M"/>
    <n v="20230801"/>
    <x v="0"/>
    <x v="1"/>
    <s v="202308"/>
    <n v="818"/>
    <s v="EGY"/>
    <x v="0"/>
    <s v="M"/>
    <s v="Import"/>
    <n v="276"/>
    <s v="DEU"/>
    <x v="11"/>
    <n v="0"/>
    <s v="W00"/>
    <s v="World"/>
    <s v="H6"/>
    <s v="HS"/>
    <b v="1"/>
    <s v="441520"/>
    <s v="Wood; pallets, box pallets and other load boards; pallet collars"/>
    <n v="6"/>
    <b v="1"/>
    <s v="C00"/>
    <s v="TOTAL CPC"/>
    <s v="0"/>
    <n v="0"/>
    <s v="TOTAL MOT"/>
    <n v="5"/>
    <s v="u"/>
    <n v="79.843999999999994"/>
    <b v="1"/>
    <n v="-1"/>
    <s v="N/A"/>
    <n v="0"/>
    <b v="0"/>
    <n v="1392.58"/>
    <b v="1"/>
    <n v="0"/>
    <b v="0"/>
    <n v="965.81600000000003"/>
    <m/>
    <n v="965.81600000000003"/>
    <n v="6"/>
    <b v="1"/>
    <b v="0"/>
  </r>
  <r>
    <s v="C"/>
    <s v="M"/>
    <n v="20230801"/>
    <x v="0"/>
    <x v="1"/>
    <s v="202308"/>
    <n v="818"/>
    <s v="EGY"/>
    <x v="0"/>
    <s v="M"/>
    <s v="Import"/>
    <n v="380"/>
    <s v="ITA"/>
    <x v="12"/>
    <n v="0"/>
    <s v="W00"/>
    <s v="World"/>
    <s v="H6"/>
    <s v="HS"/>
    <b v="1"/>
    <s v="441520"/>
    <s v="Wood; pallets, box pallets and other load boards; pallet collars"/>
    <n v="6"/>
    <b v="1"/>
    <s v="C00"/>
    <s v="TOTAL CPC"/>
    <s v="0"/>
    <n v="0"/>
    <s v="TOTAL MOT"/>
    <n v="5"/>
    <s v="u"/>
    <n v="62.427"/>
    <b v="1"/>
    <n v="-1"/>
    <s v="N/A"/>
    <n v="0"/>
    <b v="0"/>
    <n v="1088.8119999999999"/>
    <b v="1"/>
    <n v="0"/>
    <b v="0"/>
    <n v="755.13900000000001"/>
    <m/>
    <n v="755.13900000000001"/>
    <n v="6"/>
    <b v="1"/>
    <b v="0"/>
  </r>
  <r>
    <s v="C"/>
    <s v="M"/>
    <n v="20230901"/>
    <x v="0"/>
    <x v="2"/>
    <s v="202309"/>
    <n v="818"/>
    <s v="EGY"/>
    <x v="0"/>
    <s v="M"/>
    <s v="Import"/>
    <n v="0"/>
    <s v="W00"/>
    <x v="0"/>
    <n v="0"/>
    <s v="W00"/>
    <s v="World"/>
    <s v="H6"/>
    <s v="HS"/>
    <b v="1"/>
    <s v="441520"/>
    <s v="Wood; pallets, box pallets and other load boards; pallet collars"/>
    <n v="6"/>
    <b v="1"/>
    <s v="C00"/>
    <s v="TOTAL CPC"/>
    <s v="0"/>
    <n v="0"/>
    <s v="TOTAL MOT"/>
    <n v="5"/>
    <s v="u"/>
    <n v="4217.9089999999997"/>
    <b v="1"/>
    <n v="-1"/>
    <s v="N/A"/>
    <n v="0"/>
    <b v="0"/>
    <n v="73566.074999999997"/>
    <b v="1"/>
    <n v="0"/>
    <b v="0"/>
    <n v="51021.313999999998"/>
    <m/>
    <n v="51021.313999999998"/>
    <n v="6"/>
    <b v="0"/>
    <b v="1"/>
  </r>
  <r>
    <s v="C"/>
    <s v="M"/>
    <n v="20230901"/>
    <x v="0"/>
    <x v="2"/>
    <s v="202309"/>
    <n v="818"/>
    <s v="EGY"/>
    <x v="0"/>
    <s v="M"/>
    <s v="Import"/>
    <n v="699"/>
    <s v="IND"/>
    <x v="2"/>
    <n v="0"/>
    <s v="W00"/>
    <s v="World"/>
    <s v="H6"/>
    <s v="HS"/>
    <b v="1"/>
    <s v="441520"/>
    <s v="Wood; pallets, box pallets and other load boards; pallet collars"/>
    <n v="6"/>
    <b v="1"/>
    <s v="C00"/>
    <s v="TOTAL CPC"/>
    <s v="0"/>
    <n v="0"/>
    <s v="TOTAL MOT"/>
    <n v="5"/>
    <s v="u"/>
    <n v="1504.0070000000001"/>
    <b v="1"/>
    <n v="-1"/>
    <s v="N/A"/>
    <n v="0"/>
    <b v="0"/>
    <n v="26231.931"/>
    <b v="1"/>
    <n v="0"/>
    <b v="0"/>
    <n v="18193"/>
    <m/>
    <n v="18193"/>
    <n v="6"/>
    <b v="1"/>
    <b v="0"/>
  </r>
  <r>
    <s v="C"/>
    <s v="M"/>
    <n v="20230901"/>
    <x v="0"/>
    <x v="2"/>
    <s v="202309"/>
    <n v="818"/>
    <s v="EGY"/>
    <x v="0"/>
    <s v="M"/>
    <s v="Import"/>
    <n v="842"/>
    <s v="USA"/>
    <x v="13"/>
    <n v="0"/>
    <s v="W00"/>
    <s v="World"/>
    <s v="H6"/>
    <s v="HS"/>
    <b v="1"/>
    <s v="441520"/>
    <s v="Wood; pallets, box pallets and other load boards; pallet collars"/>
    <n v="6"/>
    <b v="1"/>
    <s v="C00"/>
    <s v="TOTAL CPC"/>
    <s v="0"/>
    <n v="0"/>
    <s v="TOTAL MOT"/>
    <n v="5"/>
    <s v="u"/>
    <n v="94.409000000000006"/>
    <b v="1"/>
    <n v="-1"/>
    <s v="N/A"/>
    <n v="0"/>
    <b v="0"/>
    <n v="1646.615"/>
    <b v="1"/>
    <n v="0"/>
    <b v="0"/>
    <n v="1142"/>
    <m/>
    <n v="1142"/>
    <n v="6"/>
    <b v="1"/>
    <b v="0"/>
  </r>
  <r>
    <s v="C"/>
    <s v="M"/>
    <n v="20230901"/>
    <x v="0"/>
    <x v="2"/>
    <s v="202309"/>
    <n v="818"/>
    <s v="EGY"/>
    <x v="0"/>
    <s v="M"/>
    <s v="Import"/>
    <n v="156"/>
    <s v="CHN"/>
    <x v="3"/>
    <n v="0"/>
    <s v="W00"/>
    <s v="World"/>
    <s v="H6"/>
    <s v="HS"/>
    <b v="1"/>
    <s v="441520"/>
    <s v="Wood; pallets, box pallets and other load boards; pallet collars"/>
    <n v="6"/>
    <b v="1"/>
    <s v="C00"/>
    <s v="TOTAL CPC"/>
    <s v="0"/>
    <n v="0"/>
    <s v="TOTAL MOT"/>
    <n v="5"/>
    <s v="u"/>
    <n v="1514.115"/>
    <b v="1"/>
    <n v="-1"/>
    <s v="N/A"/>
    <n v="0"/>
    <b v="0"/>
    <n v="26408.231"/>
    <b v="1"/>
    <n v="0"/>
    <b v="0"/>
    <n v="18315.272000000001"/>
    <m/>
    <n v="18315.272000000001"/>
    <n v="6"/>
    <b v="1"/>
    <b v="0"/>
  </r>
  <r>
    <s v="C"/>
    <s v="M"/>
    <n v="20230901"/>
    <x v="0"/>
    <x v="2"/>
    <s v="202309"/>
    <n v="818"/>
    <s v="EGY"/>
    <x v="0"/>
    <s v="M"/>
    <s v="Import"/>
    <n v="757"/>
    <s v="CHE"/>
    <x v="4"/>
    <n v="0"/>
    <s v="W00"/>
    <s v="World"/>
    <s v="H6"/>
    <s v="HS"/>
    <b v="1"/>
    <s v="441520"/>
    <s v="Wood; pallets, box pallets and other load boards; pallet collars"/>
    <n v="6"/>
    <b v="1"/>
    <s v="C00"/>
    <s v="TOTAL CPC"/>
    <s v="0"/>
    <n v="0"/>
    <s v="TOTAL MOT"/>
    <n v="5"/>
    <s v="u"/>
    <n v="11.606"/>
    <b v="1"/>
    <n v="-1"/>
    <s v="N/A"/>
    <n v="0"/>
    <b v="0"/>
    <n v="202.428"/>
    <b v="1"/>
    <n v="0"/>
    <b v="0"/>
    <n v="140.393"/>
    <m/>
    <n v="140.393"/>
    <n v="6"/>
    <b v="1"/>
    <b v="0"/>
  </r>
  <r>
    <s v="C"/>
    <s v="M"/>
    <n v="20230901"/>
    <x v="0"/>
    <x v="2"/>
    <s v="202309"/>
    <n v="818"/>
    <s v="EGY"/>
    <x v="0"/>
    <s v="M"/>
    <s v="Import"/>
    <n v="616"/>
    <s v="POL"/>
    <x v="18"/>
    <n v="0"/>
    <s v="W00"/>
    <s v="World"/>
    <s v="H6"/>
    <s v="HS"/>
    <b v="1"/>
    <s v="441520"/>
    <s v="Wood; pallets, box pallets and other load boards; pallet collars"/>
    <n v="6"/>
    <b v="1"/>
    <s v="C00"/>
    <s v="TOTAL CPC"/>
    <s v="0"/>
    <n v="0"/>
    <s v="TOTAL MOT"/>
    <n v="5"/>
    <s v="u"/>
    <n v="105.07299999999999"/>
    <b v="1"/>
    <n v="-1"/>
    <s v="N/A"/>
    <n v="0"/>
    <b v="0"/>
    <n v="1832.616"/>
    <b v="1"/>
    <n v="0"/>
    <b v="0"/>
    <n v="1271"/>
    <m/>
    <n v="1271"/>
    <n v="6"/>
    <b v="1"/>
    <b v="0"/>
  </r>
  <r>
    <s v="C"/>
    <s v="M"/>
    <n v="20230901"/>
    <x v="0"/>
    <x v="2"/>
    <s v="202309"/>
    <n v="818"/>
    <s v="EGY"/>
    <x v="0"/>
    <s v="M"/>
    <s v="Import"/>
    <n v="276"/>
    <s v="DEU"/>
    <x v="11"/>
    <n v="0"/>
    <s v="W00"/>
    <s v="World"/>
    <s v="H6"/>
    <s v="HS"/>
    <b v="1"/>
    <s v="441520"/>
    <s v="Wood; pallets, box pallets and other load boards; pallet collars"/>
    <n v="6"/>
    <b v="1"/>
    <s v="C00"/>
    <s v="TOTAL CPC"/>
    <s v="0"/>
    <n v="0"/>
    <s v="TOTAL MOT"/>
    <n v="5"/>
    <s v="u"/>
    <n v="66.415999999999997"/>
    <b v="1"/>
    <n v="-1"/>
    <s v="N/A"/>
    <n v="0"/>
    <b v="0"/>
    <n v="1158.393"/>
    <b v="1"/>
    <n v="0"/>
    <b v="0"/>
    <n v="803.39700000000005"/>
    <m/>
    <n v="803.39700000000005"/>
    <n v="6"/>
    <b v="1"/>
    <b v="0"/>
  </r>
  <r>
    <s v="C"/>
    <s v="M"/>
    <n v="20230901"/>
    <x v="0"/>
    <x v="2"/>
    <s v="202309"/>
    <n v="818"/>
    <s v="EGY"/>
    <x v="0"/>
    <s v="M"/>
    <s v="Import"/>
    <n v="380"/>
    <s v="ITA"/>
    <x v="12"/>
    <n v="0"/>
    <s v="W00"/>
    <s v="World"/>
    <s v="H6"/>
    <s v="HS"/>
    <b v="1"/>
    <s v="441520"/>
    <s v="Wood; pallets, box pallets and other load boards; pallet collars"/>
    <n v="6"/>
    <b v="1"/>
    <s v="C00"/>
    <s v="TOTAL CPC"/>
    <s v="0"/>
    <n v="0"/>
    <s v="TOTAL MOT"/>
    <n v="5"/>
    <s v="u"/>
    <n v="922.28200000000004"/>
    <b v="1"/>
    <n v="-1"/>
    <s v="N/A"/>
    <n v="0"/>
    <b v="0"/>
    <n v="16085.86"/>
    <b v="1"/>
    <n v="0"/>
    <b v="0"/>
    <n v="11156.253000000001"/>
    <m/>
    <n v="11156.253000000001"/>
    <n v="6"/>
    <b v="1"/>
    <b v="0"/>
  </r>
  <r>
    <s v="C"/>
    <s v="M"/>
    <n v="20231001"/>
    <x v="0"/>
    <x v="3"/>
    <s v="202310"/>
    <n v="818"/>
    <s v="EGY"/>
    <x v="0"/>
    <s v="M"/>
    <s v="Import"/>
    <n v="0"/>
    <s v="W00"/>
    <x v="0"/>
    <n v="0"/>
    <s v="W00"/>
    <s v="World"/>
    <s v="H6"/>
    <s v="HS"/>
    <b v="1"/>
    <s v="441520"/>
    <s v="Wood; pallets, box pallets and other load boards; pallet collars"/>
    <n v="6"/>
    <b v="1"/>
    <s v="C00"/>
    <s v="TOTAL CPC"/>
    <s v="0"/>
    <n v="0"/>
    <s v="TOTAL MOT"/>
    <n v="5"/>
    <s v="u"/>
    <n v="9113.5450000000001"/>
    <b v="1"/>
    <n v="-1"/>
    <s v="N/A"/>
    <n v="0"/>
    <b v="0"/>
    <n v="158952.63800000001"/>
    <b v="1"/>
    <n v="0"/>
    <b v="0"/>
    <n v="110240.659"/>
    <m/>
    <n v="110240.659"/>
    <n v="6"/>
    <b v="0"/>
    <b v="1"/>
  </r>
  <r>
    <s v="C"/>
    <s v="M"/>
    <n v="20231001"/>
    <x v="0"/>
    <x v="3"/>
    <s v="202310"/>
    <n v="818"/>
    <s v="EGY"/>
    <x v="0"/>
    <s v="M"/>
    <s v="Import"/>
    <n v="699"/>
    <s v="IND"/>
    <x v="2"/>
    <n v="0"/>
    <s v="W00"/>
    <s v="World"/>
    <s v="H6"/>
    <s v="HS"/>
    <b v="1"/>
    <s v="441520"/>
    <s v="Wood; pallets, box pallets and other load boards; pallet collars"/>
    <n v="6"/>
    <b v="1"/>
    <s v="C00"/>
    <s v="TOTAL CPC"/>
    <s v="0"/>
    <n v="0"/>
    <s v="TOTAL MOT"/>
    <n v="5"/>
    <s v="u"/>
    <n v="8814.241"/>
    <b v="1"/>
    <n v="-1"/>
    <s v="N/A"/>
    <n v="0"/>
    <b v="0"/>
    <n v="153732.36300000001"/>
    <b v="1"/>
    <n v="0"/>
    <b v="0"/>
    <n v="106620.16800000001"/>
    <m/>
    <n v="106620.16800000001"/>
    <n v="6"/>
    <b v="1"/>
    <b v="0"/>
  </r>
  <r>
    <s v="C"/>
    <s v="M"/>
    <n v="20231001"/>
    <x v="0"/>
    <x v="3"/>
    <s v="202310"/>
    <n v="818"/>
    <s v="EGY"/>
    <x v="0"/>
    <s v="M"/>
    <s v="Import"/>
    <n v="757"/>
    <s v="CHE"/>
    <x v="4"/>
    <n v="0"/>
    <s v="W00"/>
    <s v="World"/>
    <s v="H6"/>
    <s v="HS"/>
    <b v="1"/>
    <s v="441520"/>
    <s v="Wood; pallets, box pallets and other load boards; pallet collars"/>
    <n v="6"/>
    <b v="1"/>
    <s v="C00"/>
    <s v="TOTAL CPC"/>
    <s v="0"/>
    <n v="0"/>
    <s v="TOTAL MOT"/>
    <n v="5"/>
    <s v="u"/>
    <n v="6.1959999999999997"/>
    <b v="1"/>
    <n v="-1"/>
    <s v="N/A"/>
    <n v="0"/>
    <b v="0"/>
    <n v="108.075"/>
    <b v="1"/>
    <n v="0"/>
    <b v="0"/>
    <n v="74.954999999999998"/>
    <m/>
    <n v="74.954999999999998"/>
    <n v="6"/>
    <b v="1"/>
    <b v="0"/>
  </r>
  <r>
    <s v="C"/>
    <s v="M"/>
    <n v="20231001"/>
    <x v="0"/>
    <x v="3"/>
    <s v="202310"/>
    <n v="818"/>
    <s v="EGY"/>
    <x v="0"/>
    <s v="M"/>
    <s v="Import"/>
    <n v="724"/>
    <s v="ESP"/>
    <x v="5"/>
    <n v="0"/>
    <s v="W00"/>
    <s v="World"/>
    <s v="H6"/>
    <s v="HS"/>
    <b v="1"/>
    <s v="441520"/>
    <s v="Wood; pallets, box pallets and other load boards; pallet collars"/>
    <n v="6"/>
    <b v="1"/>
    <s v="C00"/>
    <s v="TOTAL CPC"/>
    <s v="0"/>
    <n v="0"/>
    <s v="TOTAL MOT"/>
    <n v="5"/>
    <s v="u"/>
    <n v="27.643999999999998"/>
    <b v="1"/>
    <n v="-1"/>
    <s v="N/A"/>
    <n v="0"/>
    <b v="0"/>
    <n v="482.14699999999999"/>
    <b v="1"/>
    <n v="0"/>
    <b v="0"/>
    <n v="334.39"/>
    <m/>
    <n v="334.39"/>
    <n v="6"/>
    <b v="1"/>
    <b v="0"/>
  </r>
  <r>
    <s v="C"/>
    <s v="M"/>
    <n v="20231001"/>
    <x v="0"/>
    <x v="3"/>
    <s v="202310"/>
    <n v="818"/>
    <s v="EGY"/>
    <x v="0"/>
    <s v="M"/>
    <s v="Import"/>
    <n v="792"/>
    <s v="TUR"/>
    <x v="16"/>
    <n v="0"/>
    <s v="W00"/>
    <s v="World"/>
    <s v="H6"/>
    <s v="HS"/>
    <b v="1"/>
    <s v="441520"/>
    <s v="Wood; pallets, box pallets and other load boards; pallet collars"/>
    <n v="6"/>
    <b v="1"/>
    <s v="C00"/>
    <s v="TOTAL CPC"/>
    <s v="0"/>
    <n v="0"/>
    <s v="TOTAL MOT"/>
    <n v="5"/>
    <s v="u"/>
    <n v="18.849"/>
    <b v="1"/>
    <n v="-1"/>
    <s v="N/A"/>
    <n v="0"/>
    <b v="0"/>
    <n v="328.76"/>
    <b v="1"/>
    <n v="0"/>
    <b v="0"/>
    <n v="228.01"/>
    <m/>
    <n v="228.01"/>
    <n v="6"/>
    <b v="1"/>
    <b v="0"/>
  </r>
  <r>
    <s v="C"/>
    <s v="M"/>
    <n v="20231001"/>
    <x v="0"/>
    <x v="3"/>
    <s v="202310"/>
    <n v="818"/>
    <s v="EGY"/>
    <x v="0"/>
    <s v="M"/>
    <s v="Import"/>
    <n v="376"/>
    <s v="ISR"/>
    <x v="19"/>
    <n v="0"/>
    <s v="W00"/>
    <s v="World"/>
    <s v="H6"/>
    <s v="HS"/>
    <b v="1"/>
    <s v="441520"/>
    <s v="Wood; pallets, box pallets and other load boards; pallet collars"/>
    <n v="6"/>
    <b v="1"/>
    <s v="C00"/>
    <s v="TOTAL CPC"/>
    <s v="0"/>
    <n v="0"/>
    <s v="TOTAL MOT"/>
    <n v="5"/>
    <s v="u"/>
    <n v="18.765999999999998"/>
    <b v="1"/>
    <n v="-1"/>
    <s v="N/A"/>
    <n v="0"/>
    <b v="0"/>
    <n v="327.30399999999997"/>
    <b v="1"/>
    <n v="0"/>
    <b v="0"/>
    <n v="227"/>
    <m/>
    <n v="227"/>
    <n v="6"/>
    <b v="1"/>
    <b v="0"/>
  </r>
  <r>
    <s v="C"/>
    <s v="M"/>
    <n v="20231001"/>
    <x v="0"/>
    <x v="3"/>
    <s v="202310"/>
    <n v="818"/>
    <s v="EGY"/>
    <x v="0"/>
    <s v="M"/>
    <s v="Import"/>
    <n v="729"/>
    <s v="SDN"/>
    <x v="20"/>
    <n v="0"/>
    <s v="W00"/>
    <s v="World"/>
    <s v="H6"/>
    <s v="HS"/>
    <b v="1"/>
    <s v="441520"/>
    <s v="Wood; pallets, box pallets and other load boards; pallet collars"/>
    <n v="6"/>
    <b v="1"/>
    <s v="C00"/>
    <s v="TOTAL CPC"/>
    <s v="0"/>
    <n v="0"/>
    <s v="TOTAL MOT"/>
    <n v="5"/>
    <s v="u"/>
    <n v="6.6619999999999999"/>
    <b v="1"/>
    <n v="-1"/>
    <s v="N/A"/>
    <n v="0"/>
    <b v="0"/>
    <n v="116.20099999999999"/>
    <b v="1"/>
    <n v="0"/>
    <b v="0"/>
    <n v="80.59"/>
    <m/>
    <n v="80.59"/>
    <n v="6"/>
    <b v="1"/>
    <b v="0"/>
  </r>
  <r>
    <s v="C"/>
    <s v="M"/>
    <n v="20231001"/>
    <x v="0"/>
    <x v="3"/>
    <s v="202310"/>
    <n v="818"/>
    <s v="EGY"/>
    <x v="0"/>
    <s v="M"/>
    <s v="Import"/>
    <n v="276"/>
    <s v="DEU"/>
    <x v="11"/>
    <n v="0"/>
    <s v="W00"/>
    <s v="World"/>
    <s v="H6"/>
    <s v="HS"/>
    <b v="1"/>
    <s v="441520"/>
    <s v="Wood; pallets, box pallets and other load boards; pallet collars"/>
    <n v="6"/>
    <b v="1"/>
    <s v="C00"/>
    <s v="TOTAL CPC"/>
    <s v="0"/>
    <n v="0"/>
    <s v="TOTAL MOT"/>
    <n v="5"/>
    <s v="u"/>
    <n v="155.34899999999999"/>
    <b v="1"/>
    <n v="-1"/>
    <s v="N/A"/>
    <n v="0"/>
    <b v="0"/>
    <n v="2709.5050000000001"/>
    <b v="1"/>
    <n v="0"/>
    <b v="0"/>
    <n v="1879.1610000000001"/>
    <m/>
    <n v="1879.1610000000001"/>
    <n v="6"/>
    <b v="1"/>
    <b v="0"/>
  </r>
  <r>
    <s v="C"/>
    <s v="M"/>
    <n v="20231001"/>
    <x v="0"/>
    <x v="3"/>
    <s v="202310"/>
    <n v="818"/>
    <s v="EGY"/>
    <x v="0"/>
    <s v="M"/>
    <s v="Import"/>
    <n v="203"/>
    <s v="CZE"/>
    <x v="21"/>
    <n v="0"/>
    <s v="W00"/>
    <s v="World"/>
    <s v="H6"/>
    <s v="HS"/>
    <b v="1"/>
    <s v="441520"/>
    <s v="Wood; pallets, box pallets and other load boards; pallet collars"/>
    <n v="6"/>
    <b v="1"/>
    <s v="C00"/>
    <s v="TOTAL CPC"/>
    <s v="0"/>
    <n v="0"/>
    <s v="TOTAL MOT"/>
    <n v="5"/>
    <s v="u"/>
    <n v="1.754"/>
    <b v="1"/>
    <n v="-1"/>
    <s v="N/A"/>
    <n v="0"/>
    <b v="0"/>
    <n v="30.593"/>
    <b v="1"/>
    <n v="0"/>
    <b v="0"/>
    <n v="21.218"/>
    <m/>
    <n v="21.218"/>
    <n v="6"/>
    <b v="1"/>
    <b v="0"/>
  </r>
  <r>
    <s v="C"/>
    <s v="M"/>
    <n v="20231001"/>
    <x v="0"/>
    <x v="3"/>
    <s v="202310"/>
    <n v="818"/>
    <s v="EGY"/>
    <x v="0"/>
    <s v="M"/>
    <s v="Import"/>
    <n v="380"/>
    <s v="ITA"/>
    <x v="12"/>
    <n v="0"/>
    <s v="W00"/>
    <s v="World"/>
    <s v="H6"/>
    <s v="HS"/>
    <b v="1"/>
    <s v="441520"/>
    <s v="Wood; pallets, box pallets and other load boards; pallet collars"/>
    <n v="6"/>
    <b v="1"/>
    <s v="C00"/>
    <s v="TOTAL CPC"/>
    <s v="0"/>
    <n v="0"/>
    <s v="TOTAL MOT"/>
    <n v="5"/>
    <s v="u"/>
    <n v="64.082999999999998"/>
    <b v="1"/>
    <n v="-1"/>
    <s v="N/A"/>
    <n v="0"/>
    <b v="0"/>
    <n v="1117.6890000000001"/>
    <b v="1"/>
    <n v="0"/>
    <b v="0"/>
    <n v="775.16700000000003"/>
    <m/>
    <n v="775.16700000000003"/>
    <n v="6"/>
    <b v="1"/>
    <b v="0"/>
  </r>
  <r>
    <s v="C"/>
    <s v="M"/>
    <n v="20231101"/>
    <x v="0"/>
    <x v="4"/>
    <s v="202311"/>
    <n v="818"/>
    <s v="EGY"/>
    <x v="0"/>
    <s v="M"/>
    <s v="Import"/>
    <n v="0"/>
    <s v="W00"/>
    <x v="0"/>
    <n v="0"/>
    <s v="W00"/>
    <s v="World"/>
    <s v="H6"/>
    <s v="HS"/>
    <b v="1"/>
    <s v="441520"/>
    <s v="Wood; pallets, box pallets and other load boards; pallet collars"/>
    <n v="6"/>
    <b v="1"/>
    <s v="C00"/>
    <s v="TOTAL CPC"/>
    <s v="0"/>
    <n v="0"/>
    <s v="TOTAL MOT"/>
    <n v="5"/>
    <s v="u"/>
    <n v="729.86"/>
    <b v="1"/>
    <n v="-1"/>
    <s v="N/A"/>
    <n v="0"/>
    <b v="0"/>
    <n v="12729.758"/>
    <b v="1"/>
    <n v="0"/>
    <b v="0"/>
    <n v="8828.6479999999992"/>
    <m/>
    <n v="8828.6479999999992"/>
    <n v="6"/>
    <b v="0"/>
    <b v="1"/>
  </r>
  <r>
    <s v="C"/>
    <s v="M"/>
    <n v="20231101"/>
    <x v="0"/>
    <x v="4"/>
    <s v="202311"/>
    <n v="818"/>
    <s v="EGY"/>
    <x v="0"/>
    <s v="M"/>
    <s v="Import"/>
    <n v="710"/>
    <s v="ZAF"/>
    <x v="1"/>
    <n v="0"/>
    <s v="W00"/>
    <s v="World"/>
    <s v="H6"/>
    <s v="HS"/>
    <b v="1"/>
    <s v="441520"/>
    <s v="Wood; pallets, box pallets and other load boards; pallet collars"/>
    <n v="6"/>
    <b v="1"/>
    <s v="C00"/>
    <s v="TOTAL CPC"/>
    <s v="0"/>
    <n v="0"/>
    <s v="TOTAL MOT"/>
    <n v="5"/>
    <s v="u"/>
    <n v="36.034999999999997"/>
    <b v="1"/>
    <n v="-1"/>
    <s v="N/A"/>
    <n v="0"/>
    <b v="0"/>
    <n v="628.49199999999996"/>
    <b v="1"/>
    <n v="0"/>
    <b v="0"/>
    <n v="435.887"/>
    <m/>
    <n v="435.887"/>
    <n v="6"/>
    <b v="1"/>
    <b v="0"/>
  </r>
  <r>
    <s v="C"/>
    <s v="M"/>
    <n v="20231101"/>
    <x v="0"/>
    <x v="4"/>
    <s v="202311"/>
    <n v="818"/>
    <s v="EGY"/>
    <x v="0"/>
    <s v="M"/>
    <s v="Import"/>
    <n v="842"/>
    <s v="USA"/>
    <x v="13"/>
    <n v="0"/>
    <s v="W00"/>
    <s v="World"/>
    <s v="H6"/>
    <s v="HS"/>
    <b v="1"/>
    <s v="441520"/>
    <s v="Wood; pallets, box pallets and other load boards; pallet collars"/>
    <n v="6"/>
    <b v="1"/>
    <s v="C00"/>
    <s v="TOTAL CPC"/>
    <s v="0"/>
    <n v="0"/>
    <s v="TOTAL MOT"/>
    <n v="5"/>
    <s v="u"/>
    <n v="31.497"/>
    <b v="1"/>
    <n v="-1"/>
    <s v="N/A"/>
    <n v="0"/>
    <b v="0"/>
    <n v="549.35199999999998"/>
    <b v="1"/>
    <n v="0"/>
    <b v="0"/>
    <n v="381"/>
    <m/>
    <n v="381"/>
    <n v="6"/>
    <b v="1"/>
    <b v="0"/>
  </r>
  <r>
    <s v="C"/>
    <s v="M"/>
    <n v="20231101"/>
    <x v="0"/>
    <x v="4"/>
    <s v="202311"/>
    <n v="818"/>
    <s v="EGY"/>
    <x v="0"/>
    <s v="M"/>
    <s v="Import"/>
    <n v="156"/>
    <s v="CHN"/>
    <x v="3"/>
    <n v="0"/>
    <s v="W00"/>
    <s v="World"/>
    <s v="H6"/>
    <s v="HS"/>
    <b v="1"/>
    <s v="441520"/>
    <s v="Wood; pallets, box pallets and other load boards; pallet collars"/>
    <n v="6"/>
    <b v="1"/>
    <s v="C00"/>
    <s v="TOTAL CPC"/>
    <s v="0"/>
    <n v="0"/>
    <s v="TOTAL MOT"/>
    <n v="5"/>
    <s v="u"/>
    <n v="207.86500000000001"/>
    <b v="1"/>
    <n v="-1"/>
    <s v="N/A"/>
    <n v="0"/>
    <b v="0"/>
    <n v="3625.4450000000002"/>
    <b v="1"/>
    <n v="0"/>
    <b v="0"/>
    <n v="2514.4059999999999"/>
    <m/>
    <n v="2514.4059999999999"/>
    <n v="6"/>
    <b v="1"/>
    <b v="0"/>
  </r>
  <r>
    <s v="C"/>
    <s v="M"/>
    <n v="20231101"/>
    <x v="0"/>
    <x v="4"/>
    <s v="202311"/>
    <n v="818"/>
    <s v="EGY"/>
    <x v="0"/>
    <s v="M"/>
    <s v="Import"/>
    <n v="784"/>
    <s v="ARE"/>
    <x v="22"/>
    <n v="0"/>
    <s v="W00"/>
    <s v="World"/>
    <s v="H6"/>
    <s v="HS"/>
    <b v="1"/>
    <s v="441520"/>
    <s v="Wood; pallets, box pallets and other load boards; pallet collars"/>
    <n v="6"/>
    <b v="1"/>
    <s v="C00"/>
    <s v="TOTAL CPC"/>
    <s v="0"/>
    <n v="0"/>
    <s v="TOTAL MOT"/>
    <n v="5"/>
    <s v="u"/>
    <n v="8.35"/>
    <b v="1"/>
    <n v="-1"/>
    <s v="N/A"/>
    <n v="0"/>
    <b v="0"/>
    <n v="145.62899999999999"/>
    <b v="1"/>
    <n v="0"/>
    <b v="0"/>
    <n v="101"/>
    <m/>
    <n v="101"/>
    <n v="6"/>
    <b v="1"/>
    <b v="0"/>
  </r>
  <r>
    <s v="C"/>
    <s v="M"/>
    <n v="20231101"/>
    <x v="0"/>
    <x v="4"/>
    <s v="202311"/>
    <n v="818"/>
    <s v="EGY"/>
    <x v="0"/>
    <s v="M"/>
    <s v="Import"/>
    <n v="757"/>
    <s v="CHE"/>
    <x v="4"/>
    <n v="0"/>
    <s v="W00"/>
    <s v="World"/>
    <s v="H6"/>
    <s v="HS"/>
    <b v="1"/>
    <s v="441520"/>
    <s v="Wood; pallets, box pallets and other load boards; pallet collars"/>
    <n v="6"/>
    <b v="1"/>
    <s v="C00"/>
    <s v="TOTAL CPC"/>
    <s v="0"/>
    <n v="0"/>
    <s v="TOTAL MOT"/>
    <n v="5"/>
    <s v="u"/>
    <n v="10.68"/>
    <b v="1"/>
    <n v="-1"/>
    <s v="N/A"/>
    <n v="0"/>
    <b v="0"/>
    <n v="186.27799999999999"/>
    <b v="1"/>
    <n v="0"/>
    <b v="0"/>
    <n v="129.19200000000001"/>
    <m/>
    <n v="129.19200000000001"/>
    <n v="6"/>
    <b v="1"/>
    <b v="0"/>
  </r>
  <r>
    <s v="C"/>
    <s v="M"/>
    <n v="20231101"/>
    <x v="0"/>
    <x v="4"/>
    <s v="202311"/>
    <n v="818"/>
    <s v="EGY"/>
    <x v="0"/>
    <s v="M"/>
    <s v="Import"/>
    <n v="724"/>
    <s v="ESP"/>
    <x v="5"/>
    <n v="0"/>
    <s v="W00"/>
    <s v="World"/>
    <s v="H6"/>
    <s v="HS"/>
    <b v="1"/>
    <s v="441520"/>
    <s v="Wood; pallets, box pallets and other load boards; pallet collars"/>
    <n v="6"/>
    <b v="1"/>
    <s v="C00"/>
    <s v="TOTAL CPC"/>
    <s v="0"/>
    <n v="0"/>
    <s v="TOTAL MOT"/>
    <n v="5"/>
    <s v="u"/>
    <n v="3.677"/>
    <b v="1"/>
    <n v="-1"/>
    <s v="N/A"/>
    <n v="0"/>
    <b v="0"/>
    <n v="64.13"/>
    <b v="1"/>
    <n v="0"/>
    <b v="0"/>
    <n v="44.476999999999997"/>
    <m/>
    <n v="44.476999999999997"/>
    <n v="6"/>
    <b v="1"/>
    <b v="0"/>
  </r>
  <r>
    <s v="C"/>
    <s v="M"/>
    <n v="20231101"/>
    <x v="0"/>
    <x v="4"/>
    <s v="202311"/>
    <n v="818"/>
    <s v="EGY"/>
    <x v="0"/>
    <s v="M"/>
    <s v="Import"/>
    <n v="56"/>
    <s v="BEL"/>
    <x v="23"/>
    <n v="0"/>
    <s v="W00"/>
    <s v="World"/>
    <s v="H6"/>
    <s v="HS"/>
    <b v="1"/>
    <s v="441520"/>
    <s v="Wood; pallets, box pallets and other load boards; pallet collars"/>
    <n v="6"/>
    <b v="1"/>
    <s v="C00"/>
    <s v="TOTAL CPC"/>
    <s v="0"/>
    <n v="0"/>
    <s v="TOTAL MOT"/>
    <n v="5"/>
    <s v="u"/>
    <n v="26.536999999999999"/>
    <b v="1"/>
    <n v="-1"/>
    <s v="N/A"/>
    <n v="0"/>
    <b v="0"/>
    <n v="462.84"/>
    <b v="1"/>
    <n v="0"/>
    <b v="0"/>
    <n v="321"/>
    <m/>
    <n v="321"/>
    <n v="6"/>
    <b v="1"/>
    <b v="0"/>
  </r>
  <r>
    <s v="C"/>
    <s v="M"/>
    <n v="20231101"/>
    <x v="0"/>
    <x v="4"/>
    <s v="202311"/>
    <n v="818"/>
    <s v="EGY"/>
    <x v="0"/>
    <s v="M"/>
    <s v="Import"/>
    <n v="568"/>
    <s v="E19"/>
    <x v="24"/>
    <n v="0"/>
    <s v="W00"/>
    <s v="World"/>
    <s v="H6"/>
    <s v="HS"/>
    <b v="1"/>
    <s v="441520"/>
    <s v="Wood; pallets, box pallets and other load boards; pallet collars"/>
    <n v="6"/>
    <b v="1"/>
    <s v="C00"/>
    <s v="TOTAL CPC"/>
    <s v="0"/>
    <n v="0"/>
    <s v="TOTAL MOT"/>
    <n v="5"/>
    <s v="u"/>
    <n v="10.917999999999999"/>
    <b v="1"/>
    <n v="-1"/>
    <s v="N/A"/>
    <n v="0"/>
    <b v="0"/>
    <n v="190.43"/>
    <b v="1"/>
    <n v="0"/>
    <b v="0"/>
    <n v="132.071"/>
    <m/>
    <n v="132.071"/>
    <n v="6"/>
    <b v="1"/>
    <b v="0"/>
  </r>
  <r>
    <s v="C"/>
    <s v="M"/>
    <n v="20231101"/>
    <x v="0"/>
    <x v="4"/>
    <s v="202311"/>
    <n v="818"/>
    <s v="EGY"/>
    <x v="0"/>
    <s v="M"/>
    <s v="Import"/>
    <n v="764"/>
    <s v="THA"/>
    <x v="25"/>
    <n v="0"/>
    <s v="W00"/>
    <s v="World"/>
    <s v="H6"/>
    <s v="HS"/>
    <b v="1"/>
    <s v="441520"/>
    <s v="Wood; pallets, box pallets and other load boards; pallet collars"/>
    <n v="6"/>
    <b v="1"/>
    <s v="C00"/>
    <s v="TOTAL CPC"/>
    <s v="0"/>
    <n v="0"/>
    <s v="TOTAL MOT"/>
    <n v="5"/>
    <s v="u"/>
    <n v="19.922999999999998"/>
    <b v="1"/>
    <n v="-1"/>
    <s v="N/A"/>
    <n v="0"/>
    <b v="0"/>
    <n v="347.49099999999999"/>
    <b v="1"/>
    <n v="0"/>
    <b v="0"/>
    <n v="241"/>
    <m/>
    <n v="241"/>
    <n v="6"/>
    <b v="1"/>
    <b v="0"/>
  </r>
  <r>
    <s v="C"/>
    <s v="M"/>
    <n v="20231101"/>
    <x v="0"/>
    <x v="4"/>
    <s v="202311"/>
    <n v="818"/>
    <s v="EGY"/>
    <x v="0"/>
    <s v="M"/>
    <s v="Import"/>
    <n v="528"/>
    <s v="NLD"/>
    <x v="10"/>
    <n v="0"/>
    <s v="W00"/>
    <s v="World"/>
    <s v="H6"/>
    <s v="HS"/>
    <b v="1"/>
    <s v="441520"/>
    <s v="Wood; pallets, box pallets and other load boards; pallet collars"/>
    <n v="6"/>
    <b v="1"/>
    <s v="C00"/>
    <s v="TOTAL CPC"/>
    <s v="0"/>
    <n v="0"/>
    <s v="TOTAL MOT"/>
    <n v="5"/>
    <s v="u"/>
    <n v="61.33"/>
    <b v="1"/>
    <n v="-1"/>
    <s v="N/A"/>
    <n v="0"/>
    <b v="0"/>
    <n v="1069.6769999999999"/>
    <b v="1"/>
    <n v="0"/>
    <b v="0"/>
    <n v="741.86800000000005"/>
    <m/>
    <n v="741.86800000000005"/>
    <n v="6"/>
    <b v="1"/>
    <b v="0"/>
  </r>
  <r>
    <s v="C"/>
    <s v="M"/>
    <n v="20231101"/>
    <x v="0"/>
    <x v="4"/>
    <s v="202311"/>
    <n v="818"/>
    <s v="EGY"/>
    <x v="0"/>
    <s v="M"/>
    <s v="Import"/>
    <n v="276"/>
    <s v="DEU"/>
    <x v="11"/>
    <n v="0"/>
    <s v="W00"/>
    <s v="World"/>
    <s v="H6"/>
    <s v="HS"/>
    <b v="1"/>
    <s v="441520"/>
    <s v="Wood; pallets, box pallets and other load boards; pallet collars"/>
    <n v="6"/>
    <b v="1"/>
    <s v="C00"/>
    <s v="TOTAL CPC"/>
    <s v="0"/>
    <n v="0"/>
    <s v="TOTAL MOT"/>
    <n v="5"/>
    <s v="u"/>
    <n v="51.764000000000003"/>
    <b v="1"/>
    <n v="-1"/>
    <s v="N/A"/>
    <n v="0"/>
    <b v="0"/>
    <n v="902.83900000000006"/>
    <b v="1"/>
    <n v="0"/>
    <b v="0"/>
    <n v="626.15899999999999"/>
    <m/>
    <n v="626.15899999999999"/>
    <n v="6"/>
    <b v="1"/>
    <b v="0"/>
  </r>
  <r>
    <s v="C"/>
    <s v="M"/>
    <n v="20231101"/>
    <x v="0"/>
    <x v="4"/>
    <s v="202311"/>
    <n v="818"/>
    <s v="EGY"/>
    <x v="0"/>
    <s v="M"/>
    <s v="Import"/>
    <n v="203"/>
    <s v="CZE"/>
    <x v="21"/>
    <n v="0"/>
    <s v="W00"/>
    <s v="World"/>
    <s v="H6"/>
    <s v="HS"/>
    <b v="1"/>
    <s v="441520"/>
    <s v="Wood; pallets, box pallets and other load boards; pallet collars"/>
    <n v="6"/>
    <b v="1"/>
    <s v="C00"/>
    <s v="TOTAL CPC"/>
    <s v="0"/>
    <n v="0"/>
    <s v="TOTAL MOT"/>
    <n v="5"/>
    <s v="u"/>
    <n v="63.634999999999998"/>
    <b v="1"/>
    <n v="-1"/>
    <s v="N/A"/>
    <n v="0"/>
    <b v="0"/>
    <n v="1109.8810000000001"/>
    <b v="1"/>
    <n v="0"/>
    <b v="0"/>
    <n v="769.75099999999998"/>
    <m/>
    <n v="769.75099999999998"/>
    <n v="6"/>
    <b v="1"/>
    <b v="0"/>
  </r>
  <r>
    <s v="C"/>
    <s v="M"/>
    <n v="20231101"/>
    <x v="0"/>
    <x v="4"/>
    <s v="202311"/>
    <n v="818"/>
    <s v="EGY"/>
    <x v="0"/>
    <s v="M"/>
    <s v="Import"/>
    <n v="380"/>
    <s v="ITA"/>
    <x v="12"/>
    <n v="0"/>
    <s v="W00"/>
    <s v="World"/>
    <s v="H6"/>
    <s v="HS"/>
    <b v="1"/>
    <s v="441520"/>
    <s v="Wood; pallets, box pallets and other load boards; pallet collars"/>
    <n v="6"/>
    <b v="1"/>
    <s v="C00"/>
    <s v="TOTAL CPC"/>
    <s v="0"/>
    <n v="0"/>
    <s v="TOTAL MOT"/>
    <n v="5"/>
    <s v="u"/>
    <n v="197.649"/>
    <b v="1"/>
    <n v="-1"/>
    <s v="N/A"/>
    <n v="0"/>
    <b v="0"/>
    <n v="3447.2750000000001"/>
    <b v="1"/>
    <n v="0"/>
    <b v="0"/>
    <n v="2390.837"/>
    <m/>
    <n v="2390.837"/>
    <n v="6"/>
    <b v="1"/>
    <b v="0"/>
  </r>
  <r>
    <s v="C"/>
    <s v="M"/>
    <n v="20231201"/>
    <x v="0"/>
    <x v="5"/>
    <s v="202312"/>
    <n v="818"/>
    <s v="EGY"/>
    <x v="0"/>
    <s v="M"/>
    <s v="Import"/>
    <n v="0"/>
    <s v="W00"/>
    <x v="0"/>
    <n v="0"/>
    <s v="W00"/>
    <s v="World"/>
    <s v="H6"/>
    <s v="HS"/>
    <b v="1"/>
    <s v="441520"/>
    <s v="Wood; pallets, box pallets and other load boards; pallet collars"/>
    <n v="6"/>
    <b v="1"/>
    <s v="C00"/>
    <s v="TOTAL CPC"/>
    <s v="0"/>
    <n v="0"/>
    <s v="TOTAL MOT"/>
    <n v="5"/>
    <s v="u"/>
    <n v="12234.67"/>
    <b v="1"/>
    <n v="-1"/>
    <s v="N/A"/>
    <n v="0"/>
    <b v="0"/>
    <n v="213389.30600000001"/>
    <b v="1"/>
    <n v="0"/>
    <b v="0"/>
    <n v="147994.886"/>
    <m/>
    <n v="147994.886"/>
    <n v="6"/>
    <b v="0"/>
    <b v="1"/>
  </r>
  <r>
    <s v="C"/>
    <s v="M"/>
    <n v="20231201"/>
    <x v="0"/>
    <x v="5"/>
    <s v="202312"/>
    <n v="818"/>
    <s v="EGY"/>
    <x v="0"/>
    <s v="M"/>
    <s v="Import"/>
    <n v="699"/>
    <s v="IND"/>
    <x v="2"/>
    <n v="0"/>
    <s v="W00"/>
    <s v="World"/>
    <s v="H6"/>
    <s v="HS"/>
    <b v="1"/>
    <s v="441520"/>
    <s v="Wood; pallets, box pallets and other load boards; pallet collars"/>
    <n v="6"/>
    <b v="1"/>
    <s v="C00"/>
    <s v="TOTAL CPC"/>
    <s v="0"/>
    <n v="0"/>
    <s v="TOTAL MOT"/>
    <n v="5"/>
    <s v="u"/>
    <n v="11924.322"/>
    <b v="1"/>
    <n v="-1"/>
    <s v="N/A"/>
    <n v="0"/>
    <b v="0"/>
    <n v="207976.40100000001"/>
    <b v="1"/>
    <n v="0"/>
    <b v="0"/>
    <n v="144240.79800000001"/>
    <m/>
    <n v="144240.79800000001"/>
    <n v="6"/>
    <b v="1"/>
    <b v="0"/>
  </r>
  <r>
    <s v="C"/>
    <s v="M"/>
    <n v="20231201"/>
    <x v="0"/>
    <x v="5"/>
    <s v="202312"/>
    <n v="818"/>
    <s v="EGY"/>
    <x v="0"/>
    <s v="M"/>
    <s v="Import"/>
    <n v="156"/>
    <s v="CHN"/>
    <x v="3"/>
    <n v="0"/>
    <s v="W00"/>
    <s v="World"/>
    <s v="H6"/>
    <s v="HS"/>
    <b v="1"/>
    <s v="441520"/>
    <s v="Wood; pallets, box pallets and other load boards; pallet collars"/>
    <n v="6"/>
    <b v="1"/>
    <s v="C00"/>
    <s v="TOTAL CPC"/>
    <s v="0"/>
    <n v="0"/>
    <s v="TOTAL MOT"/>
    <n v="5"/>
    <s v="u"/>
    <n v="51.683"/>
    <b v="1"/>
    <n v="-1"/>
    <s v="N/A"/>
    <n v="0"/>
    <b v="0"/>
    <n v="901.423"/>
    <b v="1"/>
    <n v="0"/>
    <b v="0"/>
    <n v="625.17700000000002"/>
    <m/>
    <n v="625.17700000000002"/>
    <n v="6"/>
    <b v="1"/>
    <b v="0"/>
  </r>
  <r>
    <s v="C"/>
    <s v="M"/>
    <n v="20231201"/>
    <x v="0"/>
    <x v="5"/>
    <s v="202312"/>
    <n v="818"/>
    <s v="EGY"/>
    <x v="0"/>
    <s v="M"/>
    <s v="Import"/>
    <n v="757"/>
    <s v="CHE"/>
    <x v="4"/>
    <n v="0"/>
    <s v="W00"/>
    <s v="World"/>
    <s v="H6"/>
    <s v="HS"/>
    <b v="1"/>
    <s v="441520"/>
    <s v="Wood; pallets, box pallets and other load boards; pallet collars"/>
    <n v="6"/>
    <b v="1"/>
    <s v="C00"/>
    <s v="TOTAL CPC"/>
    <s v="0"/>
    <n v="0"/>
    <s v="TOTAL MOT"/>
    <n v="5"/>
    <s v="u"/>
    <n v="18.792999999999999"/>
    <b v="1"/>
    <n v="-1"/>
    <s v="N/A"/>
    <n v="0"/>
    <b v="0"/>
    <n v="327.78199999999998"/>
    <b v="1"/>
    <n v="0"/>
    <b v="0"/>
    <n v="227.33099999999999"/>
    <m/>
    <n v="227.33099999999999"/>
    <n v="6"/>
    <b v="1"/>
    <b v="0"/>
  </r>
  <r>
    <s v="C"/>
    <s v="M"/>
    <n v="20231201"/>
    <x v="0"/>
    <x v="5"/>
    <s v="202312"/>
    <n v="818"/>
    <s v="EGY"/>
    <x v="0"/>
    <s v="M"/>
    <s v="Import"/>
    <n v="724"/>
    <s v="ESP"/>
    <x v="5"/>
    <n v="0"/>
    <s v="W00"/>
    <s v="World"/>
    <s v="H6"/>
    <s v="HS"/>
    <b v="1"/>
    <s v="441520"/>
    <s v="Wood; pallets, box pallets and other load boards; pallet collars"/>
    <n v="6"/>
    <b v="1"/>
    <s v="C00"/>
    <s v="TOTAL CPC"/>
    <s v="0"/>
    <n v="0"/>
    <s v="TOTAL MOT"/>
    <n v="5"/>
    <s v="u"/>
    <n v="10.962"/>
    <b v="1"/>
    <n v="-1"/>
    <s v="N/A"/>
    <n v="0"/>
    <b v="0"/>
    <n v="191.19399999999999"/>
    <b v="1"/>
    <n v="0"/>
    <b v="0"/>
    <n v="132.602"/>
    <m/>
    <n v="132.602"/>
    <n v="6"/>
    <b v="1"/>
    <b v="0"/>
  </r>
  <r>
    <s v="C"/>
    <s v="M"/>
    <n v="20231201"/>
    <x v="0"/>
    <x v="5"/>
    <s v="202312"/>
    <n v="818"/>
    <s v="EGY"/>
    <x v="0"/>
    <s v="M"/>
    <s v="Import"/>
    <n v="56"/>
    <s v="BEL"/>
    <x v="23"/>
    <n v="0"/>
    <s v="W00"/>
    <s v="World"/>
    <s v="H6"/>
    <s v="HS"/>
    <b v="1"/>
    <s v="441520"/>
    <s v="Wood; pallets, box pallets and other load boards; pallet collars"/>
    <n v="6"/>
    <b v="1"/>
    <s v="C00"/>
    <s v="TOTAL CPC"/>
    <s v="0"/>
    <n v="0"/>
    <s v="TOTAL MOT"/>
    <n v="5"/>
    <s v="u"/>
    <n v="131.21899999999999"/>
    <b v="1"/>
    <n v="-1"/>
    <s v="N/A"/>
    <n v="0"/>
    <b v="0"/>
    <n v="2288.645"/>
    <b v="1"/>
    <n v="0"/>
    <b v="0"/>
    <n v="1587.2760000000001"/>
    <m/>
    <n v="1587.2760000000001"/>
    <n v="6"/>
    <b v="1"/>
    <b v="0"/>
  </r>
  <r>
    <s v="C"/>
    <s v="M"/>
    <n v="20231201"/>
    <x v="0"/>
    <x v="5"/>
    <s v="202312"/>
    <n v="818"/>
    <s v="EGY"/>
    <x v="0"/>
    <s v="M"/>
    <s v="Import"/>
    <n v="568"/>
    <s v="E19"/>
    <x v="24"/>
    <n v="0"/>
    <s v="W00"/>
    <s v="World"/>
    <s v="H6"/>
    <s v="HS"/>
    <b v="1"/>
    <s v="441520"/>
    <s v="Wood; pallets, box pallets and other load boards; pallet collars"/>
    <n v="6"/>
    <b v="1"/>
    <s v="C00"/>
    <s v="TOTAL CPC"/>
    <s v="0"/>
    <n v="0"/>
    <s v="TOTAL MOT"/>
    <n v="5"/>
    <s v="u"/>
    <n v="9.9990000000000006"/>
    <b v="1"/>
    <n v="-1"/>
    <s v="N/A"/>
    <n v="0"/>
    <b v="0"/>
    <n v="174.404"/>
    <b v="1"/>
    <n v="0"/>
    <b v="0"/>
    <n v="120.95699999999999"/>
    <m/>
    <n v="120.95699999999999"/>
    <n v="6"/>
    <b v="1"/>
    <b v="0"/>
  </r>
  <r>
    <s v="C"/>
    <s v="M"/>
    <n v="20231201"/>
    <x v="0"/>
    <x v="5"/>
    <s v="202312"/>
    <n v="818"/>
    <s v="EGY"/>
    <x v="0"/>
    <s v="M"/>
    <s v="Import"/>
    <n v="764"/>
    <s v="THA"/>
    <x v="25"/>
    <n v="0"/>
    <s v="W00"/>
    <s v="World"/>
    <s v="H6"/>
    <s v="HS"/>
    <b v="1"/>
    <s v="441520"/>
    <s v="Wood; pallets, box pallets and other load boards; pallet collars"/>
    <n v="6"/>
    <b v="1"/>
    <s v="C00"/>
    <s v="TOTAL CPC"/>
    <s v="0"/>
    <n v="0"/>
    <s v="TOTAL MOT"/>
    <n v="5"/>
    <s v="u"/>
    <n v="10.331"/>
    <b v="1"/>
    <n v="-1"/>
    <s v="N/A"/>
    <n v="0"/>
    <b v="0"/>
    <n v="180.184"/>
    <b v="1"/>
    <n v="0"/>
    <b v="0"/>
    <n v="124.965"/>
    <m/>
    <n v="124.965"/>
    <n v="6"/>
    <b v="1"/>
    <b v="0"/>
  </r>
  <r>
    <s v="C"/>
    <s v="M"/>
    <n v="20231201"/>
    <x v="0"/>
    <x v="5"/>
    <s v="202312"/>
    <n v="818"/>
    <s v="EGY"/>
    <x v="0"/>
    <s v="M"/>
    <s v="Import"/>
    <n v="276"/>
    <s v="DEU"/>
    <x v="11"/>
    <n v="0"/>
    <s v="W00"/>
    <s v="World"/>
    <s v="H6"/>
    <s v="HS"/>
    <b v="1"/>
    <s v="441520"/>
    <s v="Wood; pallets, box pallets and other load boards; pallet collars"/>
    <n v="6"/>
    <b v="1"/>
    <s v="C00"/>
    <s v="TOTAL CPC"/>
    <s v="0"/>
    <n v="0"/>
    <s v="TOTAL MOT"/>
    <n v="5"/>
    <s v="u"/>
    <n v="43.265000000000001"/>
    <b v="1"/>
    <n v="-1"/>
    <s v="N/A"/>
    <n v="0"/>
    <b v="0"/>
    <n v="754.60599999999999"/>
    <b v="1"/>
    <n v="0"/>
    <b v="0"/>
    <n v="523.35199999999998"/>
    <m/>
    <n v="523.35199999999998"/>
    <n v="6"/>
    <b v="1"/>
    <b v="0"/>
  </r>
  <r>
    <s v="C"/>
    <s v="M"/>
    <n v="20231201"/>
    <x v="0"/>
    <x v="5"/>
    <s v="202312"/>
    <n v="818"/>
    <s v="EGY"/>
    <x v="0"/>
    <s v="M"/>
    <s v="Import"/>
    <n v="380"/>
    <s v="ITA"/>
    <x v="12"/>
    <n v="0"/>
    <s v="W00"/>
    <s v="World"/>
    <s v="H6"/>
    <s v="HS"/>
    <b v="1"/>
    <s v="441520"/>
    <s v="Wood; pallets, box pallets and other load boards; pallet collars"/>
    <n v="6"/>
    <b v="1"/>
    <s v="C00"/>
    <s v="TOTAL CPC"/>
    <s v="0"/>
    <n v="0"/>
    <s v="TOTAL MOT"/>
    <n v="5"/>
    <s v="u"/>
    <n v="34.094999999999999"/>
    <b v="1"/>
    <n v="-1"/>
    <s v="N/A"/>
    <n v="0"/>
    <b v="0"/>
    <n v="594.66700000000003"/>
    <b v="1"/>
    <n v="0"/>
    <b v="0"/>
    <n v="412.428"/>
    <m/>
    <n v="412.428"/>
    <n v="6"/>
    <b v="1"/>
    <b v="0"/>
  </r>
  <r>
    <s v="C"/>
    <s v="M"/>
    <n v="20240501"/>
    <x v="1"/>
    <x v="6"/>
    <s v="202405"/>
    <n v="818"/>
    <s v="EGY"/>
    <x v="0"/>
    <s v="M"/>
    <s v="Import"/>
    <n v="0"/>
    <s v="W00"/>
    <x v="0"/>
    <n v="0"/>
    <s v="W00"/>
    <s v="World"/>
    <s v="H6"/>
    <s v="HS"/>
    <b v="1"/>
    <s v="441520"/>
    <s v="Wood; pallets, box pallets and other load boards; pallet collars"/>
    <n v="6"/>
    <b v="1"/>
    <s v="C00"/>
    <s v="TOTAL CPC"/>
    <s v="0"/>
    <n v="0"/>
    <s v="TOTAL MOT"/>
    <n v="5"/>
    <s v="u"/>
    <n v="10038.808000000001"/>
    <b v="1"/>
    <n v="-1"/>
    <s v="N/A"/>
    <n v="0"/>
    <b v="0"/>
    <n v="175090.47099999999"/>
    <b v="1"/>
    <n v="0"/>
    <b v="0"/>
    <n v="121432.95699999999"/>
    <m/>
    <n v="121432.95699999999"/>
    <n v="6"/>
    <b v="0"/>
    <b v="1"/>
  </r>
  <r>
    <s v="C"/>
    <s v="M"/>
    <n v="20240601"/>
    <x v="1"/>
    <x v="7"/>
    <s v="202406"/>
    <n v="818"/>
    <s v="EGY"/>
    <x v="0"/>
    <s v="M"/>
    <s v="Import"/>
    <n v="56"/>
    <s v="BEL"/>
    <x v="23"/>
    <n v="0"/>
    <s v="W00"/>
    <s v="World"/>
    <s v="H6"/>
    <s v="HS"/>
    <b v="1"/>
    <s v="441520"/>
    <s v="Wood; pallets, box pallets and other load boards; pallet collars"/>
    <n v="6"/>
    <b v="1"/>
    <s v="C00"/>
    <s v="TOTAL CPC"/>
    <s v="0"/>
    <n v="0"/>
    <s v="TOTAL MOT"/>
    <n v="5"/>
    <s v="u"/>
    <n v="16.061"/>
    <b v="1"/>
    <n v="-1"/>
    <s v="N/A"/>
    <n v="0"/>
    <b v="0"/>
    <n v="280.13400000000001"/>
    <b v="1"/>
    <n v="0"/>
    <b v="0"/>
    <n v="194.285"/>
    <m/>
    <n v="194.285"/>
    <n v="6"/>
    <b v="1"/>
    <b v="0"/>
  </r>
  <r>
    <s v="C"/>
    <s v="M"/>
    <n v="20240501"/>
    <x v="1"/>
    <x v="6"/>
    <s v="202405"/>
    <n v="818"/>
    <s v="EGY"/>
    <x v="0"/>
    <s v="M"/>
    <s v="Import"/>
    <n v="156"/>
    <s v="CHN"/>
    <x v="3"/>
    <n v="0"/>
    <s v="W00"/>
    <s v="World"/>
    <s v="H6"/>
    <s v="HS"/>
    <b v="1"/>
    <s v="441520"/>
    <s v="Wood; pallets, box pallets and other load boards; pallet collars"/>
    <n v="6"/>
    <b v="1"/>
    <s v="C00"/>
    <s v="TOTAL CPC"/>
    <s v="0"/>
    <n v="0"/>
    <s v="TOTAL MOT"/>
    <n v="5"/>
    <s v="u"/>
    <n v="171.48599999999999"/>
    <b v="1"/>
    <n v="-1"/>
    <s v="N/A"/>
    <n v="0"/>
    <b v="0"/>
    <n v="2990.951"/>
    <b v="1"/>
    <n v="0"/>
    <b v="0"/>
    <n v="2074.357"/>
    <m/>
    <n v="2074.357"/>
    <n v="6"/>
    <b v="1"/>
    <b v="0"/>
  </r>
  <r>
    <s v="C"/>
    <s v="M"/>
    <n v="20240401"/>
    <x v="1"/>
    <x v="8"/>
    <s v="202404"/>
    <n v="818"/>
    <s v="EGY"/>
    <x v="0"/>
    <s v="M"/>
    <s v="Import"/>
    <n v="251"/>
    <s v="FRA"/>
    <x v="9"/>
    <n v="0"/>
    <s v="W00"/>
    <s v="World"/>
    <s v="H6"/>
    <s v="HS"/>
    <b v="1"/>
    <s v="441520"/>
    <s v="Wood; pallets, box pallets and other load boards; pallet collars"/>
    <n v="6"/>
    <b v="1"/>
    <s v="C00"/>
    <s v="TOTAL CPC"/>
    <s v="0"/>
    <n v="0"/>
    <s v="TOTAL MOT"/>
    <n v="5"/>
    <s v="u"/>
    <n v="12.952"/>
    <b v="1"/>
    <n v="-1"/>
    <s v="N/A"/>
    <n v="0"/>
    <b v="0"/>
    <n v="225.90100000000001"/>
    <b v="1"/>
    <n v="0"/>
    <b v="0"/>
    <n v="156.673"/>
    <m/>
    <n v="156.673"/>
    <n v="6"/>
    <b v="1"/>
    <b v="0"/>
  </r>
  <r>
    <s v="C"/>
    <s v="M"/>
    <n v="20240501"/>
    <x v="1"/>
    <x v="6"/>
    <s v="202405"/>
    <n v="818"/>
    <s v="EGY"/>
    <x v="0"/>
    <s v="M"/>
    <s v="Import"/>
    <n v="276"/>
    <s v="DEU"/>
    <x v="11"/>
    <n v="0"/>
    <s v="W00"/>
    <s v="World"/>
    <s v="H6"/>
    <s v="HS"/>
    <b v="1"/>
    <s v="441520"/>
    <s v="Wood; pallets, box pallets and other load boards; pallet collars"/>
    <n v="6"/>
    <b v="1"/>
    <s v="C00"/>
    <s v="TOTAL CPC"/>
    <s v="0"/>
    <n v="0"/>
    <s v="TOTAL MOT"/>
    <n v="5"/>
    <s v="u"/>
    <n v="1473.4079999999999"/>
    <b v="1"/>
    <n v="-1"/>
    <s v="N/A"/>
    <n v="0"/>
    <b v="0"/>
    <n v="25698.235000000001"/>
    <b v="1"/>
    <n v="0"/>
    <b v="0"/>
    <n v="17822.859"/>
    <m/>
    <n v="17822.859"/>
    <n v="6"/>
    <b v="1"/>
    <b v="0"/>
  </r>
  <r>
    <s v="C"/>
    <s v="M"/>
    <n v="20240601"/>
    <x v="1"/>
    <x v="7"/>
    <s v="202406"/>
    <n v="818"/>
    <s v="EGY"/>
    <x v="0"/>
    <s v="M"/>
    <s v="Import"/>
    <n v="380"/>
    <s v="ITA"/>
    <x v="12"/>
    <n v="0"/>
    <s v="W00"/>
    <s v="World"/>
    <s v="H6"/>
    <s v="HS"/>
    <b v="1"/>
    <s v="441520"/>
    <s v="Wood; pallets, box pallets and other load boards; pallet collars"/>
    <n v="6"/>
    <b v="1"/>
    <s v="C00"/>
    <s v="TOTAL CPC"/>
    <s v="0"/>
    <n v="0"/>
    <s v="TOTAL MOT"/>
    <n v="5"/>
    <s v="u"/>
    <n v="544.43299999999999"/>
    <b v="1"/>
    <n v="-1"/>
    <s v="N/A"/>
    <n v="0"/>
    <b v="0"/>
    <n v="9495.6560000000009"/>
    <b v="1"/>
    <n v="0"/>
    <b v="0"/>
    <n v="6585.6559999999999"/>
    <m/>
    <n v="6585.6559999999999"/>
    <n v="6"/>
    <b v="1"/>
    <b v="0"/>
  </r>
  <r>
    <s v="C"/>
    <s v="M"/>
    <n v="20240201"/>
    <x v="1"/>
    <x v="9"/>
    <s v="202402"/>
    <n v="818"/>
    <s v="EGY"/>
    <x v="0"/>
    <s v="M"/>
    <s v="Import"/>
    <n v="384"/>
    <s v="CIV"/>
    <x v="26"/>
    <n v="0"/>
    <s v="W00"/>
    <s v="World"/>
    <s v="H6"/>
    <s v="HS"/>
    <b v="1"/>
    <s v="441520"/>
    <s v="Wood; pallets, box pallets and other load boards; pallet collars"/>
    <n v="6"/>
    <b v="1"/>
    <s v="C00"/>
    <s v="TOTAL CPC"/>
    <s v="0"/>
    <n v="0"/>
    <s v="TOTAL MOT"/>
    <n v="5"/>
    <s v="u"/>
    <n v="11.188000000000001"/>
    <b v="1"/>
    <n v="-1"/>
    <s v="N/A"/>
    <n v="0"/>
    <b v="0"/>
    <n v="195.13800000000001"/>
    <b v="1"/>
    <n v="0"/>
    <b v="0"/>
    <n v="135.33699999999999"/>
    <m/>
    <n v="135.33699999999999"/>
    <n v="6"/>
    <b v="1"/>
    <b v="0"/>
  </r>
  <r>
    <s v="C"/>
    <s v="M"/>
    <n v="20240401"/>
    <x v="1"/>
    <x v="8"/>
    <s v="202404"/>
    <n v="818"/>
    <s v="EGY"/>
    <x v="0"/>
    <s v="M"/>
    <s v="Import"/>
    <n v="504"/>
    <s v="MAR"/>
    <x v="27"/>
    <n v="0"/>
    <s v="W00"/>
    <s v="World"/>
    <s v="H6"/>
    <s v="HS"/>
    <b v="1"/>
    <s v="441520"/>
    <s v="Wood; pallets, box pallets and other load boards; pallet collars"/>
    <n v="6"/>
    <b v="1"/>
    <s v="C00"/>
    <s v="TOTAL CPC"/>
    <s v="0"/>
    <n v="0"/>
    <s v="TOTAL MOT"/>
    <n v="5"/>
    <s v="u"/>
    <n v="6.2560000000000002"/>
    <b v="1"/>
    <n v="-1"/>
    <s v="N/A"/>
    <n v="0"/>
    <b v="0"/>
    <n v="109.119"/>
    <b v="1"/>
    <n v="0"/>
    <b v="0"/>
    <n v="75.679000000000002"/>
    <m/>
    <n v="75.679000000000002"/>
    <n v="6"/>
    <b v="1"/>
    <b v="0"/>
  </r>
  <r>
    <s v="C"/>
    <s v="M"/>
    <n v="20240201"/>
    <x v="1"/>
    <x v="9"/>
    <s v="202402"/>
    <n v="818"/>
    <s v="EGY"/>
    <x v="0"/>
    <s v="M"/>
    <s v="Import"/>
    <n v="528"/>
    <s v="NLD"/>
    <x v="10"/>
    <n v="0"/>
    <s v="W00"/>
    <s v="World"/>
    <s v="H6"/>
    <s v="HS"/>
    <b v="1"/>
    <s v="441520"/>
    <s v="Wood; pallets, box pallets and other load boards; pallet collars"/>
    <n v="6"/>
    <b v="1"/>
    <s v="C00"/>
    <s v="TOTAL CPC"/>
    <s v="0"/>
    <n v="0"/>
    <s v="TOTAL MOT"/>
    <n v="5"/>
    <s v="u"/>
    <n v="8.9879999999999995"/>
    <b v="1"/>
    <n v="-1"/>
    <s v="N/A"/>
    <n v="0"/>
    <b v="0"/>
    <n v="156.76900000000001"/>
    <b v="1"/>
    <n v="0"/>
    <b v="0"/>
    <n v="108.726"/>
    <m/>
    <n v="108.726"/>
    <n v="6"/>
    <b v="1"/>
    <b v="0"/>
  </r>
  <r>
    <s v="C"/>
    <s v="M"/>
    <n v="20240201"/>
    <x v="1"/>
    <x v="9"/>
    <s v="202402"/>
    <n v="818"/>
    <s v="EGY"/>
    <x v="0"/>
    <s v="M"/>
    <s v="Import"/>
    <n v="554"/>
    <s v="NZL"/>
    <x v="28"/>
    <n v="0"/>
    <s v="W00"/>
    <s v="World"/>
    <s v="H6"/>
    <s v="HS"/>
    <b v="1"/>
    <s v="441520"/>
    <s v="Wood; pallets, box pallets and other load boards; pallet collars"/>
    <n v="6"/>
    <b v="1"/>
    <s v="C00"/>
    <s v="TOTAL CPC"/>
    <s v="0"/>
    <n v="0"/>
    <s v="TOTAL MOT"/>
    <n v="5"/>
    <s v="u"/>
    <n v="74.484999999999999"/>
    <b v="1"/>
    <n v="-1"/>
    <s v="N/A"/>
    <n v="0"/>
    <b v="0"/>
    <n v="1299.125"/>
    <b v="1"/>
    <n v="0"/>
    <b v="0"/>
    <n v="901"/>
    <m/>
    <n v="901"/>
    <n v="6"/>
    <b v="1"/>
    <b v="0"/>
  </r>
  <r>
    <s v="C"/>
    <s v="M"/>
    <n v="20240201"/>
    <x v="1"/>
    <x v="9"/>
    <s v="202402"/>
    <n v="818"/>
    <s v="EGY"/>
    <x v="0"/>
    <s v="M"/>
    <s v="Import"/>
    <n v="568"/>
    <s v="E19"/>
    <x v="24"/>
    <n v="0"/>
    <s v="W00"/>
    <s v="World"/>
    <s v="H6"/>
    <s v="HS"/>
    <b v="1"/>
    <s v="441520"/>
    <s v="Wood; pallets, box pallets and other load boards; pallet collars"/>
    <n v="6"/>
    <b v="1"/>
    <s v="C00"/>
    <s v="TOTAL CPC"/>
    <s v="0"/>
    <n v="0"/>
    <s v="TOTAL MOT"/>
    <n v="5"/>
    <s v="u"/>
    <n v="5.4169999999999998"/>
    <b v="1"/>
    <n v="-1"/>
    <s v="N/A"/>
    <n v="0"/>
    <b v="0"/>
    <n v="94.471000000000004"/>
    <b v="1"/>
    <n v="0"/>
    <b v="0"/>
    <n v="65.52"/>
    <m/>
    <n v="65.52"/>
    <n v="6"/>
    <b v="1"/>
    <b v="0"/>
  </r>
  <r>
    <s v="C"/>
    <s v="M"/>
    <n v="20240201"/>
    <x v="1"/>
    <x v="9"/>
    <s v="202402"/>
    <n v="818"/>
    <s v="EGY"/>
    <x v="0"/>
    <s v="M"/>
    <s v="Import"/>
    <n v="616"/>
    <s v="POL"/>
    <x v="18"/>
    <n v="0"/>
    <s v="W00"/>
    <s v="World"/>
    <s v="H6"/>
    <s v="HS"/>
    <b v="1"/>
    <s v="441520"/>
    <s v="Wood; pallets, box pallets and other load boards; pallet collars"/>
    <n v="6"/>
    <b v="1"/>
    <s v="C00"/>
    <s v="TOTAL CPC"/>
    <s v="0"/>
    <n v="0"/>
    <s v="TOTAL MOT"/>
    <n v="5"/>
    <s v="u"/>
    <n v="13.369"/>
    <b v="1"/>
    <n v="-1"/>
    <s v="N/A"/>
    <n v="0"/>
    <b v="0"/>
    <n v="233.18"/>
    <b v="1"/>
    <n v="0"/>
    <b v="0"/>
    <n v="161.721"/>
    <m/>
    <n v="161.721"/>
    <n v="6"/>
    <b v="1"/>
    <b v="0"/>
  </r>
  <r>
    <s v="C"/>
    <s v="M"/>
    <n v="20240301"/>
    <x v="1"/>
    <x v="10"/>
    <s v="202403"/>
    <n v="818"/>
    <s v="EGY"/>
    <x v="0"/>
    <s v="M"/>
    <s v="Import"/>
    <n v="620"/>
    <s v="PRT"/>
    <x v="29"/>
    <n v="0"/>
    <s v="W00"/>
    <s v="World"/>
    <s v="H6"/>
    <s v="HS"/>
    <b v="1"/>
    <s v="441520"/>
    <s v="Wood; pallets, box pallets and other load boards; pallet collars"/>
    <n v="6"/>
    <b v="1"/>
    <s v="C00"/>
    <s v="TOTAL CPC"/>
    <s v="0"/>
    <n v="0"/>
    <s v="TOTAL MOT"/>
    <n v="5"/>
    <s v="u"/>
    <n v="19.922999999999998"/>
    <b v="1"/>
    <n v="-1"/>
    <s v="N/A"/>
    <n v="0"/>
    <b v="0"/>
    <n v="347.49099999999999"/>
    <b v="1"/>
    <n v="0"/>
    <b v="0"/>
    <n v="241"/>
    <m/>
    <n v="241"/>
    <n v="6"/>
    <b v="1"/>
    <b v="0"/>
  </r>
  <r>
    <s v="C"/>
    <s v="M"/>
    <n v="20240601"/>
    <x v="1"/>
    <x v="7"/>
    <s v="202406"/>
    <n v="818"/>
    <s v="EGY"/>
    <x v="0"/>
    <s v="M"/>
    <s v="Import"/>
    <n v="699"/>
    <s v="IND"/>
    <x v="2"/>
    <n v="0"/>
    <s v="W00"/>
    <s v="World"/>
    <s v="H6"/>
    <s v="HS"/>
    <b v="1"/>
    <s v="441520"/>
    <s v="Wood; pallets, box pallets and other load boards; pallet collars"/>
    <n v="6"/>
    <b v="1"/>
    <s v="C00"/>
    <s v="TOTAL CPC"/>
    <s v="0"/>
    <n v="0"/>
    <s v="TOTAL MOT"/>
    <n v="5"/>
    <s v="u"/>
    <n v="10068.662"/>
    <b v="1"/>
    <n v="-1"/>
    <s v="N/A"/>
    <n v="0"/>
    <b v="0"/>
    <n v="175611.17199999999"/>
    <b v="1"/>
    <n v="0"/>
    <b v="0"/>
    <n v="121794.086"/>
    <m/>
    <n v="121794.086"/>
    <n v="6"/>
    <b v="1"/>
    <b v="0"/>
  </r>
  <r>
    <s v="C"/>
    <s v="M"/>
    <n v="20240101"/>
    <x v="1"/>
    <x v="11"/>
    <s v="202401"/>
    <n v="818"/>
    <s v="EGY"/>
    <x v="0"/>
    <s v="M"/>
    <s v="Import"/>
    <n v="710"/>
    <s v="ZAF"/>
    <x v="1"/>
    <n v="0"/>
    <s v="W00"/>
    <s v="World"/>
    <s v="H6"/>
    <s v="HS"/>
    <b v="1"/>
    <s v="441520"/>
    <s v="Wood; pallets, box pallets and other load boards; pallet collars"/>
    <n v="6"/>
    <b v="1"/>
    <s v="C00"/>
    <s v="TOTAL CPC"/>
    <s v="0"/>
    <n v="0"/>
    <s v="TOTAL MOT"/>
    <n v="5"/>
    <s v="u"/>
    <n v="10.882"/>
    <b v="1"/>
    <n v="-1"/>
    <s v="N/A"/>
    <n v="0"/>
    <b v="0"/>
    <n v="189.80099999999999"/>
    <b v="1"/>
    <n v="0"/>
    <b v="0"/>
    <n v="131.636"/>
    <m/>
    <n v="131.636"/>
    <n v="6"/>
    <b v="1"/>
    <b v="0"/>
  </r>
  <r>
    <s v="C"/>
    <s v="M"/>
    <n v="20240201"/>
    <x v="1"/>
    <x v="9"/>
    <s v="202402"/>
    <n v="818"/>
    <s v="EGY"/>
    <x v="0"/>
    <s v="M"/>
    <s v="Import"/>
    <n v="724"/>
    <s v="ESP"/>
    <x v="5"/>
    <n v="0"/>
    <s v="W00"/>
    <s v="World"/>
    <s v="H6"/>
    <s v="HS"/>
    <b v="1"/>
    <s v="441520"/>
    <s v="Wood; pallets, box pallets and other load boards; pallet collars"/>
    <n v="6"/>
    <b v="1"/>
    <s v="C00"/>
    <s v="TOTAL CPC"/>
    <s v="0"/>
    <n v="0"/>
    <s v="TOTAL MOT"/>
    <n v="5"/>
    <s v="u"/>
    <n v="890.06299999999999"/>
    <b v="1"/>
    <n v="-1"/>
    <s v="N/A"/>
    <n v="0"/>
    <b v="0"/>
    <n v="15523.91"/>
    <b v="1"/>
    <n v="0"/>
    <b v="0"/>
    <n v="10766.514999999999"/>
    <m/>
    <n v="10766.514999999999"/>
    <n v="6"/>
    <b v="1"/>
    <b v="0"/>
  </r>
  <r>
    <s v="C"/>
    <s v="M"/>
    <n v="20240301"/>
    <x v="1"/>
    <x v="10"/>
    <s v="202403"/>
    <n v="818"/>
    <s v="EGY"/>
    <x v="0"/>
    <s v="M"/>
    <s v="Import"/>
    <n v="757"/>
    <s v="CHE"/>
    <x v="4"/>
    <n v="0"/>
    <s v="W00"/>
    <s v="World"/>
    <s v="H6"/>
    <s v="HS"/>
    <b v="1"/>
    <s v="441520"/>
    <s v="Wood; pallets, box pallets and other load boards; pallet collars"/>
    <n v="6"/>
    <b v="1"/>
    <s v="C00"/>
    <s v="TOTAL CPC"/>
    <s v="0"/>
    <n v="0"/>
    <s v="TOTAL MOT"/>
    <n v="5"/>
    <s v="u"/>
    <n v="47.204000000000001"/>
    <b v="1"/>
    <n v="-1"/>
    <s v="N/A"/>
    <n v="0"/>
    <b v="0"/>
    <n v="823.30700000000002"/>
    <b v="1"/>
    <n v="0"/>
    <b v="0"/>
    <n v="571"/>
    <m/>
    <n v="571"/>
    <n v="6"/>
    <b v="1"/>
    <b v="0"/>
  </r>
  <r>
    <s v="C"/>
    <s v="M"/>
    <n v="20240301"/>
    <x v="1"/>
    <x v="10"/>
    <s v="202403"/>
    <n v="818"/>
    <s v="EGY"/>
    <x v="0"/>
    <s v="M"/>
    <s v="Import"/>
    <n v="764"/>
    <s v="THA"/>
    <x v="25"/>
    <n v="0"/>
    <s v="W00"/>
    <s v="World"/>
    <s v="H6"/>
    <s v="HS"/>
    <b v="1"/>
    <s v="441520"/>
    <s v="Wood; pallets, box pallets and other load boards; pallet collars"/>
    <n v="6"/>
    <b v="1"/>
    <s v="C00"/>
    <s v="TOTAL CPC"/>
    <s v="0"/>
    <n v="0"/>
    <s v="TOTAL MOT"/>
    <n v="5"/>
    <s v="u"/>
    <n v="56.381"/>
    <b v="1"/>
    <n v="-1"/>
    <s v="N/A"/>
    <n v="0"/>
    <b v="0"/>
    <n v="983.35500000000002"/>
    <b v="1"/>
    <n v="0"/>
    <b v="0"/>
    <n v="682"/>
    <m/>
    <n v="682"/>
    <n v="6"/>
    <b v="1"/>
    <b v="0"/>
  </r>
  <r>
    <s v="C"/>
    <s v="M"/>
    <n v="20240101"/>
    <x v="1"/>
    <x v="11"/>
    <s v="202401"/>
    <n v="818"/>
    <s v="EGY"/>
    <x v="0"/>
    <s v="M"/>
    <s v="Import"/>
    <n v="784"/>
    <s v="ARE"/>
    <x v="22"/>
    <n v="0"/>
    <s v="W00"/>
    <s v="World"/>
    <s v="H6"/>
    <s v="HS"/>
    <b v="1"/>
    <s v="441520"/>
    <s v="Wood; pallets, box pallets and other load boards; pallet collars"/>
    <n v="6"/>
    <b v="1"/>
    <s v="C00"/>
    <s v="TOTAL CPC"/>
    <s v="0"/>
    <n v="0"/>
    <s v="TOTAL MOT"/>
    <n v="5"/>
    <s v="u"/>
    <n v="11.243"/>
    <b v="1"/>
    <n v="-1"/>
    <s v="N/A"/>
    <n v="0"/>
    <b v="0"/>
    <n v="196.09399999999999"/>
    <b v="1"/>
    <n v="0"/>
    <b v="0"/>
    <n v="136"/>
    <m/>
    <n v="136"/>
    <n v="6"/>
    <b v="1"/>
    <b v="0"/>
  </r>
  <r>
    <s v="C"/>
    <s v="M"/>
    <n v="20240601"/>
    <x v="1"/>
    <x v="7"/>
    <s v="202406"/>
    <n v="818"/>
    <s v="EGY"/>
    <x v="0"/>
    <s v="M"/>
    <s v="Import"/>
    <n v="792"/>
    <s v="TUR"/>
    <x v="16"/>
    <n v="0"/>
    <s v="W00"/>
    <s v="World"/>
    <s v="H6"/>
    <s v="HS"/>
    <b v="1"/>
    <s v="441520"/>
    <s v="Wood; pallets, box pallets and other load boards; pallet collars"/>
    <n v="6"/>
    <b v="1"/>
    <s v="C00"/>
    <s v="TOTAL CPC"/>
    <s v="0"/>
    <n v="0"/>
    <s v="TOTAL MOT"/>
    <n v="5"/>
    <s v="u"/>
    <n v="45.886000000000003"/>
    <b v="1"/>
    <n v="-1"/>
    <s v="N/A"/>
    <n v="0"/>
    <b v="0"/>
    <n v="800.30899999999997"/>
    <b v="1"/>
    <n v="0"/>
    <b v="0"/>
    <n v="555.04999999999995"/>
    <m/>
    <n v="555.04999999999995"/>
    <n v="6"/>
    <b v="1"/>
    <b v="0"/>
  </r>
  <r>
    <s v="C"/>
    <s v="M"/>
    <n v="20240601"/>
    <x v="1"/>
    <x v="7"/>
    <s v="202406"/>
    <n v="818"/>
    <s v="EGY"/>
    <x v="0"/>
    <s v="M"/>
    <s v="Import"/>
    <n v="826"/>
    <s v="GBR"/>
    <x v="30"/>
    <n v="0"/>
    <s v="W00"/>
    <s v="World"/>
    <s v="H6"/>
    <s v="HS"/>
    <b v="1"/>
    <s v="441520"/>
    <s v="Wood; pallets, box pallets and other load boards; pallet collars"/>
    <n v="6"/>
    <b v="1"/>
    <s v="C00"/>
    <s v="TOTAL CPC"/>
    <s v="0"/>
    <n v="0"/>
    <s v="TOTAL MOT"/>
    <n v="5"/>
    <s v="u"/>
    <n v="39.387999999999998"/>
    <b v="1"/>
    <n v="-1"/>
    <s v="N/A"/>
    <n v="0"/>
    <b v="0"/>
    <n v="686.98699999999997"/>
    <b v="1"/>
    <n v="0"/>
    <b v="0"/>
    <n v="476.45600000000002"/>
    <m/>
    <n v="476.45600000000002"/>
    <n v="6"/>
    <b v="1"/>
    <b v="0"/>
  </r>
  <r>
    <s v="C"/>
    <s v="M"/>
    <n v="20240501"/>
    <x v="1"/>
    <x v="6"/>
    <s v="202405"/>
    <n v="818"/>
    <s v="EGY"/>
    <x v="0"/>
    <s v="M"/>
    <s v="Import"/>
    <n v="842"/>
    <s v="USA"/>
    <x v="13"/>
    <n v="0"/>
    <s v="W00"/>
    <s v="World"/>
    <s v="H6"/>
    <s v="HS"/>
    <b v="1"/>
    <s v="441520"/>
    <s v="Wood; pallets, box pallets and other load boards; pallet collars"/>
    <n v="6"/>
    <b v="1"/>
    <s v="C00"/>
    <s v="TOTAL CPC"/>
    <s v="0"/>
    <n v="0"/>
    <s v="TOTAL MOT"/>
    <n v="5"/>
    <s v="u"/>
    <n v="91.07"/>
    <b v="1"/>
    <n v="-1"/>
    <s v="N/A"/>
    <n v="0"/>
    <b v="0"/>
    <n v="1588.393"/>
    <b v="1"/>
    <n v="0"/>
    <b v="0"/>
    <n v="1101.6210000000001"/>
    <m/>
    <n v="1101.6210000000001"/>
    <n v="6"/>
    <b v="1"/>
    <b v="0"/>
  </r>
  <r>
    <s v="C"/>
    <s v="M"/>
    <n v="20240401"/>
    <x v="1"/>
    <x v="8"/>
    <s v="202404"/>
    <n v="818"/>
    <s v="EGY"/>
    <x v="0"/>
    <s v="M"/>
    <s v="Import"/>
    <n v="0"/>
    <s v="W00"/>
    <x v="0"/>
    <n v="0"/>
    <s v="W00"/>
    <s v="World"/>
    <s v="H6"/>
    <s v="HS"/>
    <b v="1"/>
    <s v="441520"/>
    <s v="Wood; pallets, box pallets and other load boards; pallet collars"/>
    <n v="6"/>
    <b v="1"/>
    <s v="C00"/>
    <s v="TOTAL CPC"/>
    <s v="0"/>
    <n v="0"/>
    <s v="TOTAL MOT"/>
    <n v="5"/>
    <s v="u"/>
    <n v="8399.357"/>
    <b v="1"/>
    <n v="-1"/>
    <s v="N/A"/>
    <n v="0"/>
    <b v="0"/>
    <n v="146496.217"/>
    <b v="1"/>
    <n v="0"/>
    <b v="0"/>
    <n v="101601.58100000001"/>
    <m/>
    <n v="101601.58100000001"/>
    <n v="6"/>
    <b v="0"/>
    <b v="1"/>
  </r>
  <r>
    <s v="C"/>
    <s v="M"/>
    <n v="20240101"/>
    <x v="1"/>
    <x v="11"/>
    <s v="202401"/>
    <n v="818"/>
    <s v="EGY"/>
    <x v="0"/>
    <s v="M"/>
    <s v="Import"/>
    <n v="0"/>
    <s v="W00"/>
    <x v="0"/>
    <n v="0"/>
    <s v="W00"/>
    <s v="World"/>
    <s v="H6"/>
    <s v="HS"/>
    <b v="1"/>
    <s v="441520"/>
    <s v="Wood; pallets, box pallets and other load boards; pallet collars"/>
    <n v="6"/>
    <b v="1"/>
    <s v="C00"/>
    <s v="TOTAL CPC"/>
    <s v="0"/>
    <n v="0"/>
    <s v="TOTAL MOT"/>
    <n v="5"/>
    <s v="u"/>
    <n v="12312.782999999999"/>
    <b v="1"/>
    <n v="-1"/>
    <s v="N/A"/>
    <n v="0"/>
    <b v="0"/>
    <n v="214751.693"/>
    <b v="1"/>
    <n v="0"/>
    <b v="0"/>
    <n v="148939.76199999999"/>
    <m/>
    <n v="148939.76199999999"/>
    <n v="6"/>
    <b v="0"/>
    <b v="1"/>
  </r>
  <r>
    <s v="C"/>
    <s v="M"/>
    <n v="20240301"/>
    <x v="1"/>
    <x v="10"/>
    <s v="202403"/>
    <n v="818"/>
    <s v="EGY"/>
    <x v="0"/>
    <s v="M"/>
    <s v="Import"/>
    <n v="0"/>
    <s v="W00"/>
    <x v="0"/>
    <n v="0"/>
    <s v="W00"/>
    <s v="World"/>
    <s v="H6"/>
    <s v="HS"/>
    <b v="1"/>
    <s v="441520"/>
    <s v="Wood; pallets, box pallets and other load boards; pallet collars"/>
    <n v="6"/>
    <b v="1"/>
    <s v="C00"/>
    <s v="TOTAL CPC"/>
    <s v="0"/>
    <n v="0"/>
    <s v="TOTAL MOT"/>
    <n v="5"/>
    <s v="u"/>
    <n v="8194.1419999999998"/>
    <b v="1"/>
    <n v="-1"/>
    <s v="N/A"/>
    <n v="0"/>
    <b v="0"/>
    <n v="142916.99100000001"/>
    <b v="1"/>
    <n v="0"/>
    <b v="0"/>
    <n v="99119.231"/>
    <m/>
    <n v="99119.231"/>
    <n v="6"/>
    <b v="0"/>
    <b v="1"/>
  </r>
  <r>
    <s v="C"/>
    <s v="M"/>
    <n v="20240201"/>
    <x v="1"/>
    <x v="9"/>
    <s v="202402"/>
    <n v="818"/>
    <s v="EGY"/>
    <x v="0"/>
    <s v="M"/>
    <s v="Import"/>
    <n v="0"/>
    <s v="W00"/>
    <x v="0"/>
    <n v="0"/>
    <s v="W00"/>
    <s v="World"/>
    <s v="H6"/>
    <s v="HS"/>
    <b v="1"/>
    <s v="441520"/>
    <s v="Wood; pallets, box pallets and other load boards; pallet collars"/>
    <n v="6"/>
    <b v="1"/>
    <s v="C00"/>
    <s v="TOTAL CPC"/>
    <s v="0"/>
    <n v="0"/>
    <s v="TOTAL MOT"/>
    <n v="5"/>
    <s v="u"/>
    <n v="2199.002"/>
    <b v="1"/>
    <n v="-1"/>
    <s v="N/A"/>
    <n v="0"/>
    <b v="0"/>
    <n v="38353.593000000001"/>
    <b v="1"/>
    <n v="0"/>
    <b v="0"/>
    <n v="26599.906999999999"/>
    <m/>
    <n v="26599.906999999999"/>
    <n v="6"/>
    <b v="0"/>
    <b v="1"/>
  </r>
  <r>
    <s v="C"/>
    <s v="M"/>
    <n v="20240601"/>
    <x v="1"/>
    <x v="7"/>
    <s v="202406"/>
    <n v="818"/>
    <s v="EGY"/>
    <x v="0"/>
    <s v="M"/>
    <s v="Import"/>
    <n v="0"/>
    <s v="W00"/>
    <x v="0"/>
    <n v="0"/>
    <s v="W00"/>
    <s v="World"/>
    <s v="H6"/>
    <s v="HS"/>
    <b v="1"/>
    <s v="441520"/>
    <s v="Wood; pallets, box pallets and other load boards; pallet collars"/>
    <n v="6"/>
    <b v="1"/>
    <s v="C00"/>
    <s v="TOTAL CPC"/>
    <s v="0"/>
    <n v="0"/>
    <s v="TOTAL MOT"/>
    <n v="5"/>
    <s v="u"/>
    <n v="11019.29"/>
    <b v="1"/>
    <n v="-1"/>
    <s v="N/A"/>
    <n v="0"/>
    <b v="0"/>
    <n v="192191.40900000001"/>
    <b v="1"/>
    <n v="0"/>
    <b v="0"/>
    <n v="133293.21100000001"/>
    <m/>
    <n v="133293.21100000001"/>
    <n v="6"/>
    <b v="0"/>
    <b v="1"/>
  </r>
  <r>
    <s v="C"/>
    <s v="M"/>
    <n v="20240501"/>
    <x v="1"/>
    <x v="6"/>
    <s v="202405"/>
    <n v="818"/>
    <s v="EGY"/>
    <x v="0"/>
    <s v="M"/>
    <s v="Import"/>
    <n v="56"/>
    <s v="BEL"/>
    <x v="23"/>
    <n v="0"/>
    <s v="W00"/>
    <s v="World"/>
    <s v="H6"/>
    <s v="HS"/>
    <b v="1"/>
    <s v="441520"/>
    <s v="Wood; pallets, box pallets and other load boards; pallet collars"/>
    <n v="6"/>
    <b v="1"/>
    <s v="C00"/>
    <s v="TOTAL CPC"/>
    <s v="0"/>
    <n v="0"/>
    <s v="TOTAL MOT"/>
    <n v="5"/>
    <s v="u"/>
    <n v="146.524"/>
    <b v="1"/>
    <n v="-1"/>
    <s v="N/A"/>
    <n v="0"/>
    <b v="0"/>
    <n v="2555.5729999999999"/>
    <b v="1"/>
    <n v="0"/>
    <b v="0"/>
    <n v="1772.402"/>
    <m/>
    <n v="1772.402"/>
    <n v="6"/>
    <b v="1"/>
    <b v="0"/>
  </r>
  <r>
    <s v="C"/>
    <s v="M"/>
    <n v="20240101"/>
    <x v="1"/>
    <x v="11"/>
    <s v="202401"/>
    <n v="818"/>
    <s v="EGY"/>
    <x v="0"/>
    <s v="M"/>
    <s v="Import"/>
    <n v="56"/>
    <s v="BEL"/>
    <x v="23"/>
    <n v="0"/>
    <s v="W00"/>
    <s v="World"/>
    <s v="H6"/>
    <s v="HS"/>
    <b v="1"/>
    <s v="441520"/>
    <s v="Wood; pallets, box pallets and other load boards; pallet collars"/>
    <n v="6"/>
    <b v="1"/>
    <s v="C00"/>
    <s v="TOTAL CPC"/>
    <s v="0"/>
    <n v="0"/>
    <s v="TOTAL MOT"/>
    <n v="5"/>
    <s v="u"/>
    <n v="32.512999999999998"/>
    <b v="1"/>
    <n v="-1"/>
    <s v="N/A"/>
    <n v="0"/>
    <b v="0"/>
    <n v="567.07500000000005"/>
    <b v="1"/>
    <n v="0"/>
    <b v="0"/>
    <n v="393.29199999999997"/>
    <m/>
    <n v="393.29199999999997"/>
    <n v="6"/>
    <b v="1"/>
    <b v="0"/>
  </r>
  <r>
    <s v="C"/>
    <s v="M"/>
    <n v="20240401"/>
    <x v="1"/>
    <x v="8"/>
    <s v="202404"/>
    <n v="818"/>
    <s v="EGY"/>
    <x v="0"/>
    <s v="M"/>
    <s v="Import"/>
    <n v="56"/>
    <s v="BEL"/>
    <x v="23"/>
    <n v="0"/>
    <s v="W00"/>
    <s v="World"/>
    <s v="H6"/>
    <s v="HS"/>
    <b v="1"/>
    <s v="441520"/>
    <s v="Wood; pallets, box pallets and other load boards; pallet collars"/>
    <n v="6"/>
    <b v="1"/>
    <s v="C00"/>
    <s v="TOTAL CPC"/>
    <s v="0"/>
    <n v="0"/>
    <s v="TOTAL MOT"/>
    <n v="5"/>
    <s v="u"/>
    <n v="43.746000000000002"/>
    <b v="1"/>
    <n v="-1"/>
    <s v="N/A"/>
    <n v="0"/>
    <b v="0"/>
    <n v="762.99599999999998"/>
    <b v="1"/>
    <n v="0"/>
    <b v="0"/>
    <n v="529.17100000000005"/>
    <m/>
    <n v="529.17100000000005"/>
    <n v="6"/>
    <b v="1"/>
    <b v="0"/>
  </r>
  <r>
    <s v="C"/>
    <s v="M"/>
    <n v="20240301"/>
    <x v="1"/>
    <x v="10"/>
    <s v="202403"/>
    <n v="818"/>
    <s v="EGY"/>
    <x v="0"/>
    <s v="M"/>
    <s v="Import"/>
    <n v="56"/>
    <s v="BEL"/>
    <x v="23"/>
    <n v="0"/>
    <s v="W00"/>
    <s v="World"/>
    <s v="H6"/>
    <s v="HS"/>
    <b v="1"/>
    <s v="441520"/>
    <s v="Wood; pallets, box pallets and other load boards; pallet collars"/>
    <n v="6"/>
    <b v="1"/>
    <s v="C00"/>
    <s v="TOTAL CPC"/>
    <s v="0"/>
    <n v="0"/>
    <s v="TOTAL MOT"/>
    <n v="5"/>
    <s v="u"/>
    <n v="16.238"/>
    <b v="1"/>
    <n v="-1"/>
    <s v="N/A"/>
    <n v="0"/>
    <b v="0"/>
    <n v="283.21300000000002"/>
    <b v="1"/>
    <n v="0"/>
    <b v="0"/>
    <n v="196.42099999999999"/>
    <m/>
    <n v="196.42099999999999"/>
    <n v="6"/>
    <b v="1"/>
    <b v="0"/>
  </r>
  <r>
    <s v="C"/>
    <s v="M"/>
    <n v="20240201"/>
    <x v="1"/>
    <x v="9"/>
    <s v="202402"/>
    <n v="818"/>
    <s v="EGY"/>
    <x v="0"/>
    <s v="M"/>
    <s v="Import"/>
    <n v="56"/>
    <s v="BEL"/>
    <x v="23"/>
    <n v="0"/>
    <s v="W00"/>
    <s v="World"/>
    <s v="H6"/>
    <s v="HS"/>
    <b v="1"/>
    <s v="441520"/>
    <s v="Wood; pallets, box pallets and other load boards; pallet collars"/>
    <n v="6"/>
    <b v="1"/>
    <s v="C00"/>
    <s v="TOTAL CPC"/>
    <s v="0"/>
    <n v="0"/>
    <s v="TOTAL MOT"/>
    <n v="5"/>
    <s v="u"/>
    <n v="12.59"/>
    <b v="1"/>
    <n v="-1"/>
    <s v="N/A"/>
    <n v="0"/>
    <b v="0"/>
    <n v="219.58799999999999"/>
    <b v="1"/>
    <n v="0"/>
    <b v="0"/>
    <n v="152.29400000000001"/>
    <m/>
    <n v="152.29400000000001"/>
    <n v="6"/>
    <b v="1"/>
    <b v="0"/>
  </r>
  <r>
    <s v="C"/>
    <s v="M"/>
    <n v="20240401"/>
    <x v="1"/>
    <x v="8"/>
    <s v="202404"/>
    <n v="818"/>
    <s v="EGY"/>
    <x v="0"/>
    <s v="M"/>
    <s v="Import"/>
    <n v="156"/>
    <s v="CHN"/>
    <x v="3"/>
    <n v="0"/>
    <s v="W00"/>
    <s v="World"/>
    <s v="H6"/>
    <s v="HS"/>
    <b v="1"/>
    <s v="441520"/>
    <s v="Wood; pallets, box pallets and other load boards; pallet collars"/>
    <n v="6"/>
    <b v="1"/>
    <s v="C00"/>
    <s v="TOTAL CPC"/>
    <s v="0"/>
    <n v="0"/>
    <s v="TOTAL MOT"/>
    <n v="5"/>
    <s v="u"/>
    <n v="1042.194"/>
    <b v="1"/>
    <n v="-1"/>
    <s v="N/A"/>
    <n v="0"/>
    <b v="0"/>
    <n v="18177.280999999999"/>
    <b v="1"/>
    <n v="0"/>
    <b v="0"/>
    <n v="12606.745000000001"/>
    <m/>
    <n v="12606.745000000001"/>
    <n v="6"/>
    <b v="1"/>
    <b v="0"/>
  </r>
  <r>
    <s v="C"/>
    <s v="M"/>
    <n v="20240101"/>
    <x v="1"/>
    <x v="11"/>
    <s v="202401"/>
    <n v="818"/>
    <s v="EGY"/>
    <x v="0"/>
    <s v="M"/>
    <s v="Import"/>
    <n v="156"/>
    <s v="CHN"/>
    <x v="3"/>
    <n v="0"/>
    <s v="W00"/>
    <s v="World"/>
    <s v="H6"/>
    <s v="HS"/>
    <b v="1"/>
    <s v="441520"/>
    <s v="Wood; pallets, box pallets and other load boards; pallet collars"/>
    <n v="6"/>
    <b v="1"/>
    <s v="C00"/>
    <s v="TOTAL CPC"/>
    <s v="0"/>
    <n v="0"/>
    <s v="TOTAL MOT"/>
    <n v="5"/>
    <s v="u"/>
    <n v="698.62900000000002"/>
    <b v="1"/>
    <n v="-1"/>
    <s v="N/A"/>
    <n v="0"/>
    <b v="0"/>
    <n v="12185.038"/>
    <b v="1"/>
    <n v="0"/>
    <b v="0"/>
    <n v="8450.8610000000008"/>
    <m/>
    <n v="8450.8610000000008"/>
    <n v="6"/>
    <b v="1"/>
    <b v="0"/>
  </r>
  <r>
    <s v="C"/>
    <s v="M"/>
    <n v="20240301"/>
    <x v="1"/>
    <x v="10"/>
    <s v="202403"/>
    <n v="818"/>
    <s v="EGY"/>
    <x v="0"/>
    <s v="M"/>
    <s v="Import"/>
    <n v="156"/>
    <s v="CHN"/>
    <x v="3"/>
    <n v="0"/>
    <s v="W00"/>
    <s v="World"/>
    <s v="H6"/>
    <s v="HS"/>
    <b v="1"/>
    <s v="441520"/>
    <s v="Wood; pallets, box pallets and other load boards; pallet collars"/>
    <n v="6"/>
    <b v="1"/>
    <s v="C00"/>
    <s v="TOTAL CPC"/>
    <s v="0"/>
    <n v="0"/>
    <s v="TOTAL MOT"/>
    <n v="5"/>
    <s v="u"/>
    <n v="67.885999999999996"/>
    <b v="1"/>
    <n v="-1"/>
    <s v="N/A"/>
    <n v="0"/>
    <b v="0"/>
    <n v="1184.021"/>
    <b v="1"/>
    <n v="0"/>
    <b v="0"/>
    <n v="821.17"/>
    <m/>
    <n v="821.17"/>
    <n v="6"/>
    <b v="1"/>
    <b v="0"/>
  </r>
  <r>
    <s v="C"/>
    <s v="M"/>
    <n v="20240201"/>
    <x v="1"/>
    <x v="9"/>
    <s v="202402"/>
    <n v="818"/>
    <s v="EGY"/>
    <x v="0"/>
    <s v="M"/>
    <s v="Import"/>
    <n v="156"/>
    <s v="CHN"/>
    <x v="3"/>
    <n v="0"/>
    <s v="W00"/>
    <s v="World"/>
    <s v="H6"/>
    <s v="HS"/>
    <b v="1"/>
    <s v="441520"/>
    <s v="Wood; pallets, box pallets and other load boards; pallet collars"/>
    <n v="6"/>
    <b v="1"/>
    <s v="C00"/>
    <s v="TOTAL CPC"/>
    <s v="0"/>
    <n v="0"/>
    <s v="TOTAL MOT"/>
    <n v="5"/>
    <s v="u"/>
    <n v="391.92399999999998"/>
    <b v="1"/>
    <n v="-1"/>
    <s v="N/A"/>
    <n v="0"/>
    <b v="0"/>
    <n v="6835.692"/>
    <b v="1"/>
    <n v="0"/>
    <b v="0"/>
    <n v="4740.8540000000003"/>
    <m/>
    <n v="4740.8540000000003"/>
    <n v="6"/>
    <b v="1"/>
    <b v="0"/>
  </r>
  <r>
    <s v="C"/>
    <s v="M"/>
    <n v="20240601"/>
    <x v="1"/>
    <x v="7"/>
    <s v="202406"/>
    <n v="818"/>
    <s v="EGY"/>
    <x v="0"/>
    <s v="M"/>
    <s v="Import"/>
    <n v="156"/>
    <s v="CHN"/>
    <x v="3"/>
    <n v="0"/>
    <s v="W00"/>
    <s v="World"/>
    <s v="H6"/>
    <s v="HS"/>
    <b v="1"/>
    <s v="441520"/>
    <s v="Wood; pallets, box pallets and other load boards; pallet collars"/>
    <n v="6"/>
    <b v="1"/>
    <s v="C00"/>
    <s v="TOTAL CPC"/>
    <s v="0"/>
    <n v="0"/>
    <s v="TOTAL MOT"/>
    <n v="5"/>
    <s v="u"/>
    <n v="56.582999999999998"/>
    <b v="1"/>
    <n v="-1"/>
    <s v="N/A"/>
    <n v="0"/>
    <b v="0"/>
    <n v="986.88499999999999"/>
    <b v="1"/>
    <n v="0"/>
    <b v="0"/>
    <n v="684.44799999999998"/>
    <m/>
    <n v="684.44799999999998"/>
    <n v="6"/>
    <b v="1"/>
    <b v="0"/>
  </r>
  <r>
    <s v="C"/>
    <s v="M"/>
    <n v="20240301"/>
    <x v="1"/>
    <x v="10"/>
    <s v="202403"/>
    <n v="818"/>
    <s v="EGY"/>
    <x v="0"/>
    <s v="M"/>
    <s v="Import"/>
    <n v="251"/>
    <s v="FRA"/>
    <x v="9"/>
    <n v="0"/>
    <s v="W00"/>
    <s v="World"/>
    <s v="H6"/>
    <s v="HS"/>
    <b v="1"/>
    <s v="441520"/>
    <s v="Wood; pallets, box pallets and other load boards; pallet collars"/>
    <n v="6"/>
    <b v="1"/>
    <s v="C00"/>
    <s v="TOTAL CPC"/>
    <s v="0"/>
    <n v="0"/>
    <s v="TOTAL MOT"/>
    <n v="5"/>
    <s v="u"/>
    <n v="29.747"/>
    <b v="1"/>
    <n v="-1"/>
    <s v="N/A"/>
    <n v="0"/>
    <b v="0"/>
    <n v="518.82799999999997"/>
    <b v="1"/>
    <n v="0"/>
    <b v="0"/>
    <n v="359.83"/>
    <m/>
    <n v="359.83"/>
    <n v="6"/>
    <b v="1"/>
    <b v="0"/>
  </r>
  <r>
    <s v="C"/>
    <s v="M"/>
    <n v="20240201"/>
    <x v="1"/>
    <x v="9"/>
    <s v="202402"/>
    <n v="818"/>
    <s v="EGY"/>
    <x v="0"/>
    <s v="M"/>
    <s v="Import"/>
    <n v="251"/>
    <s v="FRA"/>
    <x v="9"/>
    <n v="0"/>
    <s v="W00"/>
    <s v="World"/>
    <s v="H6"/>
    <s v="HS"/>
    <b v="1"/>
    <s v="441520"/>
    <s v="Wood; pallets, box pallets and other load boards; pallet collars"/>
    <n v="6"/>
    <b v="1"/>
    <s v="C00"/>
    <s v="TOTAL CPC"/>
    <s v="0"/>
    <n v="0"/>
    <s v="TOTAL MOT"/>
    <n v="5"/>
    <s v="u"/>
    <n v="24.254999999999999"/>
    <b v="1"/>
    <n v="-1"/>
    <s v="N/A"/>
    <n v="0"/>
    <b v="0"/>
    <n v="423.03399999999999"/>
    <b v="1"/>
    <n v="0"/>
    <b v="0"/>
    <n v="293.392"/>
    <m/>
    <n v="293.392"/>
    <n v="6"/>
    <b v="1"/>
    <b v="0"/>
  </r>
  <r>
    <s v="C"/>
    <s v="M"/>
    <n v="20240401"/>
    <x v="1"/>
    <x v="8"/>
    <s v="202404"/>
    <n v="818"/>
    <s v="EGY"/>
    <x v="0"/>
    <s v="M"/>
    <s v="Import"/>
    <n v="276"/>
    <s v="DEU"/>
    <x v="11"/>
    <n v="0"/>
    <s v="W00"/>
    <s v="World"/>
    <s v="H6"/>
    <s v="HS"/>
    <b v="1"/>
    <s v="441520"/>
    <s v="Wood; pallets, box pallets and other load boards; pallet collars"/>
    <n v="6"/>
    <b v="1"/>
    <s v="C00"/>
    <s v="TOTAL CPC"/>
    <s v="0"/>
    <n v="0"/>
    <s v="TOTAL MOT"/>
    <n v="5"/>
    <s v="u"/>
    <n v="194.08799999999999"/>
    <b v="1"/>
    <n v="-1"/>
    <s v="N/A"/>
    <n v="0"/>
    <b v="0"/>
    <n v="3385.1579999999999"/>
    <b v="1"/>
    <n v="0"/>
    <b v="0"/>
    <n v="2347.7559999999999"/>
    <m/>
    <n v="2347.7559999999999"/>
    <n v="6"/>
    <b v="1"/>
    <b v="0"/>
  </r>
  <r>
    <s v="C"/>
    <s v="M"/>
    <n v="20240101"/>
    <x v="1"/>
    <x v="11"/>
    <s v="202401"/>
    <n v="818"/>
    <s v="EGY"/>
    <x v="0"/>
    <s v="M"/>
    <s v="Import"/>
    <n v="276"/>
    <s v="DEU"/>
    <x v="11"/>
    <n v="0"/>
    <s v="W00"/>
    <s v="World"/>
    <s v="H6"/>
    <s v="HS"/>
    <b v="1"/>
    <s v="441520"/>
    <s v="Wood; pallets, box pallets and other load boards; pallet collars"/>
    <n v="6"/>
    <b v="1"/>
    <s v="C00"/>
    <s v="TOTAL CPC"/>
    <s v="0"/>
    <n v="0"/>
    <s v="TOTAL MOT"/>
    <n v="5"/>
    <s v="u"/>
    <n v="139.249"/>
    <b v="1"/>
    <n v="-1"/>
    <s v="N/A"/>
    <n v="0"/>
    <b v="0"/>
    <n v="2428.692"/>
    <b v="1"/>
    <n v="0"/>
    <b v="0"/>
    <n v="1684.405"/>
    <m/>
    <n v="1684.405"/>
    <n v="6"/>
    <b v="1"/>
    <b v="0"/>
  </r>
  <r>
    <s v="C"/>
    <s v="M"/>
    <n v="20240301"/>
    <x v="1"/>
    <x v="10"/>
    <s v="202403"/>
    <n v="818"/>
    <s v="EGY"/>
    <x v="0"/>
    <s v="M"/>
    <s v="Import"/>
    <n v="276"/>
    <s v="DEU"/>
    <x v="11"/>
    <n v="0"/>
    <s v="W00"/>
    <s v="World"/>
    <s v="H6"/>
    <s v="HS"/>
    <b v="1"/>
    <s v="441520"/>
    <s v="Wood; pallets, box pallets and other load boards; pallet collars"/>
    <n v="6"/>
    <b v="1"/>
    <s v="C00"/>
    <s v="TOTAL CPC"/>
    <s v="0"/>
    <n v="0"/>
    <s v="TOTAL MOT"/>
    <n v="5"/>
    <s v="u"/>
    <n v="128.94800000000001"/>
    <b v="1"/>
    <n v="-1"/>
    <s v="N/A"/>
    <n v="0"/>
    <b v="0"/>
    <n v="2249.0340000000001"/>
    <b v="1"/>
    <n v="0"/>
    <b v="0"/>
    <n v="1559.8040000000001"/>
    <m/>
    <n v="1559.8040000000001"/>
    <n v="6"/>
    <b v="1"/>
    <b v="0"/>
  </r>
  <r>
    <s v="C"/>
    <s v="M"/>
    <n v="20240201"/>
    <x v="1"/>
    <x v="9"/>
    <s v="202402"/>
    <n v="818"/>
    <s v="EGY"/>
    <x v="0"/>
    <s v="M"/>
    <s v="Import"/>
    <n v="276"/>
    <s v="DEU"/>
    <x v="11"/>
    <n v="0"/>
    <s v="W00"/>
    <s v="World"/>
    <s v="H6"/>
    <s v="HS"/>
    <b v="1"/>
    <s v="441520"/>
    <s v="Wood; pallets, box pallets and other load boards; pallet collars"/>
    <n v="6"/>
    <b v="1"/>
    <s v="C00"/>
    <s v="TOTAL CPC"/>
    <s v="0"/>
    <n v="0"/>
    <s v="TOTAL MOT"/>
    <n v="5"/>
    <s v="u"/>
    <n v="265.11500000000001"/>
    <b v="1"/>
    <n v="-1"/>
    <s v="N/A"/>
    <n v="0"/>
    <b v="0"/>
    <n v="4623.9620000000004"/>
    <b v="1"/>
    <n v="0"/>
    <b v="0"/>
    <n v="3206.922"/>
    <m/>
    <n v="3206.922"/>
    <n v="6"/>
    <b v="1"/>
    <b v="0"/>
  </r>
  <r>
    <s v="C"/>
    <s v="M"/>
    <n v="20240601"/>
    <x v="1"/>
    <x v="7"/>
    <s v="202406"/>
    <n v="818"/>
    <s v="EGY"/>
    <x v="0"/>
    <s v="M"/>
    <s v="Import"/>
    <n v="276"/>
    <s v="DEU"/>
    <x v="11"/>
    <n v="0"/>
    <s v="W00"/>
    <s v="World"/>
    <s v="H6"/>
    <s v="HS"/>
    <b v="1"/>
    <s v="441520"/>
    <s v="Wood; pallets, box pallets and other load boards; pallet collars"/>
    <n v="6"/>
    <b v="1"/>
    <s v="C00"/>
    <s v="TOTAL CPC"/>
    <s v="0"/>
    <n v="0"/>
    <s v="TOTAL MOT"/>
    <n v="5"/>
    <s v="u"/>
    <n v="98.569000000000003"/>
    <b v="1"/>
    <n v="-1"/>
    <s v="N/A"/>
    <n v="0"/>
    <b v="0"/>
    <n v="1719.1690000000001"/>
    <b v="1"/>
    <n v="0"/>
    <b v="0"/>
    <n v="1192.32"/>
    <m/>
    <n v="1192.32"/>
    <n v="6"/>
    <b v="1"/>
    <b v="0"/>
  </r>
  <r>
    <s v="C"/>
    <s v="M"/>
    <n v="20240501"/>
    <x v="1"/>
    <x v="6"/>
    <s v="202405"/>
    <n v="818"/>
    <s v="EGY"/>
    <x v="0"/>
    <s v="M"/>
    <s v="Import"/>
    <n v="380"/>
    <s v="ITA"/>
    <x v="12"/>
    <n v="0"/>
    <s v="W00"/>
    <s v="World"/>
    <s v="H6"/>
    <s v="HS"/>
    <b v="1"/>
    <s v="441520"/>
    <s v="Wood; pallets, box pallets and other load boards; pallet collars"/>
    <n v="6"/>
    <b v="1"/>
    <s v="C00"/>
    <s v="TOTAL CPC"/>
    <s v="0"/>
    <n v="0"/>
    <s v="TOTAL MOT"/>
    <n v="5"/>
    <s v="u"/>
    <n v="694.952"/>
    <b v="1"/>
    <n v="-1"/>
    <s v="N/A"/>
    <n v="0"/>
    <b v="0"/>
    <n v="12120.909"/>
    <b v="1"/>
    <n v="0"/>
    <b v="0"/>
    <n v="8406.3850000000002"/>
    <m/>
    <n v="8406.3850000000002"/>
    <n v="6"/>
    <b v="1"/>
    <b v="0"/>
  </r>
  <r>
    <s v="C"/>
    <s v="M"/>
    <n v="20240101"/>
    <x v="1"/>
    <x v="11"/>
    <s v="202401"/>
    <n v="818"/>
    <s v="EGY"/>
    <x v="0"/>
    <s v="M"/>
    <s v="Import"/>
    <n v="380"/>
    <s v="ITA"/>
    <x v="12"/>
    <n v="0"/>
    <s v="W00"/>
    <s v="World"/>
    <s v="H6"/>
    <s v="HS"/>
    <b v="1"/>
    <s v="441520"/>
    <s v="Wood; pallets, box pallets and other load boards; pallet collars"/>
    <n v="6"/>
    <b v="1"/>
    <s v="C00"/>
    <s v="TOTAL CPC"/>
    <s v="0"/>
    <n v="0"/>
    <s v="TOTAL MOT"/>
    <n v="5"/>
    <s v="u"/>
    <n v="455.93599999999998"/>
    <b v="1"/>
    <n v="-1"/>
    <s v="N/A"/>
    <n v="0"/>
    <b v="0"/>
    <n v="7952.1379999999999"/>
    <b v="1"/>
    <n v="0"/>
    <b v="0"/>
    <n v="5515.1580000000004"/>
    <m/>
    <n v="5515.1580000000004"/>
    <n v="6"/>
    <b v="1"/>
    <b v="0"/>
  </r>
  <r>
    <s v="C"/>
    <s v="M"/>
    <n v="20240401"/>
    <x v="1"/>
    <x v="8"/>
    <s v="202404"/>
    <n v="818"/>
    <s v="EGY"/>
    <x v="0"/>
    <s v="M"/>
    <s v="Import"/>
    <n v="380"/>
    <s v="ITA"/>
    <x v="12"/>
    <n v="0"/>
    <s v="W00"/>
    <s v="World"/>
    <s v="H6"/>
    <s v="HS"/>
    <b v="1"/>
    <s v="441520"/>
    <s v="Wood; pallets, box pallets and other load boards; pallet collars"/>
    <n v="6"/>
    <b v="1"/>
    <s v="C00"/>
    <s v="TOTAL CPC"/>
    <s v="0"/>
    <n v="0"/>
    <s v="TOTAL MOT"/>
    <n v="5"/>
    <s v="u"/>
    <n v="102.855"/>
    <b v="1"/>
    <n v="-1"/>
    <s v="N/A"/>
    <n v="0"/>
    <b v="0"/>
    <n v="1793.9259999999999"/>
    <b v="1"/>
    <n v="0"/>
    <b v="0"/>
    <n v="1244.1669999999999"/>
    <m/>
    <n v="1244.1669999999999"/>
    <n v="6"/>
    <b v="1"/>
    <b v="0"/>
  </r>
  <r>
    <s v="C"/>
    <s v="M"/>
    <n v="20240301"/>
    <x v="1"/>
    <x v="10"/>
    <s v="202403"/>
    <n v="818"/>
    <s v="EGY"/>
    <x v="0"/>
    <s v="M"/>
    <s v="Import"/>
    <n v="380"/>
    <s v="ITA"/>
    <x v="12"/>
    <n v="0"/>
    <s v="W00"/>
    <s v="World"/>
    <s v="H6"/>
    <s v="HS"/>
    <b v="1"/>
    <s v="441520"/>
    <s v="Wood; pallets, box pallets and other load boards; pallet collars"/>
    <n v="6"/>
    <b v="1"/>
    <s v="C00"/>
    <s v="TOTAL CPC"/>
    <s v="0"/>
    <n v="0"/>
    <s v="TOTAL MOT"/>
    <n v="5"/>
    <s v="u"/>
    <n v="274.28500000000003"/>
    <b v="1"/>
    <n v="-1"/>
    <s v="N/A"/>
    <n v="0"/>
    <b v="0"/>
    <n v="4783.9009999999998"/>
    <b v="1"/>
    <n v="0"/>
    <b v="0"/>
    <n v="3317.846"/>
    <m/>
    <n v="3317.846"/>
    <n v="6"/>
    <b v="1"/>
    <b v="0"/>
  </r>
  <r>
    <s v="C"/>
    <s v="M"/>
    <n v="20240201"/>
    <x v="1"/>
    <x v="9"/>
    <s v="202402"/>
    <n v="818"/>
    <s v="EGY"/>
    <x v="0"/>
    <s v="M"/>
    <s v="Import"/>
    <n v="380"/>
    <s v="ITA"/>
    <x v="12"/>
    <n v="0"/>
    <s v="W00"/>
    <s v="World"/>
    <s v="H6"/>
    <s v="HS"/>
    <b v="1"/>
    <s v="441520"/>
    <s v="Wood; pallets, box pallets and other load boards; pallet collars"/>
    <n v="6"/>
    <b v="1"/>
    <s v="C00"/>
    <s v="TOTAL CPC"/>
    <s v="0"/>
    <n v="0"/>
    <s v="TOTAL MOT"/>
    <n v="5"/>
    <s v="u"/>
    <n v="339.87700000000001"/>
    <b v="1"/>
    <n v="-1"/>
    <s v="N/A"/>
    <n v="0"/>
    <b v="0"/>
    <n v="5927.9129999999996"/>
    <b v="1"/>
    <n v="0"/>
    <b v="0"/>
    <n v="4111.2690000000002"/>
    <m/>
    <n v="4111.2690000000002"/>
    <n v="6"/>
    <b v="1"/>
    <b v="0"/>
  </r>
  <r>
    <s v="C"/>
    <s v="M"/>
    <n v="20240601"/>
    <x v="1"/>
    <x v="7"/>
    <s v="202406"/>
    <n v="818"/>
    <s v="EGY"/>
    <x v="0"/>
    <s v="M"/>
    <s v="Import"/>
    <n v="528"/>
    <s v="NLD"/>
    <x v="10"/>
    <n v="0"/>
    <s v="W00"/>
    <s v="World"/>
    <s v="H6"/>
    <s v="HS"/>
    <b v="1"/>
    <s v="441520"/>
    <s v="Wood; pallets, box pallets and other load boards; pallet collars"/>
    <n v="6"/>
    <b v="1"/>
    <s v="C00"/>
    <s v="TOTAL CPC"/>
    <s v="0"/>
    <n v="0"/>
    <s v="TOTAL MOT"/>
    <n v="5"/>
    <s v="u"/>
    <n v="33.232999999999997"/>
    <b v="1"/>
    <n v="-1"/>
    <s v="N/A"/>
    <n v="0"/>
    <b v="0"/>
    <n v="579.63199999999995"/>
    <b v="1"/>
    <n v="0"/>
    <b v="0"/>
    <n v="402"/>
    <m/>
    <n v="402"/>
    <n v="6"/>
    <b v="1"/>
    <b v="0"/>
  </r>
  <r>
    <s v="C"/>
    <s v="M"/>
    <n v="20240501"/>
    <x v="1"/>
    <x v="6"/>
    <s v="202405"/>
    <n v="818"/>
    <s v="EGY"/>
    <x v="0"/>
    <s v="M"/>
    <s v="Import"/>
    <n v="528"/>
    <s v="NLD"/>
    <x v="10"/>
    <n v="0"/>
    <s v="W00"/>
    <s v="World"/>
    <s v="H6"/>
    <s v="HS"/>
    <b v="1"/>
    <s v="441520"/>
    <s v="Wood; pallets, box pallets and other load boards; pallet collars"/>
    <n v="6"/>
    <b v="1"/>
    <s v="C00"/>
    <s v="TOTAL CPC"/>
    <s v="0"/>
    <n v="0"/>
    <s v="TOTAL MOT"/>
    <n v="5"/>
    <s v="u"/>
    <n v="22.045999999999999"/>
    <b v="1"/>
    <n v="-1"/>
    <s v="N/A"/>
    <n v="0"/>
    <b v="0"/>
    <n v="384.51600000000002"/>
    <b v="1"/>
    <n v="0"/>
    <b v="0"/>
    <n v="266.67899999999997"/>
    <m/>
    <n v="266.67899999999997"/>
    <n v="6"/>
    <b v="1"/>
    <b v="0"/>
  </r>
  <r>
    <s v="C"/>
    <s v="M"/>
    <n v="20240101"/>
    <x v="1"/>
    <x v="11"/>
    <s v="202401"/>
    <n v="818"/>
    <s v="EGY"/>
    <x v="0"/>
    <s v="M"/>
    <s v="Import"/>
    <n v="528"/>
    <s v="NLD"/>
    <x v="10"/>
    <n v="0"/>
    <s v="W00"/>
    <s v="World"/>
    <s v="H6"/>
    <s v="HS"/>
    <b v="1"/>
    <s v="441520"/>
    <s v="Wood; pallets, box pallets and other load boards; pallet collars"/>
    <n v="6"/>
    <b v="1"/>
    <s v="C00"/>
    <s v="TOTAL CPC"/>
    <s v="0"/>
    <n v="0"/>
    <s v="TOTAL MOT"/>
    <n v="5"/>
    <s v="u"/>
    <n v="51.36"/>
    <b v="1"/>
    <n v="-1"/>
    <s v="N/A"/>
    <n v="0"/>
    <b v="0"/>
    <n v="895.78899999999999"/>
    <b v="1"/>
    <n v="0"/>
    <b v="0"/>
    <n v="621.26900000000001"/>
    <m/>
    <n v="621.26900000000001"/>
    <n v="6"/>
    <b v="1"/>
    <b v="0"/>
  </r>
  <r>
    <s v="C"/>
    <s v="M"/>
    <n v="20240301"/>
    <x v="1"/>
    <x v="10"/>
    <s v="202403"/>
    <n v="818"/>
    <s v="EGY"/>
    <x v="0"/>
    <s v="M"/>
    <s v="Import"/>
    <n v="528"/>
    <s v="NLD"/>
    <x v="10"/>
    <n v="0"/>
    <s v="W00"/>
    <s v="World"/>
    <s v="H6"/>
    <s v="HS"/>
    <b v="1"/>
    <s v="441520"/>
    <s v="Wood; pallets, box pallets and other load boards; pallet collars"/>
    <n v="6"/>
    <b v="1"/>
    <s v="C00"/>
    <s v="TOTAL CPC"/>
    <s v="0"/>
    <n v="0"/>
    <s v="TOTAL MOT"/>
    <n v="5"/>
    <s v="u"/>
    <n v="22.533999999999999"/>
    <b v="1"/>
    <n v="-1"/>
    <s v="N/A"/>
    <n v="0"/>
    <b v="0"/>
    <n v="393.024"/>
    <b v="1"/>
    <n v="0"/>
    <b v="0"/>
    <n v="272.57900000000001"/>
    <m/>
    <n v="272.57900000000001"/>
    <n v="6"/>
    <b v="1"/>
    <b v="0"/>
  </r>
  <r>
    <s v="C"/>
    <s v="M"/>
    <n v="20240601"/>
    <x v="1"/>
    <x v="7"/>
    <s v="202406"/>
    <n v="818"/>
    <s v="EGY"/>
    <x v="0"/>
    <s v="M"/>
    <s v="Import"/>
    <n v="568"/>
    <s v="E19"/>
    <x v="24"/>
    <n v="0"/>
    <s v="W00"/>
    <s v="World"/>
    <s v="H6"/>
    <s v="HS"/>
    <b v="1"/>
    <s v="441520"/>
    <s v="Wood; pallets, box pallets and other load boards; pallet collars"/>
    <n v="6"/>
    <b v="1"/>
    <s v="C00"/>
    <s v="TOTAL CPC"/>
    <s v="0"/>
    <n v="0"/>
    <s v="TOTAL MOT"/>
    <n v="5"/>
    <s v="u"/>
    <n v="27.065999999999999"/>
    <b v="1"/>
    <n v="-1"/>
    <s v="N/A"/>
    <n v="0"/>
    <b v="0"/>
    <n v="472.065"/>
    <b v="1"/>
    <n v="0"/>
    <b v="0"/>
    <n v="327.39800000000002"/>
    <m/>
    <n v="327.39800000000002"/>
    <n v="6"/>
    <b v="1"/>
    <b v="0"/>
  </r>
  <r>
    <s v="C"/>
    <s v="M"/>
    <n v="20240501"/>
    <x v="1"/>
    <x v="6"/>
    <s v="202405"/>
    <n v="818"/>
    <s v="EGY"/>
    <x v="0"/>
    <s v="M"/>
    <s v="Import"/>
    <n v="568"/>
    <s v="E19"/>
    <x v="24"/>
    <n v="0"/>
    <s v="W00"/>
    <s v="World"/>
    <s v="H6"/>
    <s v="HS"/>
    <b v="1"/>
    <s v="441520"/>
    <s v="Wood; pallets, box pallets and other load boards; pallet collars"/>
    <n v="6"/>
    <b v="1"/>
    <s v="C00"/>
    <s v="TOTAL CPC"/>
    <s v="0"/>
    <n v="0"/>
    <s v="TOTAL MOT"/>
    <n v="5"/>
    <s v="u"/>
    <n v="35.746000000000002"/>
    <b v="1"/>
    <n v="-1"/>
    <s v="N/A"/>
    <n v="0"/>
    <b v="0"/>
    <n v="623.46299999999997"/>
    <b v="1"/>
    <n v="0"/>
    <b v="0"/>
    <n v="432.399"/>
    <m/>
    <n v="432.399"/>
    <n v="6"/>
    <b v="1"/>
    <b v="0"/>
  </r>
  <r>
    <s v="C"/>
    <s v="M"/>
    <n v="20240201"/>
    <x v="1"/>
    <x v="9"/>
    <s v="202402"/>
    <n v="818"/>
    <s v="EGY"/>
    <x v="0"/>
    <s v="M"/>
    <s v="Import"/>
    <n v="620"/>
    <s v="PRT"/>
    <x v="29"/>
    <n v="0"/>
    <s v="W00"/>
    <s v="World"/>
    <s v="H6"/>
    <s v="HS"/>
    <b v="1"/>
    <s v="441520"/>
    <s v="Wood; pallets, box pallets and other load boards; pallet collars"/>
    <n v="6"/>
    <b v="1"/>
    <s v="C00"/>
    <s v="TOTAL CPC"/>
    <s v="0"/>
    <n v="0"/>
    <s v="TOTAL MOT"/>
    <n v="5"/>
    <s v="u"/>
    <n v="39.847000000000001"/>
    <b v="1"/>
    <n v="-1"/>
    <s v="N/A"/>
    <n v="0"/>
    <b v="0"/>
    <n v="694.98099999999999"/>
    <b v="1"/>
    <n v="0"/>
    <b v="0"/>
    <n v="482"/>
    <m/>
    <n v="482"/>
    <n v="6"/>
    <b v="1"/>
    <b v="0"/>
  </r>
  <r>
    <s v="C"/>
    <s v="M"/>
    <n v="20240501"/>
    <x v="1"/>
    <x v="6"/>
    <s v="202405"/>
    <n v="818"/>
    <s v="EGY"/>
    <x v="0"/>
    <s v="M"/>
    <s v="Import"/>
    <n v="699"/>
    <s v="IND"/>
    <x v="2"/>
    <n v="0"/>
    <s v="W00"/>
    <s v="World"/>
    <s v="H6"/>
    <s v="HS"/>
    <b v="1"/>
    <s v="441520"/>
    <s v="Wood; pallets, box pallets and other load boards; pallet collars"/>
    <n v="6"/>
    <b v="1"/>
    <s v="C00"/>
    <s v="TOTAL CPC"/>
    <s v="0"/>
    <n v="0"/>
    <s v="TOTAL MOT"/>
    <n v="5"/>
    <s v="u"/>
    <n v="6984.1490000000003"/>
    <b v="1"/>
    <n v="-1"/>
    <s v="N/A"/>
    <n v="0"/>
    <b v="0"/>
    <n v="121813.06299999999"/>
    <b v="1"/>
    <n v="0"/>
    <b v="0"/>
    <n v="84482.726999999999"/>
    <m/>
    <n v="84482.726999999999"/>
    <n v="6"/>
    <b v="1"/>
    <b v="0"/>
  </r>
  <r>
    <s v="C"/>
    <s v="M"/>
    <n v="20240401"/>
    <x v="1"/>
    <x v="8"/>
    <s v="202404"/>
    <n v="818"/>
    <s v="EGY"/>
    <x v="0"/>
    <s v="M"/>
    <s v="Import"/>
    <n v="699"/>
    <s v="IND"/>
    <x v="2"/>
    <n v="0"/>
    <s v="W00"/>
    <s v="World"/>
    <s v="H6"/>
    <s v="HS"/>
    <b v="1"/>
    <s v="441520"/>
    <s v="Wood; pallets, box pallets and other load boards; pallet collars"/>
    <n v="6"/>
    <b v="1"/>
    <s v="C00"/>
    <s v="TOTAL CPC"/>
    <s v="0"/>
    <n v="0"/>
    <s v="TOTAL MOT"/>
    <n v="5"/>
    <s v="u"/>
    <n v="6837.32"/>
    <b v="1"/>
    <n v="-1"/>
    <s v="N/A"/>
    <n v="0"/>
    <b v="0"/>
    <n v="119252.162"/>
    <b v="1"/>
    <n v="0"/>
    <b v="0"/>
    <n v="82706.629000000001"/>
    <m/>
    <n v="82706.629000000001"/>
    <n v="6"/>
    <b v="1"/>
    <b v="0"/>
  </r>
  <r>
    <s v="C"/>
    <s v="M"/>
    <n v="20240101"/>
    <x v="1"/>
    <x v="11"/>
    <s v="202401"/>
    <n v="818"/>
    <s v="EGY"/>
    <x v="0"/>
    <s v="M"/>
    <s v="Import"/>
    <n v="699"/>
    <s v="IND"/>
    <x v="2"/>
    <n v="0"/>
    <s v="W00"/>
    <s v="World"/>
    <s v="H6"/>
    <s v="HS"/>
    <b v="1"/>
    <s v="441520"/>
    <s v="Wood; pallets, box pallets and other load boards; pallet collars"/>
    <n v="6"/>
    <b v="1"/>
    <s v="C00"/>
    <s v="TOTAL CPC"/>
    <s v="0"/>
    <n v="0"/>
    <s v="TOTAL MOT"/>
    <n v="5"/>
    <s v="u"/>
    <n v="10776.93"/>
    <b v="1"/>
    <n v="-1"/>
    <s v="N/A"/>
    <n v="0"/>
    <b v="0"/>
    <n v="187964.33"/>
    <b v="1"/>
    <n v="0"/>
    <b v="0"/>
    <n v="130361.545"/>
    <m/>
    <n v="130361.545"/>
    <n v="6"/>
    <b v="1"/>
    <b v="0"/>
  </r>
  <r>
    <s v="C"/>
    <s v="M"/>
    <n v="20240301"/>
    <x v="1"/>
    <x v="10"/>
    <s v="202403"/>
    <n v="818"/>
    <s v="EGY"/>
    <x v="0"/>
    <s v="M"/>
    <s v="Import"/>
    <n v="699"/>
    <s v="IND"/>
    <x v="2"/>
    <n v="0"/>
    <s v="W00"/>
    <s v="World"/>
    <s v="H6"/>
    <s v="HS"/>
    <b v="1"/>
    <s v="441520"/>
    <s v="Wood; pallets, box pallets and other load boards; pallet collars"/>
    <n v="6"/>
    <b v="1"/>
    <s v="C00"/>
    <s v="TOTAL CPC"/>
    <s v="0"/>
    <n v="0"/>
    <s v="TOTAL MOT"/>
    <n v="5"/>
    <s v="u"/>
    <n v="7016.7889999999998"/>
    <b v="1"/>
    <n v="-1"/>
    <s v="N/A"/>
    <n v="0"/>
    <b v="0"/>
    <n v="122382.359"/>
    <b v="1"/>
    <n v="0"/>
    <b v="0"/>
    <n v="84877.558999999994"/>
    <m/>
    <n v="84877.558999999994"/>
    <n v="6"/>
    <b v="1"/>
    <b v="0"/>
  </r>
  <r>
    <s v="C"/>
    <s v="M"/>
    <n v="20240201"/>
    <x v="1"/>
    <x v="9"/>
    <s v="202402"/>
    <n v="818"/>
    <s v="EGY"/>
    <x v="0"/>
    <s v="M"/>
    <s v="Import"/>
    <n v="710"/>
    <s v="ZAF"/>
    <x v="1"/>
    <n v="0"/>
    <s v="W00"/>
    <s v="World"/>
    <s v="H6"/>
    <s v="HS"/>
    <b v="1"/>
    <s v="441520"/>
    <s v="Wood; pallets, box pallets and other load boards; pallet collars"/>
    <n v="6"/>
    <b v="1"/>
    <s v="C00"/>
    <s v="TOTAL CPC"/>
    <s v="0"/>
    <n v="0"/>
    <s v="TOTAL MOT"/>
    <n v="5"/>
    <s v="u"/>
    <n v="8.9879999999999995"/>
    <b v="1"/>
    <n v="-1"/>
    <s v="N/A"/>
    <n v="0"/>
    <b v="0"/>
    <n v="156.76900000000001"/>
    <b v="1"/>
    <n v="0"/>
    <b v="0"/>
    <n v="108.726"/>
    <m/>
    <n v="108.726"/>
    <n v="6"/>
    <b v="1"/>
    <b v="0"/>
  </r>
  <r>
    <s v="C"/>
    <s v="M"/>
    <n v="20240301"/>
    <x v="1"/>
    <x v="10"/>
    <s v="202403"/>
    <n v="818"/>
    <s v="EGY"/>
    <x v="0"/>
    <s v="M"/>
    <s v="Import"/>
    <n v="724"/>
    <s v="ESP"/>
    <x v="5"/>
    <n v="0"/>
    <s v="W00"/>
    <s v="World"/>
    <s v="H6"/>
    <s v="HS"/>
    <b v="1"/>
    <s v="441520"/>
    <s v="Wood; pallets, box pallets and other load boards; pallet collars"/>
    <n v="6"/>
    <b v="1"/>
    <s v="C00"/>
    <s v="TOTAL CPC"/>
    <s v="0"/>
    <n v="0"/>
    <s v="TOTAL MOT"/>
    <n v="5"/>
    <s v="u"/>
    <n v="58.683999999999997"/>
    <b v="1"/>
    <n v="-1"/>
    <s v="N/A"/>
    <n v="0"/>
    <b v="0"/>
    <n v="1023.52"/>
    <b v="1"/>
    <n v="0"/>
    <b v="0"/>
    <n v="709.85599999999999"/>
    <m/>
    <n v="709.85599999999999"/>
    <n v="6"/>
    <b v="1"/>
    <b v="0"/>
  </r>
  <r>
    <s v="C"/>
    <s v="M"/>
    <n v="20240601"/>
    <x v="1"/>
    <x v="7"/>
    <s v="202406"/>
    <n v="818"/>
    <s v="EGY"/>
    <x v="0"/>
    <s v="M"/>
    <s v="Import"/>
    <n v="724"/>
    <s v="ESP"/>
    <x v="5"/>
    <n v="0"/>
    <s v="W00"/>
    <s v="World"/>
    <s v="H6"/>
    <s v="HS"/>
    <b v="1"/>
    <s v="441520"/>
    <s v="Wood; pallets, box pallets and other load boards; pallet collars"/>
    <n v="6"/>
    <b v="1"/>
    <s v="C00"/>
    <s v="TOTAL CPC"/>
    <s v="0"/>
    <n v="0"/>
    <s v="TOTAL MOT"/>
    <n v="5"/>
    <s v="u"/>
    <n v="14.879"/>
    <b v="1"/>
    <n v="-1"/>
    <s v="N/A"/>
    <n v="0"/>
    <b v="0"/>
    <n v="259.50400000000002"/>
    <b v="1"/>
    <n v="0"/>
    <b v="0"/>
    <n v="179.977"/>
    <m/>
    <n v="179.977"/>
    <n v="6"/>
    <b v="1"/>
    <b v="0"/>
  </r>
  <r>
    <s v="C"/>
    <s v="M"/>
    <n v="20240501"/>
    <x v="1"/>
    <x v="6"/>
    <s v="202405"/>
    <n v="818"/>
    <s v="EGY"/>
    <x v="0"/>
    <s v="M"/>
    <s v="Import"/>
    <n v="757"/>
    <s v="CHE"/>
    <x v="4"/>
    <n v="0"/>
    <s v="W00"/>
    <s v="World"/>
    <s v="H6"/>
    <s v="HS"/>
    <b v="1"/>
    <s v="441520"/>
    <s v="Wood; pallets, box pallets and other load boards; pallet collars"/>
    <n v="6"/>
    <b v="1"/>
    <s v="C00"/>
    <s v="TOTAL CPC"/>
    <s v="0"/>
    <n v="0"/>
    <s v="TOTAL MOT"/>
    <n v="5"/>
    <s v="u"/>
    <n v="172.101"/>
    <b v="1"/>
    <n v="-1"/>
    <s v="N/A"/>
    <n v="0"/>
    <b v="0"/>
    <n v="3001.674"/>
    <b v="1"/>
    <n v="0"/>
    <b v="0"/>
    <n v="2081.7930000000001"/>
    <m/>
    <n v="2081.7930000000001"/>
    <n v="6"/>
    <b v="1"/>
    <b v="0"/>
  </r>
  <r>
    <s v="C"/>
    <s v="M"/>
    <n v="20240401"/>
    <x v="1"/>
    <x v="8"/>
    <s v="202404"/>
    <n v="818"/>
    <s v="EGY"/>
    <x v="0"/>
    <s v="M"/>
    <s v="Import"/>
    <n v="757"/>
    <s v="CHE"/>
    <x v="4"/>
    <n v="0"/>
    <s v="W00"/>
    <s v="World"/>
    <s v="H6"/>
    <s v="HS"/>
    <b v="1"/>
    <s v="441520"/>
    <s v="Wood; pallets, box pallets and other load boards; pallet collars"/>
    <n v="6"/>
    <b v="1"/>
    <s v="C00"/>
    <s v="TOTAL CPC"/>
    <s v="0"/>
    <n v="0"/>
    <s v="TOTAL MOT"/>
    <n v="5"/>
    <s v="u"/>
    <n v="41.64"/>
    <b v="1"/>
    <n v="-1"/>
    <s v="N/A"/>
    <n v="0"/>
    <b v="0"/>
    <n v="726.25099999999998"/>
    <b v="1"/>
    <n v="0"/>
    <b v="0"/>
    <n v="503.68700000000001"/>
    <m/>
    <n v="503.68700000000001"/>
    <n v="6"/>
    <b v="1"/>
    <b v="0"/>
  </r>
  <r>
    <s v="C"/>
    <s v="M"/>
    <n v="20240101"/>
    <x v="1"/>
    <x v="11"/>
    <s v="202401"/>
    <n v="818"/>
    <s v="EGY"/>
    <x v="0"/>
    <s v="M"/>
    <s v="Import"/>
    <n v="757"/>
    <s v="CHE"/>
    <x v="4"/>
    <n v="0"/>
    <s v="W00"/>
    <s v="World"/>
    <s v="H6"/>
    <s v="HS"/>
    <b v="1"/>
    <s v="441520"/>
    <s v="Wood; pallets, box pallets and other load boards; pallet collars"/>
    <n v="6"/>
    <b v="1"/>
    <s v="C00"/>
    <s v="TOTAL CPC"/>
    <s v="0"/>
    <n v="0"/>
    <s v="TOTAL MOT"/>
    <n v="5"/>
    <s v="u"/>
    <n v="64.599999999999994"/>
    <b v="1"/>
    <n v="-1"/>
    <s v="N/A"/>
    <n v="0"/>
    <b v="0"/>
    <n v="1126.711"/>
    <b v="1"/>
    <n v="0"/>
    <b v="0"/>
    <n v="781.423"/>
    <m/>
    <n v="781.423"/>
    <n v="6"/>
    <b v="1"/>
    <b v="0"/>
  </r>
  <r>
    <s v="C"/>
    <s v="M"/>
    <n v="20240201"/>
    <x v="1"/>
    <x v="9"/>
    <s v="202402"/>
    <n v="818"/>
    <s v="EGY"/>
    <x v="0"/>
    <s v="M"/>
    <s v="Import"/>
    <n v="757"/>
    <s v="CHE"/>
    <x v="4"/>
    <n v="0"/>
    <s v="W00"/>
    <s v="World"/>
    <s v="H6"/>
    <s v="HS"/>
    <b v="1"/>
    <s v="441520"/>
    <s v="Wood; pallets, box pallets and other load boards; pallet collars"/>
    <n v="6"/>
    <b v="1"/>
    <s v="C00"/>
    <s v="TOTAL CPC"/>
    <s v="0"/>
    <n v="0"/>
    <s v="TOTAL MOT"/>
    <n v="5"/>
    <s v="u"/>
    <n v="27.446000000000002"/>
    <b v="1"/>
    <n v="-1"/>
    <s v="N/A"/>
    <n v="0"/>
    <b v="0"/>
    <n v="478.70100000000002"/>
    <b v="1"/>
    <n v="0"/>
    <b v="0"/>
    <n v="332"/>
    <m/>
    <n v="332"/>
    <n v="6"/>
    <b v="1"/>
    <b v="0"/>
  </r>
  <r>
    <s v="C"/>
    <s v="M"/>
    <n v="20240401"/>
    <x v="1"/>
    <x v="8"/>
    <s v="202404"/>
    <n v="818"/>
    <s v="EGY"/>
    <x v="0"/>
    <s v="M"/>
    <s v="Import"/>
    <n v="764"/>
    <s v="THA"/>
    <x v="25"/>
    <n v="0"/>
    <s v="W00"/>
    <s v="World"/>
    <s v="H6"/>
    <s v="HS"/>
    <b v="1"/>
    <s v="441520"/>
    <s v="Wood; pallets, box pallets and other load boards; pallet collars"/>
    <n v="6"/>
    <b v="1"/>
    <s v="C00"/>
    <s v="TOTAL CPC"/>
    <s v="0"/>
    <n v="0"/>
    <s v="TOTAL MOT"/>
    <n v="5"/>
    <s v="u"/>
    <n v="49.683999999999997"/>
    <b v="1"/>
    <n v="-1"/>
    <s v="N/A"/>
    <n v="0"/>
    <b v="0"/>
    <n v="866.56399999999996"/>
    <b v="1"/>
    <n v="0"/>
    <b v="0"/>
    <n v="601"/>
    <m/>
    <n v="601"/>
    <n v="6"/>
    <b v="1"/>
    <b v="0"/>
  </r>
  <r>
    <s v="C"/>
    <s v="M"/>
    <n v="20240601"/>
    <x v="1"/>
    <x v="7"/>
    <s v="202406"/>
    <n v="818"/>
    <s v="EGY"/>
    <x v="0"/>
    <s v="M"/>
    <s v="Import"/>
    <n v="784"/>
    <s v="ARE"/>
    <x v="22"/>
    <n v="0"/>
    <s v="W00"/>
    <s v="World"/>
    <s v="H6"/>
    <s v="HS"/>
    <b v="1"/>
    <s v="441520"/>
    <s v="Wood; pallets, box pallets and other load boards; pallet collars"/>
    <n v="6"/>
    <b v="1"/>
    <s v="C00"/>
    <s v="TOTAL CPC"/>
    <s v="0"/>
    <n v="0"/>
    <s v="TOTAL MOT"/>
    <n v="5"/>
    <s v="u"/>
    <n v="33.15"/>
    <b v="1"/>
    <n v="-1"/>
    <s v="N/A"/>
    <n v="0"/>
    <b v="0"/>
    <n v="578.19000000000005"/>
    <b v="1"/>
    <n v="0"/>
    <b v="0"/>
    <n v="401"/>
    <m/>
    <n v="401"/>
    <n v="6"/>
    <b v="1"/>
    <b v="0"/>
  </r>
  <r>
    <s v="C"/>
    <s v="M"/>
    <n v="20240501"/>
    <x v="1"/>
    <x v="6"/>
    <s v="202405"/>
    <n v="818"/>
    <s v="EGY"/>
    <x v="0"/>
    <s v="M"/>
    <s v="Import"/>
    <n v="792"/>
    <s v="TUR"/>
    <x v="16"/>
    <n v="0"/>
    <s v="W00"/>
    <s v="World"/>
    <s v="H6"/>
    <s v="HS"/>
    <b v="1"/>
    <s v="441520"/>
    <s v="Wood; pallets, box pallets and other load boards; pallet collars"/>
    <n v="6"/>
    <b v="1"/>
    <s v="C00"/>
    <s v="TOTAL CPC"/>
    <s v="0"/>
    <n v="0"/>
    <s v="TOTAL MOT"/>
    <n v="5"/>
    <s v="u"/>
    <n v="247.32599999999999"/>
    <b v="1"/>
    <n v="-1"/>
    <s v="N/A"/>
    <n v="0"/>
    <b v="0"/>
    <n v="4313.6949999999997"/>
    <b v="1"/>
    <n v="0"/>
    <b v="0"/>
    <n v="2991.7370000000001"/>
    <m/>
    <n v="2991.7370000000001"/>
    <n v="6"/>
    <b v="1"/>
    <b v="0"/>
  </r>
  <r>
    <s v="C"/>
    <s v="M"/>
    <n v="20240401"/>
    <x v="1"/>
    <x v="8"/>
    <s v="202404"/>
    <n v="818"/>
    <s v="EGY"/>
    <x v="0"/>
    <s v="M"/>
    <s v="Import"/>
    <n v="792"/>
    <s v="TUR"/>
    <x v="16"/>
    <n v="0"/>
    <s v="W00"/>
    <s v="World"/>
    <s v="H6"/>
    <s v="HS"/>
    <b v="1"/>
    <s v="441520"/>
    <s v="Wood; pallets, box pallets and other load boards; pallet collars"/>
    <n v="6"/>
    <b v="1"/>
    <s v="C00"/>
    <s v="TOTAL CPC"/>
    <s v="0"/>
    <n v="0"/>
    <s v="TOTAL MOT"/>
    <n v="5"/>
    <s v="u"/>
    <n v="27.204000000000001"/>
    <b v="1"/>
    <n v="-1"/>
    <s v="N/A"/>
    <n v="0"/>
    <b v="0"/>
    <n v="474.48200000000003"/>
    <b v="1"/>
    <n v="0"/>
    <b v="0"/>
    <n v="329.07400000000001"/>
    <m/>
    <n v="329.07400000000001"/>
    <n v="6"/>
    <b v="1"/>
    <b v="0"/>
  </r>
  <r>
    <s v="C"/>
    <s v="M"/>
    <n v="20240201"/>
    <x v="1"/>
    <x v="9"/>
    <s v="202402"/>
    <n v="818"/>
    <s v="EGY"/>
    <x v="0"/>
    <s v="M"/>
    <s v="Import"/>
    <n v="792"/>
    <s v="TUR"/>
    <x v="16"/>
    <n v="0"/>
    <s v="W00"/>
    <s v="World"/>
    <s v="H6"/>
    <s v="HS"/>
    <b v="1"/>
    <s v="441520"/>
    <s v="Wood; pallets, box pallets and other load boards; pallet collars"/>
    <n v="6"/>
    <b v="1"/>
    <s v="C00"/>
    <s v="TOTAL CPC"/>
    <s v="0"/>
    <n v="0"/>
    <s v="TOTAL MOT"/>
    <n v="5"/>
    <s v="u"/>
    <n v="21.163"/>
    <b v="1"/>
    <n v="-1"/>
    <s v="N/A"/>
    <n v="0"/>
    <b v="0"/>
    <n v="369.11900000000003"/>
    <b v="1"/>
    <n v="0"/>
    <b v="0"/>
    <n v="256"/>
    <m/>
    <n v="256"/>
    <n v="6"/>
    <b v="1"/>
    <b v="0"/>
  </r>
  <r>
    <s v="C"/>
    <s v="M"/>
    <n v="20240301"/>
    <x v="1"/>
    <x v="10"/>
    <s v="202403"/>
    <n v="818"/>
    <s v="EGY"/>
    <x v="0"/>
    <s v="M"/>
    <s v="Import"/>
    <n v="792"/>
    <s v="TUR"/>
    <x v="16"/>
    <n v="0"/>
    <s v="W00"/>
    <s v="World"/>
    <s v="H6"/>
    <s v="HS"/>
    <b v="1"/>
    <s v="441520"/>
    <s v="Wood; pallets, box pallets and other load boards; pallet collars"/>
    <n v="6"/>
    <b v="1"/>
    <s v="C00"/>
    <s v="TOTAL CPC"/>
    <s v="0"/>
    <n v="0"/>
    <s v="TOTAL MOT"/>
    <n v="5"/>
    <s v="u"/>
    <n v="272.45600000000002"/>
    <b v="1"/>
    <n v="-1"/>
    <s v="N/A"/>
    <n v="0"/>
    <b v="0"/>
    <n v="4752.0039999999999"/>
    <b v="1"/>
    <n v="0"/>
    <b v="0"/>
    <n v="3295.7240000000002"/>
    <m/>
    <n v="3295.7240000000002"/>
    <n v="6"/>
    <b v="1"/>
    <b v="0"/>
  </r>
  <r>
    <s v="C"/>
    <s v="M"/>
    <n v="20240401"/>
    <x v="1"/>
    <x v="8"/>
    <s v="202404"/>
    <n v="818"/>
    <s v="EGY"/>
    <x v="0"/>
    <s v="M"/>
    <s v="Import"/>
    <n v="842"/>
    <s v="USA"/>
    <x v="13"/>
    <n v="0"/>
    <s v="W00"/>
    <s v="World"/>
    <s v="H6"/>
    <s v="HS"/>
    <b v="1"/>
    <s v="441520"/>
    <s v="Wood; pallets, box pallets and other load boards; pallet collars"/>
    <n v="6"/>
    <b v="1"/>
    <s v="C00"/>
    <s v="TOTAL CPC"/>
    <s v="0"/>
    <n v="0"/>
    <s v="TOTAL MOT"/>
    <n v="5"/>
    <s v="u"/>
    <n v="41.417000000000002"/>
    <b v="1"/>
    <n v="-1"/>
    <s v="N/A"/>
    <n v="0"/>
    <b v="0"/>
    <n v="722.37699999999995"/>
    <b v="1"/>
    <n v="0"/>
    <b v="0"/>
    <n v="501"/>
    <m/>
    <n v="501"/>
    <n v="6"/>
    <b v="1"/>
    <b v="0"/>
  </r>
  <r>
    <s v="C"/>
    <s v="M"/>
    <n v="20240101"/>
    <x v="1"/>
    <x v="11"/>
    <s v="202401"/>
    <n v="818"/>
    <s v="EGY"/>
    <x v="0"/>
    <s v="M"/>
    <s v="Import"/>
    <n v="842"/>
    <s v="USA"/>
    <x v="13"/>
    <n v="0"/>
    <s v="W00"/>
    <s v="World"/>
    <s v="H6"/>
    <s v="HS"/>
    <b v="1"/>
    <s v="441520"/>
    <s v="Wood; pallets, box pallets and other load boards; pallet collars"/>
    <n v="6"/>
    <b v="1"/>
    <s v="C00"/>
    <s v="TOTAL CPC"/>
    <s v="0"/>
    <n v="0"/>
    <s v="TOTAL MOT"/>
    <n v="5"/>
    <s v="u"/>
    <n v="71.441000000000003"/>
    <b v="1"/>
    <n v="-1"/>
    <s v="N/A"/>
    <n v="0"/>
    <b v="0"/>
    <n v="1246.0250000000001"/>
    <b v="1"/>
    <n v="0"/>
    <b v="0"/>
    <n v="864.173"/>
    <m/>
    <n v="864.173"/>
    <n v="6"/>
    <b v="1"/>
    <b v="0"/>
  </r>
  <r>
    <s v="C"/>
    <s v="M"/>
    <n v="20240201"/>
    <x v="1"/>
    <x v="9"/>
    <s v="202402"/>
    <n v="818"/>
    <s v="EGY"/>
    <x v="0"/>
    <s v="M"/>
    <s v="Import"/>
    <n v="842"/>
    <s v="USA"/>
    <x v="13"/>
    <n v="0"/>
    <s v="W00"/>
    <s v="World"/>
    <s v="H6"/>
    <s v="HS"/>
    <b v="1"/>
    <s v="441520"/>
    <s v="Wood; pallets, box pallets and other load boards; pallet collars"/>
    <n v="6"/>
    <b v="1"/>
    <s v="C00"/>
    <s v="TOTAL CPC"/>
    <s v="0"/>
    <n v="0"/>
    <s v="TOTAL MOT"/>
    <n v="5"/>
    <s v="u"/>
    <n v="64.286000000000001"/>
    <b v="1"/>
    <n v="-1"/>
    <s v="N/A"/>
    <n v="0"/>
    <b v="0"/>
    <n v="1121.241"/>
    <b v="1"/>
    <n v="0"/>
    <b v="0"/>
    <n v="777.63"/>
    <m/>
    <n v="777.63"/>
    <n v="6"/>
    <b v="1"/>
    <b v="0"/>
  </r>
  <r>
    <s v="C"/>
    <s v="M"/>
    <n v="20240301"/>
    <x v="1"/>
    <x v="10"/>
    <s v="202403"/>
    <n v="818"/>
    <s v="EGY"/>
    <x v="0"/>
    <s v="M"/>
    <s v="Import"/>
    <n v="842"/>
    <s v="USA"/>
    <x v="13"/>
    <n v="0"/>
    <s v="W00"/>
    <s v="World"/>
    <s v="H6"/>
    <s v="HS"/>
    <b v="1"/>
    <s v="441520"/>
    <s v="Wood; pallets, box pallets and other load boards; pallet collars"/>
    <n v="6"/>
    <b v="1"/>
    <s v="C00"/>
    <s v="TOTAL CPC"/>
    <s v="0"/>
    <n v="0"/>
    <s v="TOTAL MOT"/>
    <n v="5"/>
    <s v="u"/>
    <n v="183.06700000000001"/>
    <b v="1"/>
    <n v="-1"/>
    <s v="N/A"/>
    <n v="0"/>
    <b v="0"/>
    <n v="3192.9349999999999"/>
    <b v="1"/>
    <n v="0"/>
    <b v="0"/>
    <n v="2214.4409999999998"/>
    <m/>
    <n v="2214.4409999999998"/>
    <n v="6"/>
    <b v="1"/>
    <b v="0"/>
  </r>
  <r>
    <s v="C"/>
    <s v="M"/>
    <n v="20240601"/>
    <x v="1"/>
    <x v="7"/>
    <s v="202406"/>
    <n v="818"/>
    <s v="EGY"/>
    <x v="0"/>
    <s v="M"/>
    <s v="Import"/>
    <n v="842"/>
    <s v="USA"/>
    <x v="13"/>
    <n v="0"/>
    <s v="W00"/>
    <s v="World"/>
    <s v="H6"/>
    <s v="HS"/>
    <b v="1"/>
    <s v="441520"/>
    <s v="Wood; pallets, box pallets and other load boards; pallet collars"/>
    <n v="6"/>
    <b v="1"/>
    <s v="C00"/>
    <s v="TOTAL CPC"/>
    <s v="0"/>
    <n v="0"/>
    <s v="TOTAL MOT"/>
    <n v="5"/>
    <s v="u"/>
    <n v="41.378999999999998"/>
    <b v="1"/>
    <n v="-1"/>
    <s v="N/A"/>
    <n v="0"/>
    <b v="0"/>
    <n v="721.70600000000002"/>
    <b v="1"/>
    <n v="0"/>
    <b v="0"/>
    <n v="500.53500000000003"/>
    <m/>
    <n v="500.53500000000003"/>
    <n v="6"/>
    <b v="1"/>
    <b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s v="C"/>
    <s v="M"/>
    <n v="20230701"/>
    <x v="0"/>
    <x v="0"/>
    <s v="202307"/>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18950.219"/>
    <b v="1"/>
    <n v="-1"/>
    <s v="N/A"/>
    <n v="0"/>
    <b v="0"/>
    <n v="118950.219"/>
    <b v="1"/>
    <n v="0"/>
    <b v="0"/>
    <n v="759756.54200000002"/>
    <m/>
    <n v="759756.54200000002"/>
    <n v="6"/>
    <b v="0"/>
    <b v="1"/>
  </r>
  <r>
    <s v="C"/>
    <s v="M"/>
    <n v="20230701"/>
    <x v="0"/>
    <x v="0"/>
    <s v="202307"/>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393.92700000000002"/>
    <b v="1"/>
    <n v="-1"/>
    <s v="N/A"/>
    <n v="0"/>
    <b v="0"/>
    <n v="393.92700000000002"/>
    <b v="1"/>
    <n v="0"/>
    <b v="0"/>
    <n v="2516.0819999999999"/>
    <m/>
    <n v="2516.0819999999999"/>
    <n v="6"/>
    <b v="1"/>
    <b v="0"/>
  </r>
  <r>
    <s v="C"/>
    <s v="M"/>
    <n v="20230701"/>
    <x v="0"/>
    <x v="0"/>
    <s v="202307"/>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50662.79"/>
    <b v="1"/>
    <n v="-1"/>
    <s v="N/A"/>
    <n v="0"/>
    <b v="0"/>
    <n v="50662.79"/>
    <b v="1"/>
    <n v="0"/>
    <b v="0"/>
    <n v="323592.39199999999"/>
    <m/>
    <n v="323592.39199999999"/>
    <n v="6"/>
    <b v="1"/>
    <b v="0"/>
  </r>
  <r>
    <s v="C"/>
    <s v="M"/>
    <n v="20230701"/>
    <x v="0"/>
    <x v="0"/>
    <s v="202307"/>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1871.1610000000001"/>
    <b v="1"/>
    <n v="-1"/>
    <s v="N/A"/>
    <n v="0"/>
    <b v="0"/>
    <n v="1871.1610000000001"/>
    <b v="1"/>
    <n v="0"/>
    <b v="0"/>
    <n v="11951.446"/>
    <m/>
    <n v="11951.446"/>
    <n v="6"/>
    <b v="1"/>
    <b v="0"/>
  </r>
  <r>
    <s v="C"/>
    <s v="M"/>
    <n v="20230701"/>
    <x v="0"/>
    <x v="0"/>
    <s v="202307"/>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27781.496999999999"/>
    <b v="1"/>
    <n v="-1"/>
    <s v="N/A"/>
    <n v="0"/>
    <b v="0"/>
    <n v="27781.496999999999"/>
    <b v="1"/>
    <n v="0"/>
    <b v="0"/>
    <n v="177445.44500000001"/>
    <m/>
    <n v="177445.44500000001"/>
    <n v="6"/>
    <b v="1"/>
    <b v="0"/>
  </r>
  <r>
    <s v="C"/>
    <s v="M"/>
    <n v="20230701"/>
    <x v="0"/>
    <x v="0"/>
    <s v="202307"/>
    <n v="818"/>
    <s v="EGY"/>
    <s v="Egypt"/>
    <s v="M"/>
    <s v="Import"/>
    <n v="392"/>
    <s v="JPN"/>
    <x v="5"/>
    <n v="0"/>
    <s v="W00"/>
    <s v="World"/>
    <s v="H6"/>
    <s v="HS"/>
    <b v="1"/>
    <s v="392329"/>
    <s v="Plastics; sacks and bags (including cones), for the conveyance or packing of goods, of plastics other than ethylene polymers"/>
    <n v="6"/>
    <b v="1"/>
    <s v="C00"/>
    <s v="TOTAL CPC"/>
    <s v="0"/>
    <n v="0"/>
    <s v="TOTAL MOT"/>
    <n v="8"/>
    <s v="kg"/>
    <n v="335.59899999999999"/>
    <b v="1"/>
    <n v="-1"/>
    <s v="N/A"/>
    <n v="0"/>
    <b v="0"/>
    <n v="335.59899999999999"/>
    <b v="1"/>
    <n v="0"/>
    <b v="0"/>
    <n v="2143.5300000000002"/>
    <m/>
    <n v="2143.5300000000002"/>
    <n v="6"/>
    <b v="1"/>
    <b v="0"/>
  </r>
  <r>
    <s v="C"/>
    <s v="M"/>
    <n v="20230701"/>
    <x v="0"/>
    <x v="0"/>
    <s v="202307"/>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938.38"/>
    <b v="1"/>
    <n v="-1"/>
    <s v="N/A"/>
    <n v="0"/>
    <b v="0"/>
    <n v="938.38"/>
    <b v="1"/>
    <n v="0"/>
    <b v="0"/>
    <n v="5993.6009999999997"/>
    <m/>
    <n v="5993.6009999999997"/>
    <n v="6"/>
    <b v="1"/>
    <b v="0"/>
  </r>
  <r>
    <s v="C"/>
    <s v="M"/>
    <n v="20230701"/>
    <x v="0"/>
    <x v="0"/>
    <s v="202307"/>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2460.636"/>
    <b v="1"/>
    <n v="-1"/>
    <s v="N/A"/>
    <n v="0"/>
    <b v="0"/>
    <n v="2460.636"/>
    <b v="1"/>
    <n v="0"/>
    <b v="0"/>
    <n v="15716.526"/>
    <m/>
    <n v="15716.526"/>
    <n v="6"/>
    <b v="1"/>
    <b v="0"/>
  </r>
  <r>
    <s v="C"/>
    <s v="M"/>
    <n v="20230701"/>
    <x v="0"/>
    <x v="0"/>
    <s v="202307"/>
    <n v="818"/>
    <s v="EGY"/>
    <s v="Egypt"/>
    <s v="M"/>
    <s v="Import"/>
    <n v="528"/>
    <s v="NLD"/>
    <x v="8"/>
    <n v="0"/>
    <s v="W00"/>
    <s v="World"/>
    <s v="H6"/>
    <s v="HS"/>
    <b v="1"/>
    <s v="392329"/>
    <s v="Plastics; sacks and bags (including cones), for the conveyance or packing of goods, of plastics other than ethylene polymers"/>
    <n v="6"/>
    <b v="1"/>
    <s v="C00"/>
    <s v="TOTAL CPC"/>
    <s v="0"/>
    <n v="0"/>
    <s v="TOTAL MOT"/>
    <n v="8"/>
    <s v="kg"/>
    <n v="15.475"/>
    <b v="1"/>
    <n v="-1"/>
    <s v="N/A"/>
    <n v="0"/>
    <b v="0"/>
    <n v="15.475"/>
    <b v="1"/>
    <n v="0"/>
    <b v="0"/>
    <n v="98.841999999999999"/>
    <m/>
    <n v="98.841999999999999"/>
    <n v="6"/>
    <b v="1"/>
    <b v="0"/>
  </r>
  <r>
    <s v="C"/>
    <s v="M"/>
    <n v="20230701"/>
    <x v="0"/>
    <x v="0"/>
    <s v="202307"/>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136.88300000000001"/>
    <b v="1"/>
    <n v="-1"/>
    <s v="N/A"/>
    <n v="0"/>
    <b v="0"/>
    <n v="136.88300000000001"/>
    <b v="1"/>
    <n v="0"/>
    <b v="0"/>
    <n v="874.29899999999998"/>
    <m/>
    <n v="874.29899999999998"/>
    <n v="6"/>
    <b v="1"/>
    <b v="0"/>
  </r>
  <r>
    <s v="C"/>
    <s v="M"/>
    <n v="20230701"/>
    <x v="0"/>
    <x v="0"/>
    <s v="202307"/>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11571.611999999999"/>
    <b v="1"/>
    <n v="-1"/>
    <s v="N/A"/>
    <n v="0"/>
    <b v="0"/>
    <n v="11571.611999999999"/>
    <b v="1"/>
    <n v="0"/>
    <b v="0"/>
    <n v="73909.976999999999"/>
    <m/>
    <n v="73909.976999999999"/>
    <n v="6"/>
    <b v="1"/>
    <b v="0"/>
  </r>
  <r>
    <s v="C"/>
    <s v="M"/>
    <n v="20230701"/>
    <x v="0"/>
    <x v="0"/>
    <s v="202307"/>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1679.5"/>
    <b v="1"/>
    <n v="-1"/>
    <s v="N/A"/>
    <n v="0"/>
    <b v="0"/>
    <n v="1679.5"/>
    <b v="1"/>
    <n v="0"/>
    <b v="0"/>
    <n v="10727.267"/>
    <m/>
    <n v="10727.267"/>
    <n v="6"/>
    <b v="1"/>
    <b v="0"/>
  </r>
  <r>
    <s v="C"/>
    <s v="M"/>
    <n v="20230701"/>
    <x v="0"/>
    <x v="0"/>
    <s v="202307"/>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949.28599999999994"/>
    <b v="1"/>
    <n v="-1"/>
    <s v="N/A"/>
    <n v="0"/>
    <b v="0"/>
    <n v="949.28599999999994"/>
    <b v="1"/>
    <n v="0"/>
    <b v="0"/>
    <n v="6063.259"/>
    <m/>
    <n v="6063.259"/>
    <n v="6"/>
    <b v="1"/>
    <b v="0"/>
  </r>
  <r>
    <s v="C"/>
    <s v="M"/>
    <n v="20230701"/>
    <x v="0"/>
    <x v="0"/>
    <s v="202307"/>
    <n v="818"/>
    <s v="EGY"/>
    <s v="Egypt"/>
    <s v="M"/>
    <s v="Import"/>
    <n v="764"/>
    <s v="THA"/>
    <x v="13"/>
    <n v="0"/>
    <s v="W00"/>
    <s v="World"/>
    <s v="H6"/>
    <s v="HS"/>
    <b v="1"/>
    <s v="392329"/>
    <s v="Plastics; sacks and bags (including cones), for the conveyance or packing of goods, of plastics other than ethylene polymers"/>
    <n v="6"/>
    <b v="1"/>
    <s v="C00"/>
    <s v="TOTAL CPC"/>
    <s v="0"/>
    <n v="0"/>
    <s v="TOTAL MOT"/>
    <n v="8"/>
    <s v="kg"/>
    <n v="8400.0319999999992"/>
    <b v="1"/>
    <n v="-1"/>
    <s v="N/A"/>
    <n v="0"/>
    <b v="0"/>
    <n v="8400.0319999999992"/>
    <b v="1"/>
    <n v="0"/>
    <b v="0"/>
    <n v="53652.52"/>
    <m/>
    <n v="53652.52"/>
    <n v="6"/>
    <b v="1"/>
    <b v="0"/>
  </r>
  <r>
    <s v="C"/>
    <s v="M"/>
    <n v="20230701"/>
    <x v="0"/>
    <x v="0"/>
    <s v="202307"/>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4819.5050000000001"/>
    <b v="1"/>
    <n v="-1"/>
    <s v="N/A"/>
    <n v="0"/>
    <b v="0"/>
    <n v="4819.5050000000001"/>
    <b v="1"/>
    <n v="0"/>
    <b v="0"/>
    <n v="30783.046999999999"/>
    <m/>
    <n v="30783.046999999999"/>
    <n v="6"/>
    <b v="1"/>
    <b v="0"/>
  </r>
  <r>
    <s v="C"/>
    <s v="M"/>
    <n v="20230701"/>
    <x v="0"/>
    <x v="0"/>
    <s v="202307"/>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1987.307"/>
    <b v="1"/>
    <n v="-1"/>
    <s v="N/A"/>
    <n v="0"/>
    <b v="0"/>
    <n v="1987.307"/>
    <b v="1"/>
    <n v="0"/>
    <b v="0"/>
    <n v="12693.289000000001"/>
    <m/>
    <n v="12693.289000000001"/>
    <n v="6"/>
    <b v="1"/>
    <b v="0"/>
  </r>
  <r>
    <s v="C"/>
    <s v="M"/>
    <n v="20230701"/>
    <x v="0"/>
    <x v="0"/>
    <s v="202307"/>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4946.63"/>
    <b v="1"/>
    <n v="-1"/>
    <s v="N/A"/>
    <n v="0"/>
    <b v="0"/>
    <n v="4946.63"/>
    <b v="1"/>
    <n v="0"/>
    <b v="0"/>
    <n v="31595.02"/>
    <m/>
    <n v="31595.02"/>
    <n v="6"/>
    <b v="1"/>
    <b v="0"/>
  </r>
  <r>
    <s v="C"/>
    <s v="M"/>
    <n v="20230801"/>
    <x v="0"/>
    <x v="1"/>
    <s v="202308"/>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282208.24099999998"/>
    <b v="1"/>
    <n v="-1"/>
    <s v="N/A"/>
    <n v="0"/>
    <b v="0"/>
    <n v="282208.24099999998"/>
    <b v="1"/>
    <n v="0"/>
    <b v="0"/>
    <n v="1802515.0349999999"/>
    <m/>
    <n v="1802515.0349999999"/>
    <n v="6"/>
    <b v="0"/>
    <b v="1"/>
  </r>
  <r>
    <s v="C"/>
    <s v="M"/>
    <n v="20230801"/>
    <x v="0"/>
    <x v="1"/>
    <s v="202308"/>
    <n v="818"/>
    <s v="EGY"/>
    <s v="Egypt"/>
    <s v="M"/>
    <s v="Import"/>
    <n v="40"/>
    <s v="AUT"/>
    <x v="17"/>
    <n v="0"/>
    <s v="W00"/>
    <s v="World"/>
    <s v="H6"/>
    <s v="HS"/>
    <b v="1"/>
    <s v="392329"/>
    <s v="Plastics; sacks and bags (including cones), for the conveyance or packing of goods, of plastics other than ethylene polymers"/>
    <n v="6"/>
    <b v="1"/>
    <s v="C00"/>
    <s v="TOTAL CPC"/>
    <s v="0"/>
    <n v="0"/>
    <s v="TOTAL MOT"/>
    <n v="8"/>
    <s v="kg"/>
    <n v="3112.1860000000001"/>
    <b v="1"/>
    <n v="-1"/>
    <s v="N/A"/>
    <n v="0"/>
    <b v="0"/>
    <n v="3112.1860000000001"/>
    <b v="1"/>
    <n v="0"/>
    <b v="0"/>
    <n v="19878.096000000001"/>
    <m/>
    <n v="19878.096000000001"/>
    <n v="6"/>
    <b v="1"/>
    <b v="0"/>
  </r>
  <r>
    <s v="C"/>
    <s v="M"/>
    <n v="20230801"/>
    <x v="0"/>
    <x v="1"/>
    <s v="202308"/>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002.047"/>
    <b v="1"/>
    <n v="-1"/>
    <s v="N/A"/>
    <n v="0"/>
    <b v="0"/>
    <n v="1002.047"/>
    <b v="1"/>
    <n v="0"/>
    <b v="0"/>
    <n v="6400.2529999999997"/>
    <m/>
    <n v="6400.2529999999997"/>
    <n v="6"/>
    <b v="1"/>
    <b v="0"/>
  </r>
  <r>
    <s v="C"/>
    <s v="M"/>
    <n v="20230801"/>
    <x v="0"/>
    <x v="1"/>
    <s v="202308"/>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14775.777"/>
    <b v="1"/>
    <n v="-1"/>
    <s v="N/A"/>
    <n v="0"/>
    <b v="0"/>
    <n v="14775.777"/>
    <b v="1"/>
    <n v="0"/>
    <b v="0"/>
    <n v="94375.557000000001"/>
    <m/>
    <n v="94375.557000000001"/>
    <n v="6"/>
    <b v="1"/>
    <b v="0"/>
  </r>
  <r>
    <s v="C"/>
    <s v="M"/>
    <n v="20230801"/>
    <x v="0"/>
    <x v="1"/>
    <s v="202308"/>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100.2090000000001"/>
    <b v="1"/>
    <n v="-1"/>
    <s v="N/A"/>
    <n v="0"/>
    <b v="0"/>
    <n v="1100.2090000000001"/>
    <b v="1"/>
    <n v="0"/>
    <b v="0"/>
    <n v="7027.2349999999997"/>
    <m/>
    <n v="7027.2349999999997"/>
    <n v="6"/>
    <b v="1"/>
    <b v="0"/>
  </r>
  <r>
    <s v="C"/>
    <s v="M"/>
    <n v="20230801"/>
    <x v="0"/>
    <x v="1"/>
    <s v="202308"/>
    <n v="818"/>
    <s v="EGY"/>
    <s v="Egypt"/>
    <s v="M"/>
    <s v="Import"/>
    <n v="276"/>
    <s v="DEU"/>
    <x v="19"/>
    <n v="0"/>
    <s v="W00"/>
    <s v="World"/>
    <s v="H6"/>
    <s v="HS"/>
    <b v="1"/>
    <s v="392329"/>
    <s v="Plastics; sacks and bags (including cones), for the conveyance or packing of goods, of plastics other than ethylene polymers"/>
    <n v="6"/>
    <b v="1"/>
    <s v="C00"/>
    <s v="TOTAL CPC"/>
    <s v="0"/>
    <n v="0"/>
    <s v="TOTAL MOT"/>
    <n v="8"/>
    <s v="kg"/>
    <n v="31672.853999999999"/>
    <b v="1"/>
    <n v="-1"/>
    <s v="N/A"/>
    <n v="0"/>
    <b v="0"/>
    <n v="31672.853999999999"/>
    <b v="1"/>
    <n v="0"/>
    <b v="0"/>
    <n v="202300.245"/>
    <m/>
    <n v="202300.245"/>
    <n v="6"/>
    <b v="1"/>
    <b v="0"/>
  </r>
  <r>
    <s v="C"/>
    <s v="M"/>
    <n v="20230801"/>
    <x v="0"/>
    <x v="1"/>
    <s v="202308"/>
    <n v="818"/>
    <s v="EGY"/>
    <s v="Egypt"/>
    <s v="M"/>
    <s v="Import"/>
    <n v="300"/>
    <s v="GRC"/>
    <x v="20"/>
    <n v="0"/>
    <s v="W00"/>
    <s v="World"/>
    <s v="H6"/>
    <s v="HS"/>
    <b v="1"/>
    <s v="392329"/>
    <s v="Plastics; sacks and bags (including cones), for the conveyance or packing of goods, of plastics other than ethylene polymers"/>
    <n v="6"/>
    <b v="1"/>
    <s v="C00"/>
    <s v="TOTAL CPC"/>
    <s v="0"/>
    <n v="0"/>
    <s v="TOTAL MOT"/>
    <n v="8"/>
    <s v="kg"/>
    <n v="1909.97"/>
    <b v="1"/>
    <n v="-1"/>
    <s v="N/A"/>
    <n v="0"/>
    <b v="0"/>
    <n v="1909.97"/>
    <b v="1"/>
    <n v="0"/>
    <b v="0"/>
    <n v="12199.324000000001"/>
    <m/>
    <n v="12199.324000000001"/>
    <n v="6"/>
    <b v="1"/>
    <b v="0"/>
  </r>
  <r>
    <s v="C"/>
    <s v="M"/>
    <n v="20230801"/>
    <x v="0"/>
    <x v="1"/>
    <s v="202308"/>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2447.4789999999998"/>
    <b v="1"/>
    <n v="-1"/>
    <s v="N/A"/>
    <n v="0"/>
    <b v="0"/>
    <n v="2447.4789999999998"/>
    <b v="1"/>
    <n v="0"/>
    <b v="0"/>
    <n v="15632.49"/>
    <m/>
    <n v="15632.49"/>
    <n v="6"/>
    <b v="1"/>
    <b v="0"/>
  </r>
  <r>
    <s v="C"/>
    <s v="M"/>
    <n v="20230801"/>
    <x v="0"/>
    <x v="1"/>
    <s v="202308"/>
    <n v="818"/>
    <s v="EGY"/>
    <s v="Egypt"/>
    <s v="M"/>
    <s v="Import"/>
    <n v="376"/>
    <s v="ISR"/>
    <x v="21"/>
    <n v="0"/>
    <s v="W00"/>
    <s v="World"/>
    <s v="H6"/>
    <s v="HS"/>
    <b v="1"/>
    <s v="392329"/>
    <s v="Plastics; sacks and bags (including cones), for the conveyance or packing of goods, of plastics other than ethylene polymers"/>
    <n v="6"/>
    <b v="1"/>
    <s v="C00"/>
    <s v="TOTAL CPC"/>
    <s v="0"/>
    <n v="0"/>
    <s v="TOTAL MOT"/>
    <n v="8"/>
    <s v="kg"/>
    <n v="23218.580999999998"/>
    <b v="1"/>
    <n v="-1"/>
    <s v="N/A"/>
    <n v="0"/>
    <b v="0"/>
    <n v="23218.580999999998"/>
    <b v="1"/>
    <n v="0"/>
    <b v="0"/>
    <n v="148301.269"/>
    <m/>
    <n v="148301.269"/>
    <n v="6"/>
    <b v="1"/>
    <b v="0"/>
  </r>
  <r>
    <s v="C"/>
    <s v="M"/>
    <n v="20230801"/>
    <x v="0"/>
    <x v="1"/>
    <s v="202308"/>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80628.005000000005"/>
    <b v="1"/>
    <n v="-1"/>
    <s v="N/A"/>
    <n v="0"/>
    <b v="0"/>
    <n v="80628.005000000005"/>
    <b v="1"/>
    <n v="0"/>
    <b v="0"/>
    <n v="514985.641"/>
    <m/>
    <n v="514985.641"/>
    <n v="6"/>
    <b v="1"/>
    <b v="0"/>
  </r>
  <r>
    <s v="C"/>
    <s v="M"/>
    <n v="20230801"/>
    <x v="0"/>
    <x v="1"/>
    <s v="202308"/>
    <n v="818"/>
    <s v="EGY"/>
    <s v="Egypt"/>
    <s v="M"/>
    <s v="Import"/>
    <n v="400"/>
    <s v="JOR"/>
    <x v="22"/>
    <n v="0"/>
    <s v="W00"/>
    <s v="World"/>
    <s v="H6"/>
    <s v="HS"/>
    <b v="1"/>
    <s v="392329"/>
    <s v="Plastics; sacks and bags (including cones), for the conveyance or packing of goods, of plastics other than ethylene polymers"/>
    <n v="6"/>
    <b v="1"/>
    <s v="C00"/>
    <s v="TOTAL CPC"/>
    <s v="0"/>
    <n v="0"/>
    <s v="TOTAL MOT"/>
    <n v="8"/>
    <s v="kg"/>
    <n v="10521.665999999999"/>
    <b v="1"/>
    <n v="-1"/>
    <s v="N/A"/>
    <n v="0"/>
    <b v="0"/>
    <n v="10521.665999999999"/>
    <b v="1"/>
    <n v="0"/>
    <b v="0"/>
    <n v="67203.781000000003"/>
    <m/>
    <n v="67203.781000000003"/>
    <n v="6"/>
    <b v="1"/>
    <b v="0"/>
  </r>
  <r>
    <s v="C"/>
    <s v="M"/>
    <n v="20230801"/>
    <x v="0"/>
    <x v="1"/>
    <s v="202308"/>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1.722"/>
    <b v="1"/>
    <n v="-1"/>
    <s v="N/A"/>
    <n v="0"/>
    <b v="0"/>
    <n v="1.722"/>
    <b v="1"/>
    <n v="0"/>
    <b v="0"/>
    <n v="11"/>
    <m/>
    <n v="11"/>
    <n v="6"/>
    <b v="1"/>
    <b v="0"/>
  </r>
  <r>
    <s v="C"/>
    <s v="M"/>
    <n v="20230801"/>
    <x v="0"/>
    <x v="1"/>
    <s v="202308"/>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2973.36"/>
    <b v="1"/>
    <n v="-1"/>
    <s v="N/A"/>
    <n v="0"/>
    <b v="0"/>
    <n v="2973.36"/>
    <b v="1"/>
    <n v="0"/>
    <b v="0"/>
    <n v="18991.385999999999"/>
    <m/>
    <n v="18991.385999999999"/>
    <n v="6"/>
    <b v="1"/>
    <b v="0"/>
  </r>
  <r>
    <s v="C"/>
    <s v="M"/>
    <n v="20230801"/>
    <x v="0"/>
    <x v="1"/>
    <s v="202308"/>
    <n v="818"/>
    <s v="EGY"/>
    <s v="Egypt"/>
    <s v="M"/>
    <s v="Import"/>
    <n v="528"/>
    <s v="NLD"/>
    <x v="8"/>
    <n v="0"/>
    <s v="W00"/>
    <s v="World"/>
    <s v="H6"/>
    <s v="HS"/>
    <b v="1"/>
    <s v="392329"/>
    <s v="Plastics; sacks and bags (including cones), for the conveyance or packing of goods, of plastics other than ethylene polymers"/>
    <n v="6"/>
    <b v="1"/>
    <s v="C00"/>
    <s v="TOTAL CPC"/>
    <s v="0"/>
    <n v="0"/>
    <s v="TOTAL MOT"/>
    <n v="8"/>
    <s v="kg"/>
    <n v="250.339"/>
    <b v="1"/>
    <n v="-1"/>
    <s v="N/A"/>
    <n v="0"/>
    <b v="0"/>
    <n v="250.339"/>
    <b v="1"/>
    <n v="0"/>
    <b v="0"/>
    <n v="1598.96"/>
    <m/>
    <n v="1598.96"/>
    <n v="6"/>
    <b v="1"/>
    <b v="0"/>
  </r>
  <r>
    <s v="C"/>
    <s v="M"/>
    <n v="20230801"/>
    <x v="0"/>
    <x v="1"/>
    <s v="202308"/>
    <n v="818"/>
    <s v="EGY"/>
    <s v="Egypt"/>
    <s v="M"/>
    <s v="Import"/>
    <n v="568"/>
    <s v="E19"/>
    <x v="23"/>
    <n v="0"/>
    <s v="W00"/>
    <s v="World"/>
    <s v="H6"/>
    <s v="HS"/>
    <b v="1"/>
    <s v="392329"/>
    <s v="Plastics; sacks and bags (including cones), for the conveyance or packing of goods, of plastics other than ethylene polymers"/>
    <n v="6"/>
    <b v="1"/>
    <s v="C00"/>
    <s v="TOTAL CPC"/>
    <s v="0"/>
    <n v="0"/>
    <s v="TOTAL MOT"/>
    <n v="8"/>
    <s v="kg"/>
    <n v="468.70699999999999"/>
    <b v="1"/>
    <n v="-1"/>
    <s v="N/A"/>
    <n v="0"/>
    <b v="0"/>
    <n v="468.70699999999999"/>
    <b v="1"/>
    <n v="0"/>
    <b v="0"/>
    <n v="2993.7159999999999"/>
    <m/>
    <n v="2993.7159999999999"/>
    <n v="6"/>
    <b v="1"/>
    <b v="0"/>
  </r>
  <r>
    <s v="C"/>
    <s v="M"/>
    <n v="20230801"/>
    <x v="0"/>
    <x v="1"/>
    <s v="202308"/>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13828.721"/>
    <b v="1"/>
    <n v="-1"/>
    <s v="N/A"/>
    <n v="0"/>
    <b v="0"/>
    <n v="13828.721"/>
    <b v="1"/>
    <n v="0"/>
    <b v="0"/>
    <n v="88326.539000000004"/>
    <m/>
    <n v="88326.539000000004"/>
    <n v="6"/>
    <b v="1"/>
    <b v="0"/>
  </r>
  <r>
    <s v="C"/>
    <s v="M"/>
    <n v="20230801"/>
    <x v="0"/>
    <x v="1"/>
    <s v="202308"/>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60296.737000000001"/>
    <b v="1"/>
    <n v="-1"/>
    <s v="N/A"/>
    <n v="0"/>
    <b v="0"/>
    <n v="60296.737000000001"/>
    <b v="1"/>
    <n v="0"/>
    <b v="0"/>
    <n v="385126.15600000002"/>
    <m/>
    <n v="385126.15600000002"/>
    <n v="6"/>
    <b v="1"/>
    <b v="0"/>
  </r>
  <r>
    <s v="C"/>
    <s v="M"/>
    <n v="20230801"/>
    <x v="0"/>
    <x v="1"/>
    <s v="202308"/>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4867.3789999999999"/>
    <b v="1"/>
    <n v="-1"/>
    <s v="N/A"/>
    <n v="0"/>
    <b v="0"/>
    <n v="4867.3789999999999"/>
    <b v="1"/>
    <n v="0"/>
    <b v="0"/>
    <n v="31088.827000000001"/>
    <m/>
    <n v="31088.827000000001"/>
    <n v="6"/>
    <b v="1"/>
    <b v="0"/>
  </r>
  <r>
    <s v="C"/>
    <s v="M"/>
    <n v="20230801"/>
    <x v="0"/>
    <x v="1"/>
    <s v="202308"/>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5313.3890000000001"/>
    <b v="1"/>
    <n v="-1"/>
    <s v="N/A"/>
    <n v="0"/>
    <b v="0"/>
    <n v="5313.3890000000001"/>
    <b v="1"/>
    <n v="0"/>
    <b v="0"/>
    <n v="33937.578000000001"/>
    <m/>
    <n v="33937.578000000001"/>
    <n v="6"/>
    <b v="1"/>
    <b v="0"/>
  </r>
  <r>
    <s v="C"/>
    <s v="M"/>
    <n v="20230801"/>
    <x v="0"/>
    <x v="1"/>
    <s v="202308"/>
    <n v="818"/>
    <s v="EGY"/>
    <s v="Egypt"/>
    <s v="M"/>
    <s v="Import"/>
    <n v="757"/>
    <s v="CHE"/>
    <x v="24"/>
    <n v="0"/>
    <s v="W00"/>
    <s v="World"/>
    <s v="H6"/>
    <s v="HS"/>
    <b v="1"/>
    <s v="392329"/>
    <s v="Plastics; sacks and bags (including cones), for the conveyance or packing of goods, of plastics other than ethylene polymers"/>
    <n v="6"/>
    <b v="1"/>
    <s v="C00"/>
    <s v="TOTAL CPC"/>
    <s v="0"/>
    <n v="0"/>
    <s v="TOTAL MOT"/>
    <n v="8"/>
    <s v="kg"/>
    <n v="0.51100000000000001"/>
    <b v="1"/>
    <n v="-1"/>
    <s v="N/A"/>
    <n v="0"/>
    <b v="0"/>
    <n v="0.51100000000000001"/>
    <b v="1"/>
    <n v="0"/>
    <b v="0"/>
    <n v="3.262"/>
    <m/>
    <n v="3.262"/>
    <n v="6"/>
    <b v="1"/>
    <b v="0"/>
  </r>
  <r>
    <s v="C"/>
    <s v="M"/>
    <n v="20230801"/>
    <x v="0"/>
    <x v="1"/>
    <s v="202308"/>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19848.419999999998"/>
    <b v="1"/>
    <n v="-1"/>
    <s v="N/A"/>
    <n v="0"/>
    <b v="0"/>
    <n v="19848.419999999998"/>
    <b v="1"/>
    <n v="0"/>
    <b v="0"/>
    <n v="126775.443"/>
    <m/>
    <n v="126775.443"/>
    <n v="6"/>
    <b v="1"/>
    <b v="0"/>
  </r>
  <r>
    <s v="C"/>
    <s v="M"/>
    <n v="20230801"/>
    <x v="0"/>
    <x v="1"/>
    <s v="202308"/>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3965.777"/>
    <b v="1"/>
    <n v="-1"/>
    <s v="N/A"/>
    <n v="0"/>
    <b v="0"/>
    <n v="3965.777"/>
    <b v="1"/>
    <n v="0"/>
    <b v="0"/>
    <n v="25330.134999999998"/>
    <m/>
    <n v="25330.134999999998"/>
    <n v="6"/>
    <b v="1"/>
    <b v="0"/>
  </r>
  <r>
    <s v="C"/>
    <s v="M"/>
    <n v="20230801"/>
    <x v="0"/>
    <x v="1"/>
    <s v="202308"/>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2.5289999999999999"/>
    <b v="1"/>
    <n v="-1"/>
    <s v="N/A"/>
    <n v="0"/>
    <b v="0"/>
    <n v="2.5289999999999999"/>
    <b v="1"/>
    <n v="0"/>
    <b v="0"/>
    <n v="16.151"/>
    <m/>
    <n v="16.151"/>
    <n v="6"/>
    <b v="1"/>
    <b v="0"/>
  </r>
  <r>
    <s v="C"/>
    <s v="M"/>
    <n v="20230801"/>
    <x v="0"/>
    <x v="1"/>
    <s v="202308"/>
    <n v="818"/>
    <s v="EGY"/>
    <s v="Egypt"/>
    <s v="M"/>
    <s v="Import"/>
    <n v="899"/>
    <s v="_X "/>
    <x v="25"/>
    <n v="0"/>
    <s v="W00"/>
    <s v="World"/>
    <s v="H6"/>
    <s v="HS"/>
    <b v="1"/>
    <s v="392329"/>
    <s v="Plastics; sacks and bags (including cones), for the conveyance or packing of goods, of plastics other than ethylene polymers"/>
    <n v="6"/>
    <b v="1"/>
    <s v="C00"/>
    <s v="TOTAL CPC"/>
    <s v="0"/>
    <n v="0"/>
    <s v="TOTAL MOT"/>
    <n v="8"/>
    <s v="kg"/>
    <n v="1.877"/>
    <b v="1"/>
    <n v="-1"/>
    <s v="N/A"/>
    <n v="0"/>
    <b v="0"/>
    <n v="1.877"/>
    <b v="1"/>
    <n v="0"/>
    <b v="0"/>
    <n v="11.991"/>
    <m/>
    <n v="11.991"/>
    <n v="6"/>
    <b v="1"/>
    <b v="0"/>
  </r>
  <r>
    <s v="C"/>
    <s v="M"/>
    <n v="20230901"/>
    <x v="0"/>
    <x v="2"/>
    <s v="202309"/>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13833.806"/>
    <b v="1"/>
    <n v="-1"/>
    <s v="N/A"/>
    <n v="0"/>
    <b v="0"/>
    <n v="113833.806"/>
    <b v="1"/>
    <n v="0"/>
    <b v="0"/>
    <n v="727077.08799999999"/>
    <m/>
    <n v="727077.08799999999"/>
    <n v="6"/>
    <b v="0"/>
    <b v="1"/>
  </r>
  <r>
    <s v="C"/>
    <s v="M"/>
    <n v="20230901"/>
    <x v="0"/>
    <x v="2"/>
    <s v="202309"/>
    <n v="818"/>
    <s v="EGY"/>
    <s v="Egypt"/>
    <s v="M"/>
    <s v="Import"/>
    <n v="56"/>
    <s v="BEL"/>
    <x v="26"/>
    <n v="0"/>
    <s v="W00"/>
    <s v="World"/>
    <s v="H6"/>
    <s v="HS"/>
    <b v="1"/>
    <s v="392329"/>
    <s v="Plastics; sacks and bags (including cones), for the conveyance or packing of goods, of plastics other than ethylene polymers"/>
    <n v="6"/>
    <b v="1"/>
    <s v="C00"/>
    <s v="TOTAL CPC"/>
    <s v="0"/>
    <n v="0"/>
    <s v="TOTAL MOT"/>
    <n v="8"/>
    <s v="kg"/>
    <n v="6.6630000000000003"/>
    <b v="1"/>
    <n v="-1"/>
    <s v="N/A"/>
    <n v="0"/>
    <b v="0"/>
    <n v="6.6630000000000003"/>
    <b v="1"/>
    <n v="0"/>
    <b v="0"/>
    <n v="42.56"/>
    <m/>
    <n v="42.56"/>
    <n v="6"/>
    <b v="1"/>
    <b v="0"/>
  </r>
  <r>
    <s v="C"/>
    <s v="M"/>
    <n v="20230901"/>
    <x v="0"/>
    <x v="2"/>
    <s v="202309"/>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885.16499999999996"/>
    <b v="1"/>
    <n v="-1"/>
    <s v="N/A"/>
    <n v="0"/>
    <b v="0"/>
    <n v="885.16499999999996"/>
    <b v="1"/>
    <n v="0"/>
    <b v="0"/>
    <n v="5653.7079999999996"/>
    <m/>
    <n v="5653.7079999999996"/>
    <n v="6"/>
    <b v="1"/>
    <b v="0"/>
  </r>
  <r>
    <s v="C"/>
    <s v="M"/>
    <n v="20230901"/>
    <x v="0"/>
    <x v="2"/>
    <s v="202309"/>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9113.9879999999994"/>
    <b v="1"/>
    <n v="-1"/>
    <s v="N/A"/>
    <n v="0"/>
    <b v="0"/>
    <n v="9113.9879999999994"/>
    <b v="1"/>
    <n v="0"/>
    <b v="0"/>
    <n v="58212.686000000002"/>
    <m/>
    <n v="58212.686000000002"/>
    <n v="6"/>
    <b v="1"/>
    <b v="0"/>
  </r>
  <r>
    <s v="C"/>
    <s v="M"/>
    <n v="20230901"/>
    <x v="0"/>
    <x v="2"/>
    <s v="202309"/>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582.74"/>
    <b v="1"/>
    <n v="-1"/>
    <s v="N/A"/>
    <n v="0"/>
    <b v="0"/>
    <n v="1582.74"/>
    <b v="1"/>
    <n v="0"/>
    <b v="0"/>
    <n v="10109.246999999999"/>
    <m/>
    <n v="10109.246999999999"/>
    <n v="6"/>
    <b v="1"/>
    <b v="0"/>
  </r>
  <r>
    <s v="C"/>
    <s v="M"/>
    <n v="20230901"/>
    <x v="0"/>
    <x v="2"/>
    <s v="202309"/>
    <n v="818"/>
    <s v="EGY"/>
    <s v="Egypt"/>
    <s v="M"/>
    <s v="Import"/>
    <n v="276"/>
    <s v="DEU"/>
    <x v="19"/>
    <n v="0"/>
    <s v="W00"/>
    <s v="World"/>
    <s v="H6"/>
    <s v="HS"/>
    <b v="1"/>
    <s v="392329"/>
    <s v="Plastics; sacks and bags (including cones), for the conveyance or packing of goods, of plastics other than ethylene polymers"/>
    <n v="6"/>
    <b v="1"/>
    <s v="C00"/>
    <s v="TOTAL CPC"/>
    <s v="0"/>
    <n v="0"/>
    <s v="TOTAL MOT"/>
    <n v="8"/>
    <s v="kg"/>
    <n v="9674.1720000000005"/>
    <b v="1"/>
    <n v="-1"/>
    <s v="N/A"/>
    <n v="0"/>
    <b v="0"/>
    <n v="9674.1720000000005"/>
    <b v="1"/>
    <n v="0"/>
    <b v="0"/>
    <n v="61790.686000000002"/>
    <m/>
    <n v="61790.686000000002"/>
    <n v="6"/>
    <b v="1"/>
    <b v="0"/>
  </r>
  <r>
    <s v="C"/>
    <s v="M"/>
    <n v="20230901"/>
    <x v="0"/>
    <x v="2"/>
    <s v="202309"/>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2209.21"/>
    <b v="1"/>
    <n v="-1"/>
    <s v="N/A"/>
    <n v="0"/>
    <b v="0"/>
    <n v="2209.21"/>
    <b v="1"/>
    <n v="0"/>
    <b v="0"/>
    <n v="14110.620999999999"/>
    <m/>
    <n v="14110.620999999999"/>
    <n v="6"/>
    <b v="1"/>
    <b v="0"/>
  </r>
  <r>
    <s v="C"/>
    <s v="M"/>
    <n v="20230901"/>
    <x v="0"/>
    <x v="2"/>
    <s v="202309"/>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7191.482"/>
    <b v="1"/>
    <n v="-1"/>
    <s v="N/A"/>
    <n v="0"/>
    <b v="0"/>
    <n v="7191.482"/>
    <b v="1"/>
    <n v="0"/>
    <b v="0"/>
    <n v="45933.298000000003"/>
    <m/>
    <n v="45933.298000000003"/>
    <n v="6"/>
    <b v="1"/>
    <b v="0"/>
  </r>
  <r>
    <s v="C"/>
    <s v="M"/>
    <n v="20230901"/>
    <x v="0"/>
    <x v="2"/>
    <s v="202309"/>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745.14099999999996"/>
    <b v="1"/>
    <n v="-1"/>
    <s v="N/A"/>
    <n v="0"/>
    <b v="0"/>
    <n v="745.14099999999996"/>
    <b v="1"/>
    <n v="0"/>
    <b v="0"/>
    <n v="4759.348"/>
    <m/>
    <n v="4759.348"/>
    <n v="6"/>
    <b v="1"/>
    <b v="0"/>
  </r>
  <r>
    <s v="C"/>
    <s v="M"/>
    <n v="20230901"/>
    <x v="0"/>
    <x v="2"/>
    <s v="202309"/>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112.444"/>
    <b v="1"/>
    <n v="-1"/>
    <s v="N/A"/>
    <n v="0"/>
    <b v="0"/>
    <n v="112.444"/>
    <b v="1"/>
    <n v="0"/>
    <b v="0"/>
    <n v="718.2"/>
    <m/>
    <n v="718.2"/>
    <n v="6"/>
    <b v="1"/>
    <b v="0"/>
  </r>
  <r>
    <s v="C"/>
    <s v="M"/>
    <n v="20230901"/>
    <x v="0"/>
    <x v="2"/>
    <s v="202309"/>
    <n v="818"/>
    <s v="EGY"/>
    <s v="Egypt"/>
    <s v="M"/>
    <s v="Import"/>
    <n v="528"/>
    <s v="NLD"/>
    <x v="8"/>
    <n v="0"/>
    <s v="W00"/>
    <s v="World"/>
    <s v="H6"/>
    <s v="HS"/>
    <b v="1"/>
    <s v="392329"/>
    <s v="Plastics; sacks and bags (including cones), for the conveyance or packing of goods, of plastics other than ethylene polymers"/>
    <n v="6"/>
    <b v="1"/>
    <s v="C00"/>
    <s v="TOTAL CPC"/>
    <s v="0"/>
    <n v="0"/>
    <s v="TOTAL MOT"/>
    <n v="8"/>
    <s v="kg"/>
    <n v="37.408999999999999"/>
    <b v="1"/>
    <n v="-1"/>
    <s v="N/A"/>
    <n v="0"/>
    <b v="0"/>
    <n v="37.408999999999999"/>
    <b v="1"/>
    <n v="0"/>
    <b v="0"/>
    <n v="238.94"/>
    <m/>
    <n v="238.94"/>
    <n v="6"/>
    <b v="1"/>
    <b v="0"/>
  </r>
  <r>
    <s v="C"/>
    <s v="M"/>
    <n v="20230901"/>
    <x v="0"/>
    <x v="2"/>
    <s v="202309"/>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21525.151999999998"/>
    <b v="1"/>
    <n v="-1"/>
    <s v="N/A"/>
    <n v="0"/>
    <b v="0"/>
    <n v="21525.151999999998"/>
    <b v="1"/>
    <n v="0"/>
    <b v="0"/>
    <n v="137485.035"/>
    <m/>
    <n v="137485.035"/>
    <n v="6"/>
    <b v="1"/>
    <b v="0"/>
  </r>
  <r>
    <s v="C"/>
    <s v="M"/>
    <n v="20230901"/>
    <x v="0"/>
    <x v="2"/>
    <s v="202309"/>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22180.273000000001"/>
    <b v="1"/>
    <n v="-1"/>
    <s v="N/A"/>
    <n v="0"/>
    <b v="0"/>
    <n v="22180.273000000001"/>
    <b v="1"/>
    <n v="0"/>
    <b v="0"/>
    <n v="141669.41"/>
    <m/>
    <n v="141669.41"/>
    <n v="6"/>
    <b v="1"/>
    <b v="0"/>
  </r>
  <r>
    <s v="C"/>
    <s v="M"/>
    <n v="20230901"/>
    <x v="0"/>
    <x v="2"/>
    <s v="202309"/>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375.2379999999998"/>
    <b v="1"/>
    <n v="-1"/>
    <s v="N/A"/>
    <n v="0"/>
    <b v="0"/>
    <n v="2375.2379999999998"/>
    <b v="1"/>
    <n v="0"/>
    <b v="0"/>
    <n v="15171.076999999999"/>
    <m/>
    <n v="15171.076999999999"/>
    <n v="6"/>
    <b v="1"/>
    <b v="0"/>
  </r>
  <r>
    <s v="C"/>
    <s v="M"/>
    <n v="20230901"/>
    <x v="0"/>
    <x v="2"/>
    <s v="202309"/>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33205.038999999997"/>
    <b v="1"/>
    <n v="-1"/>
    <s v="N/A"/>
    <n v="0"/>
    <b v="0"/>
    <n v="33205.038999999997"/>
    <b v="1"/>
    <n v="0"/>
    <b v="0"/>
    <n v="212086.58300000001"/>
    <m/>
    <n v="212086.58300000001"/>
    <n v="6"/>
    <b v="1"/>
    <b v="0"/>
  </r>
  <r>
    <s v="C"/>
    <s v="M"/>
    <n v="20230901"/>
    <x v="0"/>
    <x v="2"/>
    <s v="202309"/>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1023.44"/>
    <b v="1"/>
    <n v="-1"/>
    <s v="N/A"/>
    <n v="0"/>
    <b v="0"/>
    <n v="1023.44"/>
    <b v="1"/>
    <n v="0"/>
    <b v="0"/>
    <n v="6536.8959999999997"/>
    <m/>
    <n v="6536.8959999999997"/>
    <n v="6"/>
    <b v="1"/>
    <b v="0"/>
  </r>
  <r>
    <s v="C"/>
    <s v="M"/>
    <n v="20230901"/>
    <x v="0"/>
    <x v="2"/>
    <s v="202309"/>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1966.25"/>
    <b v="1"/>
    <n v="-1"/>
    <s v="N/A"/>
    <n v="0"/>
    <b v="0"/>
    <n v="1966.25"/>
    <b v="1"/>
    <n v="0"/>
    <b v="0"/>
    <n v="12558.794"/>
    <m/>
    <n v="12558.794"/>
    <n v="6"/>
    <b v="1"/>
    <b v="0"/>
  </r>
  <r>
    <s v="C"/>
    <s v="M"/>
    <n v="20231001"/>
    <x v="0"/>
    <x v="3"/>
    <s v="202310"/>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88869.035000000003"/>
    <b v="1"/>
    <n v="-1"/>
    <s v="N/A"/>
    <n v="0"/>
    <b v="0"/>
    <n v="88869.035000000003"/>
    <b v="1"/>
    <n v="0"/>
    <b v="0"/>
    <n v="567622.58400000003"/>
    <m/>
    <n v="567622.58400000003"/>
    <n v="6"/>
    <b v="0"/>
    <b v="1"/>
  </r>
  <r>
    <s v="C"/>
    <s v="M"/>
    <n v="20231001"/>
    <x v="0"/>
    <x v="3"/>
    <s v="202310"/>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343.309"/>
    <b v="1"/>
    <n v="-1"/>
    <s v="N/A"/>
    <n v="0"/>
    <b v="0"/>
    <n v="1343.309"/>
    <b v="1"/>
    <n v="0"/>
    <b v="0"/>
    <n v="8579.9580000000005"/>
    <m/>
    <n v="8579.9580000000005"/>
    <n v="6"/>
    <b v="1"/>
    <b v="0"/>
  </r>
  <r>
    <s v="C"/>
    <s v="M"/>
    <n v="20231001"/>
    <x v="0"/>
    <x v="3"/>
    <s v="202310"/>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27104.817999999999"/>
    <b v="1"/>
    <n v="-1"/>
    <s v="N/A"/>
    <n v="0"/>
    <b v="0"/>
    <n v="27104.817999999999"/>
    <b v="1"/>
    <n v="0"/>
    <b v="0"/>
    <n v="173123.37299999999"/>
    <m/>
    <n v="173123.37299999999"/>
    <n v="6"/>
    <b v="1"/>
    <b v="0"/>
  </r>
  <r>
    <s v="C"/>
    <s v="M"/>
    <n v="20231001"/>
    <x v="0"/>
    <x v="3"/>
    <s v="202310"/>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6.527000000000001"/>
    <b v="1"/>
    <n v="-1"/>
    <s v="N/A"/>
    <n v="0"/>
    <b v="0"/>
    <n v="16.527000000000001"/>
    <b v="1"/>
    <n v="0"/>
    <b v="0"/>
    <n v="105.56"/>
    <m/>
    <n v="105.56"/>
    <n v="6"/>
    <b v="1"/>
    <b v="0"/>
  </r>
  <r>
    <s v="C"/>
    <s v="M"/>
    <n v="20231001"/>
    <x v="0"/>
    <x v="3"/>
    <s v="202310"/>
    <n v="818"/>
    <s v="EGY"/>
    <s v="Egypt"/>
    <s v="M"/>
    <s v="Import"/>
    <n v="300"/>
    <s v="GRC"/>
    <x v="20"/>
    <n v="0"/>
    <s v="W00"/>
    <s v="World"/>
    <s v="H6"/>
    <s v="HS"/>
    <b v="1"/>
    <s v="392329"/>
    <s v="Plastics; sacks and bags (including cones), for the conveyance or packing of goods, of plastics other than ethylene polymers"/>
    <n v="6"/>
    <b v="1"/>
    <s v="C00"/>
    <s v="TOTAL CPC"/>
    <s v="0"/>
    <n v="0"/>
    <s v="TOTAL MOT"/>
    <n v="8"/>
    <s v="kg"/>
    <n v="10.872999999999999"/>
    <b v="1"/>
    <n v="-1"/>
    <s v="N/A"/>
    <n v="0"/>
    <b v="0"/>
    <n v="10.872999999999999"/>
    <b v="1"/>
    <n v="0"/>
    <b v="0"/>
    <n v="69.447999999999993"/>
    <m/>
    <n v="69.447999999999993"/>
    <n v="6"/>
    <b v="1"/>
    <b v="0"/>
  </r>
  <r>
    <s v="C"/>
    <s v="M"/>
    <n v="20231001"/>
    <x v="0"/>
    <x v="3"/>
    <s v="202310"/>
    <n v="818"/>
    <s v="EGY"/>
    <s v="Egypt"/>
    <s v="M"/>
    <s v="Import"/>
    <n v="348"/>
    <s v="HUN"/>
    <x v="27"/>
    <n v="0"/>
    <s v="W00"/>
    <s v="World"/>
    <s v="H6"/>
    <s v="HS"/>
    <b v="1"/>
    <s v="392329"/>
    <s v="Plastics; sacks and bags (including cones), for the conveyance or packing of goods, of plastics other than ethylene polymers"/>
    <n v="6"/>
    <b v="1"/>
    <s v="C00"/>
    <s v="TOTAL CPC"/>
    <s v="0"/>
    <n v="0"/>
    <s v="TOTAL MOT"/>
    <n v="8"/>
    <s v="kg"/>
    <n v="170.66"/>
    <b v="1"/>
    <n v="-1"/>
    <s v="N/A"/>
    <n v="0"/>
    <b v="0"/>
    <n v="170.66"/>
    <b v="1"/>
    <n v="0"/>
    <b v="0"/>
    <n v="1090.0350000000001"/>
    <m/>
    <n v="1090.0350000000001"/>
    <n v="6"/>
    <b v="1"/>
    <b v="0"/>
  </r>
  <r>
    <s v="C"/>
    <s v="M"/>
    <n v="20231001"/>
    <x v="0"/>
    <x v="3"/>
    <s v="202310"/>
    <n v="818"/>
    <s v="EGY"/>
    <s v="Egypt"/>
    <s v="M"/>
    <s v="Import"/>
    <n v="376"/>
    <s v="ISR"/>
    <x v="21"/>
    <n v="0"/>
    <s v="W00"/>
    <s v="World"/>
    <s v="H6"/>
    <s v="HS"/>
    <b v="1"/>
    <s v="392329"/>
    <s v="Plastics; sacks and bags (including cones), for the conveyance or packing of goods, of plastics other than ethylene polymers"/>
    <n v="6"/>
    <b v="1"/>
    <s v="C00"/>
    <s v="TOTAL CPC"/>
    <s v="0"/>
    <n v="0"/>
    <s v="TOTAL MOT"/>
    <n v="8"/>
    <s v="kg"/>
    <n v="11915.27"/>
    <b v="1"/>
    <n v="-1"/>
    <s v="N/A"/>
    <n v="0"/>
    <b v="0"/>
    <n v="11915.27"/>
    <b v="1"/>
    <n v="0"/>
    <b v="0"/>
    <n v="76104.983999999997"/>
    <m/>
    <n v="76104.983999999997"/>
    <n v="6"/>
    <b v="1"/>
    <b v="0"/>
  </r>
  <r>
    <s v="C"/>
    <s v="M"/>
    <n v="20231001"/>
    <x v="0"/>
    <x v="3"/>
    <s v="202310"/>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17877.181"/>
    <b v="1"/>
    <n v="-1"/>
    <s v="N/A"/>
    <n v="0"/>
    <b v="0"/>
    <n v="17877.181"/>
    <b v="1"/>
    <n v="0"/>
    <b v="0"/>
    <n v="114184.789"/>
    <m/>
    <n v="114184.789"/>
    <n v="6"/>
    <b v="1"/>
    <b v="0"/>
  </r>
  <r>
    <s v="C"/>
    <s v="M"/>
    <n v="20231001"/>
    <x v="0"/>
    <x v="3"/>
    <s v="202310"/>
    <n v="818"/>
    <s v="EGY"/>
    <s v="Egypt"/>
    <s v="M"/>
    <s v="Import"/>
    <n v="400"/>
    <s v="JOR"/>
    <x v="22"/>
    <n v="0"/>
    <s v="W00"/>
    <s v="World"/>
    <s v="H6"/>
    <s v="HS"/>
    <b v="1"/>
    <s v="392329"/>
    <s v="Plastics; sacks and bags (including cones), for the conveyance or packing of goods, of plastics other than ethylene polymers"/>
    <n v="6"/>
    <b v="1"/>
    <s v="C00"/>
    <s v="TOTAL CPC"/>
    <s v="0"/>
    <n v="0"/>
    <s v="TOTAL MOT"/>
    <n v="8"/>
    <s v="kg"/>
    <n v="9688.4779999999992"/>
    <b v="1"/>
    <n v="-1"/>
    <s v="N/A"/>
    <n v="0"/>
    <b v="0"/>
    <n v="9688.4779999999992"/>
    <b v="1"/>
    <n v="0"/>
    <b v="0"/>
    <n v="61882.063000000002"/>
    <m/>
    <n v="61882.063000000002"/>
    <n v="6"/>
    <b v="1"/>
    <b v="0"/>
  </r>
  <r>
    <s v="C"/>
    <s v="M"/>
    <n v="20231001"/>
    <x v="0"/>
    <x v="3"/>
    <s v="202310"/>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7025.5929999999998"/>
    <b v="1"/>
    <n v="-1"/>
    <s v="N/A"/>
    <n v="0"/>
    <b v="0"/>
    <n v="7025.5929999999998"/>
    <b v="1"/>
    <n v="0"/>
    <b v="0"/>
    <n v="44873.731"/>
    <m/>
    <n v="44873.731"/>
    <n v="6"/>
    <b v="1"/>
    <b v="0"/>
  </r>
  <r>
    <s v="C"/>
    <s v="M"/>
    <n v="20231001"/>
    <x v="0"/>
    <x v="3"/>
    <s v="202310"/>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56.023000000000003"/>
    <b v="1"/>
    <n v="-1"/>
    <s v="N/A"/>
    <n v="0"/>
    <b v="0"/>
    <n v="56.023000000000003"/>
    <b v="1"/>
    <n v="0"/>
    <b v="0"/>
    <n v="357.82900000000001"/>
    <m/>
    <n v="357.82900000000001"/>
    <n v="6"/>
    <b v="1"/>
    <b v="0"/>
  </r>
  <r>
    <s v="C"/>
    <s v="M"/>
    <n v="20231001"/>
    <x v="0"/>
    <x v="3"/>
    <s v="202310"/>
    <n v="818"/>
    <s v="EGY"/>
    <s v="Egypt"/>
    <s v="M"/>
    <s v="Import"/>
    <n v="643"/>
    <s v="RUS"/>
    <x v="28"/>
    <n v="0"/>
    <s v="W00"/>
    <s v="World"/>
    <s v="H6"/>
    <s v="HS"/>
    <b v="1"/>
    <s v="392329"/>
    <s v="Plastics; sacks and bags (including cones), for the conveyance or packing of goods, of plastics other than ethylene polymers"/>
    <n v="6"/>
    <b v="1"/>
    <s v="C00"/>
    <s v="TOTAL CPC"/>
    <s v="0"/>
    <n v="0"/>
    <s v="TOTAL MOT"/>
    <n v="8"/>
    <s v="kg"/>
    <n v="1586.9469999999999"/>
    <b v="1"/>
    <n v="-1"/>
    <s v="N/A"/>
    <n v="0"/>
    <b v="0"/>
    <n v="1586.9469999999999"/>
    <b v="1"/>
    <n v="0"/>
    <b v="0"/>
    <n v="10136.117"/>
    <m/>
    <n v="10136.117"/>
    <n v="6"/>
    <b v="1"/>
    <b v="0"/>
  </r>
  <r>
    <s v="C"/>
    <s v="M"/>
    <n v="20231001"/>
    <x v="0"/>
    <x v="3"/>
    <s v="202310"/>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0.93899999999999995"/>
    <b v="1"/>
    <n v="-1"/>
    <s v="N/A"/>
    <n v="0"/>
    <b v="0"/>
    <n v="0.93899999999999995"/>
    <b v="1"/>
    <n v="0"/>
    <b v="0"/>
    <n v="6"/>
    <m/>
    <n v="6"/>
    <n v="6"/>
    <b v="1"/>
    <b v="0"/>
  </r>
  <r>
    <s v="C"/>
    <s v="M"/>
    <n v="20231001"/>
    <x v="0"/>
    <x v="3"/>
    <s v="202310"/>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311.2950000000001"/>
    <b v="1"/>
    <n v="-1"/>
    <s v="N/A"/>
    <n v="0"/>
    <b v="0"/>
    <n v="2311.2950000000001"/>
    <b v="1"/>
    <n v="0"/>
    <b v="0"/>
    <n v="14762.66"/>
    <m/>
    <n v="14762.66"/>
    <n v="6"/>
    <b v="1"/>
    <b v="0"/>
  </r>
  <r>
    <s v="C"/>
    <s v="M"/>
    <n v="20231001"/>
    <x v="0"/>
    <x v="3"/>
    <s v="202310"/>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6819.7049999999999"/>
    <b v="1"/>
    <n v="-1"/>
    <s v="N/A"/>
    <n v="0"/>
    <b v="0"/>
    <n v="6819.7049999999999"/>
    <b v="1"/>
    <n v="0"/>
    <b v="0"/>
    <n v="43558.688000000002"/>
    <m/>
    <n v="43558.688000000002"/>
    <n v="6"/>
    <b v="1"/>
    <b v="0"/>
  </r>
  <r>
    <s v="C"/>
    <s v="M"/>
    <n v="20231001"/>
    <x v="0"/>
    <x v="3"/>
    <s v="202310"/>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2938.6120000000001"/>
    <b v="1"/>
    <n v="-1"/>
    <s v="N/A"/>
    <n v="0"/>
    <b v="0"/>
    <n v="2938.6120000000001"/>
    <b v="1"/>
    <n v="0"/>
    <b v="0"/>
    <n v="18769.446"/>
    <m/>
    <n v="18769.446"/>
    <n v="6"/>
    <b v="1"/>
    <b v="0"/>
  </r>
  <r>
    <s v="C"/>
    <s v="M"/>
    <n v="20231001"/>
    <x v="0"/>
    <x v="3"/>
    <s v="202310"/>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2.8029999999999999"/>
    <b v="1"/>
    <n v="-1"/>
    <s v="N/A"/>
    <n v="0"/>
    <b v="0"/>
    <n v="2.8029999999999999"/>
    <b v="1"/>
    <n v="0"/>
    <b v="0"/>
    <n v="17.904"/>
    <m/>
    <n v="17.904"/>
    <n v="6"/>
    <b v="1"/>
    <b v="0"/>
  </r>
  <r>
    <s v="C"/>
    <s v="M"/>
    <n v="20231101"/>
    <x v="0"/>
    <x v="4"/>
    <s v="202311"/>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68226.53"/>
    <b v="1"/>
    <n v="-1"/>
    <s v="N/A"/>
    <n v="0"/>
    <b v="0"/>
    <n v="68226.53"/>
    <b v="1"/>
    <n v="0"/>
    <b v="0"/>
    <n v="435775.17599999998"/>
    <m/>
    <n v="435775.17599999998"/>
    <n v="6"/>
    <b v="0"/>
    <b v="1"/>
  </r>
  <r>
    <s v="C"/>
    <s v="M"/>
    <n v="20231101"/>
    <x v="0"/>
    <x v="4"/>
    <s v="202311"/>
    <n v="818"/>
    <s v="EGY"/>
    <s v="Egypt"/>
    <s v="M"/>
    <s v="Import"/>
    <n v="40"/>
    <s v="AUT"/>
    <x v="17"/>
    <n v="0"/>
    <s v="W00"/>
    <s v="World"/>
    <s v="H6"/>
    <s v="HS"/>
    <b v="1"/>
    <s v="392329"/>
    <s v="Plastics; sacks and bags (including cones), for the conveyance or packing of goods, of plastics other than ethylene polymers"/>
    <n v="6"/>
    <b v="1"/>
    <s v="C00"/>
    <s v="TOTAL CPC"/>
    <s v="0"/>
    <n v="0"/>
    <s v="TOTAL MOT"/>
    <n v="8"/>
    <s v="kg"/>
    <n v="2712.2890000000002"/>
    <b v="1"/>
    <n v="-1"/>
    <s v="N/A"/>
    <n v="0"/>
    <b v="0"/>
    <n v="2712.2890000000002"/>
    <b v="1"/>
    <n v="0"/>
    <b v="0"/>
    <n v="17323.879000000001"/>
    <m/>
    <n v="17323.879000000001"/>
    <n v="6"/>
    <b v="1"/>
    <b v="0"/>
  </r>
  <r>
    <s v="C"/>
    <s v="M"/>
    <n v="20231101"/>
    <x v="0"/>
    <x v="4"/>
    <s v="202311"/>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407.70800000000003"/>
    <b v="1"/>
    <n v="-1"/>
    <s v="N/A"/>
    <n v="0"/>
    <b v="0"/>
    <n v="407.70800000000003"/>
    <b v="1"/>
    <n v="0"/>
    <b v="0"/>
    <n v="2604.1030000000001"/>
    <m/>
    <n v="2604.1030000000001"/>
    <n v="6"/>
    <b v="1"/>
    <b v="0"/>
  </r>
  <r>
    <s v="C"/>
    <s v="M"/>
    <n v="20231101"/>
    <x v="0"/>
    <x v="4"/>
    <s v="202311"/>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14752.081"/>
    <b v="1"/>
    <n v="-1"/>
    <s v="N/A"/>
    <n v="0"/>
    <b v="0"/>
    <n v="14752.081"/>
    <b v="1"/>
    <n v="0"/>
    <b v="0"/>
    <n v="94224.21"/>
    <m/>
    <n v="94224.21"/>
    <n v="6"/>
    <b v="1"/>
    <b v="0"/>
  </r>
  <r>
    <s v="C"/>
    <s v="M"/>
    <n v="20231101"/>
    <x v="0"/>
    <x v="4"/>
    <s v="202311"/>
    <n v="818"/>
    <s v="EGY"/>
    <s v="Egypt"/>
    <s v="M"/>
    <s v="Import"/>
    <n v="208"/>
    <s v="DNK"/>
    <x v="29"/>
    <n v="0"/>
    <s v="W00"/>
    <s v="World"/>
    <s v="H6"/>
    <s v="HS"/>
    <b v="1"/>
    <s v="392329"/>
    <s v="Plastics; sacks and bags (including cones), for the conveyance or packing of goods, of plastics other than ethylene polymers"/>
    <n v="6"/>
    <b v="1"/>
    <s v="C00"/>
    <s v="TOTAL CPC"/>
    <s v="0"/>
    <n v="0"/>
    <s v="TOTAL MOT"/>
    <n v="8"/>
    <s v="kg"/>
    <n v="6.5709999999999997"/>
    <b v="1"/>
    <n v="-1"/>
    <s v="N/A"/>
    <n v="0"/>
    <b v="0"/>
    <n v="6.5709999999999997"/>
    <b v="1"/>
    <n v="0"/>
    <b v="0"/>
    <n v="41.968000000000004"/>
    <m/>
    <n v="41.968000000000004"/>
    <n v="6"/>
    <b v="1"/>
    <b v="0"/>
  </r>
  <r>
    <s v="C"/>
    <s v="M"/>
    <n v="20231101"/>
    <x v="0"/>
    <x v="4"/>
    <s v="202311"/>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54.618000000000002"/>
    <b v="1"/>
    <n v="-1"/>
    <s v="N/A"/>
    <n v="0"/>
    <b v="0"/>
    <n v="54.618000000000002"/>
    <b v="1"/>
    <n v="0"/>
    <b v="0"/>
    <n v="348.85300000000001"/>
    <m/>
    <n v="348.85300000000001"/>
    <n v="6"/>
    <b v="1"/>
    <b v="0"/>
  </r>
  <r>
    <s v="C"/>
    <s v="M"/>
    <n v="20231101"/>
    <x v="0"/>
    <x v="4"/>
    <s v="202311"/>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3292.547"/>
    <b v="1"/>
    <n v="-1"/>
    <s v="N/A"/>
    <n v="0"/>
    <b v="0"/>
    <n v="3292.547"/>
    <b v="1"/>
    <n v="0"/>
    <b v="0"/>
    <n v="21030.094000000001"/>
    <m/>
    <n v="21030.094000000001"/>
    <n v="6"/>
    <b v="1"/>
    <b v="0"/>
  </r>
  <r>
    <s v="C"/>
    <s v="M"/>
    <n v="20231101"/>
    <x v="0"/>
    <x v="4"/>
    <s v="202311"/>
    <n v="818"/>
    <s v="EGY"/>
    <s v="Egypt"/>
    <s v="M"/>
    <s v="Import"/>
    <n v="376"/>
    <s v="ISR"/>
    <x v="21"/>
    <n v="0"/>
    <s v="W00"/>
    <s v="World"/>
    <s v="H6"/>
    <s v="HS"/>
    <b v="1"/>
    <s v="392329"/>
    <s v="Plastics; sacks and bags (including cones), for the conveyance or packing of goods, of plastics other than ethylene polymers"/>
    <n v="6"/>
    <b v="1"/>
    <s v="C00"/>
    <s v="TOTAL CPC"/>
    <s v="0"/>
    <n v="0"/>
    <s v="TOTAL MOT"/>
    <n v="8"/>
    <s v="kg"/>
    <n v="9838.8140000000003"/>
    <b v="1"/>
    <n v="-1"/>
    <s v="N/A"/>
    <n v="0"/>
    <b v="0"/>
    <n v="9838.8140000000003"/>
    <b v="1"/>
    <n v="0"/>
    <b v="0"/>
    <n v="62842.281000000003"/>
    <m/>
    <n v="62842.281000000003"/>
    <n v="6"/>
    <b v="1"/>
    <b v="0"/>
  </r>
  <r>
    <s v="C"/>
    <s v="M"/>
    <n v="20231101"/>
    <x v="0"/>
    <x v="4"/>
    <s v="202311"/>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16130.489"/>
    <b v="1"/>
    <n v="-1"/>
    <s v="N/A"/>
    <n v="0"/>
    <b v="0"/>
    <n v="16130.489"/>
    <b v="1"/>
    <n v="0"/>
    <b v="0"/>
    <n v="103028.34600000001"/>
    <m/>
    <n v="103028.34600000001"/>
    <n v="6"/>
    <b v="1"/>
    <b v="0"/>
  </r>
  <r>
    <s v="C"/>
    <s v="M"/>
    <n v="20231101"/>
    <x v="0"/>
    <x v="4"/>
    <s v="202311"/>
    <n v="818"/>
    <s v="EGY"/>
    <s v="Egypt"/>
    <s v="M"/>
    <s v="Import"/>
    <n v="586"/>
    <s v="PAK"/>
    <x v="30"/>
    <n v="0"/>
    <s v="W00"/>
    <s v="World"/>
    <s v="H6"/>
    <s v="HS"/>
    <b v="1"/>
    <s v="392329"/>
    <s v="Plastics; sacks and bags (including cones), for the conveyance or packing of goods, of plastics other than ethylene polymers"/>
    <n v="6"/>
    <b v="1"/>
    <s v="C00"/>
    <s v="TOTAL CPC"/>
    <s v="0"/>
    <n v="0"/>
    <s v="TOTAL MOT"/>
    <n v="8"/>
    <s v="kg"/>
    <n v="171.94499999999999"/>
    <b v="1"/>
    <n v="-1"/>
    <s v="N/A"/>
    <n v="0"/>
    <b v="0"/>
    <n v="171.94499999999999"/>
    <b v="1"/>
    <n v="0"/>
    <b v="0"/>
    <n v="1098.241"/>
    <m/>
    <n v="1098.241"/>
    <n v="6"/>
    <b v="1"/>
    <b v="0"/>
  </r>
  <r>
    <s v="C"/>
    <s v="M"/>
    <n v="20231101"/>
    <x v="0"/>
    <x v="4"/>
    <s v="202311"/>
    <n v="818"/>
    <s v="EGY"/>
    <s v="Egypt"/>
    <s v="M"/>
    <s v="Import"/>
    <n v="620"/>
    <s v="PRT"/>
    <x v="31"/>
    <n v="0"/>
    <s v="W00"/>
    <s v="World"/>
    <s v="H6"/>
    <s v="HS"/>
    <b v="1"/>
    <s v="392329"/>
    <s v="Plastics; sacks and bags (including cones), for the conveyance or packing of goods, of plastics other than ethylene polymers"/>
    <n v="6"/>
    <b v="1"/>
    <s v="C00"/>
    <s v="TOTAL CPC"/>
    <s v="0"/>
    <n v="0"/>
    <s v="TOTAL MOT"/>
    <n v="8"/>
    <s v="kg"/>
    <n v="965.31700000000001"/>
    <b v="1"/>
    <n v="-1"/>
    <s v="N/A"/>
    <n v="0"/>
    <b v="0"/>
    <n v="965.31700000000001"/>
    <b v="1"/>
    <n v="0"/>
    <b v="0"/>
    <n v="6165.6540000000005"/>
    <m/>
    <n v="6165.6540000000005"/>
    <n v="6"/>
    <b v="1"/>
    <b v="0"/>
  </r>
  <r>
    <s v="C"/>
    <s v="M"/>
    <n v="20231101"/>
    <x v="0"/>
    <x v="4"/>
    <s v="202311"/>
    <n v="818"/>
    <s v="EGY"/>
    <s v="Egypt"/>
    <s v="M"/>
    <s v="Import"/>
    <n v="643"/>
    <s v="RUS"/>
    <x v="28"/>
    <n v="0"/>
    <s v="W00"/>
    <s v="World"/>
    <s v="H6"/>
    <s v="HS"/>
    <b v="1"/>
    <s v="392329"/>
    <s v="Plastics; sacks and bags (including cones), for the conveyance or packing of goods, of plastics other than ethylene polymers"/>
    <n v="6"/>
    <b v="1"/>
    <s v="C00"/>
    <s v="TOTAL CPC"/>
    <s v="0"/>
    <n v="0"/>
    <s v="TOTAL MOT"/>
    <n v="8"/>
    <s v="kg"/>
    <n v="31.939"/>
    <b v="1"/>
    <n v="-1"/>
    <s v="N/A"/>
    <n v="0"/>
    <b v="0"/>
    <n v="31.939"/>
    <b v="1"/>
    <n v="0"/>
    <b v="0"/>
    <n v="204"/>
    <m/>
    <n v="204"/>
    <n v="6"/>
    <b v="1"/>
    <b v="0"/>
  </r>
  <r>
    <s v="C"/>
    <s v="M"/>
    <n v="20231101"/>
    <x v="0"/>
    <x v="4"/>
    <s v="202311"/>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402.767"/>
    <b v="1"/>
    <n v="-1"/>
    <s v="N/A"/>
    <n v="0"/>
    <b v="0"/>
    <n v="402.767"/>
    <b v="1"/>
    <n v="0"/>
    <b v="0"/>
    <n v="2572.5439999999999"/>
    <m/>
    <n v="2572.5439999999999"/>
    <n v="6"/>
    <b v="1"/>
    <b v="0"/>
  </r>
  <r>
    <s v="C"/>
    <s v="M"/>
    <n v="20231101"/>
    <x v="0"/>
    <x v="4"/>
    <s v="202311"/>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5916.7690000000002"/>
    <b v="1"/>
    <n v="-1"/>
    <s v="N/A"/>
    <n v="0"/>
    <b v="0"/>
    <n v="5916.7690000000002"/>
    <b v="1"/>
    <n v="0"/>
    <b v="0"/>
    <n v="37791.470999999998"/>
    <m/>
    <n v="37791.470999999998"/>
    <n v="6"/>
    <b v="1"/>
    <b v="0"/>
  </r>
  <r>
    <s v="C"/>
    <s v="M"/>
    <n v="20231101"/>
    <x v="0"/>
    <x v="4"/>
    <s v="202311"/>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13421.794"/>
    <b v="1"/>
    <n v="-1"/>
    <s v="N/A"/>
    <n v="0"/>
    <b v="0"/>
    <n v="13421.794"/>
    <b v="1"/>
    <n v="0"/>
    <b v="0"/>
    <n v="85727.426000000007"/>
    <m/>
    <n v="85727.426000000007"/>
    <n v="6"/>
    <b v="1"/>
    <b v="0"/>
  </r>
  <r>
    <s v="C"/>
    <s v="M"/>
    <n v="20231101"/>
    <x v="0"/>
    <x v="4"/>
    <s v="202311"/>
    <n v="818"/>
    <s v="EGY"/>
    <s v="Egypt"/>
    <s v="M"/>
    <s v="Import"/>
    <n v="826"/>
    <s v="GBR"/>
    <x v="32"/>
    <n v="0"/>
    <s v="W00"/>
    <s v="World"/>
    <s v="H6"/>
    <s v="HS"/>
    <b v="1"/>
    <s v="392329"/>
    <s v="Plastics; sacks and bags (including cones), for the conveyance or packing of goods, of plastics other than ethylene polymers"/>
    <n v="6"/>
    <b v="1"/>
    <s v="C00"/>
    <s v="TOTAL CPC"/>
    <s v="0"/>
    <n v="0"/>
    <s v="TOTAL MOT"/>
    <n v="8"/>
    <s v="kg"/>
    <n v="120.884"/>
    <b v="1"/>
    <n v="-1"/>
    <s v="N/A"/>
    <n v="0"/>
    <b v="0"/>
    <n v="120.884"/>
    <b v="1"/>
    <n v="0"/>
    <b v="0"/>
    <n v="772.10699999999997"/>
    <m/>
    <n v="772.10699999999997"/>
    <n v="6"/>
    <b v="1"/>
    <b v="0"/>
  </r>
  <r>
    <s v="C"/>
    <s v="M"/>
    <n v="20231201"/>
    <x v="0"/>
    <x v="5"/>
    <s v="202312"/>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10444.202"/>
    <b v="1"/>
    <n v="-1"/>
    <s v="N/A"/>
    <n v="0"/>
    <b v="0"/>
    <n v="110444.202"/>
    <b v="1"/>
    <n v="0"/>
    <b v="0"/>
    <n v="705427.07900000003"/>
    <m/>
    <n v="705427.07900000003"/>
    <n v="6"/>
    <b v="0"/>
    <b v="1"/>
  </r>
  <r>
    <s v="C"/>
    <s v="M"/>
    <n v="20231201"/>
    <x v="0"/>
    <x v="5"/>
    <s v="202312"/>
    <n v="818"/>
    <s v="EGY"/>
    <s v="Egypt"/>
    <s v="M"/>
    <s v="Import"/>
    <n v="56"/>
    <s v="BEL"/>
    <x v="26"/>
    <n v="0"/>
    <s v="W00"/>
    <s v="World"/>
    <s v="H6"/>
    <s v="HS"/>
    <b v="1"/>
    <s v="392329"/>
    <s v="Plastics; sacks and bags (including cones), for the conveyance or packing of goods, of plastics other than ethylene polymers"/>
    <n v="6"/>
    <b v="1"/>
    <s v="C00"/>
    <s v="TOTAL CPC"/>
    <s v="0"/>
    <n v="0"/>
    <s v="TOTAL MOT"/>
    <n v="8"/>
    <s v="kg"/>
    <n v="78.438000000000002"/>
    <b v="1"/>
    <n v="-1"/>
    <s v="N/A"/>
    <n v="0"/>
    <b v="0"/>
    <n v="78.438000000000002"/>
    <b v="1"/>
    <n v="0"/>
    <b v="0"/>
    <n v="501"/>
    <m/>
    <n v="501"/>
    <n v="6"/>
    <b v="1"/>
    <b v="0"/>
  </r>
  <r>
    <s v="C"/>
    <s v="M"/>
    <n v="20231201"/>
    <x v="0"/>
    <x v="5"/>
    <s v="202312"/>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269.0160000000001"/>
    <b v="1"/>
    <n v="-1"/>
    <s v="N/A"/>
    <n v="0"/>
    <b v="0"/>
    <n v="1269.0160000000001"/>
    <b v="1"/>
    <n v="0"/>
    <b v="0"/>
    <n v="8105.4359999999997"/>
    <m/>
    <n v="8105.4359999999997"/>
    <n v="6"/>
    <b v="1"/>
    <b v="0"/>
  </r>
  <r>
    <s v="C"/>
    <s v="M"/>
    <n v="20231201"/>
    <x v="0"/>
    <x v="5"/>
    <s v="202312"/>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12730.934999999999"/>
    <b v="1"/>
    <n v="-1"/>
    <s v="N/A"/>
    <n v="0"/>
    <b v="0"/>
    <n v="12730.934999999999"/>
    <b v="1"/>
    <n v="0"/>
    <b v="0"/>
    <n v="81314.782000000007"/>
    <m/>
    <n v="81314.782000000007"/>
    <n v="6"/>
    <b v="1"/>
    <b v="0"/>
  </r>
  <r>
    <s v="C"/>
    <s v="M"/>
    <n v="20231201"/>
    <x v="0"/>
    <x v="5"/>
    <s v="202312"/>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330.924"/>
    <b v="1"/>
    <n v="-1"/>
    <s v="N/A"/>
    <n v="0"/>
    <b v="0"/>
    <n v="1330.924"/>
    <b v="1"/>
    <n v="0"/>
    <b v="0"/>
    <n v="8500.8490000000002"/>
    <m/>
    <n v="8500.8490000000002"/>
    <n v="6"/>
    <b v="1"/>
    <b v="0"/>
  </r>
  <r>
    <s v="C"/>
    <s v="M"/>
    <n v="20231201"/>
    <x v="0"/>
    <x v="5"/>
    <s v="202312"/>
    <n v="818"/>
    <s v="EGY"/>
    <s v="Egypt"/>
    <s v="M"/>
    <s v="Import"/>
    <n v="276"/>
    <s v="DEU"/>
    <x v="19"/>
    <n v="0"/>
    <s v="W00"/>
    <s v="World"/>
    <s v="H6"/>
    <s v="HS"/>
    <b v="1"/>
    <s v="392329"/>
    <s v="Plastics; sacks and bags (including cones), for the conveyance or packing of goods, of plastics other than ethylene polymers"/>
    <n v="6"/>
    <b v="1"/>
    <s v="C00"/>
    <s v="TOTAL CPC"/>
    <s v="0"/>
    <n v="0"/>
    <s v="TOTAL MOT"/>
    <n v="8"/>
    <s v="kg"/>
    <n v="443.22300000000001"/>
    <b v="1"/>
    <n v="-1"/>
    <s v="N/A"/>
    <n v="0"/>
    <b v="0"/>
    <n v="443.22300000000001"/>
    <b v="1"/>
    <n v="0"/>
    <b v="0"/>
    <n v="2830.9450000000002"/>
    <m/>
    <n v="2830.9450000000002"/>
    <n v="6"/>
    <b v="1"/>
    <b v="0"/>
  </r>
  <r>
    <s v="C"/>
    <s v="M"/>
    <n v="20231201"/>
    <x v="0"/>
    <x v="5"/>
    <s v="202312"/>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5159.1289999999999"/>
    <b v="1"/>
    <n v="-1"/>
    <s v="N/A"/>
    <n v="0"/>
    <b v="0"/>
    <n v="5159.1289999999999"/>
    <b v="1"/>
    <n v="0"/>
    <b v="0"/>
    <n v="32952.292000000001"/>
    <m/>
    <n v="32952.292000000001"/>
    <n v="6"/>
    <b v="1"/>
    <b v="0"/>
  </r>
  <r>
    <s v="C"/>
    <s v="M"/>
    <n v="20231201"/>
    <x v="0"/>
    <x v="5"/>
    <s v="202312"/>
    <n v="818"/>
    <s v="EGY"/>
    <s v="Egypt"/>
    <s v="M"/>
    <s v="Import"/>
    <n v="348"/>
    <s v="HUN"/>
    <x v="27"/>
    <n v="0"/>
    <s v="W00"/>
    <s v="World"/>
    <s v="H6"/>
    <s v="HS"/>
    <b v="1"/>
    <s v="392329"/>
    <s v="Plastics; sacks and bags (including cones), for the conveyance or packing of goods, of plastics other than ethylene polymers"/>
    <n v="6"/>
    <b v="1"/>
    <s v="C00"/>
    <s v="TOTAL CPC"/>
    <s v="0"/>
    <n v="0"/>
    <s v="TOTAL MOT"/>
    <n v="8"/>
    <s v="kg"/>
    <n v="17463.358"/>
    <b v="1"/>
    <n v="-1"/>
    <s v="N/A"/>
    <n v="0"/>
    <b v="0"/>
    <n v="17463.358"/>
    <b v="1"/>
    <n v="0"/>
    <b v="0"/>
    <n v="111541.625"/>
    <m/>
    <n v="111541.625"/>
    <n v="6"/>
    <b v="1"/>
    <b v="0"/>
  </r>
  <r>
    <s v="C"/>
    <s v="M"/>
    <n v="20231201"/>
    <x v="0"/>
    <x v="5"/>
    <s v="202312"/>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22468.361000000001"/>
    <b v="1"/>
    <n v="-1"/>
    <s v="N/A"/>
    <n v="0"/>
    <b v="0"/>
    <n v="22468.361000000001"/>
    <b v="1"/>
    <n v="0"/>
    <b v="0"/>
    <n v="143509.48300000001"/>
    <m/>
    <n v="143509.48300000001"/>
    <n v="6"/>
    <b v="1"/>
    <b v="0"/>
  </r>
  <r>
    <s v="C"/>
    <s v="M"/>
    <n v="20231201"/>
    <x v="0"/>
    <x v="5"/>
    <s v="202312"/>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185.803"/>
    <b v="1"/>
    <n v="-1"/>
    <s v="N/A"/>
    <n v="0"/>
    <b v="0"/>
    <n v="185.803"/>
    <b v="1"/>
    <n v="0"/>
    <b v="0"/>
    <n v="1186.759"/>
    <m/>
    <n v="1186.759"/>
    <n v="6"/>
    <b v="1"/>
    <b v="0"/>
  </r>
  <r>
    <s v="C"/>
    <s v="M"/>
    <n v="20231201"/>
    <x v="0"/>
    <x v="5"/>
    <s v="202312"/>
    <n v="818"/>
    <s v="EGY"/>
    <s v="Egypt"/>
    <s v="M"/>
    <s v="Import"/>
    <n v="616"/>
    <s v="POL"/>
    <x v="33"/>
    <n v="0"/>
    <s v="W00"/>
    <s v="World"/>
    <s v="H6"/>
    <s v="HS"/>
    <b v="1"/>
    <s v="392329"/>
    <s v="Plastics; sacks and bags (including cones), for the conveyance or packing of goods, of plastics other than ethylene polymers"/>
    <n v="6"/>
    <b v="1"/>
    <s v="C00"/>
    <s v="TOTAL CPC"/>
    <s v="0"/>
    <n v="0"/>
    <s v="TOTAL MOT"/>
    <n v="8"/>
    <s v="kg"/>
    <n v="7566.7790000000005"/>
    <b v="1"/>
    <n v="-1"/>
    <s v="N/A"/>
    <n v="0"/>
    <b v="0"/>
    <n v="7566.7790000000005"/>
    <b v="1"/>
    <n v="0"/>
    <b v="0"/>
    <n v="48330.387000000002"/>
    <m/>
    <n v="48330.387000000002"/>
    <n v="6"/>
    <b v="1"/>
    <b v="0"/>
  </r>
  <r>
    <s v="C"/>
    <s v="M"/>
    <n v="20231201"/>
    <x v="0"/>
    <x v="5"/>
    <s v="202312"/>
    <n v="818"/>
    <s v="EGY"/>
    <s v="Egypt"/>
    <s v="M"/>
    <s v="Import"/>
    <n v="642"/>
    <s v="ROU"/>
    <x v="34"/>
    <n v="0"/>
    <s v="W00"/>
    <s v="World"/>
    <s v="H6"/>
    <s v="HS"/>
    <b v="1"/>
    <s v="392329"/>
    <s v="Plastics; sacks and bags (including cones), for the conveyance or packing of goods, of plastics other than ethylene polymers"/>
    <n v="6"/>
    <b v="1"/>
    <s v="C00"/>
    <s v="TOTAL CPC"/>
    <s v="0"/>
    <n v="0"/>
    <s v="TOTAL MOT"/>
    <n v="8"/>
    <s v="kg"/>
    <n v="12066.287"/>
    <b v="1"/>
    <n v="-1"/>
    <s v="N/A"/>
    <n v="0"/>
    <b v="0"/>
    <n v="12066.287"/>
    <b v="1"/>
    <n v="0"/>
    <b v="0"/>
    <n v="77069.554999999993"/>
    <m/>
    <n v="77069.554999999993"/>
    <n v="6"/>
    <b v="1"/>
    <b v="0"/>
  </r>
  <r>
    <s v="C"/>
    <s v="M"/>
    <n v="20231201"/>
    <x v="0"/>
    <x v="5"/>
    <s v="202312"/>
    <n v="818"/>
    <s v="EGY"/>
    <s v="Egypt"/>
    <s v="M"/>
    <s v="Import"/>
    <n v="643"/>
    <s v="RUS"/>
    <x v="28"/>
    <n v="0"/>
    <s v="W00"/>
    <s v="World"/>
    <s v="H6"/>
    <s v="HS"/>
    <b v="1"/>
    <s v="392329"/>
    <s v="Plastics; sacks and bags (including cones), for the conveyance or packing of goods, of plastics other than ethylene polymers"/>
    <n v="6"/>
    <b v="1"/>
    <s v="C00"/>
    <s v="TOTAL CPC"/>
    <s v="0"/>
    <n v="0"/>
    <s v="TOTAL MOT"/>
    <n v="8"/>
    <s v="kg"/>
    <n v="1996.13"/>
    <b v="1"/>
    <n v="-1"/>
    <s v="N/A"/>
    <n v="0"/>
    <b v="0"/>
    <n v="1996.13"/>
    <b v="1"/>
    <n v="0"/>
    <b v="0"/>
    <n v="12749.641"/>
    <m/>
    <n v="12749.641"/>
    <n v="6"/>
    <b v="1"/>
    <b v="0"/>
  </r>
  <r>
    <s v="C"/>
    <s v="M"/>
    <n v="20231201"/>
    <x v="0"/>
    <x v="5"/>
    <s v="202312"/>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3685.3040000000001"/>
    <b v="1"/>
    <n v="-1"/>
    <s v="N/A"/>
    <n v="0"/>
    <b v="0"/>
    <n v="3685.3040000000001"/>
    <b v="1"/>
    <n v="0"/>
    <b v="0"/>
    <n v="23538.705000000002"/>
    <m/>
    <n v="23538.705000000002"/>
    <n v="6"/>
    <b v="1"/>
    <b v="0"/>
  </r>
  <r>
    <s v="C"/>
    <s v="M"/>
    <n v="20231201"/>
    <x v="0"/>
    <x v="5"/>
    <s v="202312"/>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298.53699999999998"/>
    <b v="1"/>
    <n v="-1"/>
    <s v="N/A"/>
    <n v="0"/>
    <b v="0"/>
    <n v="298.53699999999998"/>
    <b v="1"/>
    <n v="0"/>
    <b v="0"/>
    <n v="1906.807"/>
    <m/>
    <n v="1906.807"/>
    <n v="6"/>
    <b v="1"/>
    <b v="0"/>
  </r>
  <r>
    <s v="C"/>
    <s v="M"/>
    <n v="20231201"/>
    <x v="0"/>
    <x v="5"/>
    <s v="202312"/>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183.672"/>
    <b v="1"/>
    <n v="-1"/>
    <s v="N/A"/>
    <n v="0"/>
    <b v="0"/>
    <n v="183.672"/>
    <b v="1"/>
    <n v="0"/>
    <b v="0"/>
    <n v="1173.1469999999999"/>
    <m/>
    <n v="1173.1469999999999"/>
    <n v="6"/>
    <b v="1"/>
    <b v="0"/>
  </r>
  <r>
    <s v="C"/>
    <s v="M"/>
    <n v="20231201"/>
    <x v="0"/>
    <x v="5"/>
    <s v="202312"/>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18828.174999999999"/>
    <b v="1"/>
    <n v="-1"/>
    <s v="N/A"/>
    <n v="0"/>
    <b v="0"/>
    <n v="18828.174999999999"/>
    <b v="1"/>
    <n v="0"/>
    <b v="0"/>
    <n v="120258.95699999999"/>
    <m/>
    <n v="120258.95699999999"/>
    <n v="6"/>
    <b v="1"/>
    <b v="0"/>
  </r>
  <r>
    <s v="C"/>
    <s v="M"/>
    <n v="20231201"/>
    <x v="0"/>
    <x v="5"/>
    <s v="202312"/>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4672.7240000000002"/>
    <b v="1"/>
    <n v="-1"/>
    <s v="N/A"/>
    <n v="0"/>
    <b v="0"/>
    <n v="4672.7240000000002"/>
    <b v="1"/>
    <n v="0"/>
    <b v="0"/>
    <n v="29845.53"/>
    <m/>
    <n v="29845.53"/>
    <n v="6"/>
    <b v="1"/>
    <b v="0"/>
  </r>
  <r>
    <s v="C"/>
    <s v="M"/>
    <n v="20231201"/>
    <x v="0"/>
    <x v="5"/>
    <s v="202312"/>
    <n v="818"/>
    <s v="EGY"/>
    <s v="Egypt"/>
    <s v="M"/>
    <s v="Import"/>
    <n v="826"/>
    <s v="GBR"/>
    <x v="32"/>
    <n v="0"/>
    <s v="W00"/>
    <s v="World"/>
    <s v="H6"/>
    <s v="HS"/>
    <b v="1"/>
    <s v="392329"/>
    <s v="Plastics; sacks and bags (including cones), for the conveyance or packing of goods, of plastics other than ethylene polymers"/>
    <n v="6"/>
    <b v="1"/>
    <s v="C00"/>
    <s v="TOTAL CPC"/>
    <s v="0"/>
    <n v="0"/>
    <s v="TOTAL MOT"/>
    <n v="8"/>
    <s v="kg"/>
    <n v="17.407"/>
    <b v="1"/>
    <n v="-1"/>
    <s v="N/A"/>
    <n v="0"/>
    <b v="0"/>
    <n v="17.407"/>
    <b v="1"/>
    <n v="0"/>
    <b v="0"/>
    <n v="111.18"/>
    <m/>
    <n v="111.18"/>
    <n v="6"/>
    <b v="1"/>
    <b v="0"/>
  </r>
  <r>
    <s v="C"/>
    <s v="M"/>
    <n v="20240101"/>
    <x v="1"/>
    <x v="6"/>
    <s v="202401"/>
    <n v="818"/>
    <s v="EGY"/>
    <s v="Egypt"/>
    <s v="M"/>
    <s v="Import"/>
    <n v="899"/>
    <s v="_X "/>
    <x v="25"/>
    <n v="0"/>
    <s v="W00"/>
    <s v="World"/>
    <s v="H6"/>
    <s v="HS"/>
    <b v="1"/>
    <s v="392329"/>
    <s v="Plastics; sacks and bags (including cones), for the conveyance or packing of goods, of plastics other than ethylene polymers"/>
    <n v="6"/>
    <b v="1"/>
    <s v="C00"/>
    <s v="TOTAL CPC"/>
    <s v="0"/>
    <n v="0"/>
    <s v="TOTAL MOT"/>
    <n v="8"/>
    <s v="kg"/>
    <n v="31.821999999999999"/>
    <b v="1"/>
    <n v="-1"/>
    <s v="N/A"/>
    <n v="0"/>
    <b v="0"/>
    <n v="31.821999999999999"/>
    <b v="1"/>
    <n v="0"/>
    <b v="0"/>
    <n v="203.25200000000001"/>
    <m/>
    <n v="203.25200000000001"/>
    <n v="6"/>
    <b v="1"/>
    <b v="0"/>
  </r>
  <r>
    <s v="C"/>
    <s v="M"/>
    <n v="20240101"/>
    <x v="1"/>
    <x v="6"/>
    <s v="202401"/>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5476.1949999999997"/>
    <b v="1"/>
    <n v="-1"/>
    <s v="N/A"/>
    <n v="0"/>
    <b v="0"/>
    <n v="5476.1949999999997"/>
    <b v="1"/>
    <n v="0"/>
    <b v="0"/>
    <n v="34977.444000000003"/>
    <m/>
    <n v="34977.444000000003"/>
    <n v="6"/>
    <b v="1"/>
    <b v="0"/>
  </r>
  <r>
    <s v="C"/>
    <s v="M"/>
    <n v="20240101"/>
    <x v="1"/>
    <x v="6"/>
    <s v="202401"/>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8613.6779999999999"/>
    <b v="1"/>
    <n v="-1"/>
    <s v="N/A"/>
    <n v="0"/>
    <b v="0"/>
    <n v="8613.6779999999999"/>
    <b v="1"/>
    <n v="0"/>
    <b v="0"/>
    <n v="55017.118000000002"/>
    <m/>
    <n v="55017.118000000002"/>
    <n v="6"/>
    <b v="1"/>
    <b v="0"/>
  </r>
  <r>
    <s v="C"/>
    <s v="M"/>
    <n v="20240101"/>
    <x v="1"/>
    <x v="6"/>
    <s v="202401"/>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4168.2849999999999"/>
    <b v="1"/>
    <n v="-1"/>
    <s v="N/A"/>
    <n v="0"/>
    <b v="0"/>
    <n v="4168.2849999999999"/>
    <b v="1"/>
    <n v="0"/>
    <b v="0"/>
    <n v="26623.589"/>
    <m/>
    <n v="26623.589"/>
    <n v="6"/>
    <b v="1"/>
    <b v="0"/>
  </r>
  <r>
    <s v="C"/>
    <s v="M"/>
    <n v="20240101"/>
    <x v="1"/>
    <x v="6"/>
    <s v="202401"/>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315.81400000000002"/>
    <b v="1"/>
    <n v="-1"/>
    <s v="N/A"/>
    <n v="0"/>
    <b v="0"/>
    <n v="315.81400000000002"/>
    <b v="1"/>
    <n v="0"/>
    <b v="0"/>
    <n v="2017.162"/>
    <m/>
    <n v="2017.162"/>
    <n v="6"/>
    <b v="1"/>
    <b v="0"/>
  </r>
  <r>
    <s v="C"/>
    <s v="M"/>
    <n v="20240101"/>
    <x v="1"/>
    <x v="6"/>
    <s v="202401"/>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552.15499999999997"/>
    <b v="1"/>
    <n v="-1"/>
    <s v="N/A"/>
    <n v="0"/>
    <b v="0"/>
    <n v="552.15499999999997"/>
    <b v="1"/>
    <n v="0"/>
    <b v="0"/>
    <n v="3526.7150000000001"/>
    <m/>
    <n v="3526.7150000000001"/>
    <n v="6"/>
    <b v="1"/>
    <b v="0"/>
  </r>
  <r>
    <s v="C"/>
    <s v="M"/>
    <n v="20240101"/>
    <x v="1"/>
    <x v="6"/>
    <s v="202401"/>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8092.56"/>
    <b v="1"/>
    <n v="-1"/>
    <s v="N/A"/>
    <n v="0"/>
    <b v="0"/>
    <n v="8092.56"/>
    <b v="1"/>
    <n v="0"/>
    <b v="0"/>
    <n v="51688.642999999996"/>
    <m/>
    <n v="51688.642999999996"/>
    <n v="6"/>
    <b v="1"/>
    <b v="0"/>
  </r>
  <r>
    <s v="C"/>
    <s v="M"/>
    <n v="20240101"/>
    <x v="1"/>
    <x v="6"/>
    <s v="202401"/>
    <n v="818"/>
    <s v="EGY"/>
    <s v="Egypt"/>
    <s v="M"/>
    <s v="Import"/>
    <n v="616"/>
    <s v="POL"/>
    <x v="33"/>
    <n v="0"/>
    <s v="W00"/>
    <s v="World"/>
    <s v="H6"/>
    <s v="HS"/>
    <b v="1"/>
    <s v="392329"/>
    <s v="Plastics; sacks and bags (including cones), for the conveyance or packing of goods, of plastics other than ethylene polymers"/>
    <n v="6"/>
    <b v="1"/>
    <s v="C00"/>
    <s v="TOTAL CPC"/>
    <s v="0"/>
    <n v="0"/>
    <s v="TOTAL MOT"/>
    <n v="8"/>
    <s v="kg"/>
    <n v="3536.9929999999999"/>
    <b v="1"/>
    <n v="-1"/>
    <s v="N/A"/>
    <n v="0"/>
    <b v="0"/>
    <n v="3536.9929999999999"/>
    <b v="1"/>
    <n v="0"/>
    <b v="0"/>
    <n v="22591.416000000001"/>
    <m/>
    <n v="22591.416000000001"/>
    <n v="6"/>
    <b v="1"/>
    <b v="0"/>
  </r>
  <r>
    <s v="C"/>
    <s v="M"/>
    <n v="20240101"/>
    <x v="1"/>
    <x v="6"/>
    <s v="202401"/>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44316.671999999999"/>
    <b v="1"/>
    <n v="-1"/>
    <s v="N/A"/>
    <n v="0"/>
    <b v="0"/>
    <n v="44316.671999999999"/>
    <b v="1"/>
    <n v="0"/>
    <b v="0"/>
    <n v="283058.59100000001"/>
    <m/>
    <n v="283058.59100000001"/>
    <n v="6"/>
    <b v="1"/>
    <b v="0"/>
  </r>
  <r>
    <s v="C"/>
    <s v="M"/>
    <n v="20240101"/>
    <x v="1"/>
    <x v="6"/>
    <s v="202401"/>
    <n v="818"/>
    <s v="EGY"/>
    <s v="Egypt"/>
    <s v="M"/>
    <s v="Import"/>
    <n v="422"/>
    <s v="LBN"/>
    <x v="35"/>
    <n v="0"/>
    <s v="W00"/>
    <s v="World"/>
    <s v="H6"/>
    <s v="HS"/>
    <b v="1"/>
    <s v="392329"/>
    <s v="Plastics; sacks and bags (including cones), for the conveyance or packing of goods, of plastics other than ethylene polymers"/>
    <n v="6"/>
    <b v="1"/>
    <s v="C00"/>
    <s v="TOTAL CPC"/>
    <s v="0"/>
    <n v="0"/>
    <s v="TOTAL MOT"/>
    <n v="8"/>
    <s v="kg"/>
    <n v="2136.3809999999999"/>
    <b v="1"/>
    <n v="-1"/>
    <s v="N/A"/>
    <n v="0"/>
    <b v="0"/>
    <n v="2136.3809999999999"/>
    <b v="1"/>
    <n v="0"/>
    <b v="0"/>
    <n v="13645.451999999999"/>
    <m/>
    <n v="13645.451999999999"/>
    <n v="6"/>
    <b v="1"/>
    <b v="0"/>
  </r>
  <r>
    <s v="C"/>
    <s v="M"/>
    <n v="20240101"/>
    <x v="1"/>
    <x v="6"/>
    <s v="202401"/>
    <n v="818"/>
    <s v="EGY"/>
    <s v="Egypt"/>
    <s v="M"/>
    <s v="Import"/>
    <n v="300"/>
    <s v="GRC"/>
    <x v="20"/>
    <n v="0"/>
    <s v="W00"/>
    <s v="World"/>
    <s v="H6"/>
    <s v="HS"/>
    <b v="1"/>
    <s v="392329"/>
    <s v="Plastics; sacks and bags (including cones), for the conveyance or packing of goods, of plastics other than ethylene polymers"/>
    <n v="6"/>
    <b v="1"/>
    <s v="C00"/>
    <s v="TOTAL CPC"/>
    <s v="0"/>
    <n v="0"/>
    <s v="TOTAL MOT"/>
    <n v="8"/>
    <s v="kg"/>
    <n v="124.758"/>
    <b v="1"/>
    <n v="-1"/>
    <s v="N/A"/>
    <n v="0"/>
    <b v="0"/>
    <n v="124.758"/>
    <b v="1"/>
    <n v="0"/>
    <b v="0"/>
    <n v="796.851"/>
    <m/>
    <n v="796.851"/>
    <n v="6"/>
    <b v="1"/>
    <b v="0"/>
  </r>
  <r>
    <s v="C"/>
    <s v="M"/>
    <n v="20240101"/>
    <x v="1"/>
    <x v="6"/>
    <s v="202401"/>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96.257000000000005"/>
    <b v="1"/>
    <n v="-1"/>
    <s v="N/A"/>
    <n v="0"/>
    <b v="0"/>
    <n v="96.257000000000005"/>
    <b v="1"/>
    <n v="0"/>
    <b v="0"/>
    <n v="614.80999999999995"/>
    <m/>
    <n v="614.80999999999995"/>
    <n v="6"/>
    <b v="1"/>
    <b v="0"/>
  </r>
  <r>
    <s v="C"/>
    <s v="M"/>
    <n v="20240101"/>
    <x v="1"/>
    <x v="6"/>
    <s v="202401"/>
    <n v="818"/>
    <s v="EGY"/>
    <s v="Egypt"/>
    <s v="M"/>
    <s v="Import"/>
    <n v="372"/>
    <s v="IRL"/>
    <x v="36"/>
    <n v="0"/>
    <s v="W00"/>
    <s v="World"/>
    <s v="H6"/>
    <s v="HS"/>
    <b v="1"/>
    <s v="392329"/>
    <s v="Plastics; sacks and bags (including cones), for the conveyance or packing of goods, of plastics other than ethylene polymers"/>
    <n v="6"/>
    <b v="1"/>
    <s v="C00"/>
    <s v="TOTAL CPC"/>
    <s v="0"/>
    <n v="0"/>
    <s v="TOTAL MOT"/>
    <n v="8"/>
    <s v="kg"/>
    <n v="4198.3220000000001"/>
    <b v="1"/>
    <n v="-1"/>
    <s v="N/A"/>
    <n v="0"/>
    <b v="0"/>
    <n v="4198.3220000000001"/>
    <b v="1"/>
    <n v="0"/>
    <b v="0"/>
    <n v="26815.439999999999"/>
    <m/>
    <n v="26815.439999999999"/>
    <n v="6"/>
    <b v="1"/>
    <b v="0"/>
  </r>
  <r>
    <s v="C"/>
    <s v="M"/>
    <n v="20240101"/>
    <x v="1"/>
    <x v="6"/>
    <s v="202401"/>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92.799000000000007"/>
    <b v="1"/>
    <n v="-1"/>
    <s v="N/A"/>
    <n v="0"/>
    <b v="0"/>
    <n v="92.799000000000007"/>
    <b v="1"/>
    <n v="0"/>
    <b v="0"/>
    <n v="592.72199999999998"/>
    <m/>
    <n v="592.72199999999998"/>
    <n v="6"/>
    <b v="1"/>
    <b v="0"/>
  </r>
  <r>
    <s v="C"/>
    <s v="M"/>
    <n v="20240101"/>
    <x v="1"/>
    <x v="6"/>
    <s v="202401"/>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355.347"/>
    <b v="1"/>
    <n v="-1"/>
    <s v="N/A"/>
    <n v="0"/>
    <b v="0"/>
    <n v="1355.347"/>
    <b v="1"/>
    <n v="0"/>
    <b v="0"/>
    <n v="8656.8490000000002"/>
    <m/>
    <n v="8656.8490000000002"/>
    <n v="6"/>
    <b v="1"/>
    <b v="0"/>
  </r>
  <r>
    <s v="C"/>
    <s v="M"/>
    <n v="20240101"/>
    <x v="1"/>
    <x v="6"/>
    <s v="202401"/>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05343.128"/>
    <b v="1"/>
    <n v="-1"/>
    <s v="N/A"/>
    <n v="0"/>
    <b v="0"/>
    <n v="105343.128"/>
    <b v="1"/>
    <n v="0"/>
    <b v="0"/>
    <n v="672845.59499999997"/>
    <m/>
    <n v="672845.59499999997"/>
    <n v="6"/>
    <b v="0"/>
    <b v="1"/>
  </r>
  <r>
    <s v="C"/>
    <s v="M"/>
    <n v="20240101"/>
    <x v="1"/>
    <x v="6"/>
    <s v="202401"/>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22235.091"/>
    <b v="1"/>
    <n v="-1"/>
    <s v="N/A"/>
    <n v="0"/>
    <b v="0"/>
    <n v="22235.091"/>
    <b v="1"/>
    <n v="0"/>
    <b v="0"/>
    <n v="142019.54199999999"/>
    <m/>
    <n v="142019.54199999999"/>
    <n v="6"/>
    <b v="1"/>
    <b v="0"/>
  </r>
  <r>
    <s v="C"/>
    <s v="M"/>
    <n v="20240201"/>
    <x v="1"/>
    <x v="7"/>
    <s v="202402"/>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4.4470000000000001"/>
    <b v="1"/>
    <n v="-1"/>
    <s v="N/A"/>
    <n v="0"/>
    <b v="0"/>
    <n v="4.4470000000000001"/>
    <b v="1"/>
    <n v="0"/>
    <b v="0"/>
    <n v="28.402999999999999"/>
    <m/>
    <n v="28.402999999999999"/>
    <n v="6"/>
    <b v="1"/>
    <b v="0"/>
  </r>
  <r>
    <s v="C"/>
    <s v="M"/>
    <n v="20240201"/>
    <x v="1"/>
    <x v="7"/>
    <s v="202402"/>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34029.330999999998"/>
    <b v="1"/>
    <n v="-1"/>
    <s v="N/A"/>
    <n v="0"/>
    <b v="0"/>
    <n v="34029.330999999998"/>
    <b v="1"/>
    <n v="0"/>
    <b v="0"/>
    <n v="217351.48800000001"/>
    <m/>
    <n v="217351.48800000001"/>
    <n v="6"/>
    <b v="1"/>
    <b v="0"/>
  </r>
  <r>
    <s v="C"/>
    <s v="M"/>
    <n v="20240201"/>
    <x v="1"/>
    <x v="7"/>
    <s v="202402"/>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8418.1749999999993"/>
    <b v="1"/>
    <n v="-1"/>
    <s v="N/A"/>
    <n v="0"/>
    <b v="0"/>
    <n v="8418.1749999999993"/>
    <b v="1"/>
    <n v="0"/>
    <b v="0"/>
    <n v="53768.402999999998"/>
    <m/>
    <n v="53768.402999999998"/>
    <n v="6"/>
    <b v="1"/>
    <b v="0"/>
  </r>
  <r>
    <s v="C"/>
    <s v="M"/>
    <n v="20240201"/>
    <x v="1"/>
    <x v="7"/>
    <s v="202402"/>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12.643000000000001"/>
    <b v="1"/>
    <n v="-1"/>
    <s v="N/A"/>
    <n v="0"/>
    <b v="0"/>
    <n v="12.643000000000001"/>
    <b v="1"/>
    <n v="0"/>
    <b v="0"/>
    <n v="80.753"/>
    <m/>
    <n v="80.753"/>
    <n v="6"/>
    <b v="1"/>
    <b v="0"/>
  </r>
  <r>
    <s v="C"/>
    <s v="M"/>
    <n v="20240201"/>
    <x v="1"/>
    <x v="7"/>
    <s v="202402"/>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1048.204"/>
    <b v="1"/>
    <n v="-1"/>
    <s v="N/A"/>
    <n v="0"/>
    <b v="0"/>
    <n v="1048.204"/>
    <b v="1"/>
    <n v="0"/>
    <b v="0"/>
    <n v="6695.07"/>
    <m/>
    <n v="6695.07"/>
    <n v="6"/>
    <b v="1"/>
    <b v="0"/>
  </r>
  <r>
    <s v="C"/>
    <s v="M"/>
    <n v="20240201"/>
    <x v="1"/>
    <x v="7"/>
    <s v="202402"/>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5225.617999999999"/>
    <b v="1"/>
    <n v="-1"/>
    <s v="N/A"/>
    <n v="0"/>
    <b v="0"/>
    <n v="25225.617999999999"/>
    <b v="1"/>
    <n v="0"/>
    <b v="0"/>
    <n v="161120.579"/>
    <m/>
    <n v="161120.579"/>
    <n v="6"/>
    <b v="1"/>
    <b v="0"/>
  </r>
  <r>
    <s v="C"/>
    <s v="M"/>
    <n v="20240201"/>
    <x v="1"/>
    <x v="7"/>
    <s v="202402"/>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23227.279999999999"/>
    <b v="1"/>
    <n v="-1"/>
    <s v="N/A"/>
    <n v="0"/>
    <b v="0"/>
    <n v="23227.279999999999"/>
    <b v="1"/>
    <n v="0"/>
    <b v="0"/>
    <n v="148356.83199999999"/>
    <m/>
    <n v="148356.83199999999"/>
    <n v="6"/>
    <b v="1"/>
    <b v="0"/>
  </r>
  <r>
    <s v="C"/>
    <s v="M"/>
    <n v="20240201"/>
    <x v="1"/>
    <x v="7"/>
    <s v="202402"/>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449.84199999999998"/>
    <b v="1"/>
    <n v="-1"/>
    <s v="N/A"/>
    <n v="0"/>
    <b v="0"/>
    <n v="449.84199999999998"/>
    <b v="1"/>
    <n v="0"/>
    <b v="0"/>
    <n v="2873.223"/>
    <m/>
    <n v="2873.223"/>
    <n v="6"/>
    <b v="1"/>
    <b v="0"/>
  </r>
  <r>
    <s v="C"/>
    <s v="M"/>
    <n v="20240201"/>
    <x v="1"/>
    <x v="7"/>
    <s v="202402"/>
    <n v="818"/>
    <s v="EGY"/>
    <s v="Egypt"/>
    <s v="M"/>
    <s v="Import"/>
    <n v="404"/>
    <s v="KEN"/>
    <x v="37"/>
    <n v="0"/>
    <s v="W00"/>
    <s v="World"/>
    <s v="H6"/>
    <s v="HS"/>
    <b v="1"/>
    <s v="392329"/>
    <s v="Plastics; sacks and bags (including cones), for the conveyance or packing of goods, of plastics other than ethylene polymers"/>
    <n v="6"/>
    <b v="1"/>
    <s v="C00"/>
    <s v="TOTAL CPC"/>
    <s v="0"/>
    <n v="0"/>
    <s v="TOTAL MOT"/>
    <n v="8"/>
    <s v="kg"/>
    <n v="3.1469999999999998"/>
    <b v="1"/>
    <n v="-1"/>
    <s v="N/A"/>
    <n v="0"/>
    <b v="0"/>
    <n v="3.1469999999999998"/>
    <b v="1"/>
    <n v="0"/>
    <b v="0"/>
    <n v="20.100000000000001"/>
    <m/>
    <n v="20.100000000000001"/>
    <n v="6"/>
    <b v="1"/>
    <b v="0"/>
  </r>
  <r>
    <s v="C"/>
    <s v="M"/>
    <n v="20240201"/>
    <x v="1"/>
    <x v="7"/>
    <s v="202402"/>
    <n v="818"/>
    <s v="EGY"/>
    <s v="Egypt"/>
    <s v="M"/>
    <s v="Import"/>
    <n v="376"/>
    <s v="ISR"/>
    <x v="21"/>
    <n v="0"/>
    <s v="W00"/>
    <s v="World"/>
    <s v="H6"/>
    <s v="HS"/>
    <b v="1"/>
    <s v="392329"/>
    <s v="Plastics; sacks and bags (including cones), for the conveyance or packing of goods, of plastics other than ethylene polymers"/>
    <n v="6"/>
    <b v="1"/>
    <s v="C00"/>
    <s v="TOTAL CPC"/>
    <s v="0"/>
    <n v="0"/>
    <s v="TOTAL MOT"/>
    <n v="8"/>
    <s v="kg"/>
    <n v="9964.1659999999993"/>
    <b v="1"/>
    <n v="-1"/>
    <s v="N/A"/>
    <n v="0"/>
    <b v="0"/>
    <n v="9964.1659999999993"/>
    <b v="1"/>
    <n v="0"/>
    <b v="0"/>
    <n v="63642.93"/>
    <m/>
    <n v="63642.93"/>
    <n v="6"/>
    <b v="1"/>
    <b v="0"/>
  </r>
  <r>
    <s v="C"/>
    <s v="M"/>
    <n v="20240201"/>
    <x v="1"/>
    <x v="7"/>
    <s v="202402"/>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29714.654999999999"/>
    <b v="1"/>
    <n v="-1"/>
    <s v="N/A"/>
    <n v="0"/>
    <b v="0"/>
    <n v="29714.654999999999"/>
    <b v="1"/>
    <n v="0"/>
    <b v="0"/>
    <n v="189792.86900000001"/>
    <m/>
    <n v="189792.86900000001"/>
    <n v="6"/>
    <b v="1"/>
    <b v="0"/>
  </r>
  <r>
    <s v="C"/>
    <s v="M"/>
    <n v="20240201"/>
    <x v="1"/>
    <x v="7"/>
    <s v="202402"/>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562.7059999999999"/>
    <b v="1"/>
    <n v="-1"/>
    <s v="N/A"/>
    <n v="0"/>
    <b v="0"/>
    <n v="1562.7059999999999"/>
    <b v="1"/>
    <n v="0"/>
    <b v="0"/>
    <n v="9981.2870000000003"/>
    <m/>
    <n v="9981.2870000000003"/>
    <n v="6"/>
    <b v="1"/>
    <b v="0"/>
  </r>
  <r>
    <s v="C"/>
    <s v="M"/>
    <n v="20240201"/>
    <x v="1"/>
    <x v="7"/>
    <s v="202402"/>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18980.996999999999"/>
    <b v="1"/>
    <n v="-1"/>
    <s v="N/A"/>
    <n v="0"/>
    <b v="0"/>
    <n v="18980.996999999999"/>
    <b v="1"/>
    <n v="0"/>
    <b v="0"/>
    <n v="121235.061"/>
    <m/>
    <n v="121235.061"/>
    <n v="6"/>
    <b v="1"/>
    <b v="0"/>
  </r>
  <r>
    <s v="C"/>
    <s v="M"/>
    <n v="20240201"/>
    <x v="1"/>
    <x v="7"/>
    <s v="202402"/>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19.10299999999999"/>
    <b v="1"/>
    <n v="-1"/>
    <s v="N/A"/>
    <n v="0"/>
    <b v="0"/>
    <n v="119.10299999999999"/>
    <b v="1"/>
    <n v="0"/>
    <b v="0"/>
    <n v="760.73500000000001"/>
    <m/>
    <n v="760.73500000000001"/>
    <n v="6"/>
    <b v="1"/>
    <b v="0"/>
  </r>
  <r>
    <s v="C"/>
    <s v="M"/>
    <n v="20240201"/>
    <x v="1"/>
    <x v="7"/>
    <s v="202402"/>
    <n v="818"/>
    <s v="EGY"/>
    <s v="Egypt"/>
    <s v="M"/>
    <s v="Import"/>
    <n v="40"/>
    <s v="AUT"/>
    <x v="17"/>
    <n v="0"/>
    <s v="W00"/>
    <s v="World"/>
    <s v="H6"/>
    <s v="HS"/>
    <b v="1"/>
    <s v="392329"/>
    <s v="Plastics; sacks and bags (including cones), for the conveyance or packing of goods, of plastics other than ethylene polymers"/>
    <n v="6"/>
    <b v="1"/>
    <s v="C00"/>
    <s v="TOTAL CPC"/>
    <s v="0"/>
    <n v="0"/>
    <s v="TOTAL MOT"/>
    <n v="8"/>
    <s v="kg"/>
    <n v="2492.9180000000001"/>
    <b v="1"/>
    <n v="-1"/>
    <s v="N/A"/>
    <n v="0"/>
    <b v="0"/>
    <n v="2492.9180000000001"/>
    <b v="1"/>
    <n v="0"/>
    <b v="0"/>
    <n v="15922.717000000001"/>
    <m/>
    <n v="15922.717000000001"/>
    <n v="6"/>
    <b v="1"/>
    <b v="0"/>
  </r>
  <r>
    <s v="C"/>
    <s v="M"/>
    <n v="20240201"/>
    <x v="1"/>
    <x v="7"/>
    <s v="202402"/>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55989.04500000001"/>
    <b v="1"/>
    <n v="-1"/>
    <s v="N/A"/>
    <n v="0"/>
    <b v="0"/>
    <n v="155989.04500000001"/>
    <b v="1"/>
    <n v="0"/>
    <b v="0"/>
    <n v="996330.21699999995"/>
    <m/>
    <n v="996330.21699999995"/>
    <n v="6"/>
    <b v="0"/>
    <b v="1"/>
  </r>
  <r>
    <s v="C"/>
    <s v="M"/>
    <n v="20240201"/>
    <x v="1"/>
    <x v="7"/>
    <s v="202402"/>
    <n v="818"/>
    <s v="EGY"/>
    <s v="Egypt"/>
    <s v="M"/>
    <s v="Import"/>
    <n v="348"/>
    <s v="HUN"/>
    <x v="27"/>
    <n v="0"/>
    <s v="W00"/>
    <s v="World"/>
    <s v="H6"/>
    <s v="HS"/>
    <b v="1"/>
    <s v="392329"/>
    <s v="Plastics; sacks and bags (including cones), for the conveyance or packing of goods, of plastics other than ethylene polymers"/>
    <n v="6"/>
    <b v="1"/>
    <s v="C00"/>
    <s v="TOTAL CPC"/>
    <s v="0"/>
    <n v="0"/>
    <s v="TOTAL MOT"/>
    <n v="8"/>
    <s v="kg"/>
    <n v="735.81200000000001"/>
    <b v="1"/>
    <n v="-1"/>
    <s v="N/A"/>
    <n v="0"/>
    <b v="0"/>
    <n v="735.81200000000001"/>
    <b v="1"/>
    <n v="0"/>
    <b v="0"/>
    <n v="4699.7669999999998"/>
    <m/>
    <n v="4699.7669999999998"/>
    <n v="6"/>
    <b v="1"/>
    <b v="0"/>
  </r>
  <r>
    <s v="C"/>
    <s v="M"/>
    <n v="20240301"/>
    <x v="1"/>
    <x v="8"/>
    <s v="202403"/>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311.89299999999997"/>
    <b v="1"/>
    <n v="-1"/>
    <s v="N/A"/>
    <n v="0"/>
    <b v="0"/>
    <n v="311.89299999999997"/>
    <b v="1"/>
    <n v="0"/>
    <b v="0"/>
    <n v="1992.114"/>
    <m/>
    <n v="1992.114"/>
    <n v="6"/>
    <b v="1"/>
    <b v="0"/>
  </r>
  <r>
    <s v="C"/>
    <s v="M"/>
    <n v="20240301"/>
    <x v="1"/>
    <x v="8"/>
    <s v="202403"/>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1128.9939999999999"/>
    <b v="1"/>
    <n v="-1"/>
    <s v="N/A"/>
    <n v="0"/>
    <b v="0"/>
    <n v="1128.9939999999999"/>
    <b v="1"/>
    <n v="0"/>
    <b v="0"/>
    <n v="7211.0910000000003"/>
    <m/>
    <n v="7211.0910000000003"/>
    <n v="6"/>
    <b v="1"/>
    <b v="0"/>
  </r>
  <r>
    <s v="C"/>
    <s v="M"/>
    <n v="20240301"/>
    <x v="1"/>
    <x v="8"/>
    <s v="202403"/>
    <n v="818"/>
    <s v="EGY"/>
    <s v="Egypt"/>
    <s v="M"/>
    <s v="Import"/>
    <n v="276"/>
    <s v="DEU"/>
    <x v="19"/>
    <n v="0"/>
    <s v="W00"/>
    <s v="World"/>
    <s v="H6"/>
    <s v="HS"/>
    <b v="1"/>
    <s v="392329"/>
    <s v="Plastics; sacks and bags (including cones), for the conveyance or packing of goods, of plastics other than ethylene polymers"/>
    <n v="6"/>
    <b v="1"/>
    <s v="C00"/>
    <s v="TOTAL CPC"/>
    <s v="0"/>
    <n v="0"/>
    <s v="TOTAL MOT"/>
    <n v="8"/>
    <s v="kg"/>
    <n v="10.119"/>
    <b v="1"/>
    <n v="-1"/>
    <s v="N/A"/>
    <n v="0"/>
    <b v="0"/>
    <n v="10.119"/>
    <b v="1"/>
    <n v="0"/>
    <b v="0"/>
    <n v="64.635000000000005"/>
    <m/>
    <n v="64.635000000000005"/>
    <n v="6"/>
    <b v="1"/>
    <b v="0"/>
  </r>
  <r>
    <s v="C"/>
    <s v="M"/>
    <n v="20240301"/>
    <x v="1"/>
    <x v="8"/>
    <s v="202403"/>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931.71400000000006"/>
    <b v="1"/>
    <n v="-1"/>
    <s v="N/A"/>
    <n v="0"/>
    <b v="0"/>
    <n v="931.71400000000006"/>
    <b v="1"/>
    <n v="0"/>
    <b v="0"/>
    <n v="5951.0249999999996"/>
    <m/>
    <n v="5951.0249999999996"/>
    <n v="6"/>
    <b v="1"/>
    <b v="0"/>
  </r>
  <r>
    <s v="C"/>
    <s v="M"/>
    <n v="20240301"/>
    <x v="1"/>
    <x v="8"/>
    <s v="202403"/>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5712.6329999999998"/>
    <b v="1"/>
    <n v="-1"/>
    <s v="N/A"/>
    <n v="0"/>
    <b v="0"/>
    <n v="5712.6329999999998"/>
    <b v="1"/>
    <n v="0"/>
    <b v="0"/>
    <n v="36487.618000000002"/>
    <m/>
    <n v="36487.618000000002"/>
    <n v="6"/>
    <b v="1"/>
    <b v="0"/>
  </r>
  <r>
    <s v="C"/>
    <s v="M"/>
    <n v="20240301"/>
    <x v="1"/>
    <x v="8"/>
    <s v="202403"/>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11593.393"/>
    <b v="1"/>
    <n v="-1"/>
    <s v="N/A"/>
    <n v="0"/>
    <b v="0"/>
    <n v="11593.393"/>
    <b v="1"/>
    <n v="0"/>
    <b v="0"/>
    <n v="74049.093999999997"/>
    <m/>
    <n v="74049.093999999997"/>
    <n v="6"/>
    <b v="1"/>
    <b v="0"/>
  </r>
  <r>
    <s v="C"/>
    <s v="M"/>
    <n v="20240301"/>
    <x v="1"/>
    <x v="8"/>
    <s v="202403"/>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11956.043"/>
    <b v="1"/>
    <n v="-1"/>
    <s v="N/A"/>
    <n v="0"/>
    <b v="0"/>
    <n v="11956.043"/>
    <b v="1"/>
    <n v="0"/>
    <b v="0"/>
    <n v="76365.403999999995"/>
    <m/>
    <n v="76365.403999999995"/>
    <n v="6"/>
    <b v="1"/>
    <b v="0"/>
  </r>
  <r>
    <s v="C"/>
    <s v="M"/>
    <n v="20240301"/>
    <x v="1"/>
    <x v="8"/>
    <s v="202403"/>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37964.947999999997"/>
    <b v="1"/>
    <n v="-1"/>
    <s v="N/A"/>
    <n v="0"/>
    <b v="0"/>
    <n v="37964.947999999997"/>
    <b v="1"/>
    <n v="0"/>
    <b v="0"/>
    <n v="242488.98199999999"/>
    <m/>
    <n v="242488.98199999999"/>
    <n v="6"/>
    <b v="1"/>
    <b v="0"/>
  </r>
  <r>
    <s v="C"/>
    <s v="M"/>
    <n v="20240301"/>
    <x v="1"/>
    <x v="8"/>
    <s v="202403"/>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68.63099999999997"/>
    <b v="1"/>
    <n v="-1"/>
    <s v="N/A"/>
    <n v="0"/>
    <b v="0"/>
    <n v="268.63099999999997"/>
    <b v="1"/>
    <n v="0"/>
    <b v="0"/>
    <n v="1715.7919999999999"/>
    <m/>
    <n v="1715.7919999999999"/>
    <n v="6"/>
    <b v="1"/>
    <b v="0"/>
  </r>
  <r>
    <s v="C"/>
    <s v="M"/>
    <n v="20240301"/>
    <x v="1"/>
    <x v="8"/>
    <s v="202403"/>
    <n v="818"/>
    <s v="EGY"/>
    <s v="Egypt"/>
    <s v="M"/>
    <s v="Import"/>
    <n v="620"/>
    <s v="PRT"/>
    <x v="31"/>
    <n v="0"/>
    <s v="W00"/>
    <s v="World"/>
    <s v="H6"/>
    <s v="HS"/>
    <b v="1"/>
    <s v="392329"/>
    <s v="Plastics; sacks and bags (including cones), for the conveyance or packing of goods, of plastics other than ethylene polymers"/>
    <n v="6"/>
    <b v="1"/>
    <s v="C00"/>
    <s v="TOTAL CPC"/>
    <s v="0"/>
    <n v="0"/>
    <s v="TOTAL MOT"/>
    <n v="8"/>
    <s v="kg"/>
    <n v="19773.205999999998"/>
    <b v="1"/>
    <n v="-1"/>
    <s v="N/A"/>
    <n v="0"/>
    <b v="0"/>
    <n v="19773.205999999998"/>
    <b v="1"/>
    <n v="0"/>
    <b v="0"/>
    <n v="126295.039"/>
    <m/>
    <n v="126295.039"/>
    <n v="6"/>
    <b v="1"/>
    <b v="0"/>
  </r>
  <r>
    <s v="C"/>
    <s v="M"/>
    <n v="20240301"/>
    <x v="1"/>
    <x v="8"/>
    <s v="202403"/>
    <n v="818"/>
    <s v="EGY"/>
    <s v="Egypt"/>
    <s v="M"/>
    <s v="Import"/>
    <n v="634"/>
    <s v="QAT"/>
    <x v="38"/>
    <n v="0"/>
    <s v="W00"/>
    <s v="World"/>
    <s v="H6"/>
    <s v="HS"/>
    <b v="1"/>
    <s v="392329"/>
    <s v="Plastics; sacks and bags (including cones), for the conveyance or packing of goods, of plastics other than ethylene polymers"/>
    <n v="6"/>
    <b v="1"/>
    <s v="C00"/>
    <s v="TOTAL CPC"/>
    <s v="0"/>
    <n v="0"/>
    <s v="TOTAL MOT"/>
    <n v="8"/>
    <s v="kg"/>
    <n v="0.51100000000000001"/>
    <b v="1"/>
    <n v="-1"/>
    <s v="N/A"/>
    <n v="0"/>
    <b v="0"/>
    <n v="0.51100000000000001"/>
    <b v="1"/>
    <n v="0"/>
    <b v="0"/>
    <n v="3.262"/>
    <m/>
    <n v="3.262"/>
    <n v="6"/>
    <b v="1"/>
    <b v="0"/>
  </r>
  <r>
    <s v="C"/>
    <s v="M"/>
    <n v="20240301"/>
    <x v="1"/>
    <x v="8"/>
    <s v="202403"/>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50206.555999999997"/>
    <b v="1"/>
    <n v="-1"/>
    <s v="N/A"/>
    <n v="0"/>
    <b v="0"/>
    <n v="50206.555999999997"/>
    <b v="1"/>
    <n v="0"/>
    <b v="0"/>
    <n v="320678.34399999998"/>
    <m/>
    <n v="320678.34399999998"/>
    <n v="6"/>
    <b v="1"/>
    <b v="0"/>
  </r>
  <r>
    <s v="C"/>
    <s v="M"/>
    <n v="20240301"/>
    <x v="1"/>
    <x v="8"/>
    <s v="202403"/>
    <n v="818"/>
    <s v="EGY"/>
    <s v="Egypt"/>
    <s v="M"/>
    <s v="Import"/>
    <n v="528"/>
    <s v="NLD"/>
    <x v="8"/>
    <n v="0"/>
    <s v="W00"/>
    <s v="World"/>
    <s v="H6"/>
    <s v="HS"/>
    <b v="1"/>
    <s v="392329"/>
    <s v="Plastics; sacks and bags (including cones), for the conveyance or packing of goods, of plastics other than ethylene polymers"/>
    <n v="6"/>
    <b v="1"/>
    <s v="C00"/>
    <s v="TOTAL CPC"/>
    <s v="0"/>
    <n v="0"/>
    <s v="TOTAL MOT"/>
    <n v="8"/>
    <s v="kg"/>
    <n v="49.875"/>
    <b v="1"/>
    <n v="-1"/>
    <s v="N/A"/>
    <n v="0"/>
    <b v="0"/>
    <n v="49.875"/>
    <b v="1"/>
    <n v="0"/>
    <b v="0"/>
    <n v="318.56"/>
    <m/>
    <n v="318.56"/>
    <n v="6"/>
    <b v="1"/>
    <b v="0"/>
  </r>
  <r>
    <s v="C"/>
    <s v="M"/>
    <n v="20240301"/>
    <x v="1"/>
    <x v="8"/>
    <s v="202403"/>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414.39"/>
    <b v="1"/>
    <n v="-1"/>
    <s v="N/A"/>
    <n v="0"/>
    <b v="0"/>
    <n v="414.39"/>
    <b v="1"/>
    <n v="0"/>
    <b v="0"/>
    <n v="2646.7869999999998"/>
    <m/>
    <n v="2646.7869999999998"/>
    <n v="6"/>
    <b v="1"/>
    <b v="0"/>
  </r>
  <r>
    <s v="C"/>
    <s v="M"/>
    <n v="20240301"/>
    <x v="1"/>
    <x v="8"/>
    <s v="202403"/>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20846.103999999999"/>
    <b v="1"/>
    <n v="-1"/>
    <s v="N/A"/>
    <n v="0"/>
    <b v="0"/>
    <n v="20846.103999999999"/>
    <b v="1"/>
    <n v="0"/>
    <b v="0"/>
    <n v="133147.83100000001"/>
    <m/>
    <n v="133147.83100000001"/>
    <n v="6"/>
    <b v="1"/>
    <b v="0"/>
  </r>
  <r>
    <s v="C"/>
    <s v="M"/>
    <n v="20240301"/>
    <x v="1"/>
    <x v="8"/>
    <s v="202403"/>
    <n v="818"/>
    <s v="EGY"/>
    <s v="Egypt"/>
    <s v="M"/>
    <s v="Import"/>
    <n v="208"/>
    <s v="DNK"/>
    <x v="29"/>
    <n v="0"/>
    <s v="W00"/>
    <s v="World"/>
    <s v="H6"/>
    <s v="HS"/>
    <b v="1"/>
    <s v="392329"/>
    <s v="Plastics; sacks and bags (including cones), for the conveyance or packing of goods, of plastics other than ethylene polymers"/>
    <n v="6"/>
    <b v="1"/>
    <s v="C00"/>
    <s v="TOTAL CPC"/>
    <s v="0"/>
    <n v="0"/>
    <s v="TOTAL MOT"/>
    <n v="8"/>
    <s v="kg"/>
    <n v="53.518000000000001"/>
    <b v="1"/>
    <n v="-1"/>
    <s v="N/A"/>
    <n v="0"/>
    <b v="0"/>
    <n v="53.518000000000001"/>
    <b v="1"/>
    <n v="0"/>
    <b v="0"/>
    <n v="341.827"/>
    <m/>
    <n v="341.827"/>
    <n v="6"/>
    <b v="1"/>
    <b v="0"/>
  </r>
  <r>
    <s v="C"/>
    <s v="M"/>
    <n v="20240301"/>
    <x v="1"/>
    <x v="8"/>
    <s v="202403"/>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61222.52600000001"/>
    <b v="1"/>
    <n v="-1"/>
    <s v="N/A"/>
    <n v="0"/>
    <b v="0"/>
    <n v="161222.52600000001"/>
    <b v="1"/>
    <n v="0"/>
    <b v="0"/>
    <n v="1029757.406"/>
    <m/>
    <n v="1029757.406"/>
    <n v="6"/>
    <b v="0"/>
    <b v="1"/>
  </r>
  <r>
    <s v="C"/>
    <s v="M"/>
    <n v="20240401"/>
    <x v="1"/>
    <x v="9"/>
    <s v="202404"/>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1219.123"/>
    <b v="1"/>
    <n v="-1"/>
    <s v="N/A"/>
    <n v="0"/>
    <b v="0"/>
    <n v="1219.123"/>
    <b v="1"/>
    <n v="0"/>
    <b v="0"/>
    <n v="7786.76"/>
    <m/>
    <n v="7786.76"/>
    <n v="6"/>
    <b v="1"/>
    <b v="0"/>
  </r>
  <r>
    <s v="C"/>
    <s v="M"/>
    <n v="20240401"/>
    <x v="1"/>
    <x v="9"/>
    <s v="202404"/>
    <n v="818"/>
    <s v="EGY"/>
    <s v="Egypt"/>
    <s v="M"/>
    <s v="Import"/>
    <n v="348"/>
    <s v="HUN"/>
    <x v="27"/>
    <n v="0"/>
    <s v="W00"/>
    <s v="World"/>
    <s v="H6"/>
    <s v="HS"/>
    <b v="1"/>
    <s v="392329"/>
    <s v="Plastics; sacks and bags (including cones), for the conveyance or packing of goods, of plastics other than ethylene polymers"/>
    <n v="6"/>
    <b v="1"/>
    <s v="C00"/>
    <s v="TOTAL CPC"/>
    <s v="0"/>
    <n v="0"/>
    <s v="TOTAL MOT"/>
    <n v="8"/>
    <s v="kg"/>
    <n v="1201.6220000000001"/>
    <b v="1"/>
    <n v="-1"/>
    <s v="N/A"/>
    <n v="0"/>
    <b v="0"/>
    <n v="1201.6220000000001"/>
    <b v="1"/>
    <n v="0"/>
    <b v="0"/>
    <n v="7674.9769999999999"/>
    <m/>
    <n v="7674.9769999999999"/>
    <n v="6"/>
    <b v="1"/>
    <b v="0"/>
  </r>
  <r>
    <s v="C"/>
    <s v="M"/>
    <n v="20240401"/>
    <x v="1"/>
    <x v="9"/>
    <s v="202404"/>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18312.403999999999"/>
    <b v="1"/>
    <n v="-1"/>
    <s v="N/A"/>
    <n v="0"/>
    <b v="0"/>
    <n v="18312.403999999999"/>
    <b v="1"/>
    <n v="0"/>
    <b v="0"/>
    <n v="116964.63099999999"/>
    <m/>
    <n v="116964.63099999999"/>
    <n v="6"/>
    <b v="1"/>
    <b v="0"/>
  </r>
  <r>
    <s v="C"/>
    <s v="M"/>
    <n v="20240401"/>
    <x v="1"/>
    <x v="9"/>
    <s v="202404"/>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11073.13"/>
    <b v="1"/>
    <n v="-1"/>
    <s v="N/A"/>
    <n v="0"/>
    <b v="0"/>
    <n v="11073.13"/>
    <b v="1"/>
    <n v="0"/>
    <b v="0"/>
    <n v="70726.081000000006"/>
    <m/>
    <n v="70726.081000000006"/>
    <n v="6"/>
    <b v="1"/>
    <b v="0"/>
  </r>
  <r>
    <s v="C"/>
    <s v="M"/>
    <n v="20240401"/>
    <x v="1"/>
    <x v="9"/>
    <s v="202404"/>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1386.1579999999999"/>
    <b v="1"/>
    <n v="-1"/>
    <s v="N/A"/>
    <n v="0"/>
    <b v="0"/>
    <n v="1386.1579999999999"/>
    <b v="1"/>
    <n v="0"/>
    <b v="0"/>
    <n v="8853.6440000000002"/>
    <m/>
    <n v="8853.6440000000002"/>
    <n v="6"/>
    <b v="1"/>
    <b v="0"/>
  </r>
  <r>
    <s v="C"/>
    <s v="M"/>
    <n v="20240401"/>
    <x v="1"/>
    <x v="9"/>
    <s v="202404"/>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7348.5519999999997"/>
    <b v="1"/>
    <n v="-1"/>
    <s v="N/A"/>
    <n v="0"/>
    <b v="0"/>
    <n v="7348.5519999999997"/>
    <b v="1"/>
    <n v="0"/>
    <b v="0"/>
    <n v="46936.527000000002"/>
    <m/>
    <n v="46936.527000000002"/>
    <n v="6"/>
    <b v="1"/>
    <b v="0"/>
  </r>
  <r>
    <s v="C"/>
    <s v="M"/>
    <n v="20240401"/>
    <x v="1"/>
    <x v="9"/>
    <s v="202404"/>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55974.718000000001"/>
    <b v="1"/>
    <n v="-1"/>
    <s v="N/A"/>
    <n v="0"/>
    <b v="0"/>
    <n v="55974.718000000001"/>
    <b v="1"/>
    <n v="0"/>
    <b v="0"/>
    <n v="357520.63900000002"/>
    <m/>
    <n v="357520.63900000002"/>
    <n v="6"/>
    <b v="1"/>
    <b v="0"/>
  </r>
  <r>
    <s v="C"/>
    <s v="M"/>
    <n v="20240401"/>
    <x v="1"/>
    <x v="9"/>
    <s v="202404"/>
    <n v="818"/>
    <s v="EGY"/>
    <s v="Egypt"/>
    <s v="M"/>
    <s v="Import"/>
    <n v="616"/>
    <s v="POL"/>
    <x v="33"/>
    <n v="0"/>
    <s v="W00"/>
    <s v="World"/>
    <s v="H6"/>
    <s v="HS"/>
    <b v="1"/>
    <s v="392329"/>
    <s v="Plastics; sacks and bags (including cones), for the conveyance or packing of goods, of plastics other than ethylene polymers"/>
    <n v="6"/>
    <b v="1"/>
    <s v="C00"/>
    <s v="TOTAL CPC"/>
    <s v="0"/>
    <n v="0"/>
    <s v="TOTAL MOT"/>
    <n v="8"/>
    <s v="kg"/>
    <n v="7179.3549999999996"/>
    <b v="1"/>
    <n v="-1"/>
    <s v="N/A"/>
    <n v="0"/>
    <b v="0"/>
    <n v="7179.3549999999996"/>
    <b v="1"/>
    <n v="0"/>
    <b v="0"/>
    <n v="45855.839999999997"/>
    <m/>
    <n v="45855.839999999997"/>
    <n v="6"/>
    <b v="1"/>
    <b v="0"/>
  </r>
  <r>
    <s v="C"/>
    <s v="M"/>
    <n v="20240401"/>
    <x v="1"/>
    <x v="9"/>
    <s v="202404"/>
    <n v="818"/>
    <s v="EGY"/>
    <s v="Egypt"/>
    <s v="M"/>
    <s v="Import"/>
    <n v="422"/>
    <s v="LBN"/>
    <x v="35"/>
    <n v="0"/>
    <s v="W00"/>
    <s v="World"/>
    <s v="H6"/>
    <s v="HS"/>
    <b v="1"/>
    <s v="392329"/>
    <s v="Plastics; sacks and bags (including cones), for the conveyance or packing of goods, of plastics other than ethylene polymers"/>
    <n v="6"/>
    <b v="1"/>
    <s v="C00"/>
    <s v="TOTAL CPC"/>
    <s v="0"/>
    <n v="0"/>
    <s v="TOTAL MOT"/>
    <n v="8"/>
    <s v="kg"/>
    <n v="3801.61"/>
    <b v="1"/>
    <n v="-1"/>
    <s v="N/A"/>
    <n v="0"/>
    <b v="0"/>
    <n v="3801.61"/>
    <b v="1"/>
    <n v="0"/>
    <b v="0"/>
    <n v="24281.57"/>
    <m/>
    <n v="24281.57"/>
    <n v="6"/>
    <b v="1"/>
    <b v="0"/>
  </r>
  <r>
    <s v="C"/>
    <s v="M"/>
    <n v="20240401"/>
    <x v="1"/>
    <x v="9"/>
    <s v="202404"/>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300.947"/>
    <b v="1"/>
    <n v="-1"/>
    <s v="N/A"/>
    <n v="0"/>
    <b v="0"/>
    <n v="300.947"/>
    <b v="1"/>
    <n v="0"/>
    <b v="0"/>
    <n v="1922.204"/>
    <m/>
    <n v="1922.204"/>
    <n v="6"/>
    <b v="1"/>
    <b v="0"/>
  </r>
  <r>
    <s v="C"/>
    <s v="M"/>
    <n v="20240401"/>
    <x v="1"/>
    <x v="9"/>
    <s v="202404"/>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61319.803999999996"/>
    <b v="1"/>
    <n v="-1"/>
    <s v="N/A"/>
    <n v="0"/>
    <b v="0"/>
    <n v="61319.803999999996"/>
    <b v="1"/>
    <n v="0"/>
    <b v="0"/>
    <n v="391660.66899999999"/>
    <m/>
    <n v="391660.66899999999"/>
    <n v="6"/>
    <b v="1"/>
    <b v="0"/>
  </r>
  <r>
    <s v="C"/>
    <s v="M"/>
    <n v="20240401"/>
    <x v="1"/>
    <x v="9"/>
    <s v="202404"/>
    <n v="818"/>
    <s v="EGY"/>
    <s v="Egypt"/>
    <s v="M"/>
    <s v="Import"/>
    <n v="100"/>
    <s v="BGR"/>
    <x v="39"/>
    <n v="0"/>
    <s v="W00"/>
    <s v="World"/>
    <s v="H6"/>
    <s v="HS"/>
    <b v="1"/>
    <s v="392329"/>
    <s v="Plastics; sacks and bags (including cones), for the conveyance or packing of goods, of plastics other than ethylene polymers"/>
    <n v="6"/>
    <b v="1"/>
    <s v="C00"/>
    <s v="TOTAL CPC"/>
    <s v="0"/>
    <n v="0"/>
    <s v="TOTAL MOT"/>
    <n v="8"/>
    <s v="kg"/>
    <n v="101.7"/>
    <b v="1"/>
    <n v="-1"/>
    <s v="N/A"/>
    <n v="0"/>
    <b v="0"/>
    <n v="101.7"/>
    <b v="1"/>
    <n v="0"/>
    <b v="0"/>
    <n v="649.57500000000005"/>
    <m/>
    <n v="649.57500000000005"/>
    <n v="6"/>
    <b v="1"/>
    <b v="0"/>
  </r>
  <r>
    <s v="C"/>
    <s v="M"/>
    <n v="20240401"/>
    <x v="1"/>
    <x v="9"/>
    <s v="202404"/>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1118.1369999999999"/>
    <b v="1"/>
    <n v="-1"/>
    <s v="N/A"/>
    <n v="0"/>
    <b v="0"/>
    <n v="1118.1369999999999"/>
    <b v="1"/>
    <n v="0"/>
    <b v="0"/>
    <n v="7141.7449999999999"/>
    <m/>
    <n v="7141.7449999999999"/>
    <n v="6"/>
    <b v="1"/>
    <b v="0"/>
  </r>
  <r>
    <s v="C"/>
    <s v="M"/>
    <n v="20240401"/>
    <x v="1"/>
    <x v="9"/>
    <s v="202404"/>
    <n v="818"/>
    <s v="EGY"/>
    <s v="Egypt"/>
    <s v="M"/>
    <s v="Import"/>
    <n v="152"/>
    <s v="CHL"/>
    <x v="40"/>
    <n v="0"/>
    <s v="W00"/>
    <s v="World"/>
    <s v="H6"/>
    <s v="HS"/>
    <b v="1"/>
    <s v="392329"/>
    <s v="Plastics; sacks and bags (including cones), for the conveyance or packing of goods, of plastics other than ethylene polymers"/>
    <n v="6"/>
    <b v="1"/>
    <s v="C00"/>
    <s v="TOTAL CPC"/>
    <s v="0"/>
    <n v="0"/>
    <s v="TOTAL MOT"/>
    <n v="8"/>
    <s v="kg"/>
    <n v="20486.859"/>
    <b v="1"/>
    <n v="-1"/>
    <s v="N/A"/>
    <n v="0"/>
    <b v="0"/>
    <n v="20486.859"/>
    <b v="1"/>
    <n v="0"/>
    <b v="0"/>
    <n v="130853.273"/>
    <m/>
    <n v="130853.273"/>
    <n v="6"/>
    <b v="1"/>
    <b v="0"/>
  </r>
  <r>
    <s v="C"/>
    <s v="M"/>
    <n v="20240401"/>
    <x v="1"/>
    <x v="9"/>
    <s v="202404"/>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1.722"/>
    <b v="1"/>
    <n v="-1"/>
    <s v="N/A"/>
    <n v="0"/>
    <b v="0"/>
    <n v="1.722"/>
    <b v="1"/>
    <n v="0"/>
    <b v="0"/>
    <n v="11"/>
    <m/>
    <n v="11"/>
    <n v="6"/>
    <b v="1"/>
    <b v="0"/>
  </r>
  <r>
    <s v="C"/>
    <s v="M"/>
    <n v="20240401"/>
    <x v="1"/>
    <x v="9"/>
    <s v="202404"/>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7126.09"/>
    <b v="1"/>
    <n v="-1"/>
    <s v="N/A"/>
    <n v="0"/>
    <b v="0"/>
    <n v="7126.09"/>
    <b v="1"/>
    <n v="0"/>
    <b v="0"/>
    <n v="45515.627"/>
    <m/>
    <n v="45515.627"/>
    <n v="6"/>
    <b v="1"/>
    <b v="0"/>
  </r>
  <r>
    <s v="C"/>
    <s v="M"/>
    <n v="20240401"/>
    <x v="1"/>
    <x v="9"/>
    <s v="202404"/>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23489.599999999999"/>
    <b v="1"/>
    <n v="-1"/>
    <s v="N/A"/>
    <n v="0"/>
    <b v="0"/>
    <n v="23489.599999999999"/>
    <b v="1"/>
    <n v="0"/>
    <b v="0"/>
    <n v="150032.32000000001"/>
    <m/>
    <n v="150032.32000000001"/>
    <n v="6"/>
    <b v="1"/>
    <b v="0"/>
  </r>
  <r>
    <s v="C"/>
    <s v="M"/>
    <n v="20240401"/>
    <x v="1"/>
    <x v="9"/>
    <s v="202404"/>
    <n v="818"/>
    <s v="EGY"/>
    <s v="Egypt"/>
    <s v="M"/>
    <s v="Import"/>
    <n v="56"/>
    <s v="BEL"/>
    <x v="26"/>
    <n v="0"/>
    <s v="W00"/>
    <s v="World"/>
    <s v="H6"/>
    <s v="HS"/>
    <b v="1"/>
    <s v="392329"/>
    <s v="Plastics; sacks and bags (including cones), for the conveyance or packing of goods, of plastics other than ethylene polymers"/>
    <n v="6"/>
    <b v="1"/>
    <s v="C00"/>
    <s v="TOTAL CPC"/>
    <s v="0"/>
    <n v="0"/>
    <s v="TOTAL MOT"/>
    <n v="8"/>
    <s v="kg"/>
    <n v="3.4980000000000002"/>
    <b v="1"/>
    <n v="-1"/>
    <s v="N/A"/>
    <n v="0"/>
    <b v="0"/>
    <n v="3.4980000000000002"/>
    <b v="1"/>
    <n v="0"/>
    <b v="0"/>
    <n v="22.344000000000001"/>
    <m/>
    <n v="22.344000000000001"/>
    <n v="6"/>
    <b v="1"/>
    <b v="0"/>
  </r>
  <r>
    <s v="C"/>
    <s v="M"/>
    <n v="20240401"/>
    <x v="1"/>
    <x v="9"/>
    <s v="202404"/>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221445.03"/>
    <b v="1"/>
    <n v="-1"/>
    <s v="N/A"/>
    <n v="0"/>
    <b v="0"/>
    <n v="221445.03"/>
    <b v="1"/>
    <n v="0"/>
    <b v="0"/>
    <n v="1414409.426"/>
    <m/>
    <n v="1414409.426"/>
    <n v="6"/>
    <b v="0"/>
    <b v="1"/>
  </r>
  <r>
    <s v="C"/>
    <s v="M"/>
    <n v="20240501"/>
    <x v="1"/>
    <x v="10"/>
    <s v="202405"/>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7639.5190000000002"/>
    <b v="1"/>
    <n v="-1"/>
    <s v="N/A"/>
    <n v="0"/>
    <b v="0"/>
    <n v="7639.5190000000002"/>
    <b v="1"/>
    <n v="0"/>
    <b v="0"/>
    <n v="48794.987000000001"/>
    <m/>
    <n v="48794.987000000001"/>
    <n v="6"/>
    <b v="1"/>
    <b v="0"/>
  </r>
  <r>
    <s v="C"/>
    <s v="M"/>
    <n v="20240501"/>
    <x v="1"/>
    <x v="10"/>
    <s v="202405"/>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7276.464"/>
    <b v="1"/>
    <n v="-1"/>
    <s v="N/A"/>
    <n v="0"/>
    <b v="0"/>
    <n v="27276.464"/>
    <b v="1"/>
    <n v="0"/>
    <b v="0"/>
    <n v="174219.70300000001"/>
    <m/>
    <n v="174219.70300000001"/>
    <n v="6"/>
    <b v="1"/>
    <b v="0"/>
  </r>
  <r>
    <s v="C"/>
    <s v="M"/>
    <n v="20240501"/>
    <x v="1"/>
    <x v="10"/>
    <s v="202405"/>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13605.714"/>
    <b v="1"/>
    <n v="-1"/>
    <s v="N/A"/>
    <n v="0"/>
    <b v="0"/>
    <n v="13605.714"/>
    <b v="1"/>
    <n v="0"/>
    <b v="0"/>
    <n v="86902.157000000007"/>
    <m/>
    <n v="86902.157000000007"/>
    <n v="6"/>
    <b v="1"/>
    <b v="0"/>
  </r>
  <r>
    <s v="C"/>
    <s v="M"/>
    <n v="20240501"/>
    <x v="1"/>
    <x v="10"/>
    <s v="202405"/>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510.08100000000002"/>
    <b v="1"/>
    <n v="-1"/>
    <s v="N/A"/>
    <n v="0"/>
    <b v="0"/>
    <n v="510.08100000000002"/>
    <b v="1"/>
    <n v="0"/>
    <b v="0"/>
    <n v="3257.9789999999998"/>
    <m/>
    <n v="3257.9789999999998"/>
    <n v="6"/>
    <b v="1"/>
    <b v="0"/>
  </r>
  <r>
    <s v="C"/>
    <s v="M"/>
    <n v="20240501"/>
    <x v="1"/>
    <x v="10"/>
    <s v="202405"/>
    <n v="818"/>
    <s v="EGY"/>
    <s v="Egypt"/>
    <s v="M"/>
    <s v="Import"/>
    <n v="620"/>
    <s v="PRT"/>
    <x v="31"/>
    <n v="0"/>
    <s v="W00"/>
    <s v="World"/>
    <s v="H6"/>
    <s v="HS"/>
    <b v="1"/>
    <s v="392329"/>
    <s v="Plastics; sacks and bags (including cones), for the conveyance or packing of goods, of plastics other than ethylene polymers"/>
    <n v="6"/>
    <b v="1"/>
    <s v="C00"/>
    <s v="TOTAL CPC"/>
    <s v="0"/>
    <n v="0"/>
    <s v="TOTAL MOT"/>
    <n v="8"/>
    <s v="kg"/>
    <n v="32783.962"/>
    <b v="1"/>
    <n v="-1"/>
    <s v="N/A"/>
    <n v="0"/>
    <b v="0"/>
    <n v="32783.962"/>
    <b v="1"/>
    <n v="0"/>
    <b v="0"/>
    <n v="209397.092"/>
    <m/>
    <n v="209397.092"/>
    <n v="6"/>
    <b v="1"/>
    <b v="0"/>
  </r>
  <r>
    <s v="C"/>
    <s v="M"/>
    <n v="20240501"/>
    <x v="1"/>
    <x v="10"/>
    <s v="202405"/>
    <n v="818"/>
    <s v="EGY"/>
    <s v="Egypt"/>
    <s v="M"/>
    <s v="Import"/>
    <n v="490"/>
    <s v="S19"/>
    <x v="7"/>
    <n v="0"/>
    <s v="W00"/>
    <s v="World"/>
    <s v="H6"/>
    <s v="HS"/>
    <b v="1"/>
    <s v="392329"/>
    <s v="Plastics; sacks and bags (including cones), for the conveyance or packing of goods, of plastics other than ethylene polymers"/>
    <n v="6"/>
    <b v="1"/>
    <s v="C00"/>
    <s v="TOTAL CPC"/>
    <s v="0"/>
    <n v="0"/>
    <s v="TOTAL MOT"/>
    <n v="8"/>
    <s v="kg"/>
    <n v="438.93"/>
    <b v="1"/>
    <n v="-1"/>
    <s v="N/A"/>
    <n v="0"/>
    <b v="0"/>
    <n v="438.93"/>
    <b v="1"/>
    <n v="0"/>
    <b v="0"/>
    <n v="2803.527"/>
    <m/>
    <n v="2803.527"/>
    <n v="6"/>
    <b v="1"/>
    <b v="0"/>
  </r>
  <r>
    <s v="C"/>
    <s v="M"/>
    <n v="20240501"/>
    <x v="1"/>
    <x v="10"/>
    <s v="202405"/>
    <n v="818"/>
    <s v="EGY"/>
    <s v="Egypt"/>
    <s v="M"/>
    <s v="Import"/>
    <n v="616"/>
    <s v="POL"/>
    <x v="33"/>
    <n v="0"/>
    <s v="W00"/>
    <s v="World"/>
    <s v="H6"/>
    <s v="HS"/>
    <b v="1"/>
    <s v="392329"/>
    <s v="Plastics; sacks and bags (including cones), for the conveyance or packing of goods, of plastics other than ethylene polymers"/>
    <n v="6"/>
    <b v="1"/>
    <s v="C00"/>
    <s v="TOTAL CPC"/>
    <s v="0"/>
    <n v="0"/>
    <s v="TOTAL MOT"/>
    <n v="8"/>
    <s v="kg"/>
    <n v="13824.487999999999"/>
    <b v="1"/>
    <n v="-1"/>
    <s v="N/A"/>
    <n v="0"/>
    <b v="0"/>
    <n v="13824.487999999999"/>
    <b v="1"/>
    <n v="0"/>
    <b v="0"/>
    <n v="88299.5"/>
    <m/>
    <n v="88299.5"/>
    <n v="6"/>
    <b v="1"/>
    <b v="0"/>
  </r>
  <r>
    <s v="C"/>
    <s v="M"/>
    <n v="20240501"/>
    <x v="1"/>
    <x v="10"/>
    <s v="202405"/>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752.428"/>
    <b v="1"/>
    <n v="-1"/>
    <s v="N/A"/>
    <n v="0"/>
    <b v="0"/>
    <n v="752.428"/>
    <b v="1"/>
    <n v="0"/>
    <b v="0"/>
    <n v="4805.8959999999997"/>
    <m/>
    <n v="4805.8959999999997"/>
    <n v="6"/>
    <b v="1"/>
    <b v="0"/>
  </r>
  <r>
    <s v="C"/>
    <s v="M"/>
    <n v="20240501"/>
    <x v="1"/>
    <x v="10"/>
    <s v="202405"/>
    <n v="818"/>
    <s v="EGY"/>
    <s v="Egypt"/>
    <s v="M"/>
    <s v="Import"/>
    <n v="422"/>
    <s v="LBN"/>
    <x v="35"/>
    <n v="0"/>
    <s v="W00"/>
    <s v="World"/>
    <s v="H6"/>
    <s v="HS"/>
    <b v="1"/>
    <s v="392329"/>
    <s v="Plastics; sacks and bags (including cones), for the conveyance or packing of goods, of plastics other than ethylene polymers"/>
    <n v="6"/>
    <b v="1"/>
    <s v="C00"/>
    <s v="TOTAL CPC"/>
    <s v="0"/>
    <n v="0"/>
    <s v="TOTAL MOT"/>
    <n v="8"/>
    <s v="kg"/>
    <n v="2962.6819999999998"/>
    <b v="1"/>
    <n v="-1"/>
    <s v="N/A"/>
    <n v="0"/>
    <b v="0"/>
    <n v="2962.6819999999998"/>
    <b v="1"/>
    <n v="0"/>
    <b v="0"/>
    <n v="18923.183000000001"/>
    <m/>
    <n v="18923.183000000001"/>
    <n v="6"/>
    <b v="1"/>
    <b v="0"/>
  </r>
  <r>
    <s v="C"/>
    <s v="M"/>
    <n v="20240501"/>
    <x v="1"/>
    <x v="10"/>
    <s v="202405"/>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68997.082999999999"/>
    <b v="1"/>
    <n v="-1"/>
    <s v="N/A"/>
    <n v="0"/>
    <b v="0"/>
    <n v="68997.082999999999"/>
    <b v="1"/>
    <n v="0"/>
    <b v="0"/>
    <n v="440696.837"/>
    <m/>
    <n v="440696.837"/>
    <n v="6"/>
    <b v="1"/>
    <b v="0"/>
  </r>
  <r>
    <s v="C"/>
    <s v="M"/>
    <n v="20240501"/>
    <x v="1"/>
    <x v="10"/>
    <s v="202405"/>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202.00800000000001"/>
    <b v="1"/>
    <n v="-1"/>
    <s v="N/A"/>
    <n v="0"/>
    <b v="0"/>
    <n v="202.00800000000001"/>
    <b v="1"/>
    <n v="0"/>
    <b v="0"/>
    <n v="1290.259"/>
    <m/>
    <n v="1290.259"/>
    <n v="6"/>
    <b v="1"/>
    <b v="0"/>
  </r>
  <r>
    <s v="C"/>
    <s v="M"/>
    <n v="20240501"/>
    <x v="1"/>
    <x v="10"/>
    <s v="202405"/>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875.78800000000001"/>
    <b v="1"/>
    <n v="-1"/>
    <s v="N/A"/>
    <n v="0"/>
    <b v="0"/>
    <n v="875.78800000000001"/>
    <b v="1"/>
    <n v="0"/>
    <b v="0"/>
    <n v="5593.8149999999996"/>
    <m/>
    <n v="5593.8149999999996"/>
    <n v="6"/>
    <b v="1"/>
    <b v="0"/>
  </r>
  <r>
    <s v="C"/>
    <s v="M"/>
    <n v="20240501"/>
    <x v="1"/>
    <x v="10"/>
    <s v="202405"/>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430.363"/>
    <b v="1"/>
    <n v="-1"/>
    <s v="N/A"/>
    <n v="0"/>
    <b v="0"/>
    <n v="430.363"/>
    <b v="1"/>
    <n v="0"/>
    <b v="0"/>
    <n v="2748.8040000000001"/>
    <m/>
    <n v="2748.8040000000001"/>
    <n v="6"/>
    <b v="1"/>
    <b v="0"/>
  </r>
  <r>
    <s v="C"/>
    <s v="M"/>
    <n v="20240501"/>
    <x v="1"/>
    <x v="10"/>
    <s v="202405"/>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23919.48"/>
    <b v="1"/>
    <n v="-1"/>
    <s v="N/A"/>
    <n v="0"/>
    <b v="0"/>
    <n v="23919.48"/>
    <b v="1"/>
    <n v="0"/>
    <b v="0"/>
    <n v="152778.04399999999"/>
    <m/>
    <n v="152778.04399999999"/>
    <n v="6"/>
    <b v="1"/>
    <b v="0"/>
  </r>
  <r>
    <s v="C"/>
    <s v="M"/>
    <n v="20240501"/>
    <x v="1"/>
    <x v="10"/>
    <s v="202405"/>
    <n v="818"/>
    <s v="EGY"/>
    <s v="Egypt"/>
    <s v="M"/>
    <s v="Import"/>
    <n v="40"/>
    <s v="AUT"/>
    <x v="17"/>
    <n v="0"/>
    <s v="W00"/>
    <s v="World"/>
    <s v="H6"/>
    <s v="HS"/>
    <b v="1"/>
    <s v="392329"/>
    <s v="Plastics; sacks and bags (including cones), for the conveyance or packing of goods, of plastics other than ethylene polymers"/>
    <n v="6"/>
    <b v="1"/>
    <s v="C00"/>
    <s v="TOTAL CPC"/>
    <s v="0"/>
    <n v="0"/>
    <s v="TOTAL MOT"/>
    <n v="8"/>
    <s v="kg"/>
    <n v="3885.19"/>
    <b v="1"/>
    <n v="-1"/>
    <s v="N/A"/>
    <n v="0"/>
    <b v="0"/>
    <n v="3885.19"/>
    <b v="1"/>
    <n v="0"/>
    <b v="0"/>
    <n v="24815.412"/>
    <m/>
    <n v="24815.412"/>
    <n v="6"/>
    <b v="1"/>
    <b v="0"/>
  </r>
  <r>
    <s v="C"/>
    <s v="M"/>
    <n v="20240501"/>
    <x v="1"/>
    <x v="10"/>
    <s v="202405"/>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98104.18"/>
    <b v="1"/>
    <n v="-1"/>
    <s v="N/A"/>
    <n v="0"/>
    <b v="0"/>
    <n v="198104.18"/>
    <b v="1"/>
    <n v="0"/>
    <b v="0"/>
    <n v="1265327.196"/>
    <m/>
    <n v="1265327.196"/>
    <n v="6"/>
    <b v="0"/>
    <b v="1"/>
  </r>
  <r>
    <s v="C"/>
    <s v="M"/>
    <n v="20240601"/>
    <x v="1"/>
    <x v="11"/>
    <s v="202406"/>
    <n v="818"/>
    <s v="EGY"/>
    <s v="Egypt"/>
    <s v="M"/>
    <s v="Import"/>
    <n v="842"/>
    <s v="USA"/>
    <x v="16"/>
    <n v="0"/>
    <s v="W00"/>
    <s v="World"/>
    <s v="H6"/>
    <s v="HS"/>
    <b v="1"/>
    <s v="392329"/>
    <s v="Plastics; sacks and bags (including cones), for the conveyance or packing of goods, of plastics other than ethylene polymers"/>
    <n v="6"/>
    <b v="1"/>
    <s v="C00"/>
    <s v="TOTAL CPC"/>
    <s v="0"/>
    <n v="0"/>
    <s v="TOTAL MOT"/>
    <n v="8"/>
    <s v="kg"/>
    <n v="1.597"/>
    <b v="1"/>
    <n v="-1"/>
    <s v="N/A"/>
    <n v="0"/>
    <b v="0"/>
    <n v="1.597"/>
    <b v="1"/>
    <n v="0"/>
    <b v="0"/>
    <n v="10.199999999999999"/>
    <m/>
    <n v="10.199999999999999"/>
    <n v="6"/>
    <b v="1"/>
    <b v="0"/>
  </r>
  <r>
    <s v="C"/>
    <s v="M"/>
    <n v="20240601"/>
    <x v="1"/>
    <x v="11"/>
    <s v="202406"/>
    <n v="818"/>
    <s v="EGY"/>
    <s v="Egypt"/>
    <s v="M"/>
    <s v="Import"/>
    <n v="784"/>
    <s v="ARE"/>
    <x v="14"/>
    <n v="0"/>
    <s v="W00"/>
    <s v="World"/>
    <s v="H6"/>
    <s v="HS"/>
    <b v="1"/>
    <s v="392329"/>
    <s v="Plastics; sacks and bags (including cones), for the conveyance or packing of goods, of plastics other than ethylene polymers"/>
    <n v="6"/>
    <b v="1"/>
    <s v="C00"/>
    <s v="TOTAL CPC"/>
    <s v="0"/>
    <n v="0"/>
    <s v="TOTAL MOT"/>
    <n v="8"/>
    <s v="kg"/>
    <n v="15941.405000000001"/>
    <b v="1"/>
    <n v="-1"/>
    <s v="N/A"/>
    <n v="0"/>
    <b v="0"/>
    <n v="15941.405000000001"/>
    <b v="1"/>
    <n v="0"/>
    <b v="0"/>
    <n v="101820.637"/>
    <m/>
    <n v="101820.637"/>
    <n v="6"/>
    <b v="1"/>
    <b v="0"/>
  </r>
  <r>
    <s v="C"/>
    <s v="M"/>
    <n v="20240601"/>
    <x v="1"/>
    <x v="11"/>
    <s v="202406"/>
    <n v="818"/>
    <s v="EGY"/>
    <s v="Egypt"/>
    <s v="M"/>
    <s v="Import"/>
    <n v="792"/>
    <s v="TUR"/>
    <x v="15"/>
    <n v="0"/>
    <s v="W00"/>
    <s v="World"/>
    <s v="H6"/>
    <s v="HS"/>
    <b v="1"/>
    <s v="392329"/>
    <s v="Plastics; sacks and bags (including cones), for the conveyance or packing of goods, of plastics other than ethylene polymers"/>
    <n v="6"/>
    <b v="1"/>
    <s v="C00"/>
    <s v="TOTAL CPC"/>
    <s v="0"/>
    <n v="0"/>
    <s v="TOTAL MOT"/>
    <n v="8"/>
    <s v="kg"/>
    <n v="21148.117999999999"/>
    <b v="1"/>
    <n v="-1"/>
    <s v="N/A"/>
    <n v="0"/>
    <b v="0"/>
    <n v="21148.117999999999"/>
    <b v="1"/>
    <n v="0"/>
    <b v="0"/>
    <n v="135076.85399999999"/>
    <m/>
    <n v="135076.85399999999"/>
    <n v="6"/>
    <b v="1"/>
    <b v="0"/>
  </r>
  <r>
    <s v="C"/>
    <s v="M"/>
    <n v="20240601"/>
    <x v="1"/>
    <x v="11"/>
    <s v="202406"/>
    <n v="818"/>
    <s v="EGY"/>
    <s v="Egypt"/>
    <s v="M"/>
    <s v="Import"/>
    <n v="704"/>
    <s v="VNM"/>
    <x v="11"/>
    <n v="0"/>
    <s v="W00"/>
    <s v="World"/>
    <s v="H6"/>
    <s v="HS"/>
    <b v="1"/>
    <s v="392329"/>
    <s v="Plastics; sacks and bags (including cones), for the conveyance or packing of goods, of plastics other than ethylene polymers"/>
    <n v="6"/>
    <b v="1"/>
    <s v="C00"/>
    <s v="TOTAL CPC"/>
    <s v="0"/>
    <n v="0"/>
    <s v="TOTAL MOT"/>
    <n v="8"/>
    <s v="kg"/>
    <n v="29.533000000000001"/>
    <b v="1"/>
    <n v="-1"/>
    <s v="N/A"/>
    <n v="0"/>
    <b v="0"/>
    <n v="29.533000000000001"/>
    <b v="1"/>
    <n v="0"/>
    <b v="0"/>
    <n v="188.63499999999999"/>
    <m/>
    <n v="188.63499999999999"/>
    <n v="6"/>
    <b v="1"/>
    <b v="0"/>
  </r>
  <r>
    <s v="C"/>
    <s v="M"/>
    <n v="20240601"/>
    <x v="1"/>
    <x v="11"/>
    <s v="202406"/>
    <n v="818"/>
    <s v="EGY"/>
    <s v="Egypt"/>
    <s v="M"/>
    <s v="Import"/>
    <n v="724"/>
    <s v="ESP"/>
    <x v="12"/>
    <n v="0"/>
    <s v="W00"/>
    <s v="World"/>
    <s v="H6"/>
    <s v="HS"/>
    <b v="1"/>
    <s v="392329"/>
    <s v="Plastics; sacks and bags (including cones), for the conveyance or packing of goods, of plastics other than ethylene polymers"/>
    <n v="6"/>
    <b v="1"/>
    <s v="C00"/>
    <s v="TOTAL CPC"/>
    <s v="0"/>
    <n v="0"/>
    <s v="TOTAL MOT"/>
    <n v="8"/>
    <s v="kg"/>
    <n v="522.33100000000002"/>
    <b v="1"/>
    <n v="-1"/>
    <s v="N/A"/>
    <n v="0"/>
    <b v="0"/>
    <n v="522.33100000000002"/>
    <b v="1"/>
    <n v="0"/>
    <b v="0"/>
    <n v="3336.22"/>
    <m/>
    <n v="3336.22"/>
    <n v="6"/>
    <b v="1"/>
    <b v="0"/>
  </r>
  <r>
    <s v="C"/>
    <s v="M"/>
    <n v="20240601"/>
    <x v="1"/>
    <x v="11"/>
    <s v="202406"/>
    <n v="818"/>
    <s v="EGY"/>
    <s v="Egypt"/>
    <s v="M"/>
    <s v="Import"/>
    <n v="682"/>
    <s v="SAU"/>
    <x v="9"/>
    <n v="0"/>
    <s v="W00"/>
    <s v="World"/>
    <s v="H6"/>
    <s v="HS"/>
    <b v="1"/>
    <s v="392329"/>
    <s v="Plastics; sacks and bags (including cones), for the conveyance or packing of goods, of plastics other than ethylene polymers"/>
    <n v="6"/>
    <b v="1"/>
    <s v="C00"/>
    <s v="TOTAL CPC"/>
    <s v="0"/>
    <n v="0"/>
    <s v="TOTAL MOT"/>
    <n v="8"/>
    <s v="kg"/>
    <n v="95616.657999999996"/>
    <b v="1"/>
    <n v="-1"/>
    <s v="N/A"/>
    <n v="0"/>
    <b v="0"/>
    <n v="95616.657999999996"/>
    <b v="1"/>
    <n v="0"/>
    <b v="0"/>
    <n v="610720.875"/>
    <m/>
    <n v="610720.875"/>
    <n v="6"/>
    <b v="1"/>
    <b v="0"/>
  </r>
  <r>
    <s v="C"/>
    <s v="M"/>
    <n v="20240601"/>
    <x v="1"/>
    <x v="11"/>
    <s v="202406"/>
    <n v="818"/>
    <s v="EGY"/>
    <s v="Egypt"/>
    <s v="M"/>
    <s v="Import"/>
    <n v="699"/>
    <s v="IND"/>
    <x v="10"/>
    <n v="0"/>
    <s v="W00"/>
    <s v="World"/>
    <s v="H6"/>
    <s v="HS"/>
    <b v="1"/>
    <s v="392329"/>
    <s v="Plastics; sacks and bags (including cones), for the conveyance or packing of goods, of plastics other than ethylene polymers"/>
    <n v="6"/>
    <b v="1"/>
    <s v="C00"/>
    <s v="TOTAL CPC"/>
    <s v="0"/>
    <n v="0"/>
    <s v="TOTAL MOT"/>
    <n v="8"/>
    <s v="kg"/>
    <n v="2833.886"/>
    <b v="1"/>
    <n v="-1"/>
    <s v="N/A"/>
    <n v="0"/>
    <b v="0"/>
    <n v="2833.886"/>
    <b v="1"/>
    <n v="0"/>
    <b v="0"/>
    <n v="18100.543000000001"/>
    <m/>
    <n v="18100.543000000001"/>
    <n v="6"/>
    <b v="1"/>
    <b v="0"/>
  </r>
  <r>
    <s v="C"/>
    <s v="M"/>
    <n v="20240601"/>
    <x v="1"/>
    <x v="11"/>
    <s v="202406"/>
    <n v="818"/>
    <s v="EGY"/>
    <s v="Egypt"/>
    <s v="M"/>
    <s v="Import"/>
    <n v="380"/>
    <s v="ITA"/>
    <x v="4"/>
    <n v="0"/>
    <s v="W00"/>
    <s v="World"/>
    <s v="H6"/>
    <s v="HS"/>
    <b v="1"/>
    <s v="392329"/>
    <s v="Plastics; sacks and bags (including cones), for the conveyance or packing of goods, of plastics other than ethylene polymers"/>
    <n v="6"/>
    <b v="1"/>
    <s v="C00"/>
    <s v="TOTAL CPC"/>
    <s v="0"/>
    <n v="0"/>
    <s v="TOTAL MOT"/>
    <n v="8"/>
    <s v="kg"/>
    <n v="557.27099999999996"/>
    <b v="1"/>
    <n v="-1"/>
    <s v="N/A"/>
    <n v="0"/>
    <b v="0"/>
    <n v="557.27099999999996"/>
    <b v="1"/>
    <n v="0"/>
    <b v="0"/>
    <n v="3559.3919999999998"/>
    <m/>
    <n v="3559.3919999999998"/>
    <n v="6"/>
    <b v="1"/>
    <b v="0"/>
  </r>
  <r>
    <s v="C"/>
    <s v="M"/>
    <n v="20240601"/>
    <x v="1"/>
    <x v="11"/>
    <s v="202406"/>
    <n v="818"/>
    <s v="EGY"/>
    <s v="Egypt"/>
    <s v="M"/>
    <s v="Import"/>
    <n v="410"/>
    <s v="KOR"/>
    <x v="6"/>
    <n v="0"/>
    <s v="W00"/>
    <s v="World"/>
    <s v="H6"/>
    <s v="HS"/>
    <b v="1"/>
    <s v="392329"/>
    <s v="Plastics; sacks and bags (including cones), for the conveyance or packing of goods, of plastics other than ethylene polymers"/>
    <n v="6"/>
    <b v="1"/>
    <s v="C00"/>
    <s v="TOTAL CPC"/>
    <s v="0"/>
    <n v="0"/>
    <s v="TOTAL MOT"/>
    <n v="8"/>
    <s v="kg"/>
    <n v="5018.4170000000004"/>
    <b v="1"/>
    <n v="-1"/>
    <s v="N/A"/>
    <n v="0"/>
    <b v="0"/>
    <n v="5018.4170000000004"/>
    <b v="1"/>
    <n v="0"/>
    <b v="0"/>
    <n v="32053.535"/>
    <m/>
    <n v="32053.535"/>
    <n v="6"/>
    <b v="1"/>
    <b v="0"/>
  </r>
  <r>
    <s v="C"/>
    <s v="M"/>
    <n v="20240601"/>
    <x v="1"/>
    <x v="11"/>
    <s v="202406"/>
    <n v="818"/>
    <s v="EGY"/>
    <s v="Egypt"/>
    <s v="M"/>
    <s v="Import"/>
    <n v="422"/>
    <s v="LBN"/>
    <x v="35"/>
    <n v="0"/>
    <s v="W00"/>
    <s v="World"/>
    <s v="H6"/>
    <s v="HS"/>
    <b v="1"/>
    <s v="392329"/>
    <s v="Plastics; sacks and bags (including cones), for the conveyance or packing of goods, of plastics other than ethylene polymers"/>
    <n v="6"/>
    <b v="1"/>
    <s v="C00"/>
    <s v="TOTAL CPC"/>
    <s v="0"/>
    <n v="0"/>
    <s v="TOTAL MOT"/>
    <n v="8"/>
    <s v="kg"/>
    <n v="1455.492"/>
    <b v="1"/>
    <n v="-1"/>
    <s v="N/A"/>
    <n v="0"/>
    <b v="0"/>
    <n v="1455.492"/>
    <b v="1"/>
    <n v="0"/>
    <b v="0"/>
    <n v="9296.4930000000004"/>
    <m/>
    <n v="9296.4930000000004"/>
    <n v="6"/>
    <b v="1"/>
    <b v="0"/>
  </r>
  <r>
    <s v="C"/>
    <s v="M"/>
    <n v="20240601"/>
    <x v="1"/>
    <x v="11"/>
    <s v="202406"/>
    <n v="818"/>
    <s v="EGY"/>
    <s v="Egypt"/>
    <s v="M"/>
    <s v="Import"/>
    <n v="344"/>
    <s v="HKG"/>
    <x v="3"/>
    <n v="0"/>
    <s v="W00"/>
    <s v="World"/>
    <s v="H6"/>
    <s v="HS"/>
    <b v="1"/>
    <s v="392329"/>
    <s v="Plastics; sacks and bags (including cones), for the conveyance or packing of goods, of plastics other than ethylene polymers"/>
    <n v="6"/>
    <b v="1"/>
    <s v="C00"/>
    <s v="TOTAL CPC"/>
    <s v="0"/>
    <n v="0"/>
    <s v="TOTAL MOT"/>
    <n v="8"/>
    <s v="kg"/>
    <n v="270.15199999999999"/>
    <b v="1"/>
    <n v="-1"/>
    <s v="N/A"/>
    <n v="0"/>
    <b v="0"/>
    <n v="270.15199999999999"/>
    <b v="1"/>
    <n v="0"/>
    <b v="0"/>
    <n v="1725.5070000000001"/>
    <m/>
    <n v="1725.5070000000001"/>
    <n v="6"/>
    <b v="1"/>
    <b v="0"/>
  </r>
  <r>
    <s v="C"/>
    <s v="M"/>
    <n v="20240601"/>
    <x v="1"/>
    <x v="11"/>
    <s v="202406"/>
    <n v="818"/>
    <s v="EGY"/>
    <s v="Egypt"/>
    <s v="M"/>
    <s v="Import"/>
    <n v="251"/>
    <s v="FRA"/>
    <x v="18"/>
    <n v="0"/>
    <s v="W00"/>
    <s v="World"/>
    <s v="H6"/>
    <s v="HS"/>
    <b v="1"/>
    <s v="392329"/>
    <s v="Plastics; sacks and bags (including cones), for the conveyance or packing of goods, of plastics other than ethylene polymers"/>
    <n v="6"/>
    <b v="1"/>
    <s v="C00"/>
    <s v="TOTAL CPC"/>
    <s v="0"/>
    <n v="0"/>
    <s v="TOTAL MOT"/>
    <n v="8"/>
    <s v="kg"/>
    <n v="444.339"/>
    <b v="1"/>
    <n v="-1"/>
    <s v="N/A"/>
    <n v="0"/>
    <b v="0"/>
    <n v="444.339"/>
    <b v="1"/>
    <n v="0"/>
    <b v="0"/>
    <n v="2838.0740000000001"/>
    <m/>
    <n v="2838.0740000000001"/>
    <n v="6"/>
    <b v="1"/>
    <b v="0"/>
  </r>
  <r>
    <s v="C"/>
    <s v="M"/>
    <n v="20240601"/>
    <x v="1"/>
    <x v="11"/>
    <s v="202406"/>
    <n v="818"/>
    <s v="EGY"/>
    <s v="Egypt"/>
    <s v="M"/>
    <s v="Import"/>
    <n v="203"/>
    <s v="CZE"/>
    <x v="41"/>
    <n v="0"/>
    <s v="W00"/>
    <s v="World"/>
    <s v="H6"/>
    <s v="HS"/>
    <b v="1"/>
    <s v="392329"/>
    <s v="Plastics; sacks and bags (including cones), for the conveyance or packing of goods, of plastics other than ethylene polymers"/>
    <n v="6"/>
    <b v="1"/>
    <s v="C00"/>
    <s v="TOTAL CPC"/>
    <s v="0"/>
    <n v="0"/>
    <s v="TOTAL MOT"/>
    <n v="8"/>
    <s v="kg"/>
    <n v="6224.8320000000003"/>
    <b v="1"/>
    <n v="-1"/>
    <s v="N/A"/>
    <n v="0"/>
    <b v="0"/>
    <n v="6224.8320000000003"/>
    <b v="1"/>
    <n v="0"/>
    <b v="0"/>
    <n v="39759.125"/>
    <m/>
    <n v="39759.125"/>
    <n v="6"/>
    <b v="1"/>
    <b v="0"/>
  </r>
  <r>
    <s v="C"/>
    <s v="M"/>
    <n v="20240601"/>
    <x v="1"/>
    <x v="11"/>
    <s v="202406"/>
    <n v="818"/>
    <s v="EGY"/>
    <s v="Egypt"/>
    <s v="M"/>
    <s v="Import"/>
    <n v="40"/>
    <s v="AUT"/>
    <x v="17"/>
    <n v="0"/>
    <s v="W00"/>
    <s v="World"/>
    <s v="H6"/>
    <s v="HS"/>
    <b v="1"/>
    <s v="392329"/>
    <s v="Plastics; sacks and bags (including cones), for the conveyance or packing of goods, of plastics other than ethylene polymers"/>
    <n v="6"/>
    <b v="1"/>
    <s v="C00"/>
    <s v="TOTAL CPC"/>
    <s v="0"/>
    <n v="0"/>
    <s v="TOTAL MOT"/>
    <n v="8"/>
    <s v="kg"/>
    <n v="11204.387000000001"/>
    <b v="1"/>
    <n v="-1"/>
    <s v="N/A"/>
    <n v="0"/>
    <b v="0"/>
    <n v="11204.387000000001"/>
    <b v="1"/>
    <n v="0"/>
    <b v="0"/>
    <n v="71564.445000000007"/>
    <m/>
    <n v="71564.445000000007"/>
    <n v="6"/>
    <b v="1"/>
    <b v="0"/>
  </r>
  <r>
    <s v="C"/>
    <s v="M"/>
    <n v="20240601"/>
    <x v="1"/>
    <x v="11"/>
    <s v="202406"/>
    <n v="818"/>
    <s v="EGY"/>
    <s v="Egypt"/>
    <s v="M"/>
    <s v="Import"/>
    <n v="144"/>
    <s v="LKA"/>
    <x v="1"/>
    <n v="0"/>
    <s v="W00"/>
    <s v="World"/>
    <s v="H6"/>
    <s v="HS"/>
    <b v="1"/>
    <s v="392329"/>
    <s v="Plastics; sacks and bags (including cones), for the conveyance or packing of goods, of plastics other than ethylene polymers"/>
    <n v="6"/>
    <b v="1"/>
    <s v="C00"/>
    <s v="TOTAL CPC"/>
    <s v="0"/>
    <n v="0"/>
    <s v="TOTAL MOT"/>
    <n v="8"/>
    <s v="kg"/>
    <n v="758.61900000000003"/>
    <b v="1"/>
    <n v="-1"/>
    <s v="N/A"/>
    <n v="0"/>
    <b v="0"/>
    <n v="758.61900000000003"/>
    <b v="1"/>
    <n v="0"/>
    <b v="0"/>
    <n v="4845.4350000000004"/>
    <m/>
    <n v="4845.4350000000004"/>
    <n v="6"/>
    <b v="1"/>
    <b v="0"/>
  </r>
  <r>
    <s v="C"/>
    <s v="M"/>
    <n v="20240601"/>
    <x v="1"/>
    <x v="11"/>
    <s v="202406"/>
    <n v="818"/>
    <s v="EGY"/>
    <s v="Egypt"/>
    <s v="M"/>
    <s v="Import"/>
    <n v="156"/>
    <s v="CHN"/>
    <x v="2"/>
    <n v="0"/>
    <s v="W00"/>
    <s v="World"/>
    <s v="H6"/>
    <s v="HS"/>
    <b v="1"/>
    <s v="392329"/>
    <s v="Plastics; sacks and bags (including cones), for the conveyance or packing of goods, of plastics other than ethylene polymers"/>
    <n v="6"/>
    <b v="1"/>
    <s v="C00"/>
    <s v="TOTAL CPC"/>
    <s v="0"/>
    <n v="0"/>
    <s v="TOTAL MOT"/>
    <n v="8"/>
    <s v="kg"/>
    <n v="30651.200000000001"/>
    <b v="1"/>
    <n v="-1"/>
    <s v="N/A"/>
    <n v="0"/>
    <b v="0"/>
    <n v="30651.200000000001"/>
    <b v="1"/>
    <n v="0"/>
    <b v="0"/>
    <n v="195774.753"/>
    <m/>
    <n v="195774.753"/>
    <n v="6"/>
    <b v="1"/>
    <b v="0"/>
  </r>
  <r>
    <s v="C"/>
    <s v="M"/>
    <n v="20240601"/>
    <x v="1"/>
    <x v="11"/>
    <s v="202406"/>
    <n v="818"/>
    <s v="EGY"/>
    <s v="Egypt"/>
    <s v="M"/>
    <s v="Import"/>
    <n v="0"/>
    <s v="W00"/>
    <x v="0"/>
    <n v="0"/>
    <s v="W00"/>
    <s v="World"/>
    <s v="H6"/>
    <s v="HS"/>
    <b v="1"/>
    <s v="392329"/>
    <s v="Plastics; sacks and bags (including cones), for the conveyance or packing of goods, of plastics other than ethylene polymers"/>
    <n v="6"/>
    <b v="1"/>
    <s v="C00"/>
    <s v="TOTAL CPC"/>
    <s v="0"/>
    <n v="0"/>
    <s v="TOTAL MOT"/>
    <n v="8"/>
    <s v="kg"/>
    <n v="192678.23800000001"/>
    <b v="1"/>
    <n v="-1"/>
    <s v="N/A"/>
    <n v="0"/>
    <b v="0"/>
    <n v="192678.23800000001"/>
    <b v="1"/>
    <n v="0"/>
    <b v="0"/>
    <n v="1230670.7220000001"/>
    <m/>
    <n v="1230670.7220000001"/>
    <n v="6"/>
    <b v="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8F45D-4402-4B31-A85E-C63CB2573B76}" name="PivotTable2"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15:AF38" firstHeaderRow="1" firstDataRow="3" firstDataCol="1" rowPageCount="3" colPageCount="1"/>
  <pivotFields count="48">
    <pivotField axis="axisPage" compact="0" outline="0" showAll="0" defaultSubtotal="0">
      <items count="2">
        <item x="0"/>
        <item x="1"/>
      </items>
    </pivotField>
    <pivotField compact="0" outline="0" showAll="0" defaultSubtotal="0"/>
    <pivotField compact="0" outline="0" showAll="0" defaultSubtotal="0"/>
    <pivotField compact="0" outline="0" showAll="0" defaultSubtotal="0"/>
    <pivotField axis="axisCol" compact="0" outline="0" showAll="0" sortType="ascending" defaultSubtotal="0">
      <items count="2">
        <item x="1"/>
        <item x="0"/>
      </items>
    </pivotField>
    <pivotField axis="axisCol"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axis="axisPage"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25">
        <item x="12"/>
        <item x="15"/>
        <item x="19"/>
        <item x="6"/>
        <item x="1"/>
        <item x="22"/>
        <item x="23"/>
        <item x="7"/>
        <item x="20"/>
        <item x="13"/>
        <item x="24"/>
        <item x="14"/>
        <item x="16"/>
        <item x="2"/>
        <item x="10"/>
        <item x="8"/>
        <item x="3"/>
        <item x="17"/>
        <item x="9"/>
        <item x="11"/>
        <item x="4"/>
        <item x="18"/>
        <item x="21"/>
        <item x="0"/>
        <item x="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21">
    <i>
      <x v="23"/>
    </i>
    <i>
      <x v="16"/>
    </i>
    <i>
      <x v="24"/>
    </i>
    <i>
      <x v="18"/>
    </i>
    <i>
      <x v="15"/>
    </i>
    <i>
      <x v="19"/>
    </i>
    <i>
      <x v="7"/>
    </i>
    <i>
      <x v="20"/>
    </i>
    <i>
      <x v="11"/>
    </i>
    <i>
      <x v="4"/>
    </i>
    <i>
      <x v="9"/>
    </i>
    <i>
      <x v="2"/>
    </i>
    <i>
      <x v="12"/>
    </i>
    <i>
      <x v="21"/>
    </i>
    <i>
      <x v="5"/>
    </i>
    <i>
      <x v="13"/>
    </i>
    <i>
      <x v="3"/>
    </i>
    <i>
      <x v="14"/>
    </i>
    <i>
      <x/>
    </i>
    <i>
      <x v="22"/>
    </i>
    <i t="grand">
      <x/>
    </i>
  </rowItems>
  <colFields count="2">
    <field x="4"/>
    <field x="5"/>
  </colFields>
  <colItems count="13">
    <i>
      <x/>
      <x v="6"/>
    </i>
    <i r="1">
      <x v="7"/>
    </i>
    <i r="1">
      <x v="8"/>
    </i>
    <i r="1">
      <x v="9"/>
    </i>
    <i r="1">
      <x v="10"/>
    </i>
    <i r="1">
      <x v="11"/>
    </i>
    <i>
      <x v="1"/>
      <x/>
    </i>
    <i r="1">
      <x v="1"/>
    </i>
    <i r="1">
      <x v="2"/>
    </i>
    <i r="1">
      <x v="3"/>
    </i>
    <i r="1">
      <x v="4"/>
    </i>
    <i r="1">
      <x v="5"/>
    </i>
    <i t="grand">
      <x/>
    </i>
  </colItems>
  <pageFields count="3">
    <pageField fld="0" item="0" hier="-1"/>
    <pageField fld="11" item="1" hier="-1"/>
    <pageField fld="9" item="0" hier="-1"/>
  </pageFields>
  <dataFields count="1">
    <dataField name="Sum of qty" fld="32" baseField="0" baseItem="0" numFmtId="167"/>
  </dataFields>
  <formats count="33">
    <format dxfId="410">
      <pivotArea outline="0" collapsedLevelsAreSubtotals="1" fieldPosition="0"/>
    </format>
    <format dxfId="409">
      <pivotArea type="all" dataOnly="0" outline="0" fieldPosition="0"/>
    </format>
    <format dxfId="408">
      <pivotArea outline="0" collapsedLevelsAreSubtotals="1" fieldPosition="0"/>
    </format>
    <format dxfId="407">
      <pivotArea type="origin" dataOnly="0" labelOnly="1" outline="0" fieldPosition="0"/>
    </format>
    <format dxfId="406">
      <pivotArea field="4" type="button" dataOnly="0" labelOnly="1" outline="0" axis="axisCol" fieldPosition="0"/>
    </format>
    <format dxfId="405">
      <pivotArea field="5" type="button" dataOnly="0" labelOnly="1" outline="0" axis="axisCol" fieldPosition="1"/>
    </format>
    <format dxfId="404">
      <pivotArea type="topRight" dataOnly="0" labelOnly="1" outline="0" fieldPosition="0"/>
    </format>
    <format dxfId="403">
      <pivotArea field="14" type="button" dataOnly="0" labelOnly="1" outline="0" axis="axisRow" fieldPosition="0"/>
    </format>
    <format dxfId="402">
      <pivotArea dataOnly="0" labelOnly="1" outline="0" fieldPosition="0">
        <references count="1">
          <reference field="14" count="20">
            <x v="0"/>
            <x v="2"/>
            <x v="3"/>
            <x v="4"/>
            <x v="5"/>
            <x v="7"/>
            <x v="9"/>
            <x v="11"/>
            <x v="12"/>
            <x v="13"/>
            <x v="14"/>
            <x v="15"/>
            <x v="16"/>
            <x v="18"/>
            <x v="19"/>
            <x v="20"/>
            <x v="21"/>
            <x v="22"/>
            <x v="23"/>
            <x v="24"/>
          </reference>
        </references>
      </pivotArea>
    </format>
    <format dxfId="401">
      <pivotArea dataOnly="0" labelOnly="1" grandRow="1" outline="0" fieldPosition="0"/>
    </format>
    <format dxfId="400">
      <pivotArea dataOnly="0" labelOnly="1" outline="0" fieldPosition="0">
        <references count="1">
          <reference field="4" count="0"/>
        </references>
      </pivotArea>
    </format>
    <format dxfId="399">
      <pivotArea dataOnly="0" labelOnly="1" grandCol="1" outline="0" fieldPosition="0"/>
    </format>
    <format dxfId="398">
      <pivotArea dataOnly="0" labelOnly="1" outline="0" fieldPosition="0">
        <references count="2">
          <reference field="4" count="1" selected="0">
            <x v="0"/>
          </reference>
          <reference field="5" count="6">
            <x v="6"/>
            <x v="7"/>
            <x v="8"/>
            <x v="9"/>
            <x v="10"/>
            <x v="11"/>
          </reference>
        </references>
      </pivotArea>
    </format>
    <format dxfId="397">
      <pivotArea dataOnly="0" labelOnly="1" outline="0" fieldPosition="0">
        <references count="2">
          <reference field="4" count="1" selected="0">
            <x v="1"/>
          </reference>
          <reference field="5" count="6">
            <x v="0"/>
            <x v="1"/>
            <x v="2"/>
            <x v="3"/>
            <x v="4"/>
            <x v="5"/>
          </reference>
        </references>
      </pivotArea>
    </format>
    <format dxfId="396">
      <pivotArea type="all" dataOnly="0" outline="0" fieldPosition="0"/>
    </format>
    <format dxfId="395">
      <pivotArea outline="0" collapsedLevelsAreSubtotals="1" fieldPosition="0"/>
    </format>
    <format dxfId="394">
      <pivotArea type="origin" dataOnly="0" labelOnly="1" outline="0" fieldPosition="0"/>
    </format>
    <format dxfId="393">
      <pivotArea field="4" type="button" dataOnly="0" labelOnly="1" outline="0" axis="axisCol" fieldPosition="0"/>
    </format>
    <format dxfId="392">
      <pivotArea field="5" type="button" dataOnly="0" labelOnly="1" outline="0" axis="axisCol" fieldPosition="1"/>
    </format>
    <format dxfId="391">
      <pivotArea type="topRight" dataOnly="0" labelOnly="1" outline="0" fieldPosition="0"/>
    </format>
    <format dxfId="390">
      <pivotArea field="14" type="button" dataOnly="0" labelOnly="1" outline="0" axis="axisRow" fieldPosition="0"/>
    </format>
    <format dxfId="389">
      <pivotArea dataOnly="0" labelOnly="1" outline="0" fieldPosition="0">
        <references count="1">
          <reference field="14" count="20">
            <x v="0"/>
            <x v="2"/>
            <x v="3"/>
            <x v="4"/>
            <x v="5"/>
            <x v="7"/>
            <x v="9"/>
            <x v="11"/>
            <x v="12"/>
            <x v="13"/>
            <x v="14"/>
            <x v="15"/>
            <x v="16"/>
            <x v="18"/>
            <x v="19"/>
            <x v="20"/>
            <x v="21"/>
            <x v="22"/>
            <x v="23"/>
            <x v="24"/>
          </reference>
        </references>
      </pivotArea>
    </format>
    <format dxfId="388">
      <pivotArea dataOnly="0" labelOnly="1" grandRow="1" outline="0" fieldPosition="0"/>
    </format>
    <format dxfId="387">
      <pivotArea dataOnly="0" labelOnly="1" outline="0" fieldPosition="0">
        <references count="1">
          <reference field="4" count="0"/>
        </references>
      </pivotArea>
    </format>
    <format dxfId="386">
      <pivotArea dataOnly="0" labelOnly="1" grandCol="1" outline="0" fieldPosition="0"/>
    </format>
    <format dxfId="385">
      <pivotArea dataOnly="0" labelOnly="1" outline="0" fieldPosition="0">
        <references count="2">
          <reference field="4" count="1" selected="0">
            <x v="0"/>
          </reference>
          <reference field="5" count="6">
            <x v="6"/>
            <x v="7"/>
            <x v="8"/>
            <x v="9"/>
            <x v="10"/>
            <x v="11"/>
          </reference>
        </references>
      </pivotArea>
    </format>
    <format dxfId="384">
      <pivotArea dataOnly="0" labelOnly="1" outline="0" fieldPosition="0">
        <references count="2">
          <reference field="4" count="1" selected="0">
            <x v="1"/>
          </reference>
          <reference field="5" count="6">
            <x v="0"/>
            <x v="1"/>
            <x v="2"/>
            <x v="3"/>
            <x v="4"/>
            <x v="5"/>
          </reference>
        </references>
      </pivotArea>
    </format>
    <format dxfId="383">
      <pivotArea field="14" type="button" dataOnly="0" labelOnly="1" outline="0" axis="axisRow" fieldPosition="0"/>
    </format>
    <format dxfId="382">
      <pivotArea dataOnly="0" labelOnly="1" grandCol="1" outline="0" fieldPosition="0"/>
    </format>
    <format dxfId="381">
      <pivotArea dataOnly="0" labelOnly="1" outline="0" fieldPosition="0">
        <references count="2">
          <reference field="4" count="1" selected="0">
            <x v="0"/>
          </reference>
          <reference field="5" count="6">
            <x v="6"/>
            <x v="7"/>
            <x v="8"/>
            <x v="9"/>
            <x v="10"/>
            <x v="11"/>
          </reference>
        </references>
      </pivotArea>
    </format>
    <format dxfId="380">
      <pivotArea dataOnly="0" labelOnly="1" outline="0" fieldPosition="0">
        <references count="2">
          <reference field="4" count="1" selected="0">
            <x v="1"/>
          </reference>
          <reference field="5" count="6">
            <x v="0"/>
            <x v="1"/>
            <x v="2"/>
            <x v="3"/>
            <x v="4"/>
            <x v="5"/>
          </reference>
        </references>
      </pivotArea>
    </format>
    <format dxfId="379">
      <pivotArea grandRow="1" outline="0" collapsedLevelsAreSubtotals="1" fieldPosition="0"/>
    </format>
    <format dxfId="3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36400-51A5-4194-B1E2-CA7DB26D7C9A}" name="PivotTable3" cacheId="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44:AF67" firstHeaderRow="1" firstDataRow="3" firstDataCol="1" rowPageCount="3" colPageCount="1"/>
  <pivotFields count="48">
    <pivotField axis="axisPage" compact="0" outline="0" showAll="0" defaultSubtotal="0">
      <items count="2">
        <item x="0"/>
        <item x="1"/>
      </items>
    </pivotField>
    <pivotField compact="0" outline="0" showAll="0" defaultSubtotal="0"/>
    <pivotField compact="0" outline="0" showAll="0" defaultSubtotal="0"/>
    <pivotField compact="0" outline="0" showAll="0" defaultSubtotal="0"/>
    <pivotField axis="axisCol" compact="0" outline="0" showAll="0" sortType="ascending" defaultSubtotal="0">
      <items count="2">
        <item x="1"/>
        <item x="0"/>
      </items>
    </pivotField>
    <pivotField axis="axisCol"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axis="axisPage"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25">
        <item x="12"/>
        <item x="15"/>
        <item x="19"/>
        <item x="6"/>
        <item x="1"/>
        <item x="22"/>
        <item x="23"/>
        <item x="7"/>
        <item x="20"/>
        <item x="13"/>
        <item x="24"/>
        <item x="14"/>
        <item x="16"/>
        <item x="2"/>
        <item x="10"/>
        <item x="8"/>
        <item x="3"/>
        <item x="17"/>
        <item x="9"/>
        <item x="11"/>
        <item x="4"/>
        <item x="18"/>
        <item x="21"/>
        <item x="0"/>
        <item x="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4"/>
  </rowFields>
  <rowItems count="21">
    <i>
      <x v="23"/>
    </i>
    <i>
      <x v="16"/>
    </i>
    <i>
      <x v="24"/>
    </i>
    <i>
      <x v="18"/>
    </i>
    <i>
      <x v="15"/>
    </i>
    <i>
      <x v="19"/>
    </i>
    <i>
      <x v="7"/>
    </i>
    <i>
      <x v="20"/>
    </i>
    <i>
      <x v="11"/>
    </i>
    <i>
      <x v="4"/>
    </i>
    <i>
      <x v="9"/>
    </i>
    <i>
      <x v="2"/>
    </i>
    <i>
      <x v="12"/>
    </i>
    <i>
      <x v="21"/>
    </i>
    <i>
      <x v="5"/>
    </i>
    <i>
      <x v="13"/>
    </i>
    <i>
      <x v="3"/>
    </i>
    <i>
      <x v="14"/>
    </i>
    <i>
      <x/>
    </i>
    <i>
      <x v="22"/>
    </i>
    <i t="grand">
      <x/>
    </i>
  </rowItems>
  <colFields count="2">
    <field x="4"/>
    <field x="5"/>
  </colFields>
  <colItems count="13">
    <i>
      <x/>
      <x v="6"/>
    </i>
    <i r="1">
      <x v="7"/>
    </i>
    <i r="1">
      <x v="8"/>
    </i>
    <i r="1">
      <x v="9"/>
    </i>
    <i r="1">
      <x v="10"/>
    </i>
    <i r="1">
      <x v="11"/>
    </i>
    <i>
      <x v="1"/>
      <x/>
    </i>
    <i r="1">
      <x v="1"/>
    </i>
    <i r="1">
      <x v="2"/>
    </i>
    <i r="1">
      <x v="3"/>
    </i>
    <i r="1">
      <x v="4"/>
    </i>
    <i r="1">
      <x v="5"/>
    </i>
    <i t="grand">
      <x/>
    </i>
  </colItems>
  <pageFields count="3">
    <pageField fld="0" item="0" hier="-1"/>
    <pageField fld="11" item="1" hier="-1"/>
    <pageField fld="9" item="0" hier="-1"/>
  </pageFields>
  <dataFields count="1">
    <dataField name="Sum of primaryValue" fld="44" baseField="0" baseItem="0"/>
  </dataFields>
  <formats count="27">
    <format dxfId="437">
      <pivotArea outline="0" collapsedLevelsAreSubtotals="1" fieldPosition="0"/>
    </format>
    <format dxfId="436">
      <pivotArea type="all" dataOnly="0" outline="0" fieldPosition="0"/>
    </format>
    <format dxfId="435">
      <pivotArea outline="0" collapsedLevelsAreSubtotals="1" fieldPosition="0"/>
    </format>
    <format dxfId="434">
      <pivotArea type="origin" dataOnly="0" labelOnly="1" outline="0" fieldPosition="0"/>
    </format>
    <format dxfId="433">
      <pivotArea field="4" type="button" dataOnly="0" labelOnly="1" outline="0" axis="axisCol" fieldPosition="0"/>
    </format>
    <format dxfId="432">
      <pivotArea field="5" type="button" dataOnly="0" labelOnly="1" outline="0" axis="axisCol" fieldPosition="1"/>
    </format>
    <format dxfId="431">
      <pivotArea type="topRight" dataOnly="0" labelOnly="1" outline="0" fieldPosition="0"/>
    </format>
    <format dxfId="430">
      <pivotArea field="14" type="button" dataOnly="0" labelOnly="1" outline="0" axis="axisRow" fieldPosition="0"/>
    </format>
    <format dxfId="429">
      <pivotArea dataOnly="0" labelOnly="1" outline="0" fieldPosition="0">
        <references count="1">
          <reference field="14" count="20">
            <x v="0"/>
            <x v="2"/>
            <x v="3"/>
            <x v="4"/>
            <x v="5"/>
            <x v="7"/>
            <x v="9"/>
            <x v="11"/>
            <x v="12"/>
            <x v="13"/>
            <x v="14"/>
            <x v="15"/>
            <x v="16"/>
            <x v="18"/>
            <x v="19"/>
            <x v="20"/>
            <x v="21"/>
            <x v="22"/>
            <x v="23"/>
            <x v="24"/>
          </reference>
        </references>
      </pivotArea>
    </format>
    <format dxfId="428">
      <pivotArea dataOnly="0" labelOnly="1" grandRow="1" outline="0" fieldPosition="0"/>
    </format>
    <format dxfId="427">
      <pivotArea dataOnly="0" labelOnly="1" outline="0" fieldPosition="0">
        <references count="1">
          <reference field="4" count="0"/>
        </references>
      </pivotArea>
    </format>
    <format dxfId="426">
      <pivotArea dataOnly="0" labelOnly="1" grandCol="1" outline="0" fieldPosition="0"/>
    </format>
    <format dxfId="425">
      <pivotArea dataOnly="0" labelOnly="1" outline="0" fieldPosition="0">
        <references count="2">
          <reference field="4" count="1" selected="0">
            <x v="0"/>
          </reference>
          <reference field="5" count="6">
            <x v="6"/>
            <x v="7"/>
            <x v="8"/>
            <x v="9"/>
            <x v="10"/>
            <x v="11"/>
          </reference>
        </references>
      </pivotArea>
    </format>
    <format dxfId="424">
      <pivotArea dataOnly="0" labelOnly="1" outline="0" fieldPosition="0">
        <references count="2">
          <reference field="4" count="1" selected="0">
            <x v="1"/>
          </reference>
          <reference field="5" count="6">
            <x v="0"/>
            <x v="1"/>
            <x v="2"/>
            <x v="3"/>
            <x v="4"/>
            <x v="5"/>
          </reference>
        </references>
      </pivotArea>
    </format>
    <format dxfId="423">
      <pivotArea type="all" dataOnly="0" outline="0" fieldPosition="0"/>
    </format>
    <format dxfId="422">
      <pivotArea outline="0" collapsedLevelsAreSubtotals="1" fieldPosition="0"/>
    </format>
    <format dxfId="421">
      <pivotArea type="origin" dataOnly="0" labelOnly="1" outline="0" fieldPosition="0"/>
    </format>
    <format dxfId="420">
      <pivotArea field="4" type="button" dataOnly="0" labelOnly="1" outline="0" axis="axisCol" fieldPosition="0"/>
    </format>
    <format dxfId="419">
      <pivotArea field="5" type="button" dataOnly="0" labelOnly="1" outline="0" axis="axisCol" fieldPosition="1"/>
    </format>
    <format dxfId="418">
      <pivotArea type="topRight" dataOnly="0" labelOnly="1" outline="0" fieldPosition="0"/>
    </format>
    <format dxfId="417">
      <pivotArea field="14" type="button" dataOnly="0" labelOnly="1" outline="0" axis="axisRow" fieldPosition="0"/>
    </format>
    <format dxfId="416">
      <pivotArea dataOnly="0" labelOnly="1" outline="0" fieldPosition="0">
        <references count="1">
          <reference field="14" count="20">
            <x v="0"/>
            <x v="2"/>
            <x v="3"/>
            <x v="4"/>
            <x v="5"/>
            <x v="7"/>
            <x v="9"/>
            <x v="11"/>
            <x v="12"/>
            <x v="13"/>
            <x v="14"/>
            <x v="15"/>
            <x v="16"/>
            <x v="18"/>
            <x v="19"/>
            <x v="20"/>
            <x v="21"/>
            <x v="22"/>
            <x v="23"/>
            <x v="24"/>
          </reference>
        </references>
      </pivotArea>
    </format>
    <format dxfId="415">
      <pivotArea dataOnly="0" labelOnly="1" grandRow="1" outline="0" fieldPosition="0"/>
    </format>
    <format dxfId="414">
      <pivotArea dataOnly="0" labelOnly="1" outline="0" fieldPosition="0">
        <references count="1">
          <reference field="4" count="0"/>
        </references>
      </pivotArea>
    </format>
    <format dxfId="413">
      <pivotArea dataOnly="0" labelOnly="1" grandCol="1" outline="0" fieldPosition="0"/>
    </format>
    <format dxfId="412">
      <pivotArea dataOnly="0" labelOnly="1" outline="0" fieldPosition="0">
        <references count="2">
          <reference field="4" count="1" selected="0">
            <x v="0"/>
          </reference>
          <reference field="5" count="6">
            <x v="6"/>
            <x v="7"/>
            <x v="8"/>
            <x v="9"/>
            <x v="10"/>
            <x v="11"/>
          </reference>
        </references>
      </pivotArea>
    </format>
    <format dxfId="411">
      <pivotArea dataOnly="0" labelOnly="1" outline="0" fieldPosition="0">
        <references count="2">
          <reference field="4" count="1" selected="0">
            <x v="1"/>
          </reference>
          <reference field="5"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A9600-F897-4193-8FC8-D66BBA11D797}" name="PivotTable1"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11:AF39" firstHeaderRow="1" firstDataRow="3" firstDataCol="1" rowPageCount="3" colPageCount="1"/>
  <pivotFields count="48">
    <pivotField axis="axisPage" compact="0" outline="0" showAll="0" defaultSubtotal="0">
      <items count="2">
        <item x="1"/>
        <item x="0"/>
      </items>
    </pivotField>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axis="axisPage"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31">
        <item x="30"/>
        <item x="12"/>
        <item x="13"/>
        <item x="1"/>
        <item x="17"/>
        <item x="14"/>
        <item x="9"/>
        <item x="2"/>
        <item x="29"/>
        <item x="21"/>
        <item x="5"/>
        <item x="3"/>
        <item x="4"/>
        <item x="24"/>
        <item x="15"/>
        <item x="25"/>
        <item x="27"/>
        <item x="10"/>
        <item x="28"/>
        <item x="18"/>
        <item x="26"/>
        <item x="22"/>
        <item x="19"/>
        <item x="16"/>
        <item x="11"/>
        <item x="6"/>
        <item x="23"/>
        <item x="7"/>
        <item x="8"/>
        <item x="20"/>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26">
    <i>
      <x v="30"/>
    </i>
    <i>
      <x v="3"/>
    </i>
    <i>
      <x v="7"/>
    </i>
    <i>
      <x v="28"/>
    </i>
    <i>
      <x v="12"/>
    </i>
    <i>
      <x v="2"/>
    </i>
    <i>
      <x v="27"/>
    </i>
    <i>
      <x v="24"/>
    </i>
    <i>
      <x v="10"/>
    </i>
    <i>
      <x v="4"/>
    </i>
    <i>
      <x v="25"/>
    </i>
    <i>
      <x v="13"/>
    </i>
    <i>
      <x v="11"/>
    </i>
    <i>
      <x v="21"/>
    </i>
    <i>
      <x v="26"/>
    </i>
    <i>
      <x v="22"/>
    </i>
    <i>
      <x v="8"/>
    </i>
    <i>
      <x v="29"/>
    </i>
    <i>
      <x v="1"/>
    </i>
    <i>
      <x v="6"/>
    </i>
    <i>
      <x v="19"/>
    </i>
    <i>
      <x v="20"/>
    </i>
    <i>
      <x/>
    </i>
    <i>
      <x v="14"/>
    </i>
    <i>
      <x v="16"/>
    </i>
    <i t="grand">
      <x/>
    </i>
  </rowItems>
  <colFields count="2">
    <field x="4"/>
    <field x="5"/>
  </colFields>
  <colItems count="13">
    <i>
      <x/>
      <x v="6"/>
    </i>
    <i r="1">
      <x v="7"/>
    </i>
    <i r="1">
      <x v="8"/>
    </i>
    <i r="1">
      <x v="9"/>
    </i>
    <i r="1">
      <x v="10"/>
    </i>
    <i r="1">
      <x v="11"/>
    </i>
    <i>
      <x v="1"/>
      <x/>
    </i>
    <i r="1">
      <x v="1"/>
    </i>
    <i r="1">
      <x v="2"/>
    </i>
    <i r="1">
      <x v="3"/>
    </i>
    <i r="1">
      <x v="4"/>
    </i>
    <i r="1">
      <x v="5"/>
    </i>
    <i t="grand">
      <x/>
    </i>
  </colItems>
  <pageFields count="3">
    <pageField fld="0" item="0" hier="-1"/>
    <pageField fld="11" item="1" hier="-1"/>
    <pageField fld="9" item="0" hier="-1"/>
  </pageFields>
  <dataFields count="1">
    <dataField name="Sum of qty" fld="32" baseField="0" baseItem="0" numFmtId="167"/>
  </dataFields>
  <formats count="27">
    <format dxfId="349">
      <pivotArea outline="0" collapsedLevelsAreSubtotals="1" fieldPosition="0"/>
    </format>
    <format dxfId="348">
      <pivotArea type="all" dataOnly="0" outline="0" fieldPosition="0"/>
    </format>
    <format dxfId="347">
      <pivotArea outline="0" collapsedLevelsAreSubtotals="1" fieldPosition="0"/>
    </format>
    <format dxfId="346">
      <pivotArea type="origin" dataOnly="0" labelOnly="1" outline="0" fieldPosition="0"/>
    </format>
    <format dxfId="345">
      <pivotArea field="4" type="button" dataOnly="0" labelOnly="1" outline="0" axis="axisCol" fieldPosition="0"/>
    </format>
    <format dxfId="344">
      <pivotArea field="5" type="button" dataOnly="0" labelOnly="1" outline="0" axis="axisCol" fieldPosition="1"/>
    </format>
    <format dxfId="343">
      <pivotArea type="topRight" dataOnly="0" labelOnly="1" outline="0" fieldPosition="0"/>
    </format>
    <format dxfId="342">
      <pivotArea field="14" type="button" dataOnly="0" labelOnly="1" outline="0" axis="axisRow" fieldPosition="0"/>
    </format>
    <format dxfId="341">
      <pivotArea dataOnly="0" labelOnly="1" outline="0" fieldPosition="0">
        <references count="1">
          <reference field="14" count="25">
            <x v="0"/>
            <x v="1"/>
            <x v="2"/>
            <x v="3"/>
            <x v="4"/>
            <x v="6"/>
            <x v="7"/>
            <x v="8"/>
            <x v="10"/>
            <x v="11"/>
            <x v="12"/>
            <x v="13"/>
            <x v="14"/>
            <x v="16"/>
            <x v="19"/>
            <x v="20"/>
            <x v="21"/>
            <x v="22"/>
            <x v="24"/>
            <x v="25"/>
            <x v="26"/>
            <x v="27"/>
            <x v="28"/>
            <x v="29"/>
            <x v="30"/>
          </reference>
        </references>
      </pivotArea>
    </format>
    <format dxfId="340">
      <pivotArea dataOnly="0" labelOnly="1" grandRow="1" outline="0" fieldPosition="0"/>
    </format>
    <format dxfId="339">
      <pivotArea dataOnly="0" labelOnly="1" outline="0" fieldPosition="0">
        <references count="1">
          <reference field="4" count="0"/>
        </references>
      </pivotArea>
    </format>
    <format dxfId="338">
      <pivotArea dataOnly="0" labelOnly="1" grandCol="1" outline="0" fieldPosition="0"/>
    </format>
    <format dxfId="337">
      <pivotArea dataOnly="0" labelOnly="1" outline="0" fieldPosition="0">
        <references count="2">
          <reference field="4" count="1" selected="0">
            <x v="0"/>
          </reference>
          <reference field="5" count="6">
            <x v="6"/>
            <x v="7"/>
            <x v="8"/>
            <x v="9"/>
            <x v="10"/>
            <x v="11"/>
          </reference>
        </references>
      </pivotArea>
    </format>
    <format dxfId="336">
      <pivotArea dataOnly="0" labelOnly="1" outline="0" fieldPosition="0">
        <references count="2">
          <reference field="4" count="1" selected="0">
            <x v="1"/>
          </reference>
          <reference field="5" count="6">
            <x v="0"/>
            <x v="1"/>
            <x v="2"/>
            <x v="3"/>
            <x v="4"/>
            <x v="5"/>
          </reference>
        </references>
      </pivotArea>
    </format>
    <format dxfId="335">
      <pivotArea type="all" dataOnly="0" outline="0" fieldPosition="0"/>
    </format>
    <format dxfId="334">
      <pivotArea outline="0" collapsedLevelsAreSubtotals="1" fieldPosition="0"/>
    </format>
    <format dxfId="333">
      <pivotArea type="origin" dataOnly="0" labelOnly="1" outline="0" fieldPosition="0"/>
    </format>
    <format dxfId="332">
      <pivotArea field="4" type="button" dataOnly="0" labelOnly="1" outline="0" axis="axisCol" fieldPosition="0"/>
    </format>
    <format dxfId="331">
      <pivotArea field="5" type="button" dataOnly="0" labelOnly="1" outline="0" axis="axisCol" fieldPosition="1"/>
    </format>
    <format dxfId="330">
      <pivotArea type="topRight" dataOnly="0" labelOnly="1" outline="0" fieldPosition="0"/>
    </format>
    <format dxfId="329">
      <pivotArea field="14" type="button" dataOnly="0" labelOnly="1" outline="0" axis="axisRow" fieldPosition="0"/>
    </format>
    <format dxfId="328">
      <pivotArea dataOnly="0" labelOnly="1" outline="0" fieldPosition="0">
        <references count="1">
          <reference field="14" count="25">
            <x v="0"/>
            <x v="1"/>
            <x v="2"/>
            <x v="3"/>
            <x v="4"/>
            <x v="6"/>
            <x v="7"/>
            <x v="8"/>
            <x v="10"/>
            <x v="11"/>
            <x v="12"/>
            <x v="13"/>
            <x v="14"/>
            <x v="16"/>
            <x v="19"/>
            <x v="20"/>
            <x v="21"/>
            <x v="22"/>
            <x v="24"/>
            <x v="25"/>
            <x v="26"/>
            <x v="27"/>
            <x v="28"/>
            <x v="29"/>
            <x v="30"/>
          </reference>
        </references>
      </pivotArea>
    </format>
    <format dxfId="327">
      <pivotArea dataOnly="0" labelOnly="1" grandRow="1" outline="0" fieldPosition="0"/>
    </format>
    <format dxfId="326">
      <pivotArea dataOnly="0" labelOnly="1" outline="0" fieldPosition="0">
        <references count="1">
          <reference field="4" count="0"/>
        </references>
      </pivotArea>
    </format>
    <format dxfId="325">
      <pivotArea dataOnly="0" labelOnly="1" grandCol="1" outline="0" fieldPosition="0"/>
    </format>
    <format dxfId="324">
      <pivotArea dataOnly="0" labelOnly="1" outline="0" fieldPosition="0">
        <references count="2">
          <reference field="4" count="1" selected="0">
            <x v="0"/>
          </reference>
          <reference field="5" count="6">
            <x v="6"/>
            <x v="7"/>
            <x v="8"/>
            <x v="9"/>
            <x v="10"/>
            <x v="11"/>
          </reference>
        </references>
      </pivotArea>
    </format>
    <format dxfId="323">
      <pivotArea dataOnly="0" labelOnly="1" outline="0" fieldPosition="0">
        <references count="2">
          <reference field="4" count="1" selected="0">
            <x v="1"/>
          </reference>
          <reference field="5"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44F291-DD1F-4ECF-98A2-0EA11F8CD337}" name="PivotTable2"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45:AF73" firstHeaderRow="1" firstDataRow="3" firstDataCol="1" rowPageCount="3" colPageCount="1"/>
  <pivotFields count="48">
    <pivotField axis="axisPage" compact="0" outline="0" showAll="0" defaultSubtotal="0">
      <items count="2">
        <item x="1"/>
        <item x="0"/>
      </items>
    </pivotField>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axis="axisPage" compact="0" outline="0" showAll="0" defaultSubtotal="0">
      <items count="2">
        <item x="1"/>
        <item x="0"/>
      </items>
    </pivotField>
    <pivotField compact="0" outline="0" showAll="0" defaultSubtotal="0"/>
    <pivotField compact="0" outline="0" showAll="0" defaultSubtotal="0"/>
    <pivotField axis="axisRow" compact="0" outline="0" showAll="0" defaultSubtotal="0">
      <items count="31">
        <item x="30"/>
        <item x="12"/>
        <item x="13"/>
        <item x="1"/>
        <item x="17"/>
        <item x="14"/>
        <item x="9"/>
        <item x="2"/>
        <item x="29"/>
        <item x="21"/>
        <item x="5"/>
        <item x="3"/>
        <item x="4"/>
        <item x="24"/>
        <item x="15"/>
        <item x="25"/>
        <item x="27"/>
        <item x="10"/>
        <item x="28"/>
        <item x="18"/>
        <item x="26"/>
        <item x="22"/>
        <item x="19"/>
        <item x="16"/>
        <item x="11"/>
        <item x="6"/>
        <item x="23"/>
        <item x="7"/>
        <item x="8"/>
        <item x="20"/>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4"/>
  </rowFields>
  <rowItems count="26">
    <i>
      <x/>
    </i>
    <i>
      <x v="1"/>
    </i>
    <i>
      <x v="2"/>
    </i>
    <i>
      <x v="3"/>
    </i>
    <i>
      <x v="4"/>
    </i>
    <i>
      <x v="6"/>
    </i>
    <i>
      <x v="7"/>
    </i>
    <i>
      <x v="8"/>
    </i>
    <i>
      <x v="10"/>
    </i>
    <i>
      <x v="11"/>
    </i>
    <i>
      <x v="12"/>
    </i>
    <i>
      <x v="13"/>
    </i>
    <i>
      <x v="14"/>
    </i>
    <i>
      <x v="16"/>
    </i>
    <i>
      <x v="19"/>
    </i>
    <i>
      <x v="20"/>
    </i>
    <i>
      <x v="21"/>
    </i>
    <i>
      <x v="22"/>
    </i>
    <i>
      <x v="24"/>
    </i>
    <i>
      <x v="25"/>
    </i>
    <i>
      <x v="26"/>
    </i>
    <i>
      <x v="27"/>
    </i>
    <i>
      <x v="28"/>
    </i>
    <i>
      <x v="29"/>
    </i>
    <i>
      <x v="30"/>
    </i>
    <i t="grand">
      <x/>
    </i>
  </rowItems>
  <colFields count="2">
    <field x="4"/>
    <field x="5"/>
  </colFields>
  <colItems count="13">
    <i>
      <x/>
      <x v="6"/>
    </i>
    <i r="1">
      <x v="7"/>
    </i>
    <i r="1">
      <x v="8"/>
    </i>
    <i r="1">
      <x v="9"/>
    </i>
    <i r="1">
      <x v="10"/>
    </i>
    <i r="1">
      <x v="11"/>
    </i>
    <i>
      <x v="1"/>
      <x/>
    </i>
    <i r="1">
      <x v="1"/>
    </i>
    <i r="1">
      <x v="2"/>
    </i>
    <i r="1">
      <x v="3"/>
    </i>
    <i r="1">
      <x v="4"/>
    </i>
    <i r="1">
      <x v="5"/>
    </i>
    <i t="grand">
      <x/>
    </i>
  </colItems>
  <pageFields count="3">
    <pageField fld="0" item="0" hier="-1"/>
    <pageField fld="11" item="1" hier="-1"/>
    <pageField fld="9" item="0" hier="-1"/>
  </pageFields>
  <dataFields count="1">
    <dataField name="Sum of primaryValue" fld="44" baseField="0" baseItem="0" numFmtId="167"/>
  </dataFields>
  <formats count="28">
    <format dxfId="377">
      <pivotArea outline="0" collapsedLevelsAreSubtotals="1" fieldPosition="0"/>
    </format>
    <format dxfId="376">
      <pivotArea type="all" dataOnly="0" outline="0" fieldPosition="0"/>
    </format>
    <format dxfId="375">
      <pivotArea outline="0" collapsedLevelsAreSubtotals="1" fieldPosition="0"/>
    </format>
    <format dxfId="374">
      <pivotArea type="origin" dataOnly="0" labelOnly="1" outline="0" fieldPosition="0"/>
    </format>
    <format dxfId="373">
      <pivotArea field="4" type="button" dataOnly="0" labelOnly="1" outline="0" axis="axisCol" fieldPosition="0"/>
    </format>
    <format dxfId="372">
      <pivotArea field="5" type="button" dataOnly="0" labelOnly="1" outline="0" axis="axisCol" fieldPosition="1"/>
    </format>
    <format dxfId="371">
      <pivotArea type="topRight" dataOnly="0" labelOnly="1" outline="0" fieldPosition="0"/>
    </format>
    <format dxfId="370">
      <pivotArea field="14" type="button" dataOnly="0" labelOnly="1" outline="0" axis="axisRow" fieldPosition="0"/>
    </format>
    <format dxfId="369">
      <pivotArea dataOnly="0" labelOnly="1" outline="0" fieldPosition="0">
        <references count="1">
          <reference field="14" count="25">
            <x v="0"/>
            <x v="1"/>
            <x v="2"/>
            <x v="3"/>
            <x v="4"/>
            <x v="6"/>
            <x v="7"/>
            <x v="8"/>
            <x v="10"/>
            <x v="11"/>
            <x v="12"/>
            <x v="13"/>
            <x v="14"/>
            <x v="16"/>
            <x v="19"/>
            <x v="20"/>
            <x v="21"/>
            <x v="22"/>
            <x v="24"/>
            <x v="25"/>
            <x v="26"/>
            <x v="27"/>
            <x v="28"/>
            <x v="29"/>
            <x v="30"/>
          </reference>
        </references>
      </pivotArea>
    </format>
    <format dxfId="368">
      <pivotArea dataOnly="0" labelOnly="1" grandRow="1" outline="0" fieldPosition="0"/>
    </format>
    <format dxfId="367">
      <pivotArea dataOnly="0" labelOnly="1" outline="0" fieldPosition="0">
        <references count="1">
          <reference field="4" count="0"/>
        </references>
      </pivotArea>
    </format>
    <format dxfId="366">
      <pivotArea dataOnly="0" labelOnly="1" grandCol="1" outline="0" fieldPosition="0"/>
    </format>
    <format dxfId="365">
      <pivotArea dataOnly="0" labelOnly="1" outline="0" fieldPosition="0">
        <references count="2">
          <reference field="4" count="1" selected="0">
            <x v="0"/>
          </reference>
          <reference field="5" count="6">
            <x v="6"/>
            <x v="7"/>
            <x v="8"/>
            <x v="9"/>
            <x v="10"/>
            <x v="11"/>
          </reference>
        </references>
      </pivotArea>
    </format>
    <format dxfId="364">
      <pivotArea dataOnly="0" labelOnly="1" outline="0" fieldPosition="0">
        <references count="2">
          <reference field="4" count="1" selected="0">
            <x v="1"/>
          </reference>
          <reference field="5" count="6">
            <x v="0"/>
            <x v="1"/>
            <x v="2"/>
            <x v="3"/>
            <x v="4"/>
            <x v="5"/>
          </reference>
        </references>
      </pivotArea>
    </format>
    <format dxfId="363">
      <pivotArea type="all" dataOnly="0" outline="0" fieldPosition="0"/>
    </format>
    <format dxfId="362">
      <pivotArea outline="0" collapsedLevelsAreSubtotals="1" fieldPosition="0"/>
    </format>
    <format dxfId="361">
      <pivotArea type="origin" dataOnly="0" labelOnly="1" outline="0" fieldPosition="0"/>
    </format>
    <format dxfId="360">
      <pivotArea field="4" type="button" dataOnly="0" labelOnly="1" outline="0" axis="axisCol" fieldPosition="0"/>
    </format>
    <format dxfId="359">
      <pivotArea field="5" type="button" dataOnly="0" labelOnly="1" outline="0" axis="axisCol" fieldPosition="1"/>
    </format>
    <format dxfId="358">
      <pivotArea type="topRight" dataOnly="0" labelOnly="1" outline="0" fieldPosition="0"/>
    </format>
    <format dxfId="357">
      <pivotArea field="14" type="button" dataOnly="0" labelOnly="1" outline="0" axis="axisRow" fieldPosition="0"/>
    </format>
    <format dxfId="356">
      <pivotArea dataOnly="0" labelOnly="1" outline="0" fieldPosition="0">
        <references count="1">
          <reference field="14" count="25">
            <x v="0"/>
            <x v="1"/>
            <x v="2"/>
            <x v="3"/>
            <x v="4"/>
            <x v="6"/>
            <x v="7"/>
            <x v="8"/>
            <x v="10"/>
            <x v="11"/>
            <x v="12"/>
            <x v="13"/>
            <x v="14"/>
            <x v="16"/>
            <x v="19"/>
            <x v="20"/>
            <x v="21"/>
            <x v="22"/>
            <x v="24"/>
            <x v="25"/>
            <x v="26"/>
            <x v="27"/>
            <x v="28"/>
            <x v="29"/>
            <x v="30"/>
          </reference>
        </references>
      </pivotArea>
    </format>
    <format dxfId="355">
      <pivotArea dataOnly="0" labelOnly="1" grandRow="1" outline="0" fieldPosition="0"/>
    </format>
    <format dxfId="354">
      <pivotArea dataOnly="0" labelOnly="1" outline="0" fieldPosition="0">
        <references count="1">
          <reference field="4" count="0"/>
        </references>
      </pivotArea>
    </format>
    <format dxfId="353">
      <pivotArea dataOnly="0" labelOnly="1" grandCol="1" outline="0" fieldPosition="0"/>
    </format>
    <format dxfId="352">
      <pivotArea dataOnly="0" labelOnly="1" outline="0" fieldPosition="0">
        <references count="2">
          <reference field="4" count="1" selected="0">
            <x v="0"/>
          </reference>
          <reference field="5" count="6">
            <x v="6"/>
            <x v="7"/>
            <x v="8"/>
            <x v="9"/>
            <x v="10"/>
            <x v="11"/>
          </reference>
        </references>
      </pivotArea>
    </format>
    <format dxfId="351">
      <pivotArea dataOnly="0" labelOnly="1" outline="0" fieldPosition="0">
        <references count="2">
          <reference field="4" count="1" selected="0">
            <x v="1"/>
          </reference>
          <reference field="5" count="6">
            <x v="0"/>
            <x v="1"/>
            <x v="2"/>
            <x v="3"/>
            <x v="4"/>
            <x v="5"/>
          </reference>
        </references>
      </pivotArea>
    </format>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722D59-61A6-499B-BDDC-AAC4F8DB857B}" name="PivotTable2"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74:AF136"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8"/>
        <item x="9"/>
        <item x="7"/>
        <item x="10"/>
        <item x="11"/>
        <item x="6"/>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9">
        <item x="1"/>
        <item x="2"/>
        <item x="3"/>
        <item x="4"/>
        <item x="5"/>
        <item x="51"/>
        <item x="48"/>
        <item x="52"/>
        <item x="6"/>
        <item x="10"/>
        <item x="53"/>
        <item x="7"/>
        <item x="29"/>
        <item x="54"/>
        <item x="8"/>
        <item x="49"/>
        <item x="9"/>
        <item x="38"/>
        <item x="55"/>
        <item x="19"/>
        <item x="44"/>
        <item x="39"/>
        <item x="11"/>
        <item x="12"/>
        <item x="30"/>
        <item x="40"/>
        <item x="56"/>
        <item x="31"/>
        <item x="14"/>
        <item x="32"/>
        <item x="33"/>
        <item x="57"/>
        <item x="16"/>
        <item x="15"/>
        <item x="34"/>
        <item x="45"/>
        <item x="35"/>
        <item x="41"/>
        <item x="17"/>
        <item x="13"/>
        <item x="50"/>
        <item x="46"/>
        <item x="18"/>
        <item x="58"/>
        <item x="20"/>
        <item x="36"/>
        <item x="42"/>
        <item x="21"/>
        <item x="22"/>
        <item x="37"/>
        <item x="23"/>
        <item x="24"/>
        <item x="26"/>
        <item x="43"/>
        <item x="25"/>
        <item x="27"/>
        <item x="28"/>
        <item x="47"/>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2">
    <field x="3"/>
    <field x="4"/>
  </colFields>
  <colItems count="13">
    <i>
      <x/>
      <x v="6"/>
    </i>
    <i r="1">
      <x v="7"/>
    </i>
    <i r="1">
      <x v="8"/>
    </i>
    <i r="1">
      <x v="9"/>
    </i>
    <i r="1">
      <x v="10"/>
    </i>
    <i r="1">
      <x v="11"/>
    </i>
    <i>
      <x v="1"/>
      <x/>
    </i>
    <i r="1">
      <x v="1"/>
    </i>
    <i r="1">
      <x v="2"/>
    </i>
    <i r="1">
      <x v="3"/>
    </i>
    <i r="1">
      <x v="4"/>
    </i>
    <i r="1">
      <x v="5"/>
    </i>
    <i t="grand">
      <x/>
    </i>
  </colItems>
  <pageFields count="1">
    <pageField fld="8" item="0" hier="-1"/>
  </pageFields>
  <dataFields count="1">
    <dataField name="Sum of primaryValue" fld="43" baseField="0" baseItem="0"/>
  </dataFields>
  <formats count="29">
    <format dxfId="293">
      <pivotArea outline="0" collapsedLevelsAreSubtotals="1" fieldPosition="0"/>
    </format>
    <format dxfId="292">
      <pivotArea type="all" dataOnly="0" outline="0" fieldPosition="0"/>
    </format>
    <format dxfId="291">
      <pivotArea outline="0" collapsedLevelsAreSubtotals="1" fieldPosition="0"/>
    </format>
    <format dxfId="290">
      <pivotArea type="origin" dataOnly="0" labelOnly="1" outline="0" fieldPosition="0"/>
    </format>
    <format dxfId="289">
      <pivotArea field="3" type="button" dataOnly="0" labelOnly="1" outline="0" axis="axisCol" fieldPosition="0"/>
    </format>
    <format dxfId="288">
      <pivotArea field="4" type="button" dataOnly="0" labelOnly="1" outline="0" axis="axisCol" fieldPosition="1"/>
    </format>
    <format dxfId="287">
      <pivotArea type="topRight" dataOnly="0" labelOnly="1" outline="0" fieldPosition="0"/>
    </format>
    <format dxfId="286">
      <pivotArea field="13" type="button" dataOnly="0" labelOnly="1" outline="0" axis="axisRow" fieldPosition="0"/>
    </format>
    <format dxfId="285">
      <pivotArea dataOnly="0" labelOnly="1" outline="0"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4">
      <pivotArea dataOnly="0" labelOnly="1" outline="0" fieldPosition="0">
        <references count="1">
          <reference field="13" count="9">
            <x v="50"/>
            <x v="51"/>
            <x v="52"/>
            <x v="53"/>
            <x v="54"/>
            <x v="55"/>
            <x v="56"/>
            <x v="57"/>
            <x v="58"/>
          </reference>
        </references>
      </pivotArea>
    </format>
    <format dxfId="283">
      <pivotArea dataOnly="0" labelOnly="1" grandRow="1" outline="0" fieldPosition="0"/>
    </format>
    <format dxfId="282">
      <pivotArea dataOnly="0" labelOnly="1" outline="0" fieldPosition="0">
        <references count="1">
          <reference field="3" count="0"/>
        </references>
      </pivotArea>
    </format>
    <format dxfId="281">
      <pivotArea dataOnly="0" labelOnly="1" grandCol="1" outline="0" fieldPosition="0"/>
    </format>
    <format dxfId="280">
      <pivotArea dataOnly="0" labelOnly="1" outline="0" fieldPosition="0">
        <references count="2">
          <reference field="3" count="1" selected="0">
            <x v="0"/>
          </reference>
          <reference field="4" count="6">
            <x v="6"/>
            <x v="7"/>
            <x v="8"/>
            <x v="9"/>
            <x v="10"/>
            <x v="11"/>
          </reference>
        </references>
      </pivotArea>
    </format>
    <format dxfId="279">
      <pivotArea dataOnly="0" labelOnly="1" outline="0" fieldPosition="0">
        <references count="2">
          <reference field="3" count="1" selected="0">
            <x v="1"/>
          </reference>
          <reference field="4" count="6">
            <x v="0"/>
            <x v="1"/>
            <x v="2"/>
            <x v="3"/>
            <x v="4"/>
            <x v="5"/>
          </reference>
        </references>
      </pivotArea>
    </format>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3" type="button" dataOnly="0" labelOnly="1" outline="0" axis="axisCol" fieldPosition="0"/>
    </format>
    <format dxfId="274">
      <pivotArea field="4" type="button" dataOnly="0" labelOnly="1" outline="0" axis="axisCol" fieldPosition="1"/>
    </format>
    <format dxfId="273">
      <pivotArea type="topRight" dataOnly="0" labelOnly="1" outline="0" fieldPosition="0"/>
    </format>
    <format dxfId="272">
      <pivotArea field="13" type="button" dataOnly="0" labelOnly="1" outline="0" axis="axisRow" fieldPosition="0"/>
    </format>
    <format dxfId="271">
      <pivotArea dataOnly="0" labelOnly="1" outline="0"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0">
      <pivotArea dataOnly="0" labelOnly="1" outline="0" fieldPosition="0">
        <references count="1">
          <reference field="13" count="9">
            <x v="50"/>
            <x v="51"/>
            <x v="52"/>
            <x v="53"/>
            <x v="54"/>
            <x v="55"/>
            <x v="56"/>
            <x v="57"/>
            <x v="58"/>
          </reference>
        </references>
      </pivotArea>
    </format>
    <format dxfId="269">
      <pivotArea dataOnly="0" labelOnly="1" grandRow="1" outline="0" fieldPosition="0"/>
    </format>
    <format dxfId="268">
      <pivotArea dataOnly="0" labelOnly="1" outline="0" fieldPosition="0">
        <references count="1">
          <reference field="3" count="0"/>
        </references>
      </pivotArea>
    </format>
    <format dxfId="267">
      <pivotArea dataOnly="0" labelOnly="1" grandCol="1" outline="0" fieldPosition="0"/>
    </format>
    <format dxfId="266">
      <pivotArea dataOnly="0" labelOnly="1" outline="0" fieldPosition="0">
        <references count="2">
          <reference field="3" count="1" selected="0">
            <x v="0"/>
          </reference>
          <reference field="4" count="6">
            <x v="6"/>
            <x v="7"/>
            <x v="8"/>
            <x v="9"/>
            <x v="10"/>
            <x v="11"/>
          </reference>
        </references>
      </pivotArea>
    </format>
    <format dxfId="265">
      <pivotArea dataOnly="0" labelOnly="1" outline="0" fieldPosition="0">
        <references count="2">
          <reference field="3" count="1" selected="0">
            <x v="1"/>
          </reference>
          <reference field="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EE37F4-E6B4-4D1E-870D-CE9CA563A4CE}" name="PivotTable1"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5:AF67"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8"/>
        <item x="9"/>
        <item x="7"/>
        <item x="10"/>
        <item x="11"/>
        <item x="6"/>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9">
        <item x="1"/>
        <item x="2"/>
        <item x="3"/>
        <item x="4"/>
        <item x="5"/>
        <item x="51"/>
        <item x="48"/>
        <item x="52"/>
        <item x="6"/>
        <item x="10"/>
        <item x="53"/>
        <item x="7"/>
        <item x="29"/>
        <item x="54"/>
        <item x="8"/>
        <item x="49"/>
        <item x="9"/>
        <item x="38"/>
        <item x="55"/>
        <item x="19"/>
        <item x="44"/>
        <item x="39"/>
        <item x="11"/>
        <item x="12"/>
        <item x="30"/>
        <item x="40"/>
        <item x="56"/>
        <item x="31"/>
        <item x="14"/>
        <item x="32"/>
        <item x="33"/>
        <item x="57"/>
        <item x="16"/>
        <item x="15"/>
        <item x="34"/>
        <item x="45"/>
        <item x="35"/>
        <item x="41"/>
        <item x="17"/>
        <item x="13"/>
        <item x="50"/>
        <item x="46"/>
        <item x="18"/>
        <item x="58"/>
        <item x="20"/>
        <item x="36"/>
        <item x="42"/>
        <item x="21"/>
        <item x="22"/>
        <item x="37"/>
        <item x="23"/>
        <item x="24"/>
        <item x="26"/>
        <item x="43"/>
        <item x="25"/>
        <item x="27"/>
        <item x="28"/>
        <item x="47"/>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2">
    <field x="3"/>
    <field x="4"/>
  </colFields>
  <colItems count="13">
    <i>
      <x/>
      <x v="6"/>
    </i>
    <i r="1">
      <x v="7"/>
    </i>
    <i r="1">
      <x v="8"/>
    </i>
    <i r="1">
      <x v="9"/>
    </i>
    <i r="1">
      <x v="10"/>
    </i>
    <i r="1">
      <x v="11"/>
    </i>
    <i>
      <x v="1"/>
      <x/>
    </i>
    <i r="1">
      <x v="1"/>
    </i>
    <i r="1">
      <x v="2"/>
    </i>
    <i r="1">
      <x v="3"/>
    </i>
    <i r="1">
      <x v="4"/>
    </i>
    <i r="1">
      <x v="5"/>
    </i>
    <i t="grand">
      <x/>
    </i>
  </colItems>
  <pageFields count="1">
    <pageField fld="8" item="0" hier="-1"/>
  </pageFields>
  <dataFields count="1">
    <dataField name="Sum of qty" fld="31" baseField="0" baseItem="0" numFmtId="167"/>
  </dataFields>
  <formats count="29">
    <format dxfId="322">
      <pivotArea outline="0" collapsedLevelsAreSubtotals="1" fieldPosition="0"/>
    </format>
    <format dxfId="321">
      <pivotArea type="all" dataOnly="0" outline="0" fieldPosition="0"/>
    </format>
    <format dxfId="320">
      <pivotArea outline="0" collapsedLevelsAreSubtotals="1" fieldPosition="0"/>
    </format>
    <format dxfId="319">
      <pivotArea type="origin" dataOnly="0" labelOnly="1" outline="0" fieldPosition="0"/>
    </format>
    <format dxfId="318">
      <pivotArea field="3" type="button" dataOnly="0" labelOnly="1" outline="0" axis="axisCol" fieldPosition="0"/>
    </format>
    <format dxfId="317">
      <pivotArea field="4" type="button" dataOnly="0" labelOnly="1" outline="0" axis="axisCol" fieldPosition="1"/>
    </format>
    <format dxfId="316">
      <pivotArea type="topRight" dataOnly="0" labelOnly="1" outline="0" fieldPosition="0"/>
    </format>
    <format dxfId="315">
      <pivotArea field="13" type="button" dataOnly="0" labelOnly="1" outline="0" axis="axisRow" fieldPosition="0"/>
    </format>
    <format dxfId="314">
      <pivotArea dataOnly="0" labelOnly="1" outline="0"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3">
      <pivotArea dataOnly="0" labelOnly="1" outline="0" fieldPosition="0">
        <references count="1">
          <reference field="13" count="9">
            <x v="50"/>
            <x v="51"/>
            <x v="52"/>
            <x v="53"/>
            <x v="54"/>
            <x v="55"/>
            <x v="56"/>
            <x v="57"/>
            <x v="58"/>
          </reference>
        </references>
      </pivotArea>
    </format>
    <format dxfId="312">
      <pivotArea dataOnly="0" labelOnly="1" grandRow="1" outline="0" fieldPosition="0"/>
    </format>
    <format dxfId="311">
      <pivotArea dataOnly="0" labelOnly="1" outline="0" fieldPosition="0">
        <references count="1">
          <reference field="3" count="0"/>
        </references>
      </pivotArea>
    </format>
    <format dxfId="310">
      <pivotArea dataOnly="0" labelOnly="1" grandCol="1" outline="0" fieldPosition="0"/>
    </format>
    <format dxfId="309">
      <pivotArea dataOnly="0" labelOnly="1" outline="0" fieldPosition="0">
        <references count="2">
          <reference field="3" count="1" selected="0">
            <x v="0"/>
          </reference>
          <reference field="4" count="6">
            <x v="6"/>
            <x v="7"/>
            <x v="8"/>
            <x v="9"/>
            <x v="10"/>
            <x v="11"/>
          </reference>
        </references>
      </pivotArea>
    </format>
    <format dxfId="308">
      <pivotArea dataOnly="0" labelOnly="1" outline="0" fieldPosition="0">
        <references count="2">
          <reference field="3" count="1" selected="0">
            <x v="1"/>
          </reference>
          <reference field="4" count="6">
            <x v="0"/>
            <x v="1"/>
            <x v="2"/>
            <x v="3"/>
            <x v="4"/>
            <x v="5"/>
          </reference>
        </references>
      </pivotArea>
    </format>
    <format dxfId="307">
      <pivotArea type="all" dataOnly="0" outline="0" fieldPosition="0"/>
    </format>
    <format dxfId="306">
      <pivotArea outline="0" collapsedLevelsAreSubtotals="1" fieldPosition="0"/>
    </format>
    <format dxfId="305">
      <pivotArea type="origin" dataOnly="0" labelOnly="1" outline="0" fieldPosition="0"/>
    </format>
    <format dxfId="304">
      <pivotArea field="3" type="button" dataOnly="0" labelOnly="1" outline="0" axis="axisCol" fieldPosition="0"/>
    </format>
    <format dxfId="303">
      <pivotArea field="4" type="button" dataOnly="0" labelOnly="1" outline="0" axis="axisCol" fieldPosition="1"/>
    </format>
    <format dxfId="302">
      <pivotArea type="topRight" dataOnly="0" labelOnly="1" outline="0" fieldPosition="0"/>
    </format>
    <format dxfId="301">
      <pivotArea field="13" type="button" dataOnly="0" labelOnly="1" outline="0" axis="axisRow" fieldPosition="0"/>
    </format>
    <format dxfId="300">
      <pivotArea dataOnly="0" labelOnly="1" outline="0"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9">
      <pivotArea dataOnly="0" labelOnly="1" outline="0" fieldPosition="0">
        <references count="1">
          <reference field="13" count="9">
            <x v="50"/>
            <x v="51"/>
            <x v="52"/>
            <x v="53"/>
            <x v="54"/>
            <x v="55"/>
            <x v="56"/>
            <x v="57"/>
            <x v="58"/>
          </reference>
        </references>
      </pivotArea>
    </format>
    <format dxfId="298">
      <pivotArea dataOnly="0" labelOnly="1" grandRow="1" outline="0" fieldPosition="0"/>
    </format>
    <format dxfId="297">
      <pivotArea dataOnly="0" labelOnly="1" outline="0" fieldPosition="0">
        <references count="1">
          <reference field="3" count="0"/>
        </references>
      </pivotArea>
    </format>
    <format dxfId="296">
      <pivotArea dataOnly="0" labelOnly="1" grandCol="1" outline="0" fieldPosition="0"/>
    </format>
    <format dxfId="295">
      <pivotArea dataOnly="0" labelOnly="1" outline="0" fieldPosition="0">
        <references count="2">
          <reference field="3" count="1" selected="0">
            <x v="0"/>
          </reference>
          <reference field="4" count="6">
            <x v="6"/>
            <x v="7"/>
            <x v="8"/>
            <x v="9"/>
            <x v="10"/>
            <x v="11"/>
          </reference>
        </references>
      </pivotArea>
    </format>
    <format dxfId="294">
      <pivotArea dataOnly="0" labelOnly="1" outline="0" fieldPosition="0">
        <references count="2">
          <reference field="3" count="1" selected="0">
            <x v="1"/>
          </reference>
          <reference field="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EC5F9F-8E05-4FB1-BB8B-0C538591109D}" name="PivotTable4"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9:AD42"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1"/>
        <item x="0"/>
      </items>
    </pivotField>
    <pivotField axis="axisCol" compact="0" outline="0" showAll="0" defaultSubtotal="0">
      <items count="10">
        <item x="3"/>
        <item x="4"/>
        <item x="0"/>
        <item x="1"/>
        <item x="2"/>
        <item x="5"/>
        <item x="6"/>
        <item x="7"/>
        <item x="8"/>
        <item x="9"/>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3"/>
        <item x="9"/>
        <item x="8"/>
        <item x="1"/>
        <item x="6"/>
        <item x="5"/>
        <item x="7"/>
        <item x="4"/>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11">
    <i>
      <x/>
    </i>
    <i>
      <x v="1"/>
    </i>
    <i>
      <x v="2"/>
    </i>
    <i>
      <x v="3"/>
    </i>
    <i>
      <x v="4"/>
    </i>
    <i>
      <x v="5"/>
    </i>
    <i>
      <x v="6"/>
    </i>
    <i>
      <x v="7"/>
    </i>
    <i>
      <x v="8"/>
    </i>
    <i>
      <x v="9"/>
    </i>
    <i t="grand">
      <x/>
    </i>
  </rowItems>
  <colFields count="2">
    <field x="3"/>
    <field x="4"/>
  </colFields>
  <colItems count="11">
    <i>
      <x/>
      <x v="5"/>
    </i>
    <i r="1">
      <x v="6"/>
    </i>
    <i r="1">
      <x v="7"/>
    </i>
    <i r="1">
      <x v="8"/>
    </i>
    <i r="1">
      <x v="9"/>
    </i>
    <i>
      <x v="1"/>
      <x/>
    </i>
    <i r="1">
      <x v="1"/>
    </i>
    <i r="1">
      <x v="2"/>
    </i>
    <i r="1">
      <x v="3"/>
    </i>
    <i r="1">
      <x v="4"/>
    </i>
    <i t="grand">
      <x/>
    </i>
  </colItems>
  <pageFields count="1">
    <pageField fld="8" item="0" hier="-1"/>
  </pageFields>
  <dataFields count="1">
    <dataField name="Sum of primaryValue" fld="43" baseField="0" baseItem="0" numFmtId="167"/>
  </dataFields>
  <formats count="27">
    <format dxfId="237">
      <pivotArea type="all" dataOnly="0" outline="0" fieldPosition="0"/>
    </format>
    <format dxfId="236">
      <pivotArea outline="0" collapsedLevelsAreSubtotals="1" fieldPosition="0"/>
    </format>
    <format dxfId="235">
      <pivotArea type="origin" dataOnly="0" labelOnly="1" outline="0" fieldPosition="0"/>
    </format>
    <format dxfId="234">
      <pivotArea field="3" type="button" dataOnly="0" labelOnly="1" outline="0" axis="axisCol" fieldPosition="0"/>
    </format>
    <format dxfId="233">
      <pivotArea field="4" type="button" dataOnly="0" labelOnly="1" outline="0" axis="axisCol" fieldPosition="1"/>
    </format>
    <format dxfId="232">
      <pivotArea type="topRight" dataOnly="0" labelOnly="1" outline="0" fieldPosition="0"/>
    </format>
    <format dxfId="231">
      <pivotArea field="13" type="button" dataOnly="0" labelOnly="1" outline="0" axis="axisRow" fieldPosition="0"/>
    </format>
    <format dxfId="230">
      <pivotArea dataOnly="0" labelOnly="1" outline="0" fieldPosition="0">
        <references count="1">
          <reference field="13" count="0"/>
        </references>
      </pivotArea>
    </format>
    <format dxfId="229">
      <pivotArea dataOnly="0" labelOnly="1" grandRow="1" outline="0" fieldPosition="0"/>
    </format>
    <format dxfId="228">
      <pivotArea dataOnly="0" labelOnly="1" outline="0" fieldPosition="0">
        <references count="1">
          <reference field="3" count="0"/>
        </references>
      </pivotArea>
    </format>
    <format dxfId="227">
      <pivotArea dataOnly="0" labelOnly="1" grandCol="1" outline="0" fieldPosition="0"/>
    </format>
    <format dxfId="226">
      <pivotArea dataOnly="0" labelOnly="1" outline="0" fieldPosition="0">
        <references count="2">
          <reference field="3" count="1" selected="0">
            <x v="0"/>
          </reference>
          <reference field="4" count="5">
            <x v="5"/>
            <x v="6"/>
            <x v="7"/>
            <x v="8"/>
            <x v="9"/>
          </reference>
        </references>
      </pivotArea>
    </format>
    <format dxfId="225">
      <pivotArea dataOnly="0" labelOnly="1" outline="0" fieldPosition="0">
        <references count="2">
          <reference field="3" count="1" selected="0">
            <x v="1"/>
          </reference>
          <reference field="4" count="5">
            <x v="0"/>
            <x v="1"/>
            <x v="2"/>
            <x v="3"/>
            <x v="4"/>
          </reference>
        </references>
      </pivotArea>
    </format>
    <format dxfId="224">
      <pivotArea type="all" dataOnly="0" outline="0" fieldPosition="0"/>
    </format>
    <format dxfId="223">
      <pivotArea outline="0" collapsedLevelsAreSubtotals="1" fieldPosition="0"/>
    </format>
    <format dxfId="222">
      <pivotArea type="origin" dataOnly="0" labelOnly="1" outline="0" fieldPosition="0"/>
    </format>
    <format dxfId="221">
      <pivotArea field="3" type="button" dataOnly="0" labelOnly="1" outline="0" axis="axisCol" fieldPosition="0"/>
    </format>
    <format dxfId="220">
      <pivotArea field="4" type="button" dataOnly="0" labelOnly="1" outline="0" axis="axisCol" fieldPosition="1"/>
    </format>
    <format dxfId="219">
      <pivotArea type="topRight" dataOnly="0" labelOnly="1" outline="0" fieldPosition="0"/>
    </format>
    <format dxfId="218">
      <pivotArea field="13" type="button" dataOnly="0" labelOnly="1" outline="0" axis="axisRow" fieldPosition="0"/>
    </format>
    <format dxfId="217">
      <pivotArea dataOnly="0" labelOnly="1" outline="0" fieldPosition="0">
        <references count="1">
          <reference field="13" count="0"/>
        </references>
      </pivotArea>
    </format>
    <format dxfId="216">
      <pivotArea dataOnly="0" labelOnly="1" grandRow="1" outline="0" fieldPosition="0"/>
    </format>
    <format dxfId="215">
      <pivotArea dataOnly="0" labelOnly="1" outline="0" fieldPosition="0">
        <references count="1">
          <reference field="3" count="0"/>
        </references>
      </pivotArea>
    </format>
    <format dxfId="214">
      <pivotArea dataOnly="0" labelOnly="1" grandCol="1" outline="0" fieldPosition="0"/>
    </format>
    <format dxfId="213">
      <pivotArea dataOnly="0" labelOnly="1" outline="0" fieldPosition="0">
        <references count="2">
          <reference field="3" count="1" selected="0">
            <x v="0"/>
          </reference>
          <reference field="4" count="5">
            <x v="5"/>
            <x v="6"/>
            <x v="7"/>
            <x v="8"/>
            <x v="9"/>
          </reference>
        </references>
      </pivotArea>
    </format>
    <format dxfId="212">
      <pivotArea dataOnly="0" labelOnly="1" outline="0" fieldPosition="0">
        <references count="2">
          <reference field="3" count="1" selected="0">
            <x v="1"/>
          </reference>
          <reference field="4" count="5">
            <x v="0"/>
            <x v="1"/>
            <x v="2"/>
            <x v="3"/>
            <x v="4"/>
          </reference>
        </references>
      </pivotArea>
    </format>
    <format dxfId="2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859DB-5890-4CF7-82B3-9B6B8E26D0F7}" name="PivotTable3"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9:AD22"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1"/>
        <item x="0"/>
      </items>
    </pivotField>
    <pivotField axis="axisCol" compact="0" outline="0" showAll="0" defaultSubtotal="0">
      <items count="10">
        <item x="3"/>
        <item x="4"/>
        <item x="0"/>
        <item x="1"/>
        <item x="2"/>
        <item x="5"/>
        <item x="6"/>
        <item x="7"/>
        <item x="8"/>
        <item x="9"/>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3"/>
        <item x="9"/>
        <item x="8"/>
        <item x="1"/>
        <item x="6"/>
        <item x="5"/>
        <item x="7"/>
        <item x="4"/>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1">
    <i>
      <x/>
    </i>
    <i>
      <x v="1"/>
    </i>
    <i>
      <x v="2"/>
    </i>
    <i>
      <x v="3"/>
    </i>
    <i>
      <x v="4"/>
    </i>
    <i>
      <x v="5"/>
    </i>
    <i>
      <x v="6"/>
    </i>
    <i>
      <x v="7"/>
    </i>
    <i>
      <x v="8"/>
    </i>
    <i>
      <x v="9"/>
    </i>
    <i t="grand">
      <x/>
    </i>
  </rowItems>
  <colFields count="2">
    <field x="3"/>
    <field x="4"/>
  </colFields>
  <colItems count="11">
    <i>
      <x/>
      <x v="5"/>
    </i>
    <i r="1">
      <x v="6"/>
    </i>
    <i r="1">
      <x v="7"/>
    </i>
    <i r="1">
      <x v="8"/>
    </i>
    <i r="1">
      <x v="9"/>
    </i>
    <i>
      <x v="1"/>
      <x/>
    </i>
    <i r="1">
      <x v="1"/>
    </i>
    <i r="1">
      <x v="2"/>
    </i>
    <i r="1">
      <x v="3"/>
    </i>
    <i r="1">
      <x v="4"/>
    </i>
    <i t="grand">
      <x/>
    </i>
  </colItems>
  <pageFields count="1">
    <pageField fld="8" item="0" hier="-1"/>
  </pageFields>
  <dataFields count="1">
    <dataField name="Sum of qty" fld="31" baseField="0" baseItem="0" numFmtId="167"/>
  </dataFields>
  <formats count="27">
    <format dxfId="264">
      <pivotArea type="all" dataOnly="0" outline="0" fieldPosition="0"/>
    </format>
    <format dxfId="263">
      <pivotArea outline="0" collapsedLevelsAreSubtotals="1" fieldPosition="0"/>
    </format>
    <format dxfId="262">
      <pivotArea type="origin" dataOnly="0" labelOnly="1" outline="0" fieldPosition="0"/>
    </format>
    <format dxfId="261">
      <pivotArea field="3" type="button" dataOnly="0" labelOnly="1" outline="0" axis="axisCol" fieldPosition="0"/>
    </format>
    <format dxfId="260">
      <pivotArea field="4" type="button" dataOnly="0" labelOnly="1" outline="0" axis="axisCol" fieldPosition="1"/>
    </format>
    <format dxfId="259">
      <pivotArea type="topRight" dataOnly="0" labelOnly="1" outline="0" fieldPosition="0"/>
    </format>
    <format dxfId="258">
      <pivotArea field="13" type="button" dataOnly="0" labelOnly="1" outline="0" axis="axisRow" fieldPosition="0"/>
    </format>
    <format dxfId="257">
      <pivotArea dataOnly="0" labelOnly="1" outline="0" fieldPosition="0">
        <references count="1">
          <reference field="13" count="0"/>
        </references>
      </pivotArea>
    </format>
    <format dxfId="256">
      <pivotArea dataOnly="0" labelOnly="1" grandRow="1" outline="0" fieldPosition="0"/>
    </format>
    <format dxfId="255">
      <pivotArea dataOnly="0" labelOnly="1" outline="0" fieldPosition="0">
        <references count="1">
          <reference field="3" count="0"/>
        </references>
      </pivotArea>
    </format>
    <format dxfId="254">
      <pivotArea dataOnly="0" labelOnly="1" grandCol="1" outline="0" fieldPosition="0"/>
    </format>
    <format dxfId="253">
      <pivotArea dataOnly="0" labelOnly="1" outline="0" fieldPosition="0">
        <references count="2">
          <reference field="3" count="1" selected="0">
            <x v="0"/>
          </reference>
          <reference field="4" count="5">
            <x v="5"/>
            <x v="6"/>
            <x v="7"/>
            <x v="8"/>
            <x v="9"/>
          </reference>
        </references>
      </pivotArea>
    </format>
    <format dxfId="252">
      <pivotArea dataOnly="0" labelOnly="1" outline="0" fieldPosition="0">
        <references count="2">
          <reference field="3" count="1" selected="0">
            <x v="1"/>
          </reference>
          <reference field="4" count="5">
            <x v="0"/>
            <x v="1"/>
            <x v="2"/>
            <x v="3"/>
            <x v="4"/>
          </reference>
        </references>
      </pivotArea>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3" type="button" dataOnly="0" labelOnly="1" outline="0" axis="axisCol" fieldPosition="0"/>
    </format>
    <format dxfId="247">
      <pivotArea field="4" type="button" dataOnly="0" labelOnly="1" outline="0" axis="axisCol" fieldPosition="1"/>
    </format>
    <format dxfId="246">
      <pivotArea type="topRight" dataOnly="0" labelOnly="1" outline="0" fieldPosition="0"/>
    </format>
    <format dxfId="245">
      <pivotArea field="13" type="button" dataOnly="0" labelOnly="1" outline="0" axis="axisRow" fieldPosition="0"/>
    </format>
    <format dxfId="244">
      <pivotArea dataOnly="0" labelOnly="1" outline="0" fieldPosition="0">
        <references count="1">
          <reference field="13" count="0"/>
        </references>
      </pivotArea>
    </format>
    <format dxfId="243">
      <pivotArea dataOnly="0" labelOnly="1" grandRow="1" outline="0" fieldPosition="0"/>
    </format>
    <format dxfId="242">
      <pivotArea dataOnly="0" labelOnly="1" outline="0" fieldPosition="0">
        <references count="1">
          <reference field="3" count="0"/>
        </references>
      </pivotArea>
    </format>
    <format dxfId="241">
      <pivotArea dataOnly="0" labelOnly="1" grandCol="1" outline="0" fieldPosition="0"/>
    </format>
    <format dxfId="240">
      <pivotArea dataOnly="0" labelOnly="1" outline="0" fieldPosition="0">
        <references count="2">
          <reference field="3" count="1" selected="0">
            <x v="0"/>
          </reference>
          <reference field="4" count="5">
            <x v="5"/>
            <x v="6"/>
            <x v="7"/>
            <x v="8"/>
            <x v="9"/>
          </reference>
        </references>
      </pivotArea>
    </format>
    <format dxfId="239">
      <pivotArea dataOnly="0" labelOnly="1" outline="0" fieldPosition="0">
        <references count="2">
          <reference field="3" count="1" selected="0">
            <x v="1"/>
          </reference>
          <reference field="4" count="5">
            <x v="0"/>
            <x v="1"/>
            <x v="2"/>
            <x v="3"/>
            <x v="4"/>
          </reference>
        </references>
      </pivotArea>
    </format>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F030E4-3965-4B11-B675-FE61470681C2}" name="PivotTable5"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5:AE20"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1">
        <item x="10"/>
        <item x="7"/>
        <item x="8"/>
        <item x="9"/>
        <item x="6"/>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x="10"/>
        <item x="7"/>
        <item x="11"/>
        <item x="3"/>
        <item x="6"/>
        <item x="0"/>
        <item x="1"/>
        <item x="5"/>
        <item x="8"/>
        <item x="2"/>
        <item x="9"/>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3">
    <i>
      <x/>
    </i>
    <i>
      <x v="1"/>
    </i>
    <i>
      <x v="2"/>
    </i>
    <i>
      <x v="3"/>
    </i>
    <i>
      <x v="4"/>
    </i>
    <i>
      <x v="5"/>
    </i>
    <i>
      <x v="6"/>
    </i>
    <i>
      <x v="7"/>
    </i>
    <i>
      <x v="8"/>
    </i>
    <i>
      <x v="9"/>
    </i>
    <i>
      <x v="10"/>
    </i>
    <i>
      <x v="11"/>
    </i>
    <i t="grand">
      <x/>
    </i>
  </rowItems>
  <colFields count="2">
    <field x="3"/>
    <field x="4"/>
  </colFields>
  <colItems count="12">
    <i>
      <x/>
      <x v="5"/>
    </i>
    <i r="1">
      <x v="6"/>
    </i>
    <i r="1">
      <x v="7"/>
    </i>
    <i r="1">
      <x v="8"/>
    </i>
    <i r="1">
      <x v="9"/>
    </i>
    <i r="1">
      <x v="10"/>
    </i>
    <i>
      <x v="1"/>
      <x/>
    </i>
    <i r="1">
      <x v="1"/>
    </i>
    <i r="1">
      <x v="2"/>
    </i>
    <i r="1">
      <x v="3"/>
    </i>
    <i r="1">
      <x v="4"/>
    </i>
    <i t="grand">
      <x/>
    </i>
  </colItems>
  <pageFields count="1">
    <pageField fld="8" item="0" hier="-1"/>
  </pageFields>
  <dataFields count="1">
    <dataField name="Sum of qty" fld="31" baseField="0" baseItem="0"/>
  </dataFields>
  <formats count="26">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3" type="button" dataOnly="0" labelOnly="1" outline="0" axis="axisCol" fieldPosition="0"/>
    </format>
    <format dxfId="180">
      <pivotArea field="4" type="button" dataOnly="0" labelOnly="1" outline="0" axis="axisCol" fieldPosition="1"/>
    </format>
    <format dxfId="179">
      <pivotArea type="topRight" dataOnly="0" labelOnly="1" outline="0" fieldPosition="0"/>
    </format>
    <format dxfId="178">
      <pivotArea field="13" type="button" dataOnly="0" labelOnly="1" outline="0" axis="axisRow" fieldPosition="0"/>
    </format>
    <format dxfId="177">
      <pivotArea dataOnly="0" labelOnly="1" outline="0" fieldPosition="0">
        <references count="1">
          <reference field="13" count="0"/>
        </references>
      </pivotArea>
    </format>
    <format dxfId="176">
      <pivotArea dataOnly="0" labelOnly="1" grandRow="1" outline="0" fieldPosition="0"/>
    </format>
    <format dxfId="175">
      <pivotArea dataOnly="0" labelOnly="1" outline="0" fieldPosition="0">
        <references count="1">
          <reference field="3" count="0"/>
        </references>
      </pivotArea>
    </format>
    <format dxfId="174">
      <pivotArea dataOnly="0" labelOnly="1" grandCol="1" outline="0" fieldPosition="0"/>
    </format>
    <format dxfId="173">
      <pivotArea dataOnly="0" labelOnly="1" outline="0" fieldPosition="0">
        <references count="2">
          <reference field="3" count="1" selected="0">
            <x v="0"/>
          </reference>
          <reference field="4" count="6">
            <x v="5"/>
            <x v="6"/>
            <x v="7"/>
            <x v="8"/>
            <x v="9"/>
            <x v="10"/>
          </reference>
        </references>
      </pivotArea>
    </format>
    <format dxfId="172">
      <pivotArea dataOnly="0" labelOnly="1" outline="0" fieldPosition="0">
        <references count="2">
          <reference field="3" count="1" selected="0">
            <x v="1"/>
          </reference>
          <reference field="4" count="5">
            <x v="0"/>
            <x v="1"/>
            <x v="2"/>
            <x v="3"/>
            <x v="4"/>
          </reference>
        </references>
      </pivotArea>
    </format>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3" type="button" dataOnly="0" labelOnly="1" outline="0" axis="axisCol" fieldPosition="0"/>
    </format>
    <format dxfId="167">
      <pivotArea field="4" type="button" dataOnly="0" labelOnly="1" outline="0" axis="axisCol" fieldPosition="1"/>
    </format>
    <format dxfId="166">
      <pivotArea type="topRight" dataOnly="0" labelOnly="1" outline="0" fieldPosition="0"/>
    </format>
    <format dxfId="165">
      <pivotArea field="13" type="button" dataOnly="0" labelOnly="1" outline="0" axis="axisRow" fieldPosition="0"/>
    </format>
    <format dxfId="164">
      <pivotArea dataOnly="0" labelOnly="1" outline="0" fieldPosition="0">
        <references count="1">
          <reference field="13" count="0"/>
        </references>
      </pivotArea>
    </format>
    <format dxfId="163">
      <pivotArea dataOnly="0" labelOnly="1" grandRow="1" outline="0" fieldPosition="0"/>
    </format>
    <format dxfId="162">
      <pivotArea dataOnly="0" labelOnly="1" outline="0" fieldPosition="0">
        <references count="1">
          <reference field="3" count="0"/>
        </references>
      </pivotArea>
    </format>
    <format dxfId="161">
      <pivotArea dataOnly="0" labelOnly="1" grandCol="1" outline="0" fieldPosition="0"/>
    </format>
    <format dxfId="160">
      <pivotArea dataOnly="0" labelOnly="1" outline="0" fieldPosition="0">
        <references count="2">
          <reference field="3" count="1" selected="0">
            <x v="0"/>
          </reference>
          <reference field="4" count="6">
            <x v="5"/>
            <x v="6"/>
            <x v="7"/>
            <x v="8"/>
            <x v="9"/>
            <x v="10"/>
          </reference>
        </references>
      </pivotArea>
    </format>
    <format dxfId="159">
      <pivotArea dataOnly="0" labelOnly="1" outline="0" fieldPosition="0">
        <references count="2">
          <reference field="3" count="1" selected="0">
            <x v="1"/>
          </reference>
          <reference field="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C26884-1A5C-46EE-BE37-8F338C51EB0B}" name="PivotTable6"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7:AE42"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1">
        <item x="10"/>
        <item x="7"/>
        <item x="8"/>
        <item x="9"/>
        <item x="6"/>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x="10"/>
        <item x="7"/>
        <item x="11"/>
        <item x="3"/>
        <item x="6"/>
        <item x="0"/>
        <item x="1"/>
        <item x="5"/>
        <item x="8"/>
        <item x="2"/>
        <item x="9"/>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13">
    <i>
      <x/>
    </i>
    <i>
      <x v="1"/>
    </i>
    <i>
      <x v="2"/>
    </i>
    <i>
      <x v="3"/>
    </i>
    <i>
      <x v="4"/>
    </i>
    <i>
      <x v="5"/>
    </i>
    <i>
      <x v="6"/>
    </i>
    <i>
      <x v="7"/>
    </i>
    <i>
      <x v="8"/>
    </i>
    <i>
      <x v="9"/>
    </i>
    <i>
      <x v="10"/>
    </i>
    <i>
      <x v="11"/>
    </i>
    <i t="grand">
      <x/>
    </i>
  </rowItems>
  <colFields count="2">
    <field x="3"/>
    <field x="4"/>
  </colFields>
  <colItems count="12">
    <i>
      <x/>
      <x v="5"/>
    </i>
    <i r="1">
      <x v="6"/>
    </i>
    <i r="1">
      <x v="7"/>
    </i>
    <i r="1">
      <x v="8"/>
    </i>
    <i r="1">
      <x v="9"/>
    </i>
    <i r="1">
      <x v="10"/>
    </i>
    <i>
      <x v="1"/>
      <x/>
    </i>
    <i r="1">
      <x v="1"/>
    </i>
    <i r="1">
      <x v="2"/>
    </i>
    <i r="1">
      <x v="3"/>
    </i>
    <i r="1">
      <x v="4"/>
    </i>
    <i t="grand">
      <x/>
    </i>
  </colItems>
  <pageFields count="1">
    <pageField fld="8" item="0" hier="-1"/>
  </pageFields>
  <dataFields count="1">
    <dataField name="Sum of primaryValue" fld="43" baseField="0" baseItem="0"/>
  </dataFields>
  <formats count="26">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3" type="button" dataOnly="0" labelOnly="1" outline="0" axis="axisCol" fieldPosition="0"/>
    </format>
    <format dxfId="206">
      <pivotArea field="4" type="button" dataOnly="0" labelOnly="1" outline="0" axis="axisCol" fieldPosition="1"/>
    </format>
    <format dxfId="205">
      <pivotArea type="topRight" dataOnly="0" labelOnly="1" outline="0" fieldPosition="0"/>
    </format>
    <format dxfId="204">
      <pivotArea field="13" type="button" dataOnly="0" labelOnly="1" outline="0" axis="axisRow" fieldPosition="0"/>
    </format>
    <format dxfId="203">
      <pivotArea dataOnly="0" labelOnly="1" outline="0" fieldPosition="0">
        <references count="1">
          <reference field="13" count="0"/>
        </references>
      </pivotArea>
    </format>
    <format dxfId="202">
      <pivotArea dataOnly="0" labelOnly="1" grandRow="1" outline="0" fieldPosition="0"/>
    </format>
    <format dxfId="201">
      <pivotArea dataOnly="0" labelOnly="1" outline="0" fieldPosition="0">
        <references count="1">
          <reference field="3" count="0"/>
        </references>
      </pivotArea>
    </format>
    <format dxfId="200">
      <pivotArea dataOnly="0" labelOnly="1" grandCol="1" outline="0" fieldPosition="0"/>
    </format>
    <format dxfId="199">
      <pivotArea dataOnly="0" labelOnly="1" outline="0" fieldPosition="0">
        <references count="2">
          <reference field="3" count="1" selected="0">
            <x v="0"/>
          </reference>
          <reference field="4" count="6">
            <x v="5"/>
            <x v="6"/>
            <x v="7"/>
            <x v="8"/>
            <x v="9"/>
            <x v="10"/>
          </reference>
        </references>
      </pivotArea>
    </format>
    <format dxfId="198">
      <pivotArea dataOnly="0" labelOnly="1" outline="0" fieldPosition="0">
        <references count="2">
          <reference field="3" count="1" selected="0">
            <x v="1"/>
          </reference>
          <reference field="4" count="5">
            <x v="0"/>
            <x v="1"/>
            <x v="2"/>
            <x v="3"/>
            <x v="4"/>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3" type="button" dataOnly="0" labelOnly="1" outline="0" axis="axisCol" fieldPosition="0"/>
    </format>
    <format dxfId="193">
      <pivotArea field="4" type="button" dataOnly="0" labelOnly="1" outline="0" axis="axisCol" fieldPosition="1"/>
    </format>
    <format dxfId="192">
      <pivotArea type="topRight" dataOnly="0" labelOnly="1" outline="0" fieldPosition="0"/>
    </format>
    <format dxfId="191">
      <pivotArea field="13" type="button" dataOnly="0" labelOnly="1" outline="0" axis="axisRow" fieldPosition="0"/>
    </format>
    <format dxfId="190">
      <pivotArea dataOnly="0" labelOnly="1" outline="0" fieldPosition="0">
        <references count="1">
          <reference field="13" count="0"/>
        </references>
      </pivotArea>
    </format>
    <format dxfId="189">
      <pivotArea dataOnly="0" labelOnly="1" grandRow="1" outline="0" fieldPosition="0"/>
    </format>
    <format dxfId="188">
      <pivotArea dataOnly="0" labelOnly="1" outline="0" fieldPosition="0">
        <references count="1">
          <reference field="3" count="0"/>
        </references>
      </pivotArea>
    </format>
    <format dxfId="187">
      <pivotArea dataOnly="0" labelOnly="1" grandCol="1" outline="0" fieldPosition="0"/>
    </format>
    <format dxfId="186">
      <pivotArea dataOnly="0" labelOnly="1" outline="0" fieldPosition="0">
        <references count="2">
          <reference field="3" count="1" selected="0">
            <x v="0"/>
          </reference>
          <reference field="4" count="6">
            <x v="5"/>
            <x v="6"/>
            <x v="7"/>
            <x v="8"/>
            <x v="9"/>
            <x v="10"/>
          </reference>
        </references>
      </pivotArea>
    </format>
    <format dxfId="185">
      <pivotArea dataOnly="0" labelOnly="1" outline="0" fieldPosition="0">
        <references count="2">
          <reference field="3" count="1" selected="0">
            <x v="1"/>
          </reference>
          <reference field="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A1757C-7136-4BCA-8417-A29CE432CE5B}" name="PivotTable8"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7:AE38"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1">
        <item x="10"/>
        <item x="5"/>
        <item x="6"/>
        <item x="7"/>
        <item x="8"/>
        <item x="9"/>
        <item x="0"/>
        <item x="1"/>
        <item x="2"/>
        <item x="3"/>
        <item x="4"/>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5"/>
        <item x="3"/>
        <item x="1"/>
        <item x="2"/>
        <item x="4"/>
        <item x="7"/>
        <item x="6"/>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9">
    <i>
      <x/>
    </i>
    <i>
      <x v="1"/>
    </i>
    <i>
      <x v="2"/>
    </i>
    <i>
      <x v="3"/>
    </i>
    <i>
      <x v="4"/>
    </i>
    <i>
      <x v="5"/>
    </i>
    <i>
      <x v="6"/>
    </i>
    <i>
      <x v="7"/>
    </i>
    <i t="grand">
      <x/>
    </i>
  </rowItems>
  <colFields count="2">
    <field x="3"/>
    <field x="4"/>
  </colFields>
  <colItems count="12">
    <i>
      <x/>
      <x v="6"/>
    </i>
    <i r="1">
      <x v="7"/>
    </i>
    <i r="1">
      <x v="8"/>
    </i>
    <i r="1">
      <x v="9"/>
    </i>
    <i r="1">
      <x v="10"/>
    </i>
    <i>
      <x v="1"/>
      <x/>
    </i>
    <i r="1">
      <x v="1"/>
    </i>
    <i r="1">
      <x v="2"/>
    </i>
    <i r="1">
      <x v="3"/>
    </i>
    <i r="1">
      <x v="4"/>
    </i>
    <i r="1">
      <x v="5"/>
    </i>
    <i t="grand">
      <x/>
    </i>
  </colItems>
  <pageFields count="1">
    <pageField fld="8" item="0" hier="-1"/>
  </pageFields>
  <dataFields count="1">
    <dataField name="Sum of primaryValue" fld="43" baseField="0" baseItem="0"/>
  </dataFields>
  <formats count="27">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3" type="button" dataOnly="0" labelOnly="1" outline="0" axis="axisCol" fieldPosition="0"/>
    </format>
    <format dxfId="127">
      <pivotArea field="4" type="button" dataOnly="0" labelOnly="1" outline="0" axis="axisCol" fieldPosition="1"/>
    </format>
    <format dxfId="126">
      <pivotArea type="topRight" dataOnly="0" labelOnly="1" outline="0" fieldPosition="0"/>
    </format>
    <format dxfId="125">
      <pivotArea field="13" type="button" dataOnly="0" labelOnly="1" outline="0" axis="axisRow" fieldPosition="0"/>
    </format>
    <format dxfId="124">
      <pivotArea dataOnly="0" labelOnly="1" outline="0" fieldPosition="0">
        <references count="1">
          <reference field="13" count="0"/>
        </references>
      </pivotArea>
    </format>
    <format dxfId="123">
      <pivotArea dataOnly="0" labelOnly="1" grandRow="1" outline="0" fieldPosition="0"/>
    </format>
    <format dxfId="122">
      <pivotArea dataOnly="0" labelOnly="1" outline="0" fieldPosition="0">
        <references count="1">
          <reference field="3" count="0"/>
        </references>
      </pivotArea>
    </format>
    <format dxfId="121">
      <pivotArea dataOnly="0" labelOnly="1" grandCol="1" outline="0" fieldPosition="0"/>
    </format>
    <format dxfId="120">
      <pivotArea dataOnly="0" labelOnly="1" outline="0" fieldPosition="0">
        <references count="2">
          <reference field="3" count="1" selected="0">
            <x v="0"/>
          </reference>
          <reference field="4" count="5">
            <x v="6"/>
            <x v="7"/>
            <x v="8"/>
            <x v="9"/>
            <x v="10"/>
          </reference>
        </references>
      </pivotArea>
    </format>
    <format dxfId="119">
      <pivotArea dataOnly="0" labelOnly="1" outline="0" fieldPosition="0">
        <references count="2">
          <reference field="3" count="1" selected="0">
            <x v="1"/>
          </reference>
          <reference field="4" count="6">
            <x v="0"/>
            <x v="1"/>
            <x v="2"/>
            <x v="3"/>
            <x v="4"/>
            <x v="5"/>
          </reference>
        </references>
      </pivotArea>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3" type="button" dataOnly="0" labelOnly="1" outline="0" axis="axisCol" fieldPosition="0"/>
    </format>
    <format dxfId="114">
      <pivotArea field="4" type="button" dataOnly="0" labelOnly="1" outline="0" axis="axisCol" fieldPosition="1"/>
    </format>
    <format dxfId="113">
      <pivotArea type="topRight" dataOnly="0" labelOnly="1" outline="0" fieldPosition="0"/>
    </format>
    <format dxfId="112">
      <pivotArea field="13" type="button" dataOnly="0" labelOnly="1" outline="0" axis="axisRow" fieldPosition="0"/>
    </format>
    <format dxfId="111">
      <pivotArea dataOnly="0" labelOnly="1" outline="0" fieldPosition="0">
        <references count="1">
          <reference field="13" count="0"/>
        </references>
      </pivotArea>
    </format>
    <format dxfId="110">
      <pivotArea dataOnly="0" labelOnly="1" grandRow="1" outline="0" fieldPosition="0"/>
    </format>
    <format dxfId="109">
      <pivotArea dataOnly="0" labelOnly="1" outline="0" fieldPosition="0">
        <references count="1">
          <reference field="3" count="0"/>
        </references>
      </pivotArea>
    </format>
    <format dxfId="108">
      <pivotArea dataOnly="0" labelOnly="1" grandCol="1" outline="0" fieldPosition="0"/>
    </format>
    <format dxfId="107">
      <pivotArea dataOnly="0" labelOnly="1" outline="0" fieldPosition="0">
        <references count="2">
          <reference field="3" count="1" selected="0">
            <x v="0"/>
          </reference>
          <reference field="4" count="5">
            <x v="6"/>
            <x v="7"/>
            <x v="8"/>
            <x v="9"/>
            <x v="10"/>
          </reference>
        </references>
      </pivotArea>
    </format>
    <format dxfId="106">
      <pivotArea dataOnly="0" labelOnly="1" outline="0" fieldPosition="0">
        <references count="2">
          <reference field="3" count="1" selected="0">
            <x v="1"/>
          </reference>
          <reference field="4" count="6">
            <x v="0"/>
            <x v="1"/>
            <x v="2"/>
            <x v="3"/>
            <x v="4"/>
            <x v="5"/>
          </reference>
        </references>
      </pivotArea>
    </format>
    <format dxfId="105">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80BCF6-E979-46BA-AA08-288D5B4F6264}" name="PivotTable7"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6:AE17"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1">
        <item x="10"/>
        <item x="5"/>
        <item x="6"/>
        <item x="7"/>
        <item x="8"/>
        <item x="9"/>
        <item x="0"/>
        <item x="1"/>
        <item x="2"/>
        <item x="3"/>
        <item x="4"/>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5"/>
        <item x="3"/>
        <item x="1"/>
        <item x="2"/>
        <item x="4"/>
        <item x="7"/>
        <item x="6"/>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9">
    <i>
      <x/>
    </i>
    <i>
      <x v="1"/>
    </i>
    <i>
      <x v="2"/>
    </i>
    <i>
      <x v="3"/>
    </i>
    <i>
      <x v="4"/>
    </i>
    <i>
      <x v="5"/>
    </i>
    <i>
      <x v="6"/>
    </i>
    <i>
      <x v="7"/>
    </i>
    <i t="grand">
      <x/>
    </i>
  </rowItems>
  <colFields count="2">
    <field x="3"/>
    <field x="4"/>
  </colFields>
  <colItems count="12">
    <i>
      <x/>
      <x v="6"/>
    </i>
    <i r="1">
      <x v="7"/>
    </i>
    <i r="1">
      <x v="8"/>
    </i>
    <i r="1">
      <x v="9"/>
    </i>
    <i r="1">
      <x v="10"/>
    </i>
    <i>
      <x v="1"/>
      <x/>
    </i>
    <i r="1">
      <x v="1"/>
    </i>
    <i r="1">
      <x v="2"/>
    </i>
    <i r="1">
      <x v="3"/>
    </i>
    <i r="1">
      <x v="4"/>
    </i>
    <i r="1">
      <x v="5"/>
    </i>
    <i t="grand">
      <x/>
    </i>
  </colItems>
  <pageFields count="1">
    <pageField fld="8" item="0" hier="-1"/>
  </pageFields>
  <dataFields count="1">
    <dataField name="Sum of qty" fld="31" baseField="0" baseItem="0"/>
  </dataFields>
  <formats count="27">
    <format dxfId="158">
      <pivotArea type="all" dataOnly="0" outline="0" fieldPosition="0"/>
    </format>
    <format dxfId="157">
      <pivotArea outline="0" collapsedLevelsAreSubtotals="1" fieldPosition="0"/>
    </format>
    <format dxfId="156">
      <pivotArea type="origin" dataOnly="0" labelOnly="1" outline="0" fieldPosition="0"/>
    </format>
    <format dxfId="155">
      <pivotArea field="3" type="button" dataOnly="0" labelOnly="1" outline="0" axis="axisCol" fieldPosition="0"/>
    </format>
    <format dxfId="154">
      <pivotArea field="4" type="button" dataOnly="0" labelOnly="1" outline="0" axis="axisCol" fieldPosition="1"/>
    </format>
    <format dxfId="153">
      <pivotArea type="topRight" dataOnly="0" labelOnly="1" outline="0" fieldPosition="0"/>
    </format>
    <format dxfId="152">
      <pivotArea field="13" type="button" dataOnly="0" labelOnly="1" outline="0" axis="axisRow" fieldPosition="0"/>
    </format>
    <format dxfId="151">
      <pivotArea dataOnly="0" labelOnly="1" outline="0" fieldPosition="0">
        <references count="1">
          <reference field="13" count="0"/>
        </references>
      </pivotArea>
    </format>
    <format dxfId="150">
      <pivotArea dataOnly="0" labelOnly="1" grandRow="1" outline="0" fieldPosition="0"/>
    </format>
    <format dxfId="149">
      <pivotArea dataOnly="0" labelOnly="1" outline="0" fieldPosition="0">
        <references count="1">
          <reference field="3" count="0"/>
        </references>
      </pivotArea>
    </format>
    <format dxfId="148">
      <pivotArea dataOnly="0" labelOnly="1" grandCol="1" outline="0" fieldPosition="0"/>
    </format>
    <format dxfId="147">
      <pivotArea dataOnly="0" labelOnly="1" outline="0" fieldPosition="0">
        <references count="2">
          <reference field="3" count="1" selected="0">
            <x v="0"/>
          </reference>
          <reference field="4" count="5">
            <x v="6"/>
            <x v="7"/>
            <x v="8"/>
            <x v="9"/>
            <x v="10"/>
          </reference>
        </references>
      </pivotArea>
    </format>
    <format dxfId="146">
      <pivotArea dataOnly="0" labelOnly="1" outline="0" fieldPosition="0">
        <references count="2">
          <reference field="3" count="1" selected="0">
            <x v="1"/>
          </reference>
          <reference field="4" count="6">
            <x v="0"/>
            <x v="1"/>
            <x v="2"/>
            <x v="3"/>
            <x v="4"/>
            <x v="5"/>
          </reference>
        </references>
      </pivotArea>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3" type="button" dataOnly="0" labelOnly="1" outline="0" axis="axisCol" fieldPosition="0"/>
    </format>
    <format dxfId="141">
      <pivotArea field="4" type="button" dataOnly="0" labelOnly="1" outline="0" axis="axisCol" fieldPosition="1"/>
    </format>
    <format dxfId="140">
      <pivotArea type="topRight" dataOnly="0" labelOnly="1" outline="0" fieldPosition="0"/>
    </format>
    <format dxfId="139">
      <pivotArea field="13" type="button" dataOnly="0" labelOnly="1" outline="0" axis="axisRow" fieldPosition="0"/>
    </format>
    <format dxfId="138">
      <pivotArea dataOnly="0" labelOnly="1" outline="0" fieldPosition="0">
        <references count="1">
          <reference field="13" count="0"/>
        </references>
      </pivotArea>
    </format>
    <format dxfId="137">
      <pivotArea dataOnly="0" labelOnly="1" grandRow="1" outline="0" fieldPosition="0"/>
    </format>
    <format dxfId="136">
      <pivotArea dataOnly="0" labelOnly="1" outline="0" fieldPosition="0">
        <references count="1">
          <reference field="3" count="0"/>
        </references>
      </pivotArea>
    </format>
    <format dxfId="135">
      <pivotArea dataOnly="0" labelOnly="1" grandCol="1" outline="0" fieldPosition="0"/>
    </format>
    <format dxfId="134">
      <pivotArea dataOnly="0" labelOnly="1" outline="0" fieldPosition="0">
        <references count="2">
          <reference field="3" count="1" selected="0">
            <x v="0"/>
          </reference>
          <reference field="4" count="5">
            <x v="6"/>
            <x v="7"/>
            <x v="8"/>
            <x v="9"/>
            <x v="10"/>
          </reference>
        </references>
      </pivotArea>
    </format>
    <format dxfId="133">
      <pivotArea dataOnly="0" labelOnly="1" outline="0" fieldPosition="0">
        <references count="2">
          <reference field="3" count="1" selected="0">
            <x v="1"/>
          </reference>
          <reference field="4" count="6">
            <x v="0"/>
            <x v="1"/>
            <x v="2"/>
            <x v="3"/>
            <x v="4"/>
            <x v="5"/>
          </reference>
        </references>
      </pivotArea>
    </format>
    <format dxfId="132">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2158AC-5B2D-421C-A0A9-A4CA61DBC1B4}" name="PivotTable10"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45:AF79"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11"/>
        <item x="9"/>
        <item x="10"/>
        <item x="8"/>
        <item x="6"/>
        <item x="7"/>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1">
        <item x="23"/>
        <item x="14"/>
        <item x="3"/>
        <item x="26"/>
        <item x="21"/>
        <item x="17"/>
        <item x="6"/>
        <item x="9"/>
        <item x="11"/>
        <item x="2"/>
        <item x="7"/>
        <item x="19"/>
        <item x="12"/>
        <item x="15"/>
        <item x="27"/>
        <item x="10"/>
        <item x="28"/>
        <item x="24"/>
        <item x="18"/>
        <item x="29"/>
        <item x="1"/>
        <item x="5"/>
        <item x="20"/>
        <item x="8"/>
        <item x="4"/>
        <item x="25"/>
        <item x="16"/>
        <item x="22"/>
        <item x="30"/>
        <item x="13"/>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3"/>
    <field x="4"/>
  </colFields>
  <colItems count="13">
    <i>
      <x/>
      <x v="6"/>
    </i>
    <i r="1">
      <x v="7"/>
    </i>
    <i r="1">
      <x v="8"/>
    </i>
    <i r="1">
      <x v="9"/>
    </i>
    <i r="1">
      <x v="10"/>
    </i>
    <i r="1">
      <x v="11"/>
    </i>
    <i>
      <x v="1"/>
      <x/>
    </i>
    <i r="1">
      <x v="1"/>
    </i>
    <i r="1">
      <x v="2"/>
    </i>
    <i r="1">
      <x v="3"/>
    </i>
    <i r="1">
      <x v="4"/>
    </i>
    <i r="1">
      <x v="5"/>
    </i>
    <i t="grand">
      <x/>
    </i>
  </colItems>
  <pageFields count="1">
    <pageField fld="8" item="0" hier="-1"/>
  </pageFields>
  <dataFields count="1">
    <dataField name="Sum of primaryValue" fld="43" baseField="0" baseItem="0"/>
  </dataFields>
  <formats count="26">
    <format dxfId="78">
      <pivotArea type="all" dataOnly="0" outline="0" fieldPosition="0"/>
    </format>
    <format dxfId="77">
      <pivotArea outline="0" collapsedLevelsAreSubtotals="1" fieldPosition="0"/>
    </format>
    <format dxfId="76">
      <pivotArea type="origin" dataOnly="0" labelOnly="1" outline="0" fieldPosition="0"/>
    </format>
    <format dxfId="75">
      <pivotArea field="3" type="button" dataOnly="0" labelOnly="1" outline="0" axis="axisCol" fieldPosition="0"/>
    </format>
    <format dxfId="74">
      <pivotArea field="4" type="button" dataOnly="0" labelOnly="1" outline="0" axis="axisCol" fieldPosition="1"/>
    </format>
    <format dxfId="73">
      <pivotArea type="topRight" dataOnly="0" labelOnly="1" outline="0" fieldPosition="0"/>
    </format>
    <format dxfId="72">
      <pivotArea field="13" type="button" dataOnly="0" labelOnly="1" outline="0" axis="axisRow" fieldPosition="0"/>
    </format>
    <format dxfId="71">
      <pivotArea dataOnly="0" labelOnly="1" outline="0" fieldPosition="0">
        <references count="1">
          <reference field="13" count="0"/>
        </references>
      </pivotArea>
    </format>
    <format dxfId="70">
      <pivotArea dataOnly="0" labelOnly="1" grandRow="1" outline="0" fieldPosition="0"/>
    </format>
    <format dxfId="69">
      <pivotArea dataOnly="0" labelOnly="1" outline="0" fieldPosition="0">
        <references count="1">
          <reference field="3" count="0"/>
        </references>
      </pivotArea>
    </format>
    <format dxfId="68">
      <pivotArea dataOnly="0" labelOnly="1" grandCol="1" outline="0" fieldPosition="0"/>
    </format>
    <format dxfId="67">
      <pivotArea dataOnly="0" labelOnly="1" outline="0" fieldPosition="0">
        <references count="2">
          <reference field="3" count="1" selected="0">
            <x v="0"/>
          </reference>
          <reference field="4" count="6">
            <x v="6"/>
            <x v="7"/>
            <x v="8"/>
            <x v="9"/>
            <x v="10"/>
            <x v="11"/>
          </reference>
        </references>
      </pivotArea>
    </format>
    <format dxfId="66">
      <pivotArea dataOnly="0" labelOnly="1" outline="0" fieldPosition="0">
        <references count="2">
          <reference field="3" count="1" selected="0">
            <x v="1"/>
          </reference>
          <reference field="4" count="6">
            <x v="0"/>
            <x v="1"/>
            <x v="2"/>
            <x v="3"/>
            <x v="4"/>
            <x v="5"/>
          </reference>
        </references>
      </pivotArea>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3" type="button" dataOnly="0" labelOnly="1" outline="0" axis="axisCol" fieldPosition="0"/>
    </format>
    <format dxfId="61">
      <pivotArea field="4" type="button" dataOnly="0" labelOnly="1" outline="0" axis="axisCol" fieldPosition="1"/>
    </format>
    <format dxfId="60">
      <pivotArea type="topRight" dataOnly="0" labelOnly="1" outline="0" fieldPosition="0"/>
    </format>
    <format dxfId="59">
      <pivotArea field="13" type="button" dataOnly="0" labelOnly="1" outline="0" axis="axisRow" fieldPosition="0"/>
    </format>
    <format dxfId="58">
      <pivotArea dataOnly="0" labelOnly="1" outline="0" fieldPosition="0">
        <references count="1">
          <reference field="13" count="0"/>
        </references>
      </pivotArea>
    </format>
    <format dxfId="57">
      <pivotArea dataOnly="0" labelOnly="1" grandRow="1" outline="0" fieldPosition="0"/>
    </format>
    <format dxfId="56">
      <pivotArea dataOnly="0" labelOnly="1" outline="0" fieldPosition="0">
        <references count="1">
          <reference field="3" count="0"/>
        </references>
      </pivotArea>
    </format>
    <format dxfId="55">
      <pivotArea dataOnly="0" labelOnly="1" grandCol="1" outline="0" fieldPosition="0"/>
    </format>
    <format dxfId="54">
      <pivotArea dataOnly="0" labelOnly="1" outline="0" fieldPosition="0">
        <references count="2">
          <reference field="3" count="1" selected="0">
            <x v="0"/>
          </reference>
          <reference field="4" count="6">
            <x v="6"/>
            <x v="7"/>
            <x v="8"/>
            <x v="9"/>
            <x v="10"/>
            <x v="11"/>
          </reference>
        </references>
      </pivotArea>
    </format>
    <format dxfId="53">
      <pivotArea dataOnly="0" labelOnly="1" outline="0" fieldPosition="0">
        <references count="2">
          <reference field="3" count="1" selected="0">
            <x v="1"/>
          </reference>
          <reference field="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EBFC29-B2D4-4F83-9EB5-12FA80B7817C}" name="PivotTable9"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4:AF38" firstHeaderRow="1" firstDataRow="3" firstDataCol="1" rowPageCount="1" colPageCount="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11"/>
        <item x="9"/>
        <item x="10"/>
        <item x="8"/>
        <item x="6"/>
        <item x="7"/>
        <item x="0"/>
        <item x="1"/>
        <item x="2"/>
        <item x="3"/>
        <item x="4"/>
        <item x="5"/>
      </items>
    </pivotField>
    <pivotField compact="0" outline="0" showAll="0" defaultSubtotal="0"/>
    <pivotField compact="0" outline="0" showAll="0" defaultSubtotal="0"/>
    <pivotField compact="0" outline="0" showAll="0" defaultSubtotal="0"/>
    <pivotField axis="axisPage"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1">
        <item x="23"/>
        <item x="14"/>
        <item x="3"/>
        <item x="26"/>
        <item x="21"/>
        <item x="17"/>
        <item x="6"/>
        <item x="9"/>
        <item x="11"/>
        <item x="2"/>
        <item x="7"/>
        <item x="19"/>
        <item x="12"/>
        <item x="15"/>
        <item x="27"/>
        <item x="10"/>
        <item x="28"/>
        <item x="24"/>
        <item x="18"/>
        <item x="29"/>
        <item x="1"/>
        <item x="5"/>
        <item x="20"/>
        <item x="8"/>
        <item x="4"/>
        <item x="25"/>
        <item x="16"/>
        <item x="22"/>
        <item x="30"/>
        <item x="13"/>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3"/>
    <field x="4"/>
  </colFields>
  <colItems count="13">
    <i>
      <x/>
      <x v="6"/>
    </i>
    <i r="1">
      <x v="7"/>
    </i>
    <i r="1">
      <x v="8"/>
    </i>
    <i r="1">
      <x v="9"/>
    </i>
    <i r="1">
      <x v="10"/>
    </i>
    <i r="1">
      <x v="11"/>
    </i>
    <i>
      <x v="1"/>
      <x/>
    </i>
    <i r="1">
      <x v="1"/>
    </i>
    <i r="1">
      <x v="2"/>
    </i>
    <i r="1">
      <x v="3"/>
    </i>
    <i r="1">
      <x v="4"/>
    </i>
    <i r="1">
      <x v="5"/>
    </i>
    <i t="grand">
      <x/>
    </i>
  </colItems>
  <pageFields count="1">
    <pageField fld="8" item="0" hier="-1"/>
  </pageFields>
  <dataFields count="1">
    <dataField name="Sum of qty" fld="31" baseField="0" baseItem="0"/>
  </dataFields>
  <formats count="26">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3" type="button" dataOnly="0" labelOnly="1" outline="0" axis="axisCol" fieldPosition="0"/>
    </format>
    <format dxfId="100">
      <pivotArea field="4" type="button" dataOnly="0" labelOnly="1" outline="0" axis="axisCol" fieldPosition="1"/>
    </format>
    <format dxfId="99">
      <pivotArea type="topRight" dataOnly="0" labelOnly="1" outline="0" fieldPosition="0"/>
    </format>
    <format dxfId="98">
      <pivotArea field="13" type="button" dataOnly="0" labelOnly="1" outline="0" axis="axisRow" fieldPosition="0"/>
    </format>
    <format dxfId="97">
      <pivotArea dataOnly="0" labelOnly="1" outline="0" fieldPosition="0">
        <references count="1">
          <reference field="13" count="0"/>
        </references>
      </pivotArea>
    </format>
    <format dxfId="96">
      <pivotArea dataOnly="0" labelOnly="1" grandRow="1" outline="0" fieldPosition="0"/>
    </format>
    <format dxfId="95">
      <pivotArea dataOnly="0" labelOnly="1" outline="0" fieldPosition="0">
        <references count="1">
          <reference field="3" count="0"/>
        </references>
      </pivotArea>
    </format>
    <format dxfId="94">
      <pivotArea dataOnly="0" labelOnly="1" grandCol="1" outline="0" fieldPosition="0"/>
    </format>
    <format dxfId="93">
      <pivotArea dataOnly="0" labelOnly="1" outline="0" fieldPosition="0">
        <references count="2">
          <reference field="3" count="1" selected="0">
            <x v="0"/>
          </reference>
          <reference field="4" count="6">
            <x v="6"/>
            <x v="7"/>
            <x v="8"/>
            <x v="9"/>
            <x v="10"/>
            <x v="11"/>
          </reference>
        </references>
      </pivotArea>
    </format>
    <format dxfId="92">
      <pivotArea dataOnly="0" labelOnly="1" outline="0" fieldPosition="0">
        <references count="2">
          <reference field="3" count="1" selected="0">
            <x v="1"/>
          </reference>
          <reference field="4" count="6">
            <x v="0"/>
            <x v="1"/>
            <x v="2"/>
            <x v="3"/>
            <x v="4"/>
            <x v="5"/>
          </reference>
        </references>
      </pivotArea>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3" type="button" dataOnly="0" labelOnly="1" outline="0" axis="axisCol" fieldPosition="0"/>
    </format>
    <format dxfId="87">
      <pivotArea field="4" type="button" dataOnly="0" labelOnly="1" outline="0" axis="axisCol" fieldPosition="1"/>
    </format>
    <format dxfId="86">
      <pivotArea type="topRight" dataOnly="0" labelOnly="1" outline="0" fieldPosition="0"/>
    </format>
    <format dxfId="85">
      <pivotArea field="13" type="button" dataOnly="0" labelOnly="1" outline="0" axis="axisRow" fieldPosition="0"/>
    </format>
    <format dxfId="84">
      <pivotArea dataOnly="0" labelOnly="1" outline="0" fieldPosition="0">
        <references count="1">
          <reference field="13" count="0"/>
        </references>
      </pivotArea>
    </format>
    <format dxfId="83">
      <pivotArea dataOnly="0" labelOnly="1" grandRow="1" outline="0" fieldPosition="0"/>
    </format>
    <format dxfId="82">
      <pivotArea dataOnly="0" labelOnly="1" outline="0" fieldPosition="0">
        <references count="1">
          <reference field="3" count="0"/>
        </references>
      </pivotArea>
    </format>
    <format dxfId="81">
      <pivotArea dataOnly="0" labelOnly="1" grandCol="1" outline="0" fieldPosition="0"/>
    </format>
    <format dxfId="80">
      <pivotArea dataOnly="0" labelOnly="1" outline="0" fieldPosition="0">
        <references count="2">
          <reference field="3" count="1" selected="0">
            <x v="0"/>
          </reference>
          <reference field="4" count="6">
            <x v="6"/>
            <x v="7"/>
            <x v="8"/>
            <x v="9"/>
            <x v="10"/>
            <x v="11"/>
          </reference>
        </references>
      </pivotArea>
    </format>
    <format dxfId="79">
      <pivotArea dataOnly="0" labelOnly="1" outline="0" fieldPosition="0">
        <references count="2">
          <reference field="3" count="1" selected="0">
            <x v="1"/>
          </reference>
          <reference field="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3FBF1B-3576-4104-9CEB-AA77D2EFCF35}" name="PivotTable11"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4:AF49" firstHeaderRow="1" firstDataRow="3" firstDataCol="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6"/>
        <item x="7"/>
        <item x="8"/>
        <item x="9"/>
        <item x="10"/>
        <item x="11"/>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2">
        <item x="25"/>
        <item x="17"/>
        <item x="26"/>
        <item x="39"/>
        <item x="40"/>
        <item x="2"/>
        <item x="3"/>
        <item x="41"/>
        <item x="29"/>
        <item x="18"/>
        <item x="19"/>
        <item x="20"/>
        <item x="27"/>
        <item x="10"/>
        <item x="36"/>
        <item x="21"/>
        <item x="4"/>
        <item x="5"/>
        <item x="22"/>
        <item x="37"/>
        <item x="35"/>
        <item x="8"/>
        <item x="7"/>
        <item x="23"/>
        <item x="30"/>
        <item x="33"/>
        <item x="31"/>
        <item x="38"/>
        <item x="6"/>
        <item x="34"/>
        <item x="28"/>
        <item x="9"/>
        <item x="12"/>
        <item x="1"/>
        <item x="24"/>
        <item x="13"/>
        <item x="15"/>
        <item x="14"/>
        <item x="32"/>
        <item x="16"/>
        <item x="1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2">
    <field x="3"/>
    <field x="4"/>
  </colFields>
  <colItems count="13">
    <i>
      <x/>
      <x v="6"/>
    </i>
    <i r="1">
      <x v="7"/>
    </i>
    <i r="1">
      <x v="8"/>
    </i>
    <i r="1">
      <x v="9"/>
    </i>
    <i r="1">
      <x v="10"/>
    </i>
    <i r="1">
      <x v="11"/>
    </i>
    <i>
      <x v="1"/>
      <x/>
    </i>
    <i r="1">
      <x v="1"/>
    </i>
    <i r="1">
      <x v="2"/>
    </i>
    <i r="1">
      <x v="3"/>
    </i>
    <i r="1">
      <x v="4"/>
    </i>
    <i r="1">
      <x v="5"/>
    </i>
    <i t="grand">
      <x/>
    </i>
  </colItems>
  <dataFields count="1">
    <dataField name="Sum of qty" fld="31" baseField="0" baseItem="0"/>
  </dataFields>
  <formats count="26">
    <format dxfId="25">
      <pivotArea type="all" dataOnly="0" outline="0" fieldPosition="0"/>
    </format>
    <format dxfId="24">
      <pivotArea outline="0" collapsedLevelsAreSubtotals="1" fieldPosition="0"/>
    </format>
    <format dxfId="23">
      <pivotArea type="origin" dataOnly="0" labelOnly="1" outline="0" fieldPosition="0"/>
    </format>
    <format dxfId="22">
      <pivotArea field="3" type="button" dataOnly="0" labelOnly="1" outline="0" axis="axisCol" fieldPosition="0"/>
    </format>
    <format dxfId="21">
      <pivotArea field="4" type="button" dataOnly="0" labelOnly="1" outline="0" axis="axisCol" fieldPosition="1"/>
    </format>
    <format dxfId="20">
      <pivotArea type="topRight" dataOnly="0" labelOnly="1" outline="0" fieldPosition="0"/>
    </format>
    <format dxfId="19">
      <pivotArea field="13" type="button" dataOnly="0" labelOnly="1" outline="0" axis="axisRow" fieldPosition="0"/>
    </format>
    <format dxfId="18">
      <pivotArea dataOnly="0" labelOnly="1" outline="0" fieldPosition="0">
        <references count="1">
          <reference field="13" count="0"/>
        </references>
      </pivotArea>
    </format>
    <format dxfId="17">
      <pivotArea dataOnly="0" labelOnly="1" grandRow="1" outline="0" fieldPosition="0"/>
    </format>
    <format dxfId="16">
      <pivotArea dataOnly="0" labelOnly="1" outline="0" fieldPosition="0">
        <references count="1">
          <reference field="3" count="0"/>
        </references>
      </pivotArea>
    </format>
    <format dxfId="15">
      <pivotArea dataOnly="0" labelOnly="1" grandCol="1" outline="0" fieldPosition="0"/>
    </format>
    <format dxfId="14">
      <pivotArea dataOnly="0" labelOnly="1" outline="0" fieldPosition="0">
        <references count="2">
          <reference field="3" count="1" selected="0">
            <x v="0"/>
          </reference>
          <reference field="4" count="6">
            <x v="6"/>
            <x v="7"/>
            <x v="8"/>
            <x v="9"/>
            <x v="10"/>
            <x v="11"/>
          </reference>
        </references>
      </pivotArea>
    </format>
    <format dxfId="13">
      <pivotArea dataOnly="0" labelOnly="1" outline="0" fieldPosition="0">
        <references count="2">
          <reference field="3" count="1" selected="0">
            <x v="1"/>
          </reference>
          <reference field="4" count="6">
            <x v="0"/>
            <x v="1"/>
            <x v="2"/>
            <x v="3"/>
            <x v="4"/>
            <x v="5"/>
          </reference>
        </references>
      </pivotArea>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3" type="button" dataOnly="0" labelOnly="1" outline="0" axis="axisCol" fieldPosition="0"/>
    </format>
    <format dxfId="8">
      <pivotArea field="4" type="button" dataOnly="0" labelOnly="1" outline="0" axis="axisCol" fieldPosition="1"/>
    </format>
    <format dxfId="7">
      <pivotArea type="topRight" dataOnly="0" labelOnly="1" outline="0" fieldPosition="0"/>
    </format>
    <format dxfId="6">
      <pivotArea field="13" type="button" dataOnly="0" labelOnly="1" outline="0" axis="axisRow" fieldPosition="0"/>
    </format>
    <format dxfId="5">
      <pivotArea dataOnly="0" labelOnly="1" outline="0" fieldPosition="0">
        <references count="1">
          <reference field="13" count="0"/>
        </references>
      </pivotArea>
    </format>
    <format dxfId="4">
      <pivotArea dataOnly="0" labelOnly="1" grandRow="1" outline="0" fieldPosition="0"/>
    </format>
    <format dxfId="3">
      <pivotArea dataOnly="0" labelOnly="1" outline="0" fieldPosition="0">
        <references count="1">
          <reference field="3" count="0"/>
        </references>
      </pivotArea>
    </format>
    <format dxfId="2">
      <pivotArea dataOnly="0" labelOnly="1" grandCol="1" outline="0" fieldPosition="0"/>
    </format>
    <format dxfId="1">
      <pivotArea dataOnly="0" labelOnly="1" outline="0" fieldPosition="0">
        <references count="2">
          <reference field="3" count="1" selected="0">
            <x v="0"/>
          </reference>
          <reference field="4" count="6">
            <x v="6"/>
            <x v="7"/>
            <x v="8"/>
            <x v="9"/>
            <x v="10"/>
            <x v="11"/>
          </reference>
        </references>
      </pivotArea>
    </format>
    <format dxfId="0">
      <pivotArea dataOnly="0" labelOnly="1" outline="0" fieldPosition="0">
        <references count="2">
          <reference field="3" count="1" selected="0">
            <x v="1"/>
          </reference>
          <reference field="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54D1CB-E3E9-4B21-A2F4-D09F630FC0B2}" name="PivotTable12"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52:AF97" firstHeaderRow="1" firstDataRow="3" firstDataCol="1"/>
  <pivotFields count="47">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axis="axisCol" compact="0" outline="0" showAll="0" defaultSubtotal="0">
      <items count="12">
        <item x="6"/>
        <item x="7"/>
        <item x="8"/>
        <item x="9"/>
        <item x="10"/>
        <item x="11"/>
        <item x="0"/>
        <item x="1"/>
        <item x="2"/>
        <item x="3"/>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2">
        <item x="25"/>
        <item x="17"/>
        <item x="26"/>
        <item x="39"/>
        <item x="40"/>
        <item x="2"/>
        <item x="3"/>
        <item x="41"/>
        <item x="29"/>
        <item x="18"/>
        <item x="19"/>
        <item x="20"/>
        <item x="27"/>
        <item x="10"/>
        <item x="36"/>
        <item x="21"/>
        <item x="4"/>
        <item x="5"/>
        <item x="22"/>
        <item x="37"/>
        <item x="35"/>
        <item x="8"/>
        <item x="7"/>
        <item x="23"/>
        <item x="30"/>
        <item x="33"/>
        <item x="31"/>
        <item x="38"/>
        <item x="6"/>
        <item x="34"/>
        <item x="28"/>
        <item x="9"/>
        <item x="12"/>
        <item x="1"/>
        <item x="24"/>
        <item x="13"/>
        <item x="15"/>
        <item x="14"/>
        <item x="32"/>
        <item x="16"/>
        <item x="1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1">
    <field x="13"/>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2">
    <field x="3"/>
    <field x="4"/>
  </colFields>
  <colItems count="13">
    <i>
      <x/>
      <x v="6"/>
    </i>
    <i r="1">
      <x v="7"/>
    </i>
    <i r="1">
      <x v="8"/>
    </i>
    <i r="1">
      <x v="9"/>
    </i>
    <i r="1">
      <x v="10"/>
    </i>
    <i r="1">
      <x v="11"/>
    </i>
    <i>
      <x v="1"/>
      <x/>
    </i>
    <i r="1">
      <x v="1"/>
    </i>
    <i r="1">
      <x v="2"/>
    </i>
    <i r="1">
      <x v="3"/>
    </i>
    <i r="1">
      <x v="4"/>
    </i>
    <i r="1">
      <x v="5"/>
    </i>
    <i t="grand">
      <x/>
    </i>
  </colItems>
  <dataFields count="1">
    <dataField name="Sum of primaryValue" fld="43" baseField="0" baseItem="0" numFmtId="167"/>
  </dataFields>
  <formats count="27">
    <format dxfId="52">
      <pivotArea type="all" dataOnly="0" outline="0" fieldPosition="0"/>
    </format>
    <format dxfId="51">
      <pivotArea outline="0" collapsedLevelsAreSubtotals="1" fieldPosition="0"/>
    </format>
    <format dxfId="50">
      <pivotArea type="origin" dataOnly="0" labelOnly="1" outline="0" fieldPosition="0"/>
    </format>
    <format dxfId="49">
      <pivotArea field="3" type="button" dataOnly="0" labelOnly="1" outline="0" axis="axisCol" fieldPosition="0"/>
    </format>
    <format dxfId="48">
      <pivotArea field="4" type="button" dataOnly="0" labelOnly="1" outline="0" axis="axisCol" fieldPosition="1"/>
    </format>
    <format dxfId="47">
      <pivotArea type="topRight" dataOnly="0" labelOnly="1" outline="0" fieldPosition="0"/>
    </format>
    <format dxfId="46">
      <pivotArea field="13" type="button" dataOnly="0" labelOnly="1" outline="0" axis="axisRow" fieldPosition="0"/>
    </format>
    <format dxfId="45">
      <pivotArea dataOnly="0" labelOnly="1" outline="0" fieldPosition="0">
        <references count="1">
          <reference field="13" count="0"/>
        </references>
      </pivotArea>
    </format>
    <format dxfId="44">
      <pivotArea dataOnly="0" labelOnly="1" grandRow="1" outline="0" fieldPosition="0"/>
    </format>
    <format dxfId="43">
      <pivotArea dataOnly="0" labelOnly="1" outline="0" fieldPosition="0">
        <references count="1">
          <reference field="3" count="0"/>
        </references>
      </pivotArea>
    </format>
    <format dxfId="42">
      <pivotArea dataOnly="0" labelOnly="1" grandCol="1" outline="0" fieldPosition="0"/>
    </format>
    <format dxfId="41">
      <pivotArea dataOnly="0" labelOnly="1" outline="0" fieldPosition="0">
        <references count="2">
          <reference field="3" count="1" selected="0">
            <x v="0"/>
          </reference>
          <reference field="4" count="6">
            <x v="6"/>
            <x v="7"/>
            <x v="8"/>
            <x v="9"/>
            <x v="10"/>
            <x v="11"/>
          </reference>
        </references>
      </pivotArea>
    </format>
    <format dxfId="40">
      <pivotArea dataOnly="0" labelOnly="1" outline="0" fieldPosition="0">
        <references count="2">
          <reference field="3" count="1" selected="0">
            <x v="1"/>
          </reference>
          <reference field="4" count="6">
            <x v="0"/>
            <x v="1"/>
            <x v="2"/>
            <x v="3"/>
            <x v="4"/>
            <x v="5"/>
          </reference>
        </references>
      </pivotArea>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3" type="button" dataOnly="0" labelOnly="1" outline="0" axis="axisCol" fieldPosition="0"/>
    </format>
    <format dxfId="35">
      <pivotArea field="4" type="button" dataOnly="0" labelOnly="1" outline="0" axis="axisCol" fieldPosition="1"/>
    </format>
    <format dxfId="34">
      <pivotArea type="topRight" dataOnly="0" labelOnly="1" outline="0" fieldPosition="0"/>
    </format>
    <format dxfId="33">
      <pivotArea field="13" type="button" dataOnly="0" labelOnly="1" outline="0" axis="axisRow" fieldPosition="0"/>
    </format>
    <format dxfId="32">
      <pivotArea dataOnly="0" labelOnly="1" outline="0" fieldPosition="0">
        <references count="1">
          <reference field="13" count="0"/>
        </references>
      </pivotArea>
    </format>
    <format dxfId="31">
      <pivotArea dataOnly="0" labelOnly="1" grandRow="1" outline="0" fieldPosition="0"/>
    </format>
    <format dxfId="30">
      <pivotArea dataOnly="0" labelOnly="1" outline="0" fieldPosition="0">
        <references count="1">
          <reference field="3" count="0"/>
        </references>
      </pivotArea>
    </format>
    <format dxfId="29">
      <pivotArea dataOnly="0" labelOnly="1" grandCol="1" outline="0" fieldPosition="0"/>
    </format>
    <format dxfId="28">
      <pivotArea dataOnly="0" labelOnly="1" outline="0" fieldPosition="0">
        <references count="2">
          <reference field="3" count="1" selected="0">
            <x v="0"/>
          </reference>
          <reference field="4" count="6">
            <x v="6"/>
            <x v="7"/>
            <x v="8"/>
            <x v="9"/>
            <x v="10"/>
            <x v="11"/>
          </reference>
        </references>
      </pivotArea>
    </format>
    <format dxfId="27">
      <pivotArea dataOnly="0" labelOnly="1" outline="0" fieldPosition="0">
        <references count="2">
          <reference field="3" count="1" selected="0">
            <x v="1"/>
          </reference>
          <reference field="4" count="6">
            <x v="0"/>
            <x v="1"/>
            <x v="2"/>
            <x v="3"/>
            <x v="4"/>
            <x v="5"/>
          </reference>
        </references>
      </pivotArea>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orldpopulationreview.com/country-rankings/gni-per-capita-by-country" TargetMode="External"/><Relationship Id="rId1" Type="http://schemas.openxmlformats.org/officeDocument/2006/relationships/hyperlink" Target="https://datacatalogfiles.worldbank.org/ddh-published/0038128/DR0046435/GNIPC.pdf?versionId=2024-07-01T12:43:25.7145590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rchive.doingbusiness.org/en/data/exploreeconomies/egyp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english.ahram.org.eg/NewsContent/3/12/100283/Business/Economy/First-price-hike-on-water-bills-for-Egyptian-house.aspx" TargetMode="External"/><Relationship Id="rId1" Type="http://schemas.openxmlformats.org/officeDocument/2006/relationships/hyperlink" Target="https://www.globalproductprices.com/Egypt/mineral_water_prices/"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unstats.un.org/unsd/tradekb/Knowledgebase/Quantity-and-Weight-Data-in-UN-Comtrade" TargetMode="External"/><Relationship Id="rId1" Type="http://schemas.openxmlformats.org/officeDocument/2006/relationships/hyperlink" Target="https://www.trademap.org/Docs/Metadata/Methodology_quantity_outliers_Y_EN.pdf"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unstats.un.org/unsd/tradekb/Knowledgebase/Quantity-and-Weight-Data-in-UN-Comtrade" TargetMode="External"/><Relationship Id="rId1" Type="http://schemas.openxmlformats.org/officeDocument/2006/relationships/hyperlink" Target="https://www.trademap.org/Docs/Metadata/Methodology_quantity_outliers_Y_EN.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hyperlink" Target="https://comtradeplus.un.org/TradeFlow?Frequency=M&amp;Flows=X&amp;CommodityCodes=391590&amp;Partners=0&amp;Reporters=818&amp;period=All&amp;AggregateBy=none&amp;BreakdownMode=plus"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3.bin"/><Relationship Id="rId4" Type="http://schemas.openxmlformats.org/officeDocument/2006/relationships/hyperlink" Target="https://comtradeplus.un.org/TradeFlow?Frequency=M&amp;Flows=X&amp;CommodityCodes=391590&amp;Partners=0&amp;Reporters=818&amp;period=All&amp;AggregateBy=none&amp;BreakdownMode=plu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comtrade.un.org/" TargetMode="External"/><Relationship Id="rId1" Type="http://schemas.openxmlformats.org/officeDocument/2006/relationships/hyperlink" Target="http://comtrade.un.org/"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nstats.un.org/unsd/tradekb/Knowledgebase/Quantity-and-Weight-Data-in-UN-Comtrade" TargetMode="External"/><Relationship Id="rId2" Type="http://schemas.openxmlformats.org/officeDocument/2006/relationships/hyperlink" Target="http://comtrade.un.org/" TargetMode="External"/><Relationship Id="rId1" Type="http://schemas.openxmlformats.org/officeDocument/2006/relationships/hyperlink" Target="http://comtrade.un.org/" TargetMode="External"/><Relationship Id="rId4"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hyperlink" Target="https://comtradeplus.un.org/TradeFlow?Frequency=M&amp;Flows=X&amp;CommodityCodes=391590&amp;Partners=0&amp;Reporters=818&amp;period=All&amp;AggregateBy=none&amp;BreakdownMode=plus" TargetMode="Externa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rinterSettings" Target="../printerSettings/printerSettings6.bin"/><Relationship Id="rId4" Type="http://schemas.openxmlformats.org/officeDocument/2006/relationships/hyperlink" Target="https://comtradeplus.un.org/TradeFlow?Frequency=M&amp;Flows=X&amp;CommodityCodes=391590&amp;Partners=0&amp;Reporters=818&amp;period=All&amp;AggregateBy=none&amp;BreakdownMode=plu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3" Type="http://schemas.openxmlformats.org/officeDocument/2006/relationships/hyperlink" Target="http://comtrade.un.org/" TargetMode="Externa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hyperlink" Target="https://data.imf.org/regular.aspx?key=61545849" TargetMode="External"/><Relationship Id="rId1" Type="http://schemas.openxmlformats.org/officeDocument/2006/relationships/hyperlink" Target="https://data.imf.org/regular.aspx?key=61545849"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xchange-rates.org/exchange-rate-history/usd-egp-2023" TargetMode="External"/><Relationship Id="rId1" Type="http://schemas.openxmlformats.org/officeDocument/2006/relationships/hyperlink" Target="https://rshiny.ilo.org/dataexplorer54/?lang=en&amp;id=IDN_A"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investing.com/equities/rubex-plastic-income-stat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F0C1-2E27-464D-B0D9-730E93DAC2FB}">
  <sheetPr filterMode="1">
    <tabColor rgb="FFFF0000"/>
  </sheetPr>
  <dimension ref="A1:M214"/>
  <sheetViews>
    <sheetView topLeftCell="E1" zoomScale="115" zoomScaleNormal="115" workbookViewId="0">
      <selection activeCell="E6" sqref="E6"/>
    </sheetView>
  </sheetViews>
  <sheetFormatPr defaultRowHeight="15"/>
  <cols>
    <col min="1" max="1" width="31.140625" hidden="1" customWidth="1"/>
    <col min="2" max="2" width="19" hidden="1" customWidth="1"/>
    <col min="3" max="3" width="5" hidden="1" customWidth="1"/>
    <col min="4" max="4" width="0" hidden="1" customWidth="1"/>
    <col min="5" max="5" width="64.7109375" bestFit="1" customWidth="1"/>
    <col min="6" max="6" width="21.7109375" bestFit="1" customWidth="1"/>
    <col min="7" max="7" width="20.7109375" bestFit="1" customWidth="1"/>
    <col min="8" max="8" width="12.85546875" bestFit="1" customWidth="1"/>
    <col min="9" max="9" width="16.140625" bestFit="1" customWidth="1"/>
    <col min="10" max="10" width="18.42578125" bestFit="1" customWidth="1"/>
    <col min="11" max="11" width="18.28515625" bestFit="1" customWidth="1"/>
    <col min="12" max="12" width="25.42578125" customWidth="1"/>
    <col min="13" max="13" width="13.28515625" customWidth="1"/>
  </cols>
  <sheetData>
    <row r="1" spans="1:13">
      <c r="E1" s="85" t="s">
        <v>212</v>
      </c>
      <c r="F1" s="86">
        <v>39076100</v>
      </c>
    </row>
    <row r="2" spans="1:13">
      <c r="E2" s="87" t="s">
        <v>213</v>
      </c>
      <c r="F2" s="88">
        <v>39076910</v>
      </c>
    </row>
    <row r="4" spans="1:13">
      <c r="E4" s="52" t="s">
        <v>540</v>
      </c>
    </row>
    <row r="5" spans="1:13">
      <c r="A5" s="53" t="s">
        <v>511</v>
      </c>
      <c r="E5" s="50" t="s">
        <v>539</v>
      </c>
      <c r="J5" s="77"/>
      <c r="K5" s="77"/>
      <c r="L5" s="78"/>
    </row>
    <row r="6" spans="1:13" s="50" customFormat="1">
      <c r="A6" s="50" t="s">
        <v>140</v>
      </c>
      <c r="B6" s="50" t="s">
        <v>509</v>
      </c>
      <c r="E6" s="50" t="s">
        <v>140</v>
      </c>
      <c r="F6" s="56" t="s">
        <v>536</v>
      </c>
      <c r="G6" s="50" t="s">
        <v>537</v>
      </c>
      <c r="H6" s="50" t="s">
        <v>538</v>
      </c>
      <c r="I6" s="56" t="s">
        <v>541</v>
      </c>
      <c r="J6" s="50" t="s">
        <v>542</v>
      </c>
      <c r="K6" s="50" t="s">
        <v>543</v>
      </c>
      <c r="L6" s="84" t="s">
        <v>595</v>
      </c>
      <c r="M6" s="50" t="s">
        <v>966</v>
      </c>
    </row>
    <row r="7" spans="1:13" hidden="1">
      <c r="A7" t="s">
        <v>304</v>
      </c>
      <c r="B7" s="49">
        <v>116600</v>
      </c>
      <c r="C7">
        <v>2009</v>
      </c>
      <c r="E7" t="s">
        <v>29</v>
      </c>
      <c r="F7" s="54">
        <v>11880</v>
      </c>
      <c r="G7" s="54">
        <v>19160</v>
      </c>
      <c r="H7" t="s">
        <v>513</v>
      </c>
      <c r="J7" s="77">
        <f>SUMIFS('Export Data'!$B$13:$B$176,'Export Data'!$A$13:$A$176,'SC CONSIDERATION'!E7)</f>
        <v>10750920</v>
      </c>
      <c r="K7" s="77">
        <f>SUMIFS('Imports Data'!$B$13:$B$234,'Imports Data'!$A$13:$A$234,'SC CONSIDERATION'!E7)</f>
        <v>6969491</v>
      </c>
      <c r="L7" s="78">
        <f t="shared" ref="L7:L38" si="0">J7-K7</f>
        <v>3781429</v>
      </c>
    </row>
    <row r="8" spans="1:13" hidden="1">
      <c r="A8" t="s">
        <v>305</v>
      </c>
      <c r="B8" s="49">
        <v>102460</v>
      </c>
      <c r="C8">
        <v>2023</v>
      </c>
      <c r="E8" t="s">
        <v>42</v>
      </c>
      <c r="F8" s="54">
        <v>70930</v>
      </c>
      <c r="G8" s="54">
        <v>70480</v>
      </c>
      <c r="H8" t="s">
        <v>514</v>
      </c>
      <c r="J8" s="77">
        <f>SUMIFS('Export Data'!$B$13:$B$176,'Export Data'!$A$13:$A$176,'SC CONSIDERATION'!E8)</f>
        <v>5633830</v>
      </c>
      <c r="K8" s="77">
        <f>SUMIFS('Imports Data'!$B$13:$B$234,'Imports Data'!$A$13:$A$234,'SC CONSIDERATION'!E8)</f>
        <v>4483176</v>
      </c>
      <c r="L8" s="78">
        <f t="shared" si="0"/>
        <v>1150654</v>
      </c>
    </row>
    <row r="9" spans="1:13" hidden="1">
      <c r="A9" t="s">
        <v>331</v>
      </c>
      <c r="B9" s="51">
        <v>47120</v>
      </c>
      <c r="C9">
        <v>2021</v>
      </c>
      <c r="E9" t="s">
        <v>33</v>
      </c>
      <c r="F9" s="54">
        <v>35110</v>
      </c>
      <c r="G9" s="54">
        <v>47770</v>
      </c>
      <c r="H9" t="s">
        <v>525</v>
      </c>
      <c r="J9" s="77">
        <f>SUMIFS('Export Data'!$B$13:$B$176,'Export Data'!$A$13:$A$176,'SC CONSIDERATION'!E9)</f>
        <v>5306241</v>
      </c>
      <c r="K9" s="77">
        <f>SUMIFS('Imports Data'!$B$13:$B$234,'Imports Data'!$A$13:$A$234,'SC CONSIDERATION'!E9)</f>
        <v>1254778</v>
      </c>
      <c r="L9" s="78">
        <f t="shared" si="0"/>
        <v>4051463</v>
      </c>
    </row>
    <row r="10" spans="1:13" hidden="1">
      <c r="A10" t="s">
        <v>321</v>
      </c>
      <c r="B10" s="49">
        <v>55070</v>
      </c>
      <c r="C10">
        <v>2023</v>
      </c>
      <c r="E10" t="s">
        <v>30</v>
      </c>
      <c r="F10" s="54">
        <v>51660</v>
      </c>
      <c r="G10" s="54">
        <v>59630</v>
      </c>
      <c r="H10" t="s">
        <v>522</v>
      </c>
      <c r="J10" s="77">
        <f>SUMIFS('Export Data'!$B$13:$B$176,'Export Data'!$A$13:$A$176,'SC CONSIDERATION'!E10)</f>
        <v>4885272</v>
      </c>
      <c r="K10" s="77">
        <f>SUMIFS('Imports Data'!$B$13:$B$234,'Imports Data'!$A$13:$A$234,'SC CONSIDERATION'!E10)</f>
        <v>4248847</v>
      </c>
      <c r="L10" s="78">
        <f t="shared" si="0"/>
        <v>636425</v>
      </c>
    </row>
    <row r="11" spans="1:13" hidden="1">
      <c r="A11" t="s">
        <v>370</v>
      </c>
      <c r="B11" s="49">
        <v>18560</v>
      </c>
      <c r="C11">
        <v>2000</v>
      </c>
      <c r="E11" t="s">
        <v>60</v>
      </c>
      <c r="F11" s="54">
        <v>55200</v>
      </c>
      <c r="G11" s="54">
        <v>63370</v>
      </c>
      <c r="H11" s="55">
        <v>967837.42</v>
      </c>
      <c r="J11" s="77">
        <f>SUMIFS('Export Data'!$B$13:$B$176,'Export Data'!$A$13:$A$176,'SC CONSIDERATION'!E11)</f>
        <v>4148736</v>
      </c>
      <c r="K11" s="77">
        <f>SUMIFS('Imports Data'!$B$13:$B$234,'Imports Data'!$A$13:$A$234,'SC CONSIDERATION'!E11)</f>
        <v>1198553</v>
      </c>
      <c r="L11" s="78">
        <f t="shared" si="0"/>
        <v>2950183</v>
      </c>
    </row>
    <row r="12" spans="1:13" hidden="1">
      <c r="A12" t="s">
        <v>379</v>
      </c>
      <c r="B12" s="49">
        <v>13850</v>
      </c>
      <c r="C12">
        <v>2023</v>
      </c>
      <c r="E12" t="s">
        <v>74</v>
      </c>
      <c r="F12" s="54">
        <v>50490</v>
      </c>
      <c r="G12" s="54">
        <v>59430</v>
      </c>
      <c r="H12" s="55">
        <v>585375.4</v>
      </c>
      <c r="J12" s="77">
        <f>SUMIFS('Export Data'!$B$13:$B$176,'Export Data'!$A$13:$A$176,'SC CONSIDERATION'!E12)</f>
        <v>3402459</v>
      </c>
      <c r="K12" s="77">
        <f>SUMIFS('Imports Data'!$B$13:$B$234,'Imports Data'!$A$13:$A$234,'SC CONSIDERATION'!E12)</f>
        <v>2097351</v>
      </c>
      <c r="L12" s="78">
        <f t="shared" si="0"/>
        <v>1305108</v>
      </c>
    </row>
    <row r="13" spans="1:13" hidden="1">
      <c r="A13" t="s">
        <v>327</v>
      </c>
      <c r="B13" s="49">
        <v>53290</v>
      </c>
      <c r="C13">
        <v>2023</v>
      </c>
      <c r="E13" t="s">
        <v>71</v>
      </c>
      <c r="F13" s="54">
        <v>35990</v>
      </c>
      <c r="G13" s="54">
        <v>46450</v>
      </c>
      <c r="H13" t="s">
        <v>524</v>
      </c>
      <c r="J13" s="77">
        <f>SUMIFS('Export Data'!$B$13:$B$176,'Export Data'!$A$13:$A$176,'SC CONSIDERATION'!E13)</f>
        <v>2433530</v>
      </c>
      <c r="K13" s="77">
        <f>SUMIFS('Imports Data'!$B$13:$B$234,'Imports Data'!$A$13:$A$234,'SC CONSIDERATION'!E13)</f>
        <v>2897825</v>
      </c>
      <c r="L13" s="78">
        <f t="shared" si="0"/>
        <v>-464295</v>
      </c>
    </row>
    <row r="14" spans="1:13" s="79" customFormat="1" hidden="1">
      <c r="A14" s="79" t="s">
        <v>322</v>
      </c>
      <c r="B14" s="302">
        <v>55020</v>
      </c>
      <c r="C14" s="79">
        <v>2023</v>
      </c>
      <c r="E14" s="79" t="s">
        <v>55</v>
      </c>
      <c r="F14" s="80">
        <v>7090</v>
      </c>
      <c r="G14" s="80">
        <v>18120</v>
      </c>
      <c r="H14" s="81">
        <v>507856.67</v>
      </c>
      <c r="J14" s="82">
        <f>SUMIFS('Export Data'!$B$13:$B$176,'Export Data'!$A$13:$A$176,'SC CONSIDERATION'!E14)</f>
        <v>2365823</v>
      </c>
      <c r="K14" s="82">
        <f>SUMIFS('Imports Data'!$B$13:$B$234,'Imports Data'!$A$13:$A$234,'SC CONSIDERATION'!E14)</f>
        <v>1075708</v>
      </c>
      <c r="L14" s="83">
        <f t="shared" si="0"/>
        <v>1290115</v>
      </c>
      <c r="M14" s="301" t="s">
        <v>968</v>
      </c>
    </row>
    <row r="15" spans="1:13" hidden="1">
      <c r="A15" t="s">
        <v>314</v>
      </c>
      <c r="B15" s="49">
        <v>70590</v>
      </c>
      <c r="C15">
        <v>2023</v>
      </c>
      <c r="E15" t="s">
        <v>32</v>
      </c>
      <c r="F15" s="54">
        <v>42650</v>
      </c>
      <c r="G15" s="54">
        <v>44570</v>
      </c>
      <c r="H15" t="s">
        <v>519</v>
      </c>
      <c r="J15" s="77">
        <f>SUMIFS('Export Data'!$B$13:$B$176,'Export Data'!$A$13:$A$176,'SC CONSIDERATION'!E15)</f>
        <v>2335669</v>
      </c>
      <c r="K15" s="77">
        <f>SUMIFS('Imports Data'!$B$13:$B$234,'Imports Data'!$A$13:$A$234,'SC CONSIDERATION'!E15)</f>
        <v>2289039</v>
      </c>
      <c r="L15" s="78">
        <f t="shared" si="0"/>
        <v>46630</v>
      </c>
    </row>
    <row r="16" spans="1:13" hidden="1">
      <c r="A16" t="s">
        <v>334</v>
      </c>
      <c r="B16" s="49">
        <v>43940</v>
      </c>
      <c r="C16">
        <v>2022</v>
      </c>
      <c r="E16" t="s">
        <v>51</v>
      </c>
      <c r="F16" s="54">
        <v>29690</v>
      </c>
      <c r="G16" s="54">
        <v>40910</v>
      </c>
      <c r="H16" t="s">
        <v>526</v>
      </c>
      <c r="J16" s="77">
        <f>SUMIFS('Export Data'!$B$13:$B$176,'Export Data'!$A$13:$A$176,'SC CONSIDERATION'!E16)</f>
        <v>1851425</v>
      </c>
      <c r="K16" s="77">
        <f>SUMIFS('Imports Data'!$B$13:$B$234,'Imports Data'!$A$13:$A$234,'SC CONSIDERATION'!E16)</f>
        <v>1438278</v>
      </c>
      <c r="L16" s="78">
        <f t="shared" si="0"/>
        <v>413147</v>
      </c>
    </row>
    <row r="17" spans="1:13" hidden="1">
      <c r="A17" t="s">
        <v>410</v>
      </c>
      <c r="B17" s="49">
        <v>7080</v>
      </c>
      <c r="C17">
        <v>2019</v>
      </c>
      <c r="E17" t="s">
        <v>28</v>
      </c>
      <c r="F17" s="54">
        <v>64010</v>
      </c>
      <c r="G17" s="54">
        <v>102450</v>
      </c>
      <c r="H17" s="55">
        <v>349100.86</v>
      </c>
      <c r="J17" s="77">
        <f>SUMIFS('Export Data'!$B$13:$B$176,'Export Data'!$A$13:$A$176,'SC CONSIDERATION'!E17)</f>
        <v>1344380</v>
      </c>
      <c r="K17" s="77">
        <f>SUMIFS('Imports Data'!$B$13:$B$234,'Imports Data'!$A$13:$A$234,'SC CONSIDERATION'!E17)</f>
        <v>573907</v>
      </c>
      <c r="L17" s="78">
        <f t="shared" si="0"/>
        <v>770473</v>
      </c>
    </row>
    <row r="18" spans="1:13" hidden="1">
      <c r="A18" t="s">
        <v>349</v>
      </c>
      <c r="B18" s="49">
        <v>28280</v>
      </c>
      <c r="C18">
        <v>2023</v>
      </c>
      <c r="E18" t="s">
        <v>26</v>
      </c>
      <c r="F18" s="54">
        <v>10710</v>
      </c>
      <c r="G18" s="54">
        <v>28150</v>
      </c>
      <c r="H18" s="55">
        <v>359707.78</v>
      </c>
      <c r="J18" s="77">
        <f>SUMIFS('Export Data'!$B$13:$B$176,'Export Data'!$A$13:$A$176,'SC CONSIDERATION'!E18)</f>
        <v>1155784</v>
      </c>
      <c r="K18" s="77">
        <f>SUMIFS('Imports Data'!$B$13:$B$234,'Imports Data'!$A$13:$A$234,'SC CONSIDERATION'!E18)</f>
        <v>951759</v>
      </c>
      <c r="L18" s="78">
        <f t="shared" si="0"/>
        <v>204025</v>
      </c>
    </row>
    <row r="19" spans="1:13" hidden="1">
      <c r="A19" t="s">
        <v>344</v>
      </c>
      <c r="B19" s="49">
        <v>32180</v>
      </c>
      <c r="C19">
        <v>2023</v>
      </c>
      <c r="E19" t="s">
        <v>39</v>
      </c>
      <c r="F19" s="54">
        <v>21540</v>
      </c>
      <c r="G19" s="54">
        <v>46130</v>
      </c>
      <c r="H19" s="55">
        <v>755462.63</v>
      </c>
      <c r="J19" s="77">
        <f>SUMIFS('Export Data'!$B$13:$B$176,'Export Data'!$A$13:$A$176,'SC CONSIDERATION'!E19)</f>
        <v>990414</v>
      </c>
      <c r="K19" s="77">
        <f>SUMIFS('Imports Data'!$B$13:$B$234,'Imports Data'!$A$13:$A$234,'SC CONSIDERATION'!E19)</f>
        <v>290614</v>
      </c>
      <c r="L19" s="78">
        <f t="shared" si="0"/>
        <v>699800</v>
      </c>
    </row>
    <row r="20" spans="1:13" hidden="1">
      <c r="A20" t="s">
        <v>325</v>
      </c>
      <c r="B20" s="49">
        <v>53930</v>
      </c>
      <c r="C20">
        <v>2023</v>
      </c>
      <c r="E20" t="s">
        <v>69</v>
      </c>
      <c r="F20" s="54">
        <v>44160</v>
      </c>
      <c r="G20" s="54">
        <v>51660</v>
      </c>
      <c r="H20" t="s">
        <v>523</v>
      </c>
      <c r="J20" s="77">
        <f>SUMIFS('Export Data'!$B$13:$B$176,'Export Data'!$A$13:$A$176,'SC CONSIDERATION'!E20)</f>
        <v>949718</v>
      </c>
      <c r="K20" s="77">
        <f>SUMIFS('Imports Data'!$B$13:$B$234,'Imports Data'!$A$13:$A$234,'SC CONSIDERATION'!E20)</f>
        <v>2054554</v>
      </c>
      <c r="L20" s="78">
        <f t="shared" si="0"/>
        <v>-1104836</v>
      </c>
    </row>
    <row r="21" spans="1:13" hidden="1">
      <c r="A21" t="s">
        <v>318</v>
      </c>
      <c r="B21" s="49">
        <v>61650</v>
      </c>
      <c r="C21">
        <v>2023</v>
      </c>
      <c r="E21" t="s">
        <v>59</v>
      </c>
      <c r="F21" s="54">
        <v>3590</v>
      </c>
      <c r="G21" s="54">
        <v>11080</v>
      </c>
      <c r="H21" s="55">
        <v>350209.13</v>
      </c>
      <c r="I21" t="s">
        <v>520</v>
      </c>
      <c r="J21" s="77">
        <f>SUMIFS('Export Data'!$B$13:$B$176,'Export Data'!$A$13:$A$176,'SC CONSIDERATION'!E21)</f>
        <v>920122</v>
      </c>
      <c r="K21" s="77">
        <f>SUMIFS('Imports Data'!$B$13:$B$234,'Imports Data'!$A$13:$A$234,'SC CONSIDERATION'!E21)</f>
        <v>1953058</v>
      </c>
      <c r="L21" s="78">
        <f t="shared" si="0"/>
        <v>-1032936</v>
      </c>
    </row>
    <row r="22" spans="1:13" hidden="1">
      <c r="A22" t="s">
        <v>324</v>
      </c>
      <c r="B22" s="49">
        <v>53970</v>
      </c>
      <c r="C22">
        <v>2023</v>
      </c>
      <c r="E22" t="s">
        <v>64</v>
      </c>
      <c r="F22" s="54">
        <v>44480</v>
      </c>
      <c r="G22" s="54">
        <v>49420</v>
      </c>
      <c r="H22" t="s">
        <v>523</v>
      </c>
      <c r="J22" s="77">
        <f>SUMIFS('Export Data'!$B$13:$B$176,'Export Data'!$A$13:$A$176,'SC CONSIDERATION'!E22)</f>
        <v>731627</v>
      </c>
      <c r="K22" s="77">
        <f>SUMIFS('Imports Data'!$B$13:$B$234,'Imports Data'!$A$13:$A$234,'SC CONSIDERATION'!E22)</f>
        <v>1525023</v>
      </c>
      <c r="L22" s="78">
        <f t="shared" si="0"/>
        <v>-793396</v>
      </c>
    </row>
    <row r="23" spans="1:13" s="79" customFormat="1" hidden="1">
      <c r="A23" s="79" t="s">
        <v>303</v>
      </c>
      <c r="B23" s="302">
        <v>134640</v>
      </c>
      <c r="C23" s="79">
        <v>2022</v>
      </c>
      <c r="E23" s="79" t="s">
        <v>0</v>
      </c>
      <c r="F23" s="80">
        <v>2150</v>
      </c>
      <c r="G23" s="80">
        <v>7130</v>
      </c>
      <c r="H23" s="79" t="s">
        <v>512</v>
      </c>
      <c r="J23" s="82">
        <f>SUMIFS('Export Data'!$B$13:$B$176,'Export Data'!$A$13:$A$176,'SC CONSIDERATION'!E23)</f>
        <v>726681</v>
      </c>
      <c r="K23" s="82">
        <f>SUMIFS('Imports Data'!$B$13:$B$234,'Imports Data'!$A$13:$A$234,'SC CONSIDERATION'!E23)</f>
        <v>2491784</v>
      </c>
      <c r="L23" s="83">
        <f t="shared" si="0"/>
        <v>-1765103</v>
      </c>
      <c r="M23" s="301" t="s">
        <v>968</v>
      </c>
    </row>
    <row r="24" spans="1:13" s="79" customFormat="1" hidden="1">
      <c r="A24" s="79" t="s">
        <v>313</v>
      </c>
      <c r="B24" s="302">
        <v>73360</v>
      </c>
      <c r="C24" s="79">
        <v>2023</v>
      </c>
      <c r="E24" s="79" t="s">
        <v>80</v>
      </c>
      <c r="F24" s="80">
        <v>9590</v>
      </c>
      <c r="G24" s="80">
        <v>19740</v>
      </c>
      <c r="H24" s="79" t="s">
        <v>518</v>
      </c>
      <c r="J24" s="82">
        <f>SUMIFS('Export Data'!$B$13:$B$176,'Export Data'!$A$13:$A$176,'SC CONSIDERATION'!E24)</f>
        <v>695311</v>
      </c>
      <c r="K24" s="82">
        <f>SUMIFS('Imports Data'!$B$13:$B$234,'Imports Data'!$A$13:$A$234,'SC CONSIDERATION'!E24)</f>
        <v>2659901</v>
      </c>
      <c r="L24" s="83">
        <f t="shared" si="0"/>
        <v>-1964590</v>
      </c>
      <c r="M24" s="301" t="s">
        <v>968</v>
      </c>
    </row>
    <row r="25" spans="1:13" hidden="1">
      <c r="A25" t="s">
        <v>339</v>
      </c>
      <c r="B25" s="49">
        <v>35490</v>
      </c>
      <c r="C25">
        <v>2023</v>
      </c>
      <c r="E25" t="s">
        <v>84</v>
      </c>
      <c r="F25" s="54">
        <v>16850</v>
      </c>
      <c r="G25" s="54">
        <v>36060</v>
      </c>
      <c r="H25" s="55">
        <v>636064.19999999995</v>
      </c>
      <c r="J25" s="77">
        <f>SUMIFS('Export Data'!$B$13:$B$176,'Export Data'!$A$13:$A$176,'SC CONSIDERATION'!E25)</f>
        <v>638928</v>
      </c>
      <c r="K25" s="77">
        <f>SUMIFS('Imports Data'!$B$13:$B$234,'Imports Data'!$A$13:$A$234,'SC CONSIDERATION'!E25)</f>
        <v>1168470</v>
      </c>
      <c r="L25" s="78">
        <f t="shared" si="0"/>
        <v>-529542</v>
      </c>
    </row>
    <row r="26" spans="1:13" hidden="1">
      <c r="A26" t="s">
        <v>398</v>
      </c>
      <c r="B26" s="49">
        <v>8160</v>
      </c>
      <c r="C26">
        <v>2023</v>
      </c>
      <c r="E26" t="s">
        <v>41</v>
      </c>
      <c r="F26" s="54">
        <v>90600</v>
      </c>
      <c r="G26" s="54">
        <v>75810</v>
      </c>
      <c r="H26" s="55">
        <v>788512.43</v>
      </c>
      <c r="J26" s="77">
        <f>SUMIFS('Export Data'!$B$13:$B$176,'Export Data'!$A$13:$A$176,'SC CONSIDERATION'!E26)</f>
        <v>634341</v>
      </c>
      <c r="K26" s="77">
        <f>SUMIFS('Imports Data'!$B$13:$B$234,'Imports Data'!$A$13:$A$234,'SC CONSIDERATION'!E26)</f>
        <v>601372</v>
      </c>
      <c r="L26" s="78">
        <f t="shared" si="0"/>
        <v>32969</v>
      </c>
    </row>
    <row r="27" spans="1:13" hidden="1">
      <c r="A27" t="s">
        <v>439</v>
      </c>
      <c r="B27" s="49">
        <v>4150</v>
      </c>
      <c r="C27">
        <v>2023</v>
      </c>
      <c r="E27" t="s">
        <v>88</v>
      </c>
      <c r="F27" s="54">
        <v>21740</v>
      </c>
      <c r="G27" s="54">
        <v>41170</v>
      </c>
      <c r="H27" s="55">
        <v>60884.17</v>
      </c>
      <c r="J27" s="77">
        <f>SUMIFS('Export Data'!$B$13:$B$176,'Export Data'!$A$13:$A$176,'SC CONSIDERATION'!E27)</f>
        <v>617698</v>
      </c>
      <c r="K27" s="77">
        <f>SUMIFS('Imports Data'!$B$13:$B$234,'Imports Data'!$A$13:$A$234,'SC CONSIDERATION'!E27)</f>
        <v>172147</v>
      </c>
      <c r="L27" s="78">
        <f t="shared" si="0"/>
        <v>445551</v>
      </c>
    </row>
    <row r="28" spans="1:13" hidden="1">
      <c r="A28" t="s">
        <v>340</v>
      </c>
      <c r="B28" s="51">
        <v>34970</v>
      </c>
      <c r="C28">
        <v>2023</v>
      </c>
      <c r="E28" t="s">
        <v>70</v>
      </c>
      <c r="F28" s="54">
        <v>48310</v>
      </c>
      <c r="G28" s="54">
        <v>51690</v>
      </c>
      <c r="H28" t="s">
        <v>527</v>
      </c>
      <c r="J28" s="77">
        <f>SUMIFS('Export Data'!$B$13:$B$176,'Export Data'!$A$13:$A$176,'SC CONSIDERATION'!E28)</f>
        <v>533376</v>
      </c>
      <c r="K28" s="77">
        <f>SUMIFS('Imports Data'!$B$13:$B$234,'Imports Data'!$A$13:$A$234,'SC CONSIDERATION'!E28)</f>
        <v>1137298</v>
      </c>
      <c r="L28" s="78">
        <f t="shared" si="0"/>
        <v>-603922</v>
      </c>
    </row>
    <row r="29" spans="1:13" hidden="1">
      <c r="A29" t="s">
        <v>400</v>
      </c>
      <c r="B29" s="49">
        <v>7780</v>
      </c>
      <c r="C29">
        <v>2023</v>
      </c>
      <c r="E29" t="s">
        <v>31</v>
      </c>
      <c r="F29" s="54">
        <v>54460</v>
      </c>
      <c r="G29" s="54">
        <v>70600</v>
      </c>
      <c r="H29" s="55">
        <v>403721.37</v>
      </c>
      <c r="J29" s="77">
        <f>SUMIFS('Export Data'!$B$13:$B$176,'Export Data'!$A$13:$A$176,'SC CONSIDERATION'!E29)</f>
        <v>458319</v>
      </c>
      <c r="K29" s="77">
        <f>SUMIFS('Imports Data'!$B$13:$B$234,'Imports Data'!$A$13:$A$234,'SC CONSIDERATION'!E29)</f>
        <v>423883</v>
      </c>
      <c r="L29" s="78">
        <f t="shared" si="0"/>
        <v>34436</v>
      </c>
    </row>
    <row r="30" spans="1:13" s="79" customFormat="1">
      <c r="A30" s="79" t="s">
        <v>316</v>
      </c>
      <c r="B30" s="302">
        <v>68790</v>
      </c>
      <c r="C30" s="79">
        <v>2022</v>
      </c>
      <c r="E30" s="79" t="s">
        <v>57</v>
      </c>
      <c r="F30" s="80">
        <v>3350</v>
      </c>
      <c r="G30" s="80">
        <v>12320</v>
      </c>
      <c r="H30" s="81">
        <v>365799.86</v>
      </c>
      <c r="I30" s="79" t="s">
        <v>510</v>
      </c>
      <c r="J30" s="82">
        <f>SUMIFS('Export Data'!$B$13:$B$176,'Export Data'!$A$13:$A$176,'SC CONSIDERATION'!E30)</f>
        <v>453422</v>
      </c>
      <c r="K30" s="82">
        <f>SUMIFS('Imports Data'!$B$13:$B$234,'Imports Data'!$A$13:$A$234,'SC CONSIDERATION'!E30)</f>
        <v>327095</v>
      </c>
      <c r="L30" s="83">
        <f t="shared" si="0"/>
        <v>126327</v>
      </c>
      <c r="M30" s="301" t="s">
        <v>967</v>
      </c>
    </row>
    <row r="31" spans="1:13" hidden="1">
      <c r="A31" t="s">
        <v>397</v>
      </c>
      <c r="B31" s="51">
        <v>8920</v>
      </c>
      <c r="C31">
        <v>2023</v>
      </c>
      <c r="E31" t="s">
        <v>43</v>
      </c>
      <c r="F31" s="54">
        <v>52760</v>
      </c>
      <c r="G31" s="54">
        <v>58370</v>
      </c>
      <c r="H31" s="55">
        <v>472474.25</v>
      </c>
      <c r="J31" s="77">
        <f>SUMIFS('Export Data'!$B$13:$B$176,'Export Data'!$A$13:$A$176,'SC CONSIDERATION'!E31)</f>
        <v>392195</v>
      </c>
      <c r="K31" s="77">
        <f>SUMIFS('Imports Data'!$B$13:$B$234,'Imports Data'!$A$13:$A$234,'SC CONSIDERATION'!E31)</f>
        <v>688473</v>
      </c>
      <c r="L31" s="78">
        <f t="shared" si="0"/>
        <v>-296278</v>
      </c>
    </row>
    <row r="32" spans="1:13" hidden="1">
      <c r="A32" t="s">
        <v>386</v>
      </c>
      <c r="B32" s="49">
        <v>11650</v>
      </c>
      <c r="C32">
        <v>2023</v>
      </c>
      <c r="E32" t="s">
        <v>96</v>
      </c>
      <c r="F32" s="54">
        <v>24430</v>
      </c>
      <c r="G32" s="54">
        <v>43360</v>
      </c>
      <c r="H32" s="55">
        <v>256631.3</v>
      </c>
      <c r="J32" s="77">
        <f>SUMIFS('Export Data'!$B$13:$B$176,'Export Data'!$A$13:$A$176,'SC CONSIDERATION'!E32)</f>
        <v>357483</v>
      </c>
      <c r="K32" s="77">
        <f>SUMIFS('Imports Data'!$B$13:$B$234,'Imports Data'!$A$13:$A$234,'SC CONSIDERATION'!E32)</f>
        <v>946256</v>
      </c>
      <c r="L32" s="78">
        <f t="shared" si="0"/>
        <v>-588773</v>
      </c>
    </row>
    <row r="33" spans="1:13" s="79" customFormat="1" hidden="1">
      <c r="A33" s="79" t="s">
        <v>306</v>
      </c>
      <c r="B33" s="302">
        <v>95160</v>
      </c>
      <c r="C33" s="79">
        <v>2023</v>
      </c>
      <c r="E33" s="79" t="s">
        <v>44</v>
      </c>
      <c r="F33" s="80">
        <v>4180</v>
      </c>
      <c r="G33" s="80">
        <v>12680</v>
      </c>
      <c r="H33" s="79" t="s">
        <v>515</v>
      </c>
      <c r="J33" s="82">
        <f>SUMIFS('Export Data'!$B$13:$B$176,'Export Data'!$A$13:$A$176,'SC CONSIDERATION'!E33)</f>
        <v>286712</v>
      </c>
      <c r="K33" s="82">
        <f>SUMIFS('Imports Data'!$B$13:$B$234,'Imports Data'!$A$13:$A$234,'SC CONSIDERATION'!E33)</f>
        <v>1024301</v>
      </c>
      <c r="L33" s="83">
        <f t="shared" si="0"/>
        <v>-737589</v>
      </c>
      <c r="M33" s="301" t="s">
        <v>968</v>
      </c>
    </row>
    <row r="34" spans="1:13" hidden="1">
      <c r="A34" t="s">
        <v>423</v>
      </c>
      <c r="B34" s="49">
        <v>5580</v>
      </c>
      <c r="C34">
        <v>2023</v>
      </c>
      <c r="E34" t="s">
        <v>35</v>
      </c>
      <c r="F34" s="54">
        <v>17950</v>
      </c>
      <c r="G34" s="54">
        <v>35120</v>
      </c>
      <c r="H34" s="55">
        <v>81164.63</v>
      </c>
      <c r="J34" s="77">
        <f>SUMIFS('Export Data'!$B$13:$B$176,'Export Data'!$A$13:$A$176,'SC CONSIDERATION'!E34)</f>
        <v>222355</v>
      </c>
      <c r="K34" s="77">
        <f>SUMIFS('Imports Data'!$B$13:$B$234,'Imports Data'!$A$13:$A$234,'SC CONSIDERATION'!E34)</f>
        <v>49962</v>
      </c>
      <c r="L34" s="78">
        <f t="shared" si="0"/>
        <v>172393</v>
      </c>
    </row>
    <row r="35" spans="1:13" hidden="1">
      <c r="A35" t="s">
        <v>391</v>
      </c>
      <c r="B35" s="49">
        <v>10070</v>
      </c>
      <c r="C35">
        <v>2023</v>
      </c>
      <c r="E35" t="s">
        <v>82</v>
      </c>
      <c r="F35" s="54">
        <v>17740</v>
      </c>
      <c r="G35" s="54">
        <v>35640</v>
      </c>
      <c r="H35" s="55">
        <v>172210.65</v>
      </c>
      <c r="J35" s="77">
        <f>SUMIFS('Export Data'!$B$13:$B$176,'Export Data'!$A$13:$A$176,'SC CONSIDERATION'!E35)</f>
        <v>196105</v>
      </c>
      <c r="K35" s="77">
        <f>SUMIFS('Imports Data'!$B$13:$B$234,'Imports Data'!$A$13:$A$234,'SC CONSIDERATION'!E35)</f>
        <v>576155</v>
      </c>
      <c r="L35" s="78">
        <f t="shared" si="0"/>
        <v>-380050</v>
      </c>
    </row>
    <row r="36" spans="1:13" s="79" customFormat="1" hidden="1">
      <c r="A36" t="s">
        <v>309</v>
      </c>
      <c r="B36" s="49">
        <v>80300</v>
      </c>
      <c r="C36">
        <v>2023</v>
      </c>
      <c r="D36"/>
      <c r="E36" s="79" t="s">
        <v>66</v>
      </c>
      <c r="F36" s="80">
        <v>7740</v>
      </c>
      <c r="G36" s="80">
        <v>15600</v>
      </c>
      <c r="H36" s="79" t="s">
        <v>516</v>
      </c>
      <c r="J36" s="82">
        <f>SUMIFS('Export Data'!$B$13:$B$176,'Export Data'!$A$13:$A$176,'SC CONSIDERATION'!E36)</f>
        <v>194663</v>
      </c>
      <c r="K36" s="82">
        <f>SUMIFS('Imports Data'!$B$13:$B$234,'Imports Data'!$A$13:$A$234,'SC CONSIDERATION'!E36)</f>
        <v>876307</v>
      </c>
      <c r="L36" s="83">
        <f t="shared" si="0"/>
        <v>-681644</v>
      </c>
      <c r="M36" s="301" t="s">
        <v>967</v>
      </c>
    </row>
    <row r="37" spans="1:13" hidden="1">
      <c r="A37" t="s">
        <v>364</v>
      </c>
      <c r="B37" s="49">
        <v>20590</v>
      </c>
      <c r="C37">
        <v>2022</v>
      </c>
      <c r="E37" t="s">
        <v>79</v>
      </c>
      <c r="F37" s="54">
        <v>14160</v>
      </c>
      <c r="G37" s="54">
        <v>35260</v>
      </c>
      <c r="H37" s="55">
        <v>270676.86</v>
      </c>
      <c r="J37" s="77">
        <f>SUMIFS('Export Data'!$B$13:$B$176,'Export Data'!$A$13:$A$176,'SC CONSIDERATION'!E37)</f>
        <v>190123</v>
      </c>
      <c r="K37" s="77">
        <f>SUMIFS('Imports Data'!$B$13:$B$234,'Imports Data'!$A$13:$A$234,'SC CONSIDERATION'!E37)</f>
        <v>574385</v>
      </c>
      <c r="L37" s="78">
        <f t="shared" si="0"/>
        <v>-384262</v>
      </c>
    </row>
    <row r="38" spans="1:13" hidden="1">
      <c r="A38" t="s">
        <v>307</v>
      </c>
      <c r="B38" s="49">
        <v>88370</v>
      </c>
      <c r="C38">
        <v>2023</v>
      </c>
      <c r="E38" t="s">
        <v>83</v>
      </c>
      <c r="F38" s="54">
        <v>1470</v>
      </c>
      <c r="G38" s="54">
        <v>5680</v>
      </c>
      <c r="H38" s="55">
        <v>340808.73</v>
      </c>
      <c r="J38" s="77">
        <f>SUMIFS('Export Data'!$B$13:$B$176,'Export Data'!$A$13:$A$176,'SC CONSIDERATION'!E38)</f>
        <v>177961</v>
      </c>
      <c r="K38" s="77">
        <f>SUMIFS('Imports Data'!$B$13:$B$234,'Imports Data'!$A$13:$A$234,'SC CONSIDERATION'!E38)</f>
        <v>157518</v>
      </c>
      <c r="L38" s="78">
        <f t="shared" si="0"/>
        <v>20443</v>
      </c>
    </row>
    <row r="39" spans="1:13" hidden="1">
      <c r="A39" t="s">
        <v>384</v>
      </c>
      <c r="B39" s="49">
        <v>12100</v>
      </c>
      <c r="C39">
        <v>2023</v>
      </c>
      <c r="E39" t="s">
        <v>68</v>
      </c>
      <c r="F39" s="54">
        <v>59540</v>
      </c>
      <c r="G39" s="54">
        <v>61090</v>
      </c>
      <c r="H39" s="55">
        <v>620153.67000000004</v>
      </c>
      <c r="J39" s="77">
        <f>SUMIFS('Export Data'!$B$13:$B$176,'Export Data'!$A$13:$A$176,'SC CONSIDERATION'!E39)</f>
        <v>174226</v>
      </c>
      <c r="K39" s="77">
        <f>SUMIFS('Imports Data'!$B$13:$B$234,'Imports Data'!$A$13:$A$234,'SC CONSIDERATION'!E39)</f>
        <v>409895</v>
      </c>
      <c r="L39" s="78">
        <f t="shared" ref="L39:L70" si="1">J39-K39</f>
        <v>-235669</v>
      </c>
    </row>
    <row r="40" spans="1:13" hidden="1">
      <c r="A40" t="s">
        <v>413</v>
      </c>
      <c r="B40" s="49">
        <v>6750</v>
      </c>
      <c r="C40">
        <v>2023</v>
      </c>
      <c r="E40" t="s">
        <v>67</v>
      </c>
      <c r="F40" s="54">
        <v>20640</v>
      </c>
      <c r="G40" s="54">
        <v>32450</v>
      </c>
      <c r="H40" s="55">
        <v>112424.24</v>
      </c>
      <c r="J40" s="77">
        <f>SUMIFS('Export Data'!$B$13:$B$176,'Export Data'!$A$13:$A$176,'SC CONSIDERATION'!E40)</f>
        <v>132375</v>
      </c>
      <c r="K40" s="77">
        <f>SUMIFS('Imports Data'!$B$13:$B$234,'Imports Data'!$A$13:$A$234,'SC CONSIDERATION'!E40)</f>
        <v>410472</v>
      </c>
      <c r="L40" s="78">
        <f t="shared" si="1"/>
        <v>-278097</v>
      </c>
    </row>
    <row r="41" spans="1:13" hidden="1">
      <c r="A41" t="s">
        <v>392</v>
      </c>
      <c r="B41" s="49">
        <v>10030</v>
      </c>
      <c r="C41">
        <v>2023</v>
      </c>
      <c r="E41" t="s">
        <v>25</v>
      </c>
      <c r="F41" s="54">
        <v>41770</v>
      </c>
      <c r="G41" s="54">
        <v>71280</v>
      </c>
      <c r="H41" s="55">
        <v>387961.14</v>
      </c>
      <c r="J41" s="77">
        <f>SUMIFS('Export Data'!$B$13:$B$176,'Export Data'!$A$13:$A$176,'SC CONSIDERATION'!E41)</f>
        <v>129249</v>
      </c>
      <c r="K41" s="77">
        <f>SUMIFS('Imports Data'!$B$13:$B$234,'Imports Data'!$A$13:$A$234,'SC CONSIDERATION'!E41)</f>
        <v>668314</v>
      </c>
      <c r="L41" s="78">
        <f t="shared" si="1"/>
        <v>-539065</v>
      </c>
    </row>
    <row r="42" spans="1:13" hidden="1">
      <c r="A42" t="s">
        <v>390</v>
      </c>
      <c r="B42" s="49">
        <v>10940</v>
      </c>
      <c r="C42">
        <v>2023</v>
      </c>
      <c r="E42" t="s">
        <v>85</v>
      </c>
      <c r="F42" s="54">
        <v>23890</v>
      </c>
      <c r="G42" s="54">
        <v>35390</v>
      </c>
      <c r="H42" s="55">
        <v>246714.17</v>
      </c>
      <c r="J42" s="77">
        <f>SUMIFS('Export Data'!$B$13:$B$176,'Export Data'!$A$13:$A$176,'SC CONSIDERATION'!E42)</f>
        <v>117078</v>
      </c>
      <c r="K42" s="77">
        <f>SUMIFS('Imports Data'!$B$13:$B$234,'Imports Data'!$A$13:$A$234,'SC CONSIDERATION'!E42)</f>
        <v>642930</v>
      </c>
      <c r="L42" s="78">
        <f t="shared" si="1"/>
        <v>-525852</v>
      </c>
    </row>
    <row r="43" spans="1:13" hidden="1">
      <c r="A43" t="s">
        <v>444</v>
      </c>
      <c r="B43" s="49">
        <v>3740</v>
      </c>
      <c r="C43">
        <v>2023</v>
      </c>
      <c r="E43" t="s">
        <v>201</v>
      </c>
      <c r="F43" s="54">
        <v>28280</v>
      </c>
      <c r="G43" s="54">
        <v>43040</v>
      </c>
      <c r="H43" s="55">
        <v>59607.79</v>
      </c>
      <c r="J43" s="77">
        <f>SUMIFS('Export Data'!$B$13:$B$176,'Export Data'!$A$13:$A$176,'SC CONSIDERATION'!E43)</f>
        <v>108984</v>
      </c>
      <c r="K43" s="77">
        <f>SUMIFS('Imports Data'!$B$13:$B$234,'Imports Data'!$A$13:$A$234,'SC CONSIDERATION'!E43)</f>
        <v>205662</v>
      </c>
      <c r="L43" s="78">
        <f t="shared" si="1"/>
        <v>-96678</v>
      </c>
    </row>
    <row r="44" spans="1:13" hidden="1">
      <c r="A44" t="s">
        <v>462</v>
      </c>
      <c r="B44" s="49">
        <v>2270</v>
      </c>
      <c r="C44">
        <v>2023</v>
      </c>
      <c r="E44" t="s">
        <v>89</v>
      </c>
      <c r="F44" s="54">
        <v>88190</v>
      </c>
      <c r="G44" s="54">
        <v>83230</v>
      </c>
      <c r="H44" s="55">
        <v>56449.08</v>
      </c>
      <c r="J44" s="77">
        <f>SUMIFS('Export Data'!$B$13:$B$176,'Export Data'!$A$13:$A$176,'SC CONSIDERATION'!E44)</f>
        <v>90364</v>
      </c>
      <c r="K44" s="77">
        <f>SUMIFS('Imports Data'!$B$13:$B$234,'Imports Data'!$A$13:$A$234,'SC CONSIDERATION'!E44)</f>
        <v>191620</v>
      </c>
      <c r="L44" s="78">
        <f t="shared" si="1"/>
        <v>-101256</v>
      </c>
    </row>
    <row r="45" spans="1:13" hidden="1">
      <c r="A45" t="s">
        <v>414</v>
      </c>
      <c r="B45" s="49">
        <v>6680</v>
      </c>
      <c r="C45">
        <v>2023</v>
      </c>
      <c r="E45" t="s">
        <v>73</v>
      </c>
      <c r="F45" s="54">
        <v>53510</v>
      </c>
      <c r="G45" s="54">
        <v>55940</v>
      </c>
      <c r="H45" s="55">
        <v>296473.03000000003</v>
      </c>
      <c r="J45" s="77">
        <f>SUMIFS('Export Data'!$B$13:$B$176,'Export Data'!$A$13:$A$176,'SC CONSIDERATION'!E45)</f>
        <v>90127</v>
      </c>
      <c r="K45" s="77">
        <f>SUMIFS('Imports Data'!$B$13:$B$234,'Imports Data'!$A$13:$A$234,'SC CONSIDERATION'!E45)</f>
        <v>148304</v>
      </c>
      <c r="L45" s="78">
        <f t="shared" si="1"/>
        <v>-58177</v>
      </c>
    </row>
    <row r="46" spans="1:13" hidden="1">
      <c r="A46" t="s">
        <v>326</v>
      </c>
      <c r="B46" s="49">
        <v>53390</v>
      </c>
      <c r="C46">
        <v>2023</v>
      </c>
      <c r="E46" t="s">
        <v>40</v>
      </c>
      <c r="F46" s="54">
        <v>6530</v>
      </c>
      <c r="G46" s="54">
        <v>14340</v>
      </c>
      <c r="H46" s="55">
        <v>387775.52</v>
      </c>
      <c r="J46" s="77">
        <f>SUMIFS('Export Data'!$B$13:$B$176,'Export Data'!$A$13:$A$176,'SC CONSIDERATION'!E46)</f>
        <v>89377</v>
      </c>
      <c r="K46" s="77">
        <f>SUMIFS('Imports Data'!$B$13:$B$234,'Imports Data'!$A$13:$A$234,'SC CONSIDERATION'!E46)</f>
        <v>202650</v>
      </c>
      <c r="L46" s="78">
        <f t="shared" si="1"/>
        <v>-113273</v>
      </c>
    </row>
    <row r="47" spans="1:13" hidden="1">
      <c r="A47" t="s">
        <v>389</v>
      </c>
      <c r="B47" s="49">
        <v>11030</v>
      </c>
      <c r="C47">
        <v>2023</v>
      </c>
      <c r="E47" t="s">
        <v>65</v>
      </c>
      <c r="F47" s="54">
        <v>20000</v>
      </c>
      <c r="G47" s="54">
        <v>31480</v>
      </c>
      <c r="H47" s="55">
        <v>212806.98</v>
      </c>
      <c r="J47" s="77">
        <f>SUMIFS('Export Data'!$B$13:$B$176,'Export Data'!$A$13:$A$176,'SC CONSIDERATION'!E47)</f>
        <v>81396</v>
      </c>
      <c r="K47" s="77">
        <f>SUMIFS('Imports Data'!$B$13:$B$234,'Imports Data'!$A$13:$A$234,'SC CONSIDERATION'!E47)</f>
        <v>187693</v>
      </c>
      <c r="L47" s="78">
        <f t="shared" si="1"/>
        <v>-106297</v>
      </c>
    </row>
    <row r="48" spans="1:13" s="79" customFormat="1" hidden="1">
      <c r="A48" t="s">
        <v>330</v>
      </c>
      <c r="B48" s="49">
        <v>47800</v>
      </c>
      <c r="C48">
        <v>2023</v>
      </c>
      <c r="D48"/>
      <c r="E48" s="79" t="s">
        <v>118</v>
      </c>
      <c r="F48" s="80">
        <v>6190</v>
      </c>
      <c r="G48" s="80">
        <v>16540</v>
      </c>
      <c r="H48" s="81">
        <v>318932.01</v>
      </c>
      <c r="J48" s="82">
        <f>SUMIFS('Export Data'!$B$13:$B$176,'Export Data'!$A$13:$A$176,'SC CONSIDERATION'!E48)</f>
        <v>80889</v>
      </c>
      <c r="K48" s="82">
        <f>SUMIFS('Imports Data'!$B$13:$B$234,'Imports Data'!$A$13:$A$234,'SC CONSIDERATION'!E48)</f>
        <v>318811</v>
      </c>
      <c r="L48" s="83">
        <f t="shared" si="1"/>
        <v>-237922</v>
      </c>
      <c r="M48" s="301" t="s">
        <v>967</v>
      </c>
    </row>
    <row r="49" spans="1:12" hidden="1">
      <c r="A49" t="s">
        <v>394</v>
      </c>
      <c r="B49" s="49">
        <v>9700</v>
      </c>
      <c r="C49">
        <v>2023</v>
      </c>
      <c r="E49" t="s">
        <v>100</v>
      </c>
      <c r="F49" s="54">
        <v>49290</v>
      </c>
      <c r="G49" s="54">
        <v>44060</v>
      </c>
      <c r="H49" s="54">
        <v>461515</v>
      </c>
      <c r="J49" s="77">
        <f>SUMIFS('Export Data'!$B$13:$B$176,'Export Data'!$A$13:$A$176,'SC CONSIDERATION'!E49)</f>
        <v>78318</v>
      </c>
      <c r="K49" s="77">
        <f>SUMIFS('Imports Data'!$B$13:$B$234,'Imports Data'!$A$13:$A$234,'SC CONSIDERATION'!E49)</f>
        <v>259272</v>
      </c>
      <c r="L49" s="78">
        <f t="shared" si="1"/>
        <v>-180954</v>
      </c>
    </row>
    <row r="50" spans="1:12" hidden="1">
      <c r="A50" t="s">
        <v>311</v>
      </c>
      <c r="B50" s="49">
        <v>76300</v>
      </c>
      <c r="C50">
        <v>2021</v>
      </c>
      <c r="E50" t="s">
        <v>38</v>
      </c>
      <c r="F50" s="54">
        <v>11610</v>
      </c>
      <c r="G50" s="54">
        <v>32070</v>
      </c>
      <c r="H50" t="s">
        <v>517</v>
      </c>
      <c r="J50" s="77">
        <f>SUMIFS('Export Data'!$B$13:$B$176,'Export Data'!$A$13:$A$176,'SC CONSIDERATION'!E50)</f>
        <v>69539</v>
      </c>
      <c r="K50" s="77">
        <f>SUMIFS('Imports Data'!$B$13:$B$234,'Imports Data'!$A$13:$A$234,'SC CONSIDERATION'!E50)</f>
        <v>1000099</v>
      </c>
      <c r="L50" s="78">
        <f t="shared" si="1"/>
        <v>-930560</v>
      </c>
    </row>
    <row r="51" spans="1:12" hidden="1">
      <c r="A51" t="s">
        <v>446</v>
      </c>
      <c r="B51" s="49">
        <v>3700</v>
      </c>
      <c r="C51">
        <v>2023</v>
      </c>
      <c r="E51" t="s">
        <v>130</v>
      </c>
      <c r="F51" s="54">
        <v>19790</v>
      </c>
      <c r="G51" s="54">
        <v>33760</v>
      </c>
      <c r="H51" s="55">
        <v>37294.660000000003</v>
      </c>
      <c r="J51" s="77">
        <f>SUMIFS('Export Data'!$B$13:$B$176,'Export Data'!$A$13:$A$176,'SC CONSIDERATION'!E51)</f>
        <v>54572</v>
      </c>
      <c r="K51" s="77">
        <f>SUMIFS('Imports Data'!$B$13:$B$234,'Imports Data'!$A$13:$A$234,'SC CONSIDERATION'!E51)</f>
        <v>47074</v>
      </c>
      <c r="L51" s="78">
        <f t="shared" si="1"/>
        <v>7498</v>
      </c>
    </row>
    <row r="52" spans="1:12" hidden="1">
      <c r="A52" t="s">
        <v>411</v>
      </c>
      <c r="B52" s="49">
        <v>6990</v>
      </c>
      <c r="C52">
        <v>2023</v>
      </c>
      <c r="E52" t="s">
        <v>72</v>
      </c>
      <c r="F52" s="54">
        <v>68300</v>
      </c>
      <c r="G52" s="54">
        <v>66720</v>
      </c>
      <c r="H52" s="55">
        <v>400036.92</v>
      </c>
      <c r="J52" s="77">
        <f>SUMIFS('Export Data'!$B$13:$B$176,'Export Data'!$A$13:$A$176,'SC CONSIDERATION'!E52)</f>
        <v>52641</v>
      </c>
      <c r="K52" s="77">
        <f>SUMIFS('Imports Data'!$B$13:$B$234,'Imports Data'!$A$13:$A$234,'SC CONSIDERATION'!E52)</f>
        <v>273932</v>
      </c>
      <c r="L52" s="78">
        <f t="shared" si="1"/>
        <v>-221291</v>
      </c>
    </row>
    <row r="53" spans="1:12" hidden="1">
      <c r="A53" t="s">
        <v>455</v>
      </c>
      <c r="B53" s="49">
        <v>2670</v>
      </c>
      <c r="C53">
        <v>2023</v>
      </c>
      <c r="E53" t="s">
        <v>227</v>
      </c>
      <c r="F53" s="54">
        <v>3080</v>
      </c>
      <c r="G53" s="54">
        <v>5300</v>
      </c>
      <c r="H53" s="55">
        <v>3406.96</v>
      </c>
      <c r="I53" t="s">
        <v>510</v>
      </c>
      <c r="J53" s="77">
        <f>SUMIFS('Export Data'!$B$13:$B$176,'Export Data'!$A$13:$A$176,'SC CONSIDERATION'!E53)</f>
        <v>52529</v>
      </c>
      <c r="K53" s="77">
        <f>SUMIFS('Imports Data'!$B$13:$B$234,'Imports Data'!$A$13:$A$234,'SC CONSIDERATION'!E53)</f>
        <v>34684</v>
      </c>
      <c r="L53" s="78">
        <f t="shared" si="1"/>
        <v>17845</v>
      </c>
    </row>
    <row r="54" spans="1:12" hidden="1">
      <c r="A54" t="s">
        <v>426</v>
      </c>
      <c r="B54" s="49">
        <v>5070</v>
      </c>
      <c r="C54">
        <v>2023</v>
      </c>
      <c r="E54" t="s">
        <v>95</v>
      </c>
      <c r="F54" s="54">
        <v>17630</v>
      </c>
      <c r="G54" s="54">
        <v>34620</v>
      </c>
      <c r="H54" s="55">
        <v>68724.22</v>
      </c>
      <c r="J54" s="77">
        <f>SUMIFS('Export Data'!$B$13:$B$176,'Export Data'!$A$13:$A$176,'SC CONSIDERATION'!E54)</f>
        <v>43937</v>
      </c>
      <c r="K54" s="77">
        <f>SUMIFS('Imports Data'!$B$13:$B$234,'Imports Data'!$A$13:$A$234,'SC CONSIDERATION'!E54)</f>
        <v>75145</v>
      </c>
      <c r="L54" s="78">
        <f t="shared" si="1"/>
        <v>-31208</v>
      </c>
    </row>
    <row r="55" spans="1:12" hidden="1">
      <c r="A55" t="s">
        <v>421</v>
      </c>
      <c r="B55" s="49">
        <v>5600</v>
      </c>
      <c r="C55">
        <v>2023</v>
      </c>
      <c r="E55" t="s">
        <v>87</v>
      </c>
      <c r="F55" s="54">
        <v>76110</v>
      </c>
      <c r="G55" s="54">
        <v>79370</v>
      </c>
      <c r="H55" s="55">
        <v>383083.78</v>
      </c>
      <c r="J55" s="77">
        <f>SUMIFS('Export Data'!$B$13:$B$176,'Export Data'!$A$13:$A$176,'SC CONSIDERATION'!E55)</f>
        <v>43642</v>
      </c>
      <c r="K55" s="77">
        <f>SUMIFS('Imports Data'!$B$13:$B$234,'Imports Data'!$A$13:$A$234,'SC CONSIDERATION'!E55)</f>
        <v>209663</v>
      </c>
      <c r="L55" s="78">
        <f t="shared" si="1"/>
        <v>-166021</v>
      </c>
    </row>
    <row r="56" spans="1:12" hidden="1">
      <c r="A56" t="s">
        <v>451</v>
      </c>
      <c r="B56" s="49">
        <v>3450</v>
      </c>
      <c r="C56">
        <v>2023</v>
      </c>
      <c r="E56" t="s">
        <v>103</v>
      </c>
      <c r="F56" s="54">
        <v>26460</v>
      </c>
      <c r="G56" s="54">
        <v>41520</v>
      </c>
      <c r="H56" s="55">
        <v>35218.92</v>
      </c>
      <c r="J56" s="77">
        <f>SUMIFS('Export Data'!$B$13:$B$176,'Export Data'!$A$13:$A$176,'SC CONSIDERATION'!E56)</f>
        <v>43105</v>
      </c>
      <c r="K56" s="77">
        <f>SUMIFS('Imports Data'!$B$13:$B$234,'Imports Data'!$A$13:$A$234,'SC CONSIDERATION'!E56)</f>
        <v>55633</v>
      </c>
      <c r="L56" s="78">
        <f t="shared" si="1"/>
        <v>-12528</v>
      </c>
    </row>
    <row r="57" spans="1:12" hidden="1">
      <c r="A57" t="s">
        <v>406</v>
      </c>
      <c r="B57" s="49">
        <v>7550</v>
      </c>
      <c r="C57">
        <v>2023</v>
      </c>
      <c r="E57" t="s">
        <v>81</v>
      </c>
      <c r="F57" s="54">
        <v>11200</v>
      </c>
      <c r="G57" s="54">
        <v>27200</v>
      </c>
      <c r="H57" s="55">
        <v>77004.62</v>
      </c>
      <c r="J57" s="77">
        <f>SUMIFS('Export Data'!$B$13:$B$176,'Export Data'!$A$13:$A$176,'SC CONSIDERATION'!E57)</f>
        <v>42666</v>
      </c>
      <c r="K57" s="77">
        <f>SUMIFS('Imports Data'!$B$13:$B$234,'Imports Data'!$A$13:$A$234,'SC CONSIDERATION'!E57)</f>
        <v>219782</v>
      </c>
      <c r="L57" s="78">
        <f t="shared" si="1"/>
        <v>-177116</v>
      </c>
    </row>
    <row r="58" spans="1:12" hidden="1">
      <c r="A58" t="s">
        <v>355</v>
      </c>
      <c r="B58" s="51">
        <v>24820</v>
      </c>
      <c r="C58">
        <v>2023</v>
      </c>
      <c r="E58" t="s">
        <v>24</v>
      </c>
      <c r="F58" s="54">
        <v>57170</v>
      </c>
      <c r="G58" s="54">
        <v>55660</v>
      </c>
      <c r="H58" t="s">
        <v>529</v>
      </c>
      <c r="J58" s="77">
        <f>SUMIFS('Export Data'!$B$13:$B$176,'Export Data'!$A$13:$A$176,'SC CONSIDERATION'!E58)</f>
        <v>32824</v>
      </c>
      <c r="K58" s="77">
        <f>SUMIFS('Imports Data'!$B$13:$B$234,'Imports Data'!$A$13:$A$234,'SC CONSIDERATION'!E58)</f>
        <v>311319</v>
      </c>
      <c r="L58" s="78">
        <f t="shared" si="1"/>
        <v>-278495</v>
      </c>
    </row>
    <row r="59" spans="1:12" hidden="1">
      <c r="A59" t="s">
        <v>378</v>
      </c>
      <c r="B59" s="49">
        <v>14250</v>
      </c>
      <c r="C59">
        <v>2023</v>
      </c>
      <c r="E59" t="s">
        <v>56</v>
      </c>
      <c r="F59" s="54">
        <v>3540</v>
      </c>
      <c r="G59" s="54">
        <v>10910</v>
      </c>
      <c r="H59" s="55">
        <v>43393.75</v>
      </c>
      <c r="I59" t="s">
        <v>510</v>
      </c>
      <c r="J59" s="77">
        <f>SUMIFS('Export Data'!$B$13:$B$176,'Export Data'!$A$13:$A$176,'SC CONSIDERATION'!E59)</f>
        <v>31704</v>
      </c>
      <c r="K59" s="77">
        <f>SUMIFS('Imports Data'!$B$13:$B$234,'Imports Data'!$A$13:$A$234,'SC CONSIDERATION'!E59)</f>
        <v>174456</v>
      </c>
      <c r="L59" s="78">
        <f t="shared" si="1"/>
        <v>-142752</v>
      </c>
    </row>
    <row r="60" spans="1:12" hidden="1">
      <c r="A60" t="s">
        <v>310</v>
      </c>
      <c r="B60" s="49">
        <v>79840</v>
      </c>
      <c r="C60">
        <v>2023</v>
      </c>
      <c r="E60" t="s">
        <v>90</v>
      </c>
      <c r="F60" s="54">
        <v>2570</v>
      </c>
      <c r="G60" s="54">
        <v>6840</v>
      </c>
      <c r="H60" s="55">
        <v>435530.77</v>
      </c>
      <c r="J60" s="77">
        <f>SUMIFS('Export Data'!$B$13:$B$176,'Export Data'!$A$13:$A$176,'SC CONSIDERATION'!E60)</f>
        <v>31699</v>
      </c>
      <c r="K60" s="77">
        <f>SUMIFS('Imports Data'!$B$13:$B$234,'Imports Data'!$A$13:$A$234,'SC CONSIDERATION'!E60)</f>
        <v>262792</v>
      </c>
      <c r="L60" s="78">
        <f t="shared" si="1"/>
        <v>-231093</v>
      </c>
    </row>
    <row r="61" spans="1:12" hidden="1">
      <c r="A61" t="s">
        <v>416</v>
      </c>
      <c r="B61" s="49">
        <v>6510</v>
      </c>
      <c r="C61">
        <v>2023</v>
      </c>
      <c r="E61" t="s">
        <v>61</v>
      </c>
      <c r="F61" s="54">
        <v>83880</v>
      </c>
      <c r="G61" s="54">
        <v>82840</v>
      </c>
      <c r="H61" s="55">
        <v>453625.12</v>
      </c>
      <c r="J61" s="77">
        <f>SUMIFS('Export Data'!$B$13:$B$176,'Export Data'!$A$13:$A$176,'SC CONSIDERATION'!E61)</f>
        <v>31684</v>
      </c>
      <c r="K61" s="77">
        <f>SUMIFS('Imports Data'!$B$13:$B$234,'Imports Data'!$A$13:$A$234,'SC CONSIDERATION'!E61)</f>
        <v>79835</v>
      </c>
      <c r="L61" s="78">
        <f t="shared" si="1"/>
        <v>-48151</v>
      </c>
    </row>
    <row r="62" spans="1:12" hidden="1">
      <c r="A62" t="s">
        <v>367</v>
      </c>
      <c r="B62" s="49">
        <v>19820</v>
      </c>
      <c r="C62">
        <v>2023</v>
      </c>
      <c r="E62" t="s">
        <v>194</v>
      </c>
      <c r="F62" s="54">
        <v>5960</v>
      </c>
      <c r="G62" s="54">
        <v>11540</v>
      </c>
      <c r="H62" s="55">
        <v>106042.09</v>
      </c>
      <c r="J62" s="77">
        <f>SUMIFS('Export Data'!$B$13:$B$176,'Export Data'!$A$13:$A$176,'SC CONSIDERATION'!E62)</f>
        <v>31567</v>
      </c>
      <c r="K62" s="77">
        <f>SUMIFS('Imports Data'!$B$13:$B$234,'Imports Data'!$A$13:$A$234,'SC CONSIDERATION'!E62)</f>
        <v>130927</v>
      </c>
      <c r="L62" s="78">
        <f t="shared" si="1"/>
        <v>-99360</v>
      </c>
    </row>
    <row r="63" spans="1:12" hidden="1">
      <c r="A63" t="s">
        <v>380</v>
      </c>
      <c r="B63" s="49">
        <v>13400</v>
      </c>
      <c r="C63">
        <v>2023</v>
      </c>
      <c r="E63" t="s">
        <v>229</v>
      </c>
      <c r="F63" s="54">
        <v>8100</v>
      </c>
      <c r="G63" s="54">
        <v>19440</v>
      </c>
      <c r="H63" s="55">
        <v>90005.66</v>
      </c>
      <c r="J63" s="77">
        <f>SUMIFS('Export Data'!$B$13:$B$176,'Export Data'!$A$13:$A$176,'SC CONSIDERATION'!E63)</f>
        <v>29534</v>
      </c>
      <c r="K63" s="77">
        <f>SUMIFS('Imports Data'!$B$13:$B$234,'Imports Data'!$A$13:$A$234,'SC CONSIDERATION'!E63)</f>
        <v>124727</v>
      </c>
      <c r="L63" s="78">
        <f t="shared" si="1"/>
        <v>-95193</v>
      </c>
    </row>
    <row r="64" spans="1:12" hidden="1">
      <c r="A64" t="s">
        <v>348</v>
      </c>
      <c r="B64" s="49">
        <v>28690</v>
      </c>
      <c r="C64">
        <v>2023</v>
      </c>
      <c r="E64" t="s">
        <v>113</v>
      </c>
      <c r="F64" s="54">
        <v>6460</v>
      </c>
      <c r="G64" s="54">
        <v>12780</v>
      </c>
      <c r="H64" s="55">
        <v>217752.46</v>
      </c>
      <c r="J64" s="77">
        <f>SUMIFS('Export Data'!$B$13:$B$176,'Export Data'!$A$13:$A$176,'SC CONSIDERATION'!E64)</f>
        <v>29147</v>
      </c>
      <c r="K64" s="77">
        <f>SUMIFS('Imports Data'!$B$13:$B$234,'Imports Data'!$A$13:$A$234,'SC CONSIDERATION'!E64)</f>
        <v>258526</v>
      </c>
      <c r="L64" s="78">
        <f t="shared" si="1"/>
        <v>-229379</v>
      </c>
    </row>
    <row r="65" spans="1:13" hidden="1">
      <c r="A65" t="s">
        <v>402</v>
      </c>
      <c r="B65" s="49">
        <v>7620</v>
      </c>
      <c r="C65">
        <v>2023</v>
      </c>
      <c r="E65" t="s">
        <v>280</v>
      </c>
      <c r="F65" s="54">
        <v>8460</v>
      </c>
      <c r="G65" s="54">
        <v>20670</v>
      </c>
      <c r="H65" s="55">
        <v>57797.66</v>
      </c>
      <c r="J65" s="77">
        <f>SUMIFS('Export Data'!$B$13:$B$176,'Export Data'!$A$13:$A$176,'SC CONSIDERATION'!E65)</f>
        <v>28882</v>
      </c>
      <c r="K65" s="77">
        <f>SUMIFS('Imports Data'!$B$13:$B$234,'Imports Data'!$A$13:$A$234,'SC CONSIDERATION'!E65)</f>
        <v>159085</v>
      </c>
      <c r="L65" s="78">
        <f t="shared" si="1"/>
        <v>-130203</v>
      </c>
    </row>
    <row r="66" spans="1:13" hidden="1">
      <c r="A66" t="s">
        <v>362</v>
      </c>
      <c r="B66" s="49">
        <v>21280</v>
      </c>
      <c r="C66">
        <v>2023</v>
      </c>
      <c r="E66" t="s">
        <v>99</v>
      </c>
      <c r="F66" s="54">
        <v>8880</v>
      </c>
      <c r="G66" s="54">
        <v>25160</v>
      </c>
      <c r="H66" s="55">
        <v>168692.85</v>
      </c>
      <c r="J66" s="77">
        <f>SUMIFS('Export Data'!$B$13:$B$176,'Export Data'!$A$13:$A$176,'SC CONSIDERATION'!E66)</f>
        <v>24367</v>
      </c>
      <c r="K66" s="77">
        <f>SUMIFS('Imports Data'!$B$13:$B$234,'Imports Data'!$A$13:$A$234,'SC CONSIDERATION'!E66)</f>
        <v>187856</v>
      </c>
      <c r="L66" s="78">
        <f t="shared" si="1"/>
        <v>-163489</v>
      </c>
    </row>
    <row r="67" spans="1:13" hidden="1">
      <c r="A67" t="s">
        <v>383</v>
      </c>
      <c r="B67" s="51">
        <v>12400</v>
      </c>
      <c r="C67">
        <v>2023</v>
      </c>
      <c r="E67" t="s">
        <v>271</v>
      </c>
      <c r="F67" s="54">
        <v>2490</v>
      </c>
      <c r="G67" s="54">
        <v>5620</v>
      </c>
      <c r="H67" s="55">
        <v>25542.22</v>
      </c>
      <c r="J67" s="77">
        <f>SUMIFS('Export Data'!$B$13:$B$176,'Export Data'!$A$13:$A$176,'SC CONSIDERATION'!E67)</f>
        <v>23415</v>
      </c>
      <c r="K67" s="77">
        <f>SUMIFS('Imports Data'!$B$13:$B$234,'Imports Data'!$A$13:$A$234,'SC CONSIDERATION'!E67)</f>
        <v>33418</v>
      </c>
      <c r="L67" s="78">
        <f t="shared" si="1"/>
        <v>-10003</v>
      </c>
    </row>
    <row r="68" spans="1:13" s="79" customFormat="1" hidden="1">
      <c r="A68" t="s">
        <v>315</v>
      </c>
      <c r="B68" s="49">
        <v>70070</v>
      </c>
      <c r="C68">
        <v>2022</v>
      </c>
      <c r="D68"/>
      <c r="E68" s="79" t="s">
        <v>62</v>
      </c>
      <c r="F68" s="80">
        <v>3550</v>
      </c>
      <c r="G68" s="80">
        <v>9210</v>
      </c>
      <c r="H68" s="81">
        <v>404238.06</v>
      </c>
      <c r="I68" s="79" t="s">
        <v>510</v>
      </c>
      <c r="J68" s="82">
        <f>SUMIFS('Export Data'!$B$13:$B$176,'Export Data'!$A$13:$A$176,'SC CONSIDERATION'!E68)</f>
        <v>19705</v>
      </c>
      <c r="K68" s="82">
        <f>SUMIFS('Imports Data'!$B$13:$B$234,'Imports Data'!$A$13:$A$234,'SC CONSIDERATION'!E68)</f>
        <v>544210</v>
      </c>
      <c r="L68" s="83">
        <f t="shared" si="1"/>
        <v>-524505</v>
      </c>
      <c r="M68" s="301" t="s">
        <v>967</v>
      </c>
    </row>
    <row r="69" spans="1:13" hidden="1">
      <c r="A69" t="s">
        <v>341</v>
      </c>
      <c r="B69" s="49">
        <v>34800</v>
      </c>
      <c r="C69">
        <v>2007</v>
      </c>
      <c r="E69" t="s">
        <v>54</v>
      </c>
      <c r="F69" s="54">
        <v>3620</v>
      </c>
      <c r="G69" s="54">
        <v>8730</v>
      </c>
      <c r="H69" s="55">
        <v>136408.10999999999</v>
      </c>
      <c r="I69" t="s">
        <v>510</v>
      </c>
      <c r="J69" s="77">
        <f>SUMIFS('Export Data'!$B$13:$B$176,'Export Data'!$A$13:$A$176,'SC CONSIDERATION'!E69)</f>
        <v>17102</v>
      </c>
      <c r="K69" s="77">
        <f>SUMIFS('Imports Data'!$B$13:$B$234,'Imports Data'!$A$13:$A$234,'SC CONSIDERATION'!E69)</f>
        <v>326745</v>
      </c>
      <c r="L69" s="78">
        <f t="shared" si="1"/>
        <v>-309643</v>
      </c>
    </row>
    <row r="70" spans="1:13" hidden="1">
      <c r="A70" t="s">
        <v>319</v>
      </c>
      <c r="B70" s="49">
        <v>60670</v>
      </c>
      <c r="C70">
        <v>2023</v>
      </c>
      <c r="E70" t="s">
        <v>123</v>
      </c>
      <c r="F70" s="54">
        <v>3530</v>
      </c>
      <c r="G70" s="54">
        <v>16540</v>
      </c>
      <c r="H70" s="55">
        <v>310227.88</v>
      </c>
      <c r="I70" t="s">
        <v>510</v>
      </c>
      <c r="J70" s="77">
        <f>SUMIFS('Export Data'!$B$13:$B$176,'Export Data'!$A$13:$A$176,'SC CONSIDERATION'!E70)</f>
        <v>13686</v>
      </c>
      <c r="K70" s="77">
        <f>SUMIFS('Imports Data'!$B$13:$B$234,'Imports Data'!$A$13:$A$234,'SC CONSIDERATION'!E70)</f>
        <v>72988</v>
      </c>
      <c r="L70" s="78">
        <f t="shared" si="1"/>
        <v>-59302</v>
      </c>
    </row>
    <row r="71" spans="1:13" hidden="1">
      <c r="A71" t="s">
        <v>308</v>
      </c>
      <c r="B71" s="49">
        <v>80390</v>
      </c>
      <c r="C71">
        <v>2023</v>
      </c>
      <c r="E71" t="s">
        <v>52</v>
      </c>
      <c r="F71" s="54">
        <v>2080</v>
      </c>
      <c r="G71" s="54">
        <v>5200</v>
      </c>
      <c r="H71" s="55">
        <v>444027.94</v>
      </c>
      <c r="J71" s="77">
        <f>SUMIFS('Export Data'!$B$13:$B$176,'Export Data'!$A$13:$A$176,'SC CONSIDERATION'!E71)</f>
        <v>12151</v>
      </c>
      <c r="K71" s="77">
        <f>SUMIFS('Imports Data'!$B$13:$B$234,'Imports Data'!$A$13:$A$234,'SC CONSIDERATION'!E71)</f>
        <v>172300</v>
      </c>
      <c r="L71" s="78">
        <f t="shared" ref="L71:L102" si="2">J71-K71</f>
        <v>-160149</v>
      </c>
    </row>
    <row r="72" spans="1:13" hidden="1">
      <c r="A72" t="s">
        <v>328</v>
      </c>
      <c r="B72" s="49">
        <v>50080</v>
      </c>
      <c r="C72">
        <v>2022</v>
      </c>
      <c r="E72" t="s">
        <v>117</v>
      </c>
      <c r="F72" s="54">
        <v>2080</v>
      </c>
      <c r="G72" s="54">
        <v>5130</v>
      </c>
      <c r="H72" s="55">
        <v>110400.89</v>
      </c>
      <c r="J72" s="77">
        <f>SUMIFS('Export Data'!$B$13:$B$176,'Export Data'!$A$13:$A$176,'SC CONSIDERATION'!E72)</f>
        <v>11624</v>
      </c>
      <c r="K72" s="77">
        <f>SUMIFS('Imports Data'!$B$13:$B$234,'Imports Data'!$A$13:$A$234,'SC CONSIDERATION'!E72)</f>
        <v>98021</v>
      </c>
      <c r="L72" s="78">
        <f t="shared" si="2"/>
        <v>-86397</v>
      </c>
    </row>
    <row r="73" spans="1:13" hidden="1">
      <c r="A73" t="s">
        <v>368</v>
      </c>
      <c r="B73" s="49">
        <v>19730</v>
      </c>
      <c r="C73">
        <v>2023</v>
      </c>
      <c r="E73" t="s">
        <v>277</v>
      </c>
      <c r="F73" s="54">
        <v>4940</v>
      </c>
      <c r="G73" s="54">
        <v>9590</v>
      </c>
      <c r="H73" s="55">
        <v>84534.76</v>
      </c>
      <c r="J73" s="77">
        <f>SUMIFS('Export Data'!$B$13:$B$176,'Export Data'!$A$13:$A$176,'SC CONSIDERATION'!E73)</f>
        <v>10514</v>
      </c>
      <c r="K73" s="77">
        <f>SUMIFS('Imports Data'!$B$13:$B$234,'Imports Data'!$A$13:$A$234,'SC CONSIDERATION'!E73)</f>
        <v>101364</v>
      </c>
      <c r="L73" s="78">
        <f t="shared" si="2"/>
        <v>-90850</v>
      </c>
    </row>
    <row r="74" spans="1:13" hidden="1">
      <c r="A74" t="s">
        <v>381</v>
      </c>
      <c r="B74" s="49">
        <v>13212</v>
      </c>
      <c r="C74">
        <v>2023</v>
      </c>
      <c r="E74" t="s">
        <v>214</v>
      </c>
      <c r="F74" s="54">
        <v>4170</v>
      </c>
      <c r="G74" s="54">
        <v>10080</v>
      </c>
      <c r="H74" s="55">
        <v>46535.040000000001</v>
      </c>
      <c r="J74" s="77">
        <f>SUMIFS('Export Data'!$B$13:$B$176,'Export Data'!$A$13:$A$176,'SC CONSIDERATION'!E74)</f>
        <v>9562</v>
      </c>
      <c r="K74" s="77">
        <f>SUMIFS('Imports Data'!$B$13:$B$234,'Imports Data'!$A$13:$A$234,'SC CONSIDERATION'!E74)</f>
        <v>80027</v>
      </c>
      <c r="L74" s="78">
        <f t="shared" si="2"/>
        <v>-70465</v>
      </c>
    </row>
    <row r="75" spans="1:13" hidden="1">
      <c r="A75" t="s">
        <v>404</v>
      </c>
      <c r="B75" s="49">
        <v>7570</v>
      </c>
      <c r="C75">
        <v>2023</v>
      </c>
      <c r="E75" t="s">
        <v>266</v>
      </c>
      <c r="F75" s="54">
        <v>5740</v>
      </c>
      <c r="G75" s="54">
        <v>14600</v>
      </c>
      <c r="H75" s="55">
        <v>38513.120000000003</v>
      </c>
      <c r="J75" s="77">
        <f>SUMIFS('Export Data'!$B$13:$B$176,'Export Data'!$A$13:$A$176,'SC CONSIDERATION'!E75)</f>
        <v>9146</v>
      </c>
      <c r="K75" s="77">
        <f>SUMIFS('Imports Data'!$B$13:$B$234,'Imports Data'!$A$13:$A$234,'SC CONSIDERATION'!E75)</f>
        <v>61653</v>
      </c>
      <c r="L75" s="78">
        <f t="shared" si="2"/>
        <v>-52507</v>
      </c>
    </row>
    <row r="76" spans="1:13" hidden="1">
      <c r="A76" t="s">
        <v>393</v>
      </c>
      <c r="B76" s="49">
        <v>9800</v>
      </c>
      <c r="C76">
        <v>2023</v>
      </c>
      <c r="E76" t="s">
        <v>205</v>
      </c>
      <c r="F76" s="54">
        <v>6940</v>
      </c>
      <c r="G76" s="54">
        <v>20860</v>
      </c>
      <c r="H76" s="55">
        <v>64824.2</v>
      </c>
      <c r="J76" s="77">
        <f>SUMIFS('Export Data'!$B$13:$B$176,'Export Data'!$A$13:$A$176,'SC CONSIDERATION'!E76)</f>
        <v>8873</v>
      </c>
      <c r="K76" s="77">
        <f>SUMIFS('Imports Data'!$B$13:$B$234,'Imports Data'!$A$13:$A$234,'SC CONSIDERATION'!E76)</f>
        <v>56203</v>
      </c>
      <c r="L76" s="78">
        <f t="shared" si="2"/>
        <v>-47330</v>
      </c>
    </row>
    <row r="77" spans="1:13" hidden="1">
      <c r="A77" t="s">
        <v>363</v>
      </c>
      <c r="B77" s="49">
        <v>20670</v>
      </c>
      <c r="C77">
        <v>2023</v>
      </c>
      <c r="E77" t="s">
        <v>101</v>
      </c>
      <c r="F77" s="54">
        <v>14780</v>
      </c>
      <c r="G77" s="54">
        <v>27020</v>
      </c>
      <c r="H77" s="55">
        <v>288125.21000000002</v>
      </c>
      <c r="J77" s="77">
        <f>SUMIFS('Export Data'!$B$13:$B$176,'Export Data'!$A$13:$A$176,'SC CONSIDERATION'!E77)</f>
        <v>8475</v>
      </c>
      <c r="K77" s="77">
        <f>SUMIFS('Imports Data'!$B$13:$B$234,'Imports Data'!$A$13:$A$234,'SC CONSIDERATION'!E77)</f>
        <v>195813</v>
      </c>
      <c r="L77" s="78">
        <f t="shared" si="2"/>
        <v>-187338</v>
      </c>
    </row>
    <row r="78" spans="1:13" hidden="1">
      <c r="A78" t="s">
        <v>329</v>
      </c>
      <c r="B78" s="49">
        <v>48610</v>
      </c>
      <c r="C78">
        <v>2023</v>
      </c>
      <c r="E78" t="s">
        <v>91</v>
      </c>
      <c r="F78" s="54">
        <v>1170</v>
      </c>
      <c r="G78" s="54">
        <v>4310</v>
      </c>
      <c r="H78" s="55">
        <v>62771.31</v>
      </c>
      <c r="J78" s="77">
        <f>SUMIFS('Export Data'!$B$13:$B$176,'Export Data'!$A$13:$A$176,'SC CONSIDERATION'!E78)</f>
        <v>6994</v>
      </c>
      <c r="K78" s="77">
        <f>SUMIFS('Imports Data'!$B$13:$B$234,'Imports Data'!$A$13:$A$234,'SC CONSIDERATION'!E78)</f>
        <v>96092</v>
      </c>
      <c r="L78" s="78">
        <f t="shared" si="2"/>
        <v>-89098</v>
      </c>
    </row>
    <row r="79" spans="1:13" hidden="1">
      <c r="A79" t="s">
        <v>336</v>
      </c>
      <c r="B79" s="49">
        <v>38200</v>
      </c>
      <c r="C79">
        <v>2023</v>
      </c>
      <c r="E79" t="s">
        <v>226</v>
      </c>
      <c r="F79" s="54">
        <v>3660</v>
      </c>
      <c r="G79" s="54">
        <v>11860</v>
      </c>
      <c r="H79" s="55">
        <v>161494.85</v>
      </c>
      <c r="I79" t="s">
        <v>510</v>
      </c>
      <c r="J79" s="77">
        <f>SUMIFS('Export Data'!$B$13:$B$176,'Export Data'!$A$13:$A$176,'SC CONSIDERATION'!E79)</f>
        <v>6984</v>
      </c>
      <c r="K79" s="77">
        <f>SUMIFS('Imports Data'!$B$13:$B$234,'Imports Data'!$A$13:$A$234,'SC CONSIDERATION'!E79)</f>
        <v>328178</v>
      </c>
      <c r="L79" s="78">
        <f t="shared" si="2"/>
        <v>-321194</v>
      </c>
    </row>
    <row r="80" spans="1:13" hidden="1">
      <c r="A80" t="s">
        <v>419</v>
      </c>
      <c r="B80" s="49">
        <v>6110</v>
      </c>
      <c r="C80">
        <v>2023</v>
      </c>
      <c r="E80" t="s">
        <v>102</v>
      </c>
      <c r="F80" s="54">
        <v>12310</v>
      </c>
      <c r="G80" s="54">
        <v>21810</v>
      </c>
      <c r="H80" s="55">
        <v>63469.56</v>
      </c>
      <c r="J80" s="77">
        <f>SUMIFS('Export Data'!$B$13:$B$176,'Export Data'!$A$13:$A$176,'SC CONSIDERATION'!E80)</f>
        <v>6944</v>
      </c>
      <c r="K80" s="77">
        <f>SUMIFS('Imports Data'!$B$13:$B$234,'Imports Data'!$A$13:$A$234,'SC CONSIDERATION'!E80)</f>
        <v>75411</v>
      </c>
      <c r="L80" s="78">
        <f t="shared" si="2"/>
        <v>-68467</v>
      </c>
    </row>
    <row r="81" spans="1:12" hidden="1">
      <c r="A81" t="s">
        <v>350</v>
      </c>
      <c r="B81" s="49">
        <v>27240</v>
      </c>
      <c r="C81">
        <v>2023</v>
      </c>
      <c r="E81" t="s">
        <v>241</v>
      </c>
      <c r="F81" s="54">
        <v>1220</v>
      </c>
      <c r="G81" s="54">
        <v>4230</v>
      </c>
      <c r="H81" s="55">
        <v>36590.879999999997</v>
      </c>
      <c r="J81" s="77">
        <f>SUMIFS('Export Data'!$B$13:$B$176,'Export Data'!$A$13:$A$176,'SC CONSIDERATION'!E81)</f>
        <v>6814</v>
      </c>
      <c r="K81" s="77">
        <f>SUMIFS('Imports Data'!$B$13:$B$234,'Imports Data'!$A$13:$A$234,'SC CONSIDERATION'!E81)</f>
        <v>37729</v>
      </c>
      <c r="L81" s="78">
        <f t="shared" si="2"/>
        <v>-30915</v>
      </c>
    </row>
    <row r="82" spans="1:12" hidden="1">
      <c r="A82" t="s">
        <v>323</v>
      </c>
      <c r="B82" s="49">
        <v>54530</v>
      </c>
      <c r="C82">
        <v>2023</v>
      </c>
      <c r="E82" t="s">
        <v>126</v>
      </c>
      <c r="F82" s="54">
        <v>1100</v>
      </c>
      <c r="G82" s="54">
        <v>2830</v>
      </c>
      <c r="H82" s="55">
        <v>67787.89</v>
      </c>
      <c r="J82" s="77">
        <f>SUMIFS('Export Data'!$B$13:$B$176,'Export Data'!$A$13:$A$176,'SC CONSIDERATION'!E82)</f>
        <v>6755</v>
      </c>
      <c r="K82" s="77">
        <f>SUMIFS('Imports Data'!$B$13:$B$234,'Imports Data'!$A$13:$A$234,'SC CONSIDERATION'!E82)</f>
        <v>152657</v>
      </c>
      <c r="L82" s="78">
        <f t="shared" si="2"/>
        <v>-145902</v>
      </c>
    </row>
    <row r="83" spans="1:12" hidden="1">
      <c r="A83" t="s">
        <v>428</v>
      </c>
      <c r="B83" s="51">
        <v>4960</v>
      </c>
      <c r="C83">
        <v>2023</v>
      </c>
      <c r="E83" t="s">
        <v>253</v>
      </c>
      <c r="F83" s="54">
        <v>3730</v>
      </c>
      <c r="G83" s="54">
        <v>10950</v>
      </c>
      <c r="H83" s="55">
        <v>12474.52</v>
      </c>
      <c r="I83" t="s">
        <v>510</v>
      </c>
      <c r="J83" s="77">
        <f>SUMIFS('Export Data'!$B$13:$B$176,'Export Data'!$A$13:$A$176,'SC CONSIDERATION'!E83)</f>
        <v>4642</v>
      </c>
      <c r="K83" s="77">
        <f>SUMIFS('Imports Data'!$B$13:$B$234,'Imports Data'!$A$13:$A$234,'SC CONSIDERATION'!E83)</f>
        <v>19615</v>
      </c>
      <c r="L83" s="78">
        <f t="shared" si="2"/>
        <v>-14973</v>
      </c>
    </row>
    <row r="84" spans="1:12" hidden="1">
      <c r="A84" t="s">
        <v>337</v>
      </c>
      <c r="B84" s="49">
        <v>37370</v>
      </c>
      <c r="C84">
        <v>2021</v>
      </c>
      <c r="E84" t="s">
        <v>120</v>
      </c>
      <c r="F84" s="54">
        <v>9960</v>
      </c>
      <c r="G84" s="54">
        <v>23170</v>
      </c>
      <c r="H84" s="55">
        <v>456139.42</v>
      </c>
      <c r="J84" s="77">
        <f>SUMIFS('Export Data'!$B$13:$B$176,'Export Data'!$A$13:$A$176,'SC CONSIDERATION'!E84)</f>
        <v>4164</v>
      </c>
      <c r="K84" s="77">
        <f>SUMIFS('Imports Data'!$B$13:$B$234,'Imports Data'!$A$13:$A$234,'SC CONSIDERATION'!E84)</f>
        <v>263036</v>
      </c>
      <c r="L84" s="78">
        <f t="shared" si="2"/>
        <v>-258872</v>
      </c>
    </row>
    <row r="85" spans="1:12" hidden="1">
      <c r="A85" t="s">
        <v>490</v>
      </c>
      <c r="B85">
        <v>980</v>
      </c>
      <c r="C85">
        <v>2023</v>
      </c>
      <c r="E85" t="s">
        <v>220</v>
      </c>
      <c r="F85" s="54">
        <v>21410</v>
      </c>
      <c r="G85" s="54">
        <v>20550</v>
      </c>
      <c r="H85" s="55">
        <v>965.71</v>
      </c>
      <c r="J85" s="77">
        <f>SUMIFS('Export Data'!$B$13:$B$176,'Export Data'!$A$13:$A$176,'SC CONSIDERATION'!E85)</f>
        <v>3917</v>
      </c>
      <c r="K85" s="77">
        <f>SUMIFS('Imports Data'!$B$13:$B$234,'Imports Data'!$A$13:$A$234,'SC CONSIDERATION'!E85)</f>
        <v>84</v>
      </c>
      <c r="L85" s="78">
        <f t="shared" si="2"/>
        <v>3833</v>
      </c>
    </row>
    <row r="86" spans="1:12" hidden="1">
      <c r="A86" t="s">
        <v>408</v>
      </c>
      <c r="B86" s="49">
        <v>7190</v>
      </c>
      <c r="C86">
        <v>2023</v>
      </c>
      <c r="E86" t="s">
        <v>195</v>
      </c>
      <c r="F86" s="54">
        <v>4260</v>
      </c>
      <c r="G86" s="54">
        <v>9420</v>
      </c>
      <c r="H86" s="54">
        <v>26911</v>
      </c>
      <c r="J86" s="77">
        <f>SUMIFS('Export Data'!$B$13:$B$176,'Export Data'!$A$13:$A$176,'SC CONSIDERATION'!E86)</f>
        <v>3637</v>
      </c>
      <c r="K86" s="77">
        <f>SUMIFS('Imports Data'!$B$13:$B$234,'Imports Data'!$A$13:$A$234,'SC CONSIDERATION'!E86)</f>
        <v>179229</v>
      </c>
      <c r="L86" s="78">
        <f t="shared" si="2"/>
        <v>-175592</v>
      </c>
    </row>
    <row r="87" spans="1:12" hidden="1">
      <c r="A87" t="s">
        <v>429</v>
      </c>
      <c r="B87" s="49">
        <v>4950</v>
      </c>
      <c r="C87">
        <v>2023</v>
      </c>
      <c r="E87" t="s">
        <v>114</v>
      </c>
      <c r="F87" s="54">
        <v>16080</v>
      </c>
      <c r="G87" s="54">
        <v>22950</v>
      </c>
      <c r="H87" s="55">
        <v>55109.23</v>
      </c>
      <c r="J87" s="77">
        <f>SUMIFS('Export Data'!$B$13:$B$176,'Export Data'!$A$13:$A$176,'SC CONSIDERATION'!E87)</f>
        <v>3178</v>
      </c>
      <c r="K87" s="77">
        <f>SUMIFS('Imports Data'!$B$13:$B$234,'Imports Data'!$A$13:$A$234,'SC CONSIDERATION'!E87)</f>
        <v>133237</v>
      </c>
      <c r="L87" s="78">
        <f t="shared" si="2"/>
        <v>-130059</v>
      </c>
    </row>
    <row r="88" spans="1:12" hidden="1">
      <c r="A88" t="s">
        <v>405</v>
      </c>
      <c r="B88" s="49">
        <v>7570</v>
      </c>
      <c r="C88">
        <v>2023</v>
      </c>
      <c r="E88" t="s">
        <v>75</v>
      </c>
      <c r="F88" s="54">
        <v>1180</v>
      </c>
      <c r="G88" s="54">
        <v>4860</v>
      </c>
      <c r="H88" s="55">
        <v>7893.97</v>
      </c>
      <c r="J88" s="77">
        <f>SUMIFS('Export Data'!$B$13:$B$176,'Export Data'!$A$13:$A$176,'SC CONSIDERATION'!E88)</f>
        <v>3122</v>
      </c>
      <c r="K88" s="77">
        <f>SUMIFS('Imports Data'!$B$13:$B$234,'Imports Data'!$A$13:$A$234,'SC CONSIDERATION'!E88)</f>
        <v>48755</v>
      </c>
      <c r="L88" s="78">
        <f t="shared" si="2"/>
        <v>-45633</v>
      </c>
    </row>
    <row r="89" spans="1:12" hidden="1">
      <c r="A89" t="s">
        <v>434</v>
      </c>
      <c r="B89" s="49">
        <v>4460</v>
      </c>
      <c r="C89">
        <v>2023</v>
      </c>
      <c r="E89" t="s">
        <v>215</v>
      </c>
      <c r="F89" s="54">
        <v>6110</v>
      </c>
      <c r="G89" s="54">
        <v>15490</v>
      </c>
      <c r="H89" s="55">
        <v>17183.97</v>
      </c>
      <c r="J89" s="77">
        <f>SUMIFS('Export Data'!$B$13:$B$176,'Export Data'!$A$13:$A$176,'SC CONSIDERATION'!E89)</f>
        <v>2957</v>
      </c>
      <c r="K89" s="77">
        <f>SUMIFS('Imports Data'!$B$13:$B$234,'Imports Data'!$A$13:$A$234,'SC CONSIDERATION'!E89)</f>
        <v>19521</v>
      </c>
      <c r="L89" s="78">
        <f t="shared" si="2"/>
        <v>-16564</v>
      </c>
    </row>
    <row r="90" spans="1:12" hidden="1">
      <c r="A90" t="s">
        <v>420</v>
      </c>
      <c r="B90" s="49">
        <v>5980</v>
      </c>
      <c r="C90">
        <v>2023</v>
      </c>
      <c r="E90" t="s">
        <v>225</v>
      </c>
      <c r="F90" s="54">
        <v>5110</v>
      </c>
      <c r="G90" s="54">
        <v>13700</v>
      </c>
      <c r="H90" s="55">
        <v>28593.82</v>
      </c>
      <c r="J90" s="77">
        <f>SUMIFS('Export Data'!$B$13:$B$176,'Export Data'!$A$13:$A$176,'SC CONSIDERATION'!E90)</f>
        <v>2704</v>
      </c>
      <c r="K90" s="77">
        <f>SUMIFS('Imports Data'!$B$13:$B$234,'Imports Data'!$A$13:$A$234,'SC CONSIDERATION'!E90)</f>
        <v>56503</v>
      </c>
      <c r="L90" s="78">
        <f t="shared" si="2"/>
        <v>-53799</v>
      </c>
    </row>
    <row r="91" spans="1:12" hidden="1">
      <c r="A91" t="s">
        <v>342</v>
      </c>
      <c r="B91" s="49">
        <v>34240</v>
      </c>
      <c r="C91">
        <v>2023</v>
      </c>
      <c r="E91" t="s">
        <v>110</v>
      </c>
      <c r="F91" s="54">
        <v>4120</v>
      </c>
      <c r="G91" s="54">
        <v>13860</v>
      </c>
      <c r="H91" s="55">
        <v>170654.88</v>
      </c>
      <c r="J91" s="77">
        <f>SUMIFS('Export Data'!$B$13:$B$176,'Export Data'!$A$13:$A$176,'SC CONSIDERATION'!E91)</f>
        <v>2678</v>
      </c>
      <c r="K91" s="77">
        <f>SUMIFS('Imports Data'!$B$13:$B$234,'Imports Data'!$A$13:$A$234,'SC CONSIDERATION'!E91)</f>
        <v>256704</v>
      </c>
      <c r="L91" s="78">
        <f t="shared" si="2"/>
        <v>-254026</v>
      </c>
    </row>
    <row r="92" spans="1:12" hidden="1">
      <c r="A92" t="s">
        <v>345</v>
      </c>
      <c r="B92" s="49">
        <v>31990</v>
      </c>
      <c r="C92">
        <v>2023</v>
      </c>
      <c r="E92" t="s">
        <v>255</v>
      </c>
      <c r="F92" s="54">
        <v>1960</v>
      </c>
      <c r="G92" s="54">
        <v>8520</v>
      </c>
      <c r="H92" s="55">
        <v>68578.899999999994</v>
      </c>
      <c r="J92" s="77">
        <f>SUMIFS('Export Data'!$B$13:$B$176,'Export Data'!$A$13:$A$176,'SC CONSIDERATION'!E92)</f>
        <v>2628</v>
      </c>
      <c r="K92" s="77">
        <f>SUMIFS('Imports Data'!$B$13:$B$234,'Imports Data'!$A$13:$A$234,'SC CONSIDERATION'!E92)</f>
        <v>180199</v>
      </c>
      <c r="L92" s="78">
        <f t="shared" si="2"/>
        <v>-177571</v>
      </c>
    </row>
    <row r="93" spans="1:12" hidden="1">
      <c r="A93" t="s">
        <v>418</v>
      </c>
      <c r="B93" s="49">
        <v>6150</v>
      </c>
      <c r="C93">
        <v>2023</v>
      </c>
      <c r="E93" t="s">
        <v>36</v>
      </c>
      <c r="F93" s="54">
        <v>45230</v>
      </c>
      <c r="G93" s="54">
        <v>45440</v>
      </c>
      <c r="H93" s="55">
        <v>231716.72</v>
      </c>
      <c r="J93" s="77">
        <f>SUMIFS('Export Data'!$B$13:$B$176,'Export Data'!$A$13:$A$176,'SC CONSIDERATION'!E93)</f>
        <v>2529</v>
      </c>
      <c r="K93" s="77">
        <f>SUMIFS('Imports Data'!$B$13:$B$234,'Imports Data'!$A$13:$A$234,'SC CONSIDERATION'!E93)</f>
        <v>78620</v>
      </c>
      <c r="L93" s="78">
        <f t="shared" si="2"/>
        <v>-76091</v>
      </c>
    </row>
    <row r="94" spans="1:12" hidden="1">
      <c r="A94" t="s">
        <v>347</v>
      </c>
      <c r="B94" s="49">
        <v>30620</v>
      </c>
      <c r="C94">
        <v>2023</v>
      </c>
      <c r="E94" t="s">
        <v>115</v>
      </c>
      <c r="F94" s="54">
        <v>2280</v>
      </c>
      <c r="G94" s="54">
        <v>5820</v>
      </c>
      <c r="H94" s="55">
        <v>74910.559999999998</v>
      </c>
      <c r="J94" s="77">
        <f>SUMIFS('Export Data'!$B$13:$B$176,'Export Data'!$A$13:$A$176,'SC CONSIDERATION'!E94)</f>
        <v>2249</v>
      </c>
      <c r="K94" s="77">
        <f>SUMIFS('Imports Data'!$B$13:$B$234,'Imports Data'!$A$13:$A$234,'SC CONSIDERATION'!E94)</f>
        <v>114091</v>
      </c>
      <c r="L94" s="78">
        <f t="shared" si="2"/>
        <v>-111842</v>
      </c>
    </row>
    <row r="95" spans="1:12" hidden="1">
      <c r="A95" t="s">
        <v>401</v>
      </c>
      <c r="B95" s="49">
        <v>7660</v>
      </c>
      <c r="C95">
        <v>2023</v>
      </c>
      <c r="E95" t="s">
        <v>200</v>
      </c>
      <c r="F95" s="54">
        <v>1950</v>
      </c>
      <c r="G95" s="54">
        <v>5800</v>
      </c>
      <c r="H95" s="55">
        <v>13360.12</v>
      </c>
      <c r="J95" s="77">
        <f>SUMIFS('Export Data'!$B$13:$B$176,'Export Data'!$A$13:$A$176,'SC CONSIDERATION'!E95)</f>
        <v>2216</v>
      </c>
      <c r="K95" s="77">
        <f>SUMIFS('Imports Data'!$B$13:$B$234,'Imports Data'!$A$13:$A$234,'SC CONSIDERATION'!E95)</f>
        <v>4706</v>
      </c>
      <c r="L95" s="78">
        <f t="shared" si="2"/>
        <v>-2490</v>
      </c>
    </row>
    <row r="96" spans="1:12" hidden="1">
      <c r="A96" t="s">
        <v>377</v>
      </c>
      <c r="B96" s="49">
        <v>14250</v>
      </c>
      <c r="C96">
        <v>2023</v>
      </c>
      <c r="E96" t="s">
        <v>197</v>
      </c>
      <c r="F96" s="54">
        <v>3290</v>
      </c>
      <c r="G96" s="54">
        <v>8620</v>
      </c>
      <c r="H96" s="55">
        <v>39785.730000000003</v>
      </c>
      <c r="I96" t="s">
        <v>510</v>
      </c>
      <c r="J96" s="77">
        <f>SUMIFS('Export Data'!$B$13:$B$176,'Export Data'!$A$13:$A$176,'SC CONSIDERATION'!E96)</f>
        <v>2007</v>
      </c>
      <c r="K96" s="77">
        <f>SUMIFS('Imports Data'!$B$13:$B$234,'Imports Data'!$A$13:$A$234,'SC CONSIDERATION'!E96)</f>
        <v>44657</v>
      </c>
      <c r="L96" s="78">
        <f t="shared" si="2"/>
        <v>-42650</v>
      </c>
    </row>
    <row r="97" spans="1:12" hidden="1">
      <c r="A97" t="s">
        <v>387</v>
      </c>
      <c r="B97" s="49">
        <v>11530</v>
      </c>
      <c r="C97">
        <v>2023</v>
      </c>
      <c r="E97" t="s">
        <v>244</v>
      </c>
      <c r="F97" s="54">
        <v>4900</v>
      </c>
      <c r="G97" s="54">
        <v>15520</v>
      </c>
      <c r="H97" s="55">
        <v>49671.56</v>
      </c>
      <c r="J97" s="77">
        <f>SUMIFS('Export Data'!$B$13:$B$176,'Export Data'!$A$13:$A$176,'SC CONSIDERATION'!E97)</f>
        <v>1568</v>
      </c>
      <c r="K97" s="77">
        <f>SUMIFS('Imports Data'!$B$13:$B$234,'Imports Data'!$A$13:$A$234,'SC CONSIDERATION'!E97)</f>
        <v>47212</v>
      </c>
      <c r="L97" s="78">
        <f t="shared" si="2"/>
        <v>-45644</v>
      </c>
    </row>
    <row r="98" spans="1:12" hidden="1">
      <c r="A98" t="s">
        <v>424</v>
      </c>
      <c r="B98" s="49">
        <v>5360</v>
      </c>
      <c r="C98">
        <v>2023</v>
      </c>
      <c r="E98" t="s">
        <v>112</v>
      </c>
      <c r="F98" s="54">
        <v>13920</v>
      </c>
      <c r="G98" s="54">
        <v>29720</v>
      </c>
      <c r="H98" s="55">
        <v>60572.52</v>
      </c>
      <c r="J98" s="77">
        <f>SUMIFS('Export Data'!$B$13:$B$176,'Export Data'!$A$13:$A$176,'SC CONSIDERATION'!E98)</f>
        <v>1373</v>
      </c>
      <c r="K98" s="77">
        <f>SUMIFS('Imports Data'!$B$13:$B$234,'Imports Data'!$A$13:$A$234,'SC CONSIDERATION'!E98)</f>
        <v>11570</v>
      </c>
      <c r="L98" s="78">
        <f t="shared" si="2"/>
        <v>-10197</v>
      </c>
    </row>
    <row r="99" spans="1:12" hidden="1">
      <c r="A99" t="s">
        <v>346</v>
      </c>
      <c r="B99" s="49">
        <v>30990</v>
      </c>
      <c r="C99">
        <v>2023</v>
      </c>
      <c r="E99" t="s">
        <v>279</v>
      </c>
      <c r="F99" s="54">
        <v>480</v>
      </c>
      <c r="G99" s="54">
        <v>1320</v>
      </c>
      <c r="H99" s="55">
        <v>15350.29</v>
      </c>
      <c r="J99" s="77">
        <f>SUMIFS('Export Data'!$B$13:$B$176,'Export Data'!$A$13:$A$176,'SC CONSIDERATION'!E99)</f>
        <v>1190</v>
      </c>
      <c r="K99" s="77">
        <f>SUMIFS('Imports Data'!$B$13:$B$234,'Imports Data'!$A$13:$A$234,'SC CONSIDERATION'!E99)</f>
        <v>13200</v>
      </c>
      <c r="L99" s="78">
        <f t="shared" si="2"/>
        <v>-12010</v>
      </c>
    </row>
    <row r="100" spans="1:12" hidden="1">
      <c r="A100" t="s">
        <v>449</v>
      </c>
      <c r="B100" s="49">
        <v>3590</v>
      </c>
      <c r="C100">
        <v>2022</v>
      </c>
      <c r="E100" t="s">
        <v>27</v>
      </c>
      <c r="F100" s="54">
        <v>22950</v>
      </c>
      <c r="G100" s="54">
        <v>46900</v>
      </c>
      <c r="H100" s="55">
        <v>33908.339999999997</v>
      </c>
      <c r="J100" s="77">
        <f>SUMIFS('Export Data'!$B$13:$B$176,'Export Data'!$A$13:$A$176,'SC CONSIDERATION'!E100)</f>
        <v>1153</v>
      </c>
      <c r="K100" s="77">
        <f>SUMIFS('Imports Data'!$B$13:$B$234,'Imports Data'!$A$13:$A$234,'SC CONSIDERATION'!E100)</f>
        <v>56232</v>
      </c>
      <c r="L100" s="78">
        <f t="shared" si="2"/>
        <v>-55079</v>
      </c>
    </row>
    <row r="101" spans="1:12" hidden="1">
      <c r="A101" t="s">
        <v>332</v>
      </c>
      <c r="B101" s="49">
        <v>46140</v>
      </c>
      <c r="C101">
        <v>2023</v>
      </c>
      <c r="E101" t="s">
        <v>246</v>
      </c>
      <c r="F101" s="54">
        <v>760</v>
      </c>
      <c r="G101" s="54">
        <v>2140</v>
      </c>
      <c r="H101" s="55">
        <v>34827.85</v>
      </c>
      <c r="J101" s="77">
        <f>SUMIFS('Export Data'!$B$13:$B$176,'Export Data'!$A$13:$A$176,'SC CONSIDERATION'!E101)</f>
        <v>1134</v>
      </c>
      <c r="K101" s="77">
        <f>SUMIFS('Imports Data'!$B$13:$B$234,'Imports Data'!$A$13:$A$234,'SC CONSIDERATION'!E101)</f>
        <v>142538</v>
      </c>
      <c r="L101" s="78">
        <f t="shared" si="2"/>
        <v>-141404</v>
      </c>
    </row>
    <row r="102" spans="1:12" hidden="1">
      <c r="A102" t="s">
        <v>361</v>
      </c>
      <c r="B102" s="49">
        <v>21380</v>
      </c>
      <c r="C102">
        <v>2023</v>
      </c>
      <c r="E102" t="s">
        <v>264</v>
      </c>
      <c r="F102" s="54">
        <v>1030</v>
      </c>
      <c r="G102" s="54">
        <v>3250</v>
      </c>
      <c r="H102" s="55">
        <v>20149.11</v>
      </c>
      <c r="J102" s="77">
        <f>SUMIFS('Export Data'!$B$13:$B$176,'Export Data'!$A$13:$A$176,'SC CONSIDERATION'!E102)</f>
        <v>1094</v>
      </c>
      <c r="K102" s="77">
        <f>SUMIFS('Imports Data'!$B$13:$B$234,'Imports Data'!$A$13:$A$234,'SC CONSIDERATION'!E102)</f>
        <v>33434</v>
      </c>
      <c r="L102" s="78">
        <f t="shared" si="2"/>
        <v>-32340</v>
      </c>
    </row>
    <row r="103" spans="1:12" hidden="1">
      <c r="A103" t="s">
        <v>448</v>
      </c>
      <c r="B103" s="49">
        <v>3600</v>
      </c>
      <c r="C103">
        <v>2023</v>
      </c>
      <c r="E103" t="s">
        <v>202</v>
      </c>
      <c r="F103" s="54">
        <v>15000</v>
      </c>
      <c r="G103" s="54">
        <v>25210</v>
      </c>
      <c r="H103" s="55">
        <v>22888.44</v>
      </c>
      <c r="J103" s="77">
        <f>SUMIFS('Export Data'!$B$13:$B$176,'Export Data'!$A$13:$A$176,'SC CONSIDERATION'!E103)</f>
        <v>1028</v>
      </c>
      <c r="K103" s="77">
        <f>SUMIFS('Imports Data'!$B$13:$B$234,'Imports Data'!$A$13:$A$234,'SC CONSIDERATION'!E103)</f>
        <v>26387</v>
      </c>
      <c r="L103" s="78">
        <f t="shared" ref="L103:L134" si="3">J103-K103</f>
        <v>-25359</v>
      </c>
    </row>
    <row r="104" spans="1:12" hidden="1">
      <c r="A104" t="s">
        <v>466</v>
      </c>
      <c r="B104" s="49">
        <v>2120</v>
      </c>
      <c r="C104">
        <v>2023</v>
      </c>
      <c r="E104" t="s">
        <v>105</v>
      </c>
      <c r="F104" s="54">
        <v>30760</v>
      </c>
      <c r="G104" s="54">
        <v>45370</v>
      </c>
      <c r="H104" s="55">
        <v>15947.71</v>
      </c>
      <c r="J104" s="77">
        <f>SUMIFS('Export Data'!$B$13:$B$176,'Export Data'!$A$13:$A$176,'SC CONSIDERATION'!E104)</f>
        <v>1019</v>
      </c>
      <c r="K104" s="77">
        <f>SUMIFS('Imports Data'!$B$13:$B$234,'Imports Data'!$A$13:$A$234,'SC CONSIDERATION'!E104)</f>
        <v>11338</v>
      </c>
      <c r="L104" s="78">
        <f t="shared" si="3"/>
        <v>-10319</v>
      </c>
    </row>
    <row r="105" spans="1:12" hidden="1">
      <c r="A105" t="s">
        <v>427</v>
      </c>
      <c r="B105" s="49">
        <v>5000</v>
      </c>
      <c r="C105">
        <v>2022</v>
      </c>
      <c r="E105" t="s">
        <v>196</v>
      </c>
      <c r="F105" s="54">
        <v>4700</v>
      </c>
      <c r="G105" s="54">
        <v>15950</v>
      </c>
      <c r="H105" s="55">
        <v>17421.88</v>
      </c>
      <c r="J105" s="77">
        <f>SUMIFS('Export Data'!$B$13:$B$176,'Export Data'!$A$13:$A$176,'SC CONSIDERATION'!E105)</f>
        <v>928</v>
      </c>
      <c r="K105" s="77">
        <f>SUMIFS('Imports Data'!$B$13:$B$234,'Imports Data'!$A$13:$A$234,'SC CONSIDERATION'!E105)</f>
        <v>31041</v>
      </c>
      <c r="L105" s="78">
        <f t="shared" si="3"/>
        <v>-30113</v>
      </c>
    </row>
    <row r="106" spans="1:12" hidden="1">
      <c r="A106" t="s">
        <v>371</v>
      </c>
      <c r="B106" s="49">
        <v>18010</v>
      </c>
      <c r="C106">
        <v>2023</v>
      </c>
      <c r="E106" t="s">
        <v>92</v>
      </c>
      <c r="F106" s="54">
        <v>1580</v>
      </c>
      <c r="G106" s="54">
        <v>4540</v>
      </c>
      <c r="H106" s="55">
        <v>26266.78</v>
      </c>
      <c r="J106" s="77">
        <f>SUMIFS('Export Data'!$B$13:$B$176,'Export Data'!$A$13:$A$176,'SC CONSIDERATION'!E106)</f>
        <v>695</v>
      </c>
      <c r="K106" s="77">
        <f>SUMIFS('Imports Data'!$B$13:$B$234,'Imports Data'!$A$13:$A$234,'SC CONSIDERATION'!E106)</f>
        <v>63135</v>
      </c>
      <c r="L106" s="78">
        <f t="shared" si="3"/>
        <v>-62440</v>
      </c>
    </row>
    <row r="107" spans="1:12" hidden="1">
      <c r="A107" t="s">
        <v>399</v>
      </c>
      <c r="B107" s="49">
        <v>7960</v>
      </c>
      <c r="C107">
        <v>2023</v>
      </c>
      <c r="E107" t="s">
        <v>571</v>
      </c>
      <c r="F107" s="54">
        <v>2500</v>
      </c>
      <c r="G107" s="54">
        <v>8100</v>
      </c>
      <c r="H107" s="55">
        <v>18582.57</v>
      </c>
      <c r="J107" s="77">
        <f>SUMIFS('Export Data'!$B$13:$B$176,'Export Data'!$A$13:$A$176,'SC CONSIDERATION'!E107)</f>
        <v>638</v>
      </c>
      <c r="K107" s="77">
        <f>SUMIFS('Imports Data'!$B$13:$B$234,'Imports Data'!$A$13:$A$234,'SC CONSIDERATION'!E107)</f>
        <v>14257</v>
      </c>
      <c r="L107" s="78">
        <f t="shared" si="3"/>
        <v>-13619</v>
      </c>
    </row>
    <row r="108" spans="1:12" hidden="1">
      <c r="A108" t="s">
        <v>369</v>
      </c>
      <c r="B108" s="49">
        <v>19530</v>
      </c>
      <c r="C108">
        <v>2023</v>
      </c>
      <c r="E108" t="s">
        <v>232</v>
      </c>
      <c r="F108" s="54">
        <v>1570</v>
      </c>
      <c r="G108" s="54">
        <v>3760</v>
      </c>
      <c r="H108" s="55">
        <v>26463.41</v>
      </c>
      <c r="J108" s="77">
        <f>SUMIFS('Export Data'!$B$13:$B$176,'Export Data'!$A$13:$A$176,'SC CONSIDERATION'!E108)</f>
        <v>635</v>
      </c>
      <c r="K108" s="77">
        <f>SUMIFS('Imports Data'!$B$13:$B$234,'Imports Data'!$A$13:$A$234,'SC CONSIDERATION'!E108)</f>
        <v>32042</v>
      </c>
      <c r="L108" s="78">
        <f t="shared" si="3"/>
        <v>-31407</v>
      </c>
    </row>
    <row r="109" spans="1:12" hidden="1">
      <c r="A109" t="s">
        <v>437</v>
      </c>
      <c r="B109" s="49">
        <v>4220</v>
      </c>
      <c r="C109">
        <v>2023</v>
      </c>
      <c r="E109" t="s">
        <v>37</v>
      </c>
      <c r="F109" s="54">
        <v>62310</v>
      </c>
      <c r="G109" s="54">
        <v>100450</v>
      </c>
      <c r="H109" s="55">
        <v>167493.79</v>
      </c>
      <c r="J109" s="77">
        <f>SUMIFS('Export Data'!$B$13:$B$176,'Export Data'!$A$13:$A$176,'SC CONSIDERATION'!E109)</f>
        <v>619</v>
      </c>
      <c r="K109" s="77">
        <f>SUMIFS('Imports Data'!$B$13:$B$234,'Imports Data'!$A$13:$A$234,'SC CONSIDERATION'!E109)</f>
        <v>36305</v>
      </c>
      <c r="L109" s="78">
        <f t="shared" si="3"/>
        <v>-35686</v>
      </c>
    </row>
    <row r="110" spans="1:12" hidden="1">
      <c r="A110" t="s">
        <v>425</v>
      </c>
      <c r="B110" s="49">
        <v>5240</v>
      </c>
      <c r="C110">
        <v>2023</v>
      </c>
      <c r="E110" t="s">
        <v>124</v>
      </c>
      <c r="F110" s="54">
        <v>34290</v>
      </c>
      <c r="G110" s="54">
        <v>55930</v>
      </c>
      <c r="H110" s="55">
        <v>152275.51999999999</v>
      </c>
      <c r="J110" s="77">
        <f>SUMIFS('Export Data'!$B$13:$B$176,'Export Data'!$A$13:$A$176,'SC CONSIDERATION'!E110)</f>
        <v>576</v>
      </c>
      <c r="K110" s="77">
        <f>SUMIFS('Imports Data'!$B$13:$B$234,'Imports Data'!$A$13:$A$234,'SC CONSIDERATION'!E110)</f>
        <v>31889</v>
      </c>
      <c r="L110" s="78">
        <f t="shared" si="3"/>
        <v>-31313</v>
      </c>
    </row>
    <row r="111" spans="1:12" hidden="1">
      <c r="A111" t="s">
        <v>432</v>
      </c>
      <c r="B111" s="49">
        <v>4870</v>
      </c>
      <c r="C111">
        <v>2023</v>
      </c>
      <c r="E111" t="s">
        <v>198</v>
      </c>
      <c r="F111" s="54">
        <v>6810</v>
      </c>
      <c r="G111" s="54">
        <v>17120</v>
      </c>
      <c r="H111" s="55">
        <v>22273.41</v>
      </c>
      <c r="J111" s="77">
        <f>SUMIFS('Export Data'!$B$13:$B$176,'Export Data'!$A$13:$A$176,'SC CONSIDERATION'!E111)</f>
        <v>542</v>
      </c>
      <c r="K111" s="77">
        <f>SUMIFS('Imports Data'!$B$13:$B$234,'Imports Data'!$A$13:$A$234,'SC CONSIDERATION'!E111)</f>
        <v>57717</v>
      </c>
      <c r="L111" s="78">
        <f t="shared" si="3"/>
        <v>-57175</v>
      </c>
    </row>
    <row r="112" spans="1:12" hidden="1">
      <c r="A112" t="s">
        <v>436</v>
      </c>
      <c r="B112" s="49">
        <v>4230</v>
      </c>
      <c r="C112">
        <v>2023</v>
      </c>
      <c r="E112" t="s">
        <v>216</v>
      </c>
      <c r="F112" s="54">
        <v>4850</v>
      </c>
      <c r="G112" s="54">
        <v>15140</v>
      </c>
      <c r="H112" s="55">
        <v>13533.32</v>
      </c>
      <c r="J112" s="77">
        <f>SUMIFS('Export Data'!$B$13:$B$176,'Export Data'!$A$13:$A$176,'SC CONSIDERATION'!E112)</f>
        <v>442</v>
      </c>
      <c r="K112" s="77">
        <f>SUMIFS('Imports Data'!$B$13:$B$234,'Imports Data'!$A$13:$A$234,'SC CONSIDERATION'!E112)</f>
        <v>13863</v>
      </c>
      <c r="L112" s="78">
        <f t="shared" si="3"/>
        <v>-13421</v>
      </c>
    </row>
    <row r="113" spans="1:12" hidden="1">
      <c r="A113" t="s">
        <v>372</v>
      </c>
      <c r="B113" s="49">
        <v>17940</v>
      </c>
      <c r="C113">
        <v>2023</v>
      </c>
      <c r="E113" t="s">
        <v>265</v>
      </c>
      <c r="F113" s="54">
        <v>1530</v>
      </c>
      <c r="G113" s="54">
        <v>2270</v>
      </c>
      <c r="H113" s="55">
        <v>24393.25</v>
      </c>
      <c r="J113" s="77">
        <f>SUMIFS('Export Data'!$B$13:$B$176,'Export Data'!$A$13:$A$176,'SC CONSIDERATION'!E113)</f>
        <v>421</v>
      </c>
      <c r="K113" s="77">
        <f>SUMIFS('Imports Data'!$B$13:$B$234,'Imports Data'!$A$13:$A$234,'SC CONSIDERATION'!E113)</f>
        <v>59197</v>
      </c>
      <c r="L113" s="78">
        <f t="shared" si="3"/>
        <v>-58776</v>
      </c>
    </row>
    <row r="114" spans="1:12" hidden="1">
      <c r="A114" t="s">
        <v>453</v>
      </c>
      <c r="B114" s="49">
        <v>2860</v>
      </c>
      <c r="C114">
        <v>2023</v>
      </c>
      <c r="E114" t="s">
        <v>238</v>
      </c>
      <c r="F114" s="54">
        <v>28470</v>
      </c>
      <c r="G114" s="54">
        <v>40380</v>
      </c>
      <c r="H114" s="55">
        <v>25634.1</v>
      </c>
      <c r="J114" s="77">
        <f>SUMIFS('Export Data'!$B$13:$B$176,'Export Data'!$A$13:$A$176,'SC CONSIDERATION'!E114)</f>
        <v>418</v>
      </c>
      <c r="K114" s="77">
        <f>SUMIFS('Imports Data'!$B$13:$B$234,'Imports Data'!$A$13:$A$234,'SC CONSIDERATION'!E114)</f>
        <v>14314</v>
      </c>
      <c r="L114" s="78">
        <f t="shared" si="3"/>
        <v>-13896</v>
      </c>
    </row>
    <row r="115" spans="1:12" hidden="1">
      <c r="A115" t="s">
        <v>357</v>
      </c>
      <c r="B115" s="49">
        <v>22580</v>
      </c>
      <c r="C115">
        <v>2023</v>
      </c>
      <c r="E115" t="s">
        <v>254</v>
      </c>
      <c r="F115" s="54">
        <v>820</v>
      </c>
      <c r="G115" s="54">
        <v>2220</v>
      </c>
      <c r="H115" s="55">
        <v>17916.689999999999</v>
      </c>
      <c r="J115" s="77">
        <f>SUMIFS('Export Data'!$B$13:$B$176,'Export Data'!$A$13:$A$176,'SC CONSIDERATION'!E115)</f>
        <v>210</v>
      </c>
      <c r="K115" s="77">
        <f>SUMIFS('Imports Data'!$B$13:$B$234,'Imports Data'!$A$13:$A$234,'SC CONSIDERATION'!E115)</f>
        <v>5375</v>
      </c>
      <c r="L115" s="78">
        <f t="shared" si="3"/>
        <v>-5165</v>
      </c>
    </row>
    <row r="116" spans="1:12" hidden="1">
      <c r="A116" t="s">
        <v>312</v>
      </c>
      <c r="B116" s="49">
        <v>74420</v>
      </c>
      <c r="C116">
        <v>2022</v>
      </c>
      <c r="E116" t="s">
        <v>261</v>
      </c>
      <c r="F116" s="54">
        <v>940</v>
      </c>
      <c r="G116" s="54">
        <v>2530</v>
      </c>
      <c r="H116" s="55">
        <v>113593.42</v>
      </c>
      <c r="J116" s="77">
        <f>SUMIFS('Export Data'!$B$13:$B$176,'Export Data'!$A$13:$A$176,'SC CONSIDERATION'!E116)</f>
        <v>203</v>
      </c>
      <c r="K116" s="77">
        <f>SUMIFS('Imports Data'!$B$13:$B$234,'Imports Data'!$A$13:$A$234,'SC CONSIDERATION'!E116)</f>
        <v>148374</v>
      </c>
      <c r="L116" s="78">
        <f t="shared" si="3"/>
        <v>-148171</v>
      </c>
    </row>
    <row r="117" spans="1:12" hidden="1">
      <c r="A117" t="s">
        <v>358</v>
      </c>
      <c r="B117" s="49">
        <v>22090</v>
      </c>
      <c r="C117">
        <v>2023</v>
      </c>
      <c r="E117" t="s">
        <v>286</v>
      </c>
      <c r="F117" s="54">
        <v>830</v>
      </c>
      <c r="G117" s="54">
        <v>2270</v>
      </c>
      <c r="H117" s="55">
        <v>18393.3</v>
      </c>
      <c r="J117" s="77">
        <f>SUMIFS('Export Data'!$B$13:$B$176,'Export Data'!$A$13:$A$176,'SC CONSIDERATION'!E117)</f>
        <v>176</v>
      </c>
      <c r="K117" s="77">
        <f>SUMIFS('Imports Data'!$B$13:$B$234,'Imports Data'!$A$13:$A$234,'SC CONSIDERATION'!E117)</f>
        <v>5611</v>
      </c>
      <c r="L117" s="78">
        <f t="shared" si="3"/>
        <v>-5435</v>
      </c>
    </row>
    <row r="118" spans="1:12" hidden="1">
      <c r="A118" t="s">
        <v>456</v>
      </c>
      <c r="B118" s="49">
        <v>2540</v>
      </c>
      <c r="C118">
        <v>2023</v>
      </c>
      <c r="E118" t="s">
        <v>245</v>
      </c>
      <c r="F118" s="54">
        <v>4500</v>
      </c>
      <c r="G118" s="54">
        <v>10720</v>
      </c>
      <c r="H118" s="55">
        <v>4160.6499999999996</v>
      </c>
      <c r="J118" s="77">
        <f>SUMIFS('Export Data'!$B$13:$B$176,'Export Data'!$A$13:$A$176,'SC CONSIDERATION'!E118)</f>
        <v>148</v>
      </c>
      <c r="K118" s="77">
        <f>SUMIFS('Imports Data'!$B$13:$B$234,'Imports Data'!$A$13:$A$234,'SC CONSIDERATION'!E118)</f>
        <v>8383</v>
      </c>
      <c r="L118" s="78">
        <f t="shared" si="3"/>
        <v>-8235</v>
      </c>
    </row>
    <row r="119" spans="1:12" hidden="1">
      <c r="A119" t="s">
        <v>440</v>
      </c>
      <c r="B119" s="49">
        <v>4020</v>
      </c>
      <c r="C119">
        <v>2023</v>
      </c>
      <c r="E119" t="s">
        <v>243</v>
      </c>
      <c r="F119" s="54">
        <v>4650</v>
      </c>
      <c r="G119" s="54">
        <v>9850</v>
      </c>
      <c r="H119" s="55">
        <v>11772.43</v>
      </c>
      <c r="J119" s="77">
        <f>SUMIFS('Export Data'!$B$13:$B$176,'Export Data'!$A$13:$A$176,'SC CONSIDERATION'!E119)</f>
        <v>143</v>
      </c>
      <c r="K119" s="77">
        <f>SUMIFS('Imports Data'!$B$13:$B$234,'Imports Data'!$A$13:$A$234,'SC CONSIDERATION'!E119)</f>
        <v>3783</v>
      </c>
      <c r="L119" s="78">
        <f t="shared" si="3"/>
        <v>-3640</v>
      </c>
    </row>
    <row r="120" spans="1:12" hidden="1">
      <c r="A120" s="51">
        <v>14100</v>
      </c>
      <c r="B120" s="49">
        <v>2023</v>
      </c>
      <c r="E120" t="s">
        <v>272</v>
      </c>
      <c r="F120" s="54">
        <v>1430</v>
      </c>
      <c r="G120" s="54">
        <v>3160</v>
      </c>
      <c r="H120" s="55">
        <v>16421.48</v>
      </c>
      <c r="J120" s="77">
        <f>SUMIFS('Export Data'!$B$13:$B$176,'Export Data'!$A$13:$A$176,'SC CONSIDERATION'!E120)</f>
        <v>134</v>
      </c>
      <c r="K120" s="77">
        <f>SUMIFS('Imports Data'!$B$13:$B$234,'Imports Data'!$A$13:$A$234,'SC CONSIDERATION'!E120)</f>
        <v>18072</v>
      </c>
      <c r="L120" s="78">
        <f t="shared" si="3"/>
        <v>-17938</v>
      </c>
    </row>
    <row r="121" spans="1:12" hidden="1">
      <c r="A121" t="s">
        <v>353</v>
      </c>
      <c r="B121" s="49">
        <v>26270</v>
      </c>
      <c r="C121">
        <v>2023</v>
      </c>
      <c r="E121" t="s">
        <v>93</v>
      </c>
      <c r="F121" s="54">
        <v>1590</v>
      </c>
      <c r="G121" s="54">
        <v>3970</v>
      </c>
      <c r="H121" s="55">
        <v>43215.53</v>
      </c>
      <c r="J121" s="77">
        <f>SUMIFS('Export Data'!$B$13:$B$176,'Export Data'!$A$13:$A$176,'SC CONSIDERATION'!E121)</f>
        <v>117</v>
      </c>
      <c r="K121" s="77">
        <f>SUMIFS('Imports Data'!$B$13:$B$234,'Imports Data'!$A$13:$A$234,'SC CONSIDERATION'!E121)</f>
        <v>33615</v>
      </c>
      <c r="L121" s="78">
        <f t="shared" si="3"/>
        <v>-33498</v>
      </c>
    </row>
    <row r="122" spans="1:12" hidden="1">
      <c r="A122" t="s">
        <v>359</v>
      </c>
      <c r="B122" s="49">
        <v>21970</v>
      </c>
      <c r="C122">
        <v>2023</v>
      </c>
      <c r="E122" t="s">
        <v>94</v>
      </c>
      <c r="F122" s="54">
        <v>4030</v>
      </c>
      <c r="G122" s="54">
        <v>14370</v>
      </c>
      <c r="H122" s="55">
        <v>89243.75</v>
      </c>
      <c r="J122" s="77">
        <f>SUMIFS('Export Data'!$B$13:$B$176,'Export Data'!$A$13:$A$176,'SC CONSIDERATION'!E122)</f>
        <v>116</v>
      </c>
      <c r="K122" s="77">
        <f>SUMIFS('Imports Data'!$B$13:$B$234,'Imports Data'!$A$13:$A$234,'SC CONSIDERATION'!E122)</f>
        <v>52932</v>
      </c>
      <c r="L122" s="78">
        <f t="shared" si="3"/>
        <v>-52816</v>
      </c>
    </row>
    <row r="123" spans="1:12" hidden="1">
      <c r="A123" t="s">
        <v>396</v>
      </c>
      <c r="B123" s="49">
        <v>8920</v>
      </c>
      <c r="C123">
        <v>2019</v>
      </c>
      <c r="E123" t="s">
        <v>231</v>
      </c>
      <c r="F123" s="54">
        <v>500</v>
      </c>
      <c r="G123" s="54">
        <v>1750</v>
      </c>
      <c r="H123" s="55">
        <v>4218.88</v>
      </c>
      <c r="J123" s="77">
        <f>SUMIFS('Export Data'!$B$13:$B$176,'Export Data'!$A$13:$A$176,'SC CONSIDERATION'!E123)</f>
        <v>107</v>
      </c>
      <c r="K123" s="77">
        <f>SUMIFS('Imports Data'!$B$13:$B$234,'Imports Data'!$A$13:$A$234,'SC CONSIDERATION'!E123)</f>
        <v>4987</v>
      </c>
      <c r="L123" s="78">
        <f t="shared" si="3"/>
        <v>-4880</v>
      </c>
    </row>
    <row r="124" spans="1:12" hidden="1">
      <c r="A124" t="s">
        <v>491</v>
      </c>
      <c r="B124" s="49">
        <v>900</v>
      </c>
      <c r="C124">
        <v>2023</v>
      </c>
      <c r="E124" t="s">
        <v>252</v>
      </c>
      <c r="F124" s="54">
        <v>6780</v>
      </c>
      <c r="G124" s="54">
        <v>7410</v>
      </c>
      <c r="H124" s="55">
        <v>285.08</v>
      </c>
      <c r="J124" s="77">
        <f>SUMIFS('Export Data'!$B$13:$B$176,'Export Data'!$A$13:$A$176,'SC CONSIDERATION'!E124)</f>
        <v>95</v>
      </c>
      <c r="K124" s="77">
        <f>SUMIFS('Imports Data'!$B$13:$B$234,'Imports Data'!$A$13:$A$234,'SC CONSIDERATION'!E124)</f>
        <v>88</v>
      </c>
      <c r="L124" s="78">
        <f t="shared" si="3"/>
        <v>7</v>
      </c>
    </row>
    <row r="125" spans="1:12" hidden="1">
      <c r="A125" t="s">
        <v>335</v>
      </c>
      <c r="B125" s="49">
        <v>39030</v>
      </c>
      <c r="C125">
        <v>2023</v>
      </c>
      <c r="E125" t="s">
        <v>108</v>
      </c>
      <c r="F125" s="54">
        <v>4760</v>
      </c>
      <c r="G125" s="54">
        <v>9750</v>
      </c>
      <c r="H125" s="55">
        <v>207082.18</v>
      </c>
      <c r="J125" s="77">
        <f>SUMIFS('Export Data'!$B$13:$B$176,'Export Data'!$A$13:$A$176,'SC CONSIDERATION'!E125)</f>
        <v>66</v>
      </c>
      <c r="K125" s="77">
        <f>SUMIFS('Imports Data'!$B$13:$B$234,'Imports Data'!$A$13:$A$234,'SC CONSIDERATION'!E125)</f>
        <v>166747</v>
      </c>
      <c r="L125" s="78">
        <f t="shared" si="3"/>
        <v>-166681</v>
      </c>
    </row>
    <row r="126" spans="1:12" hidden="1">
      <c r="A126" t="s">
        <v>351</v>
      </c>
      <c r="B126" s="51">
        <v>27110</v>
      </c>
      <c r="C126">
        <v>2023</v>
      </c>
      <c r="E126" t="s">
        <v>256</v>
      </c>
      <c r="F126" s="54">
        <v>490</v>
      </c>
      <c r="G126" s="54">
        <v>1570</v>
      </c>
      <c r="H126" s="55">
        <v>14049.55</v>
      </c>
      <c r="J126" s="77">
        <f>SUMIFS('Export Data'!$B$13:$B$176,'Export Data'!$A$13:$A$176,'SC CONSIDERATION'!E126)</f>
        <v>66</v>
      </c>
      <c r="K126" s="77">
        <f>SUMIFS('Imports Data'!$B$13:$B$234,'Imports Data'!$A$13:$A$234,'SC CONSIDERATION'!E126)</f>
        <v>9319</v>
      </c>
      <c r="L126" s="78">
        <f t="shared" si="3"/>
        <v>-9253</v>
      </c>
    </row>
    <row r="127" spans="1:12" hidden="1">
      <c r="A127" t="s">
        <v>333</v>
      </c>
      <c r="B127" s="49">
        <v>45070</v>
      </c>
      <c r="C127">
        <v>2023</v>
      </c>
      <c r="E127" t="s">
        <v>230</v>
      </c>
      <c r="F127" s="54">
        <v>650</v>
      </c>
      <c r="G127" s="54">
        <v>3910</v>
      </c>
      <c r="H127" s="55">
        <v>29894.01</v>
      </c>
      <c r="J127" s="77">
        <f>SUMIFS('Export Data'!$B$13:$B$176,'Export Data'!$A$13:$A$176,'SC CONSIDERATION'!E127)</f>
        <v>55</v>
      </c>
      <c r="K127" s="77">
        <f>SUMIFS('Imports Data'!$B$13:$B$234,'Imports Data'!$A$13:$A$234,'SC CONSIDERATION'!E127)</f>
        <v>5294</v>
      </c>
      <c r="L127" s="78">
        <f t="shared" si="3"/>
        <v>-5239</v>
      </c>
    </row>
    <row r="128" spans="1:12" hidden="1">
      <c r="A128" t="s">
        <v>452</v>
      </c>
      <c r="B128" s="49">
        <v>2900</v>
      </c>
      <c r="C128">
        <v>2023</v>
      </c>
      <c r="E128" t="s">
        <v>250</v>
      </c>
      <c r="F128" s="54">
        <v>9920</v>
      </c>
      <c r="G128" s="54">
        <v>23380</v>
      </c>
      <c r="H128" s="55">
        <v>12563.72</v>
      </c>
      <c r="J128" s="77">
        <f>SUMIFS('Export Data'!$B$13:$B$176,'Export Data'!$A$13:$A$176,'SC CONSIDERATION'!E128)</f>
        <v>54</v>
      </c>
      <c r="K128" s="77">
        <f>SUMIFS('Imports Data'!$B$13:$B$234,'Imports Data'!$A$13:$A$234,'SC CONSIDERATION'!E128)</f>
        <v>22307</v>
      </c>
      <c r="L128" s="78">
        <f t="shared" si="3"/>
        <v>-22253</v>
      </c>
    </row>
    <row r="129" spans="1:12" hidden="1">
      <c r="A129" t="s">
        <v>441</v>
      </c>
      <c r="B129" s="49">
        <v>3900</v>
      </c>
      <c r="C129">
        <v>2023</v>
      </c>
      <c r="E129" t="s">
        <v>122</v>
      </c>
      <c r="F129" s="54">
        <v>6440</v>
      </c>
      <c r="G129" s="54">
        <v>12800</v>
      </c>
      <c r="H129" s="55">
        <v>15076.33</v>
      </c>
      <c r="J129" s="77">
        <f>SUMIFS('Export Data'!$B$13:$B$176,'Export Data'!$A$13:$A$176,'SC CONSIDERATION'!E129)</f>
        <v>48</v>
      </c>
      <c r="K129" s="77">
        <f>SUMIFS('Imports Data'!$B$13:$B$234,'Imports Data'!$A$13:$A$234,'SC CONSIDERATION'!E129)</f>
        <v>2461</v>
      </c>
      <c r="L129" s="78">
        <f t="shared" si="3"/>
        <v>-2413</v>
      </c>
    </row>
    <row r="130" spans="1:12" hidden="1">
      <c r="A130" t="s">
        <v>374</v>
      </c>
      <c r="B130" s="51">
        <v>16670</v>
      </c>
      <c r="C130">
        <v>2023</v>
      </c>
      <c r="E130" t="s">
        <v>281</v>
      </c>
      <c r="F130" s="54">
        <v>840</v>
      </c>
      <c r="G130" s="54">
        <v>2410</v>
      </c>
      <c r="H130" s="55">
        <v>11258.05</v>
      </c>
      <c r="J130" s="77">
        <f>SUMIFS('Export Data'!$B$13:$B$176,'Export Data'!$A$13:$A$176,'SC CONSIDERATION'!E130)</f>
        <v>38</v>
      </c>
      <c r="K130" s="77">
        <f>SUMIFS('Imports Data'!$B$13:$B$234,'Imports Data'!$A$13:$A$234,'SC CONSIDERATION'!E130)</f>
        <v>2117</v>
      </c>
      <c r="L130" s="78">
        <f t="shared" si="3"/>
        <v>-2079</v>
      </c>
    </row>
    <row r="131" spans="1:12" hidden="1">
      <c r="A131" t="s">
        <v>366</v>
      </c>
      <c r="B131" s="49">
        <v>19990</v>
      </c>
      <c r="C131">
        <v>2023</v>
      </c>
      <c r="E131" t="s">
        <v>260</v>
      </c>
      <c r="F131" s="54">
        <v>430</v>
      </c>
      <c r="G131" s="54">
        <v>1240</v>
      </c>
      <c r="H131" s="55">
        <v>7409.5</v>
      </c>
      <c r="J131" s="77">
        <f>SUMIFS('Export Data'!$B$13:$B$176,'Export Data'!$A$13:$A$176,'SC CONSIDERATION'!E131)</f>
        <v>35</v>
      </c>
      <c r="K131" s="77">
        <f>SUMIFS('Imports Data'!$B$13:$B$234,'Imports Data'!$A$13:$A$234,'SC CONSIDERATION'!E131)</f>
        <v>5602</v>
      </c>
      <c r="L131" s="78">
        <f t="shared" si="3"/>
        <v>-5567</v>
      </c>
    </row>
    <row r="132" spans="1:12" hidden="1">
      <c r="A132" t="s">
        <v>385</v>
      </c>
      <c r="B132" s="49">
        <v>11970</v>
      </c>
      <c r="C132">
        <v>2023</v>
      </c>
      <c r="E132" t="s">
        <v>128</v>
      </c>
      <c r="F132" s="54">
        <v>2460</v>
      </c>
      <c r="G132" s="54">
        <v>3870</v>
      </c>
      <c r="H132" s="55">
        <v>24572.52</v>
      </c>
      <c r="J132" s="77">
        <f>SUMIFS('Export Data'!$B$13:$B$176,'Export Data'!$A$13:$A$176,'SC CONSIDERATION'!E132)</f>
        <v>30</v>
      </c>
      <c r="K132" s="77">
        <f>SUMIFS('Imports Data'!$B$13:$B$234,'Imports Data'!$A$13:$A$234,'SC CONSIDERATION'!E132)</f>
        <v>3498</v>
      </c>
      <c r="L132" s="78">
        <f t="shared" si="3"/>
        <v>-3468</v>
      </c>
    </row>
    <row r="133" spans="1:12" hidden="1">
      <c r="A133" t="s">
        <v>477</v>
      </c>
      <c r="B133" s="49">
        <v>1440</v>
      </c>
      <c r="C133">
        <v>2023</v>
      </c>
      <c r="E133" t="s">
        <v>533</v>
      </c>
      <c r="F133" s="54">
        <v>9520</v>
      </c>
      <c r="G133" s="54">
        <v>13810</v>
      </c>
      <c r="H133" s="54">
        <v>1710</v>
      </c>
      <c r="J133" s="77">
        <f>SUMIFS('Export Data'!$B$13:$B$176,'Export Data'!$A$13:$A$176,'SC CONSIDERATION'!E133)</f>
        <v>29</v>
      </c>
      <c r="K133" s="77">
        <f>SUMIFS('Imports Data'!$B$13:$B$234,'Imports Data'!$A$13:$A$234,'SC CONSIDERATION'!E133)</f>
        <v>168</v>
      </c>
      <c r="L133" s="78">
        <f t="shared" si="3"/>
        <v>-139</v>
      </c>
    </row>
    <row r="134" spans="1:12" hidden="1">
      <c r="A134" t="s">
        <v>338</v>
      </c>
      <c r="B134" s="49">
        <v>36960</v>
      </c>
      <c r="C134">
        <v>2022</v>
      </c>
      <c r="E134" t="s">
        <v>288</v>
      </c>
      <c r="F134" s="54">
        <v>390</v>
      </c>
      <c r="G134" s="54">
        <v>1680</v>
      </c>
      <c r="H134" s="55">
        <v>15695.39</v>
      </c>
      <c r="J134" s="77">
        <f>SUMIFS('Export Data'!$B$13:$B$176,'Export Data'!$A$13:$A$176,'SC CONSIDERATION'!E134)</f>
        <v>26</v>
      </c>
      <c r="K134" s="77">
        <f>SUMIFS('Imports Data'!$B$13:$B$234,'Imports Data'!$A$13:$A$234,'SC CONSIDERATION'!E134)</f>
        <v>12535</v>
      </c>
      <c r="L134" s="78">
        <f t="shared" si="3"/>
        <v>-12509</v>
      </c>
    </row>
    <row r="135" spans="1:12" hidden="1">
      <c r="A135" t="s">
        <v>468</v>
      </c>
      <c r="B135" s="51">
        <v>1930</v>
      </c>
      <c r="C135">
        <v>2023</v>
      </c>
      <c r="E135" t="s">
        <v>98</v>
      </c>
      <c r="F135" s="54">
        <v>30320</v>
      </c>
      <c r="G135" s="54">
        <v>66480</v>
      </c>
      <c r="H135" s="55">
        <v>13502.2</v>
      </c>
      <c r="J135" s="77">
        <f>SUMIFS('Export Data'!$B$13:$B$176,'Export Data'!$A$13:$A$176,'SC CONSIDERATION'!E135)</f>
        <v>26</v>
      </c>
      <c r="K135" s="77">
        <f>SUMIFS('Imports Data'!$B$13:$B$234,'Imports Data'!$A$13:$A$234,'SC CONSIDERATION'!E135)</f>
        <v>471</v>
      </c>
      <c r="L135" s="78">
        <f t="shared" ref="L135:L166" si="4">J135-K135</f>
        <v>-445</v>
      </c>
    </row>
    <row r="136" spans="1:12" hidden="1">
      <c r="A136" t="s">
        <v>473</v>
      </c>
      <c r="B136" s="49">
        <v>1660</v>
      </c>
      <c r="C136">
        <v>2023</v>
      </c>
      <c r="E136" t="s">
        <v>285</v>
      </c>
      <c r="F136" s="54">
        <v>16900</v>
      </c>
      <c r="G136" s="54">
        <v>14810</v>
      </c>
      <c r="H136" s="55">
        <v>4752.08</v>
      </c>
      <c r="J136" s="77">
        <f>SUMIFS('Export Data'!$B$13:$B$176,'Export Data'!$A$13:$A$176,'SC CONSIDERATION'!E136)</f>
        <v>23</v>
      </c>
      <c r="K136" s="77">
        <f>SUMIFS('Imports Data'!$B$13:$B$234,'Imports Data'!$A$13:$A$234,'SC CONSIDERATION'!E136)</f>
        <v>2252</v>
      </c>
      <c r="L136" s="78">
        <f t="shared" si="4"/>
        <v>-2229</v>
      </c>
    </row>
    <row r="137" spans="1:12" hidden="1">
      <c r="A137" t="s">
        <v>422</v>
      </c>
      <c r="B137" s="49">
        <v>5580</v>
      </c>
      <c r="C137">
        <v>2023</v>
      </c>
      <c r="E137" t="s">
        <v>247</v>
      </c>
      <c r="F137" s="54">
        <v>1950</v>
      </c>
      <c r="G137" s="54">
        <v>5750</v>
      </c>
      <c r="H137" s="55">
        <v>9020.89</v>
      </c>
      <c r="J137" s="77">
        <f>SUMIFS('Export Data'!$B$13:$B$176,'Export Data'!$A$13:$A$176,'SC CONSIDERATION'!E137)</f>
        <v>22</v>
      </c>
      <c r="K137" s="77">
        <f>SUMIFS('Imports Data'!$B$13:$B$234,'Imports Data'!$A$13:$A$234,'SC CONSIDERATION'!E137)</f>
        <v>3579</v>
      </c>
      <c r="L137" s="78">
        <f t="shared" si="4"/>
        <v>-3557</v>
      </c>
    </row>
    <row r="138" spans="1:12" hidden="1">
      <c r="A138" t="s">
        <v>458</v>
      </c>
      <c r="B138" s="49">
        <v>2470</v>
      </c>
      <c r="C138">
        <v>2023</v>
      </c>
      <c r="E138" t="s">
        <v>275</v>
      </c>
      <c r="F138" s="54">
        <v>9410</v>
      </c>
      <c r="G138" s="54">
        <v>22920</v>
      </c>
      <c r="H138" s="55">
        <v>7567.3</v>
      </c>
      <c r="J138" s="77">
        <f>SUMIFS('Export Data'!$B$13:$B$176,'Export Data'!$A$13:$A$176,'SC CONSIDERATION'!E138)</f>
        <v>22</v>
      </c>
      <c r="K138" s="77">
        <f>SUMIFS('Imports Data'!$B$13:$B$234,'Imports Data'!$A$13:$A$234,'SC CONSIDERATION'!E138)</f>
        <v>3995</v>
      </c>
      <c r="L138" s="78">
        <f t="shared" si="4"/>
        <v>-3973</v>
      </c>
    </row>
    <row r="139" spans="1:12" hidden="1">
      <c r="A139" t="s">
        <v>317</v>
      </c>
      <c r="B139" s="49">
        <v>63140</v>
      </c>
      <c r="C139">
        <v>2023</v>
      </c>
      <c r="E139" t="s">
        <v>125</v>
      </c>
      <c r="F139" s="54">
        <v>550</v>
      </c>
      <c r="G139" s="54">
        <v>1110</v>
      </c>
      <c r="H139" s="55">
        <v>52544.09</v>
      </c>
      <c r="J139" s="77">
        <f>SUMIFS('Export Data'!$B$13:$B$176,'Export Data'!$A$13:$A$176,'SC CONSIDERATION'!E139)</f>
        <v>21</v>
      </c>
      <c r="K139" s="77">
        <f>SUMIFS('Imports Data'!$B$13:$B$234,'Imports Data'!$A$13:$A$234,'SC CONSIDERATION'!E139)</f>
        <v>9201</v>
      </c>
      <c r="L139" s="78">
        <f t="shared" si="4"/>
        <v>-9180</v>
      </c>
    </row>
    <row r="140" spans="1:12" hidden="1">
      <c r="A140" t="s">
        <v>343</v>
      </c>
      <c r="B140" s="49">
        <v>33410</v>
      </c>
      <c r="C140">
        <v>2022</v>
      </c>
      <c r="E140" t="s">
        <v>53</v>
      </c>
      <c r="F140" s="54">
        <v>1710</v>
      </c>
      <c r="G140" s="54">
        <v>5980</v>
      </c>
      <c r="H140" s="55">
        <v>58878.79</v>
      </c>
      <c r="J140" s="77">
        <f>SUMIFS('Export Data'!$B$13:$B$176,'Export Data'!$A$13:$A$176,'SC CONSIDERATION'!E140)</f>
        <v>16</v>
      </c>
      <c r="K140" s="77">
        <f>SUMIFS('Imports Data'!$B$13:$B$234,'Imports Data'!$A$13:$A$234,'SC CONSIDERATION'!E140)</f>
        <v>44935</v>
      </c>
      <c r="L140" s="78">
        <f t="shared" si="4"/>
        <v>-44919</v>
      </c>
    </row>
    <row r="141" spans="1:12" hidden="1">
      <c r="A141" t="s">
        <v>415</v>
      </c>
      <c r="B141" s="49">
        <v>6680</v>
      </c>
      <c r="C141">
        <v>2023</v>
      </c>
      <c r="E141" t="s">
        <v>223</v>
      </c>
      <c r="F141" s="54">
        <v>630</v>
      </c>
      <c r="G141" s="54">
        <v>1470</v>
      </c>
      <c r="H141" s="55">
        <v>3250.89</v>
      </c>
      <c r="J141" s="77">
        <f>SUMIFS('Export Data'!$B$13:$B$176,'Export Data'!$A$13:$A$176,'SC CONSIDERATION'!E141)</f>
        <v>14</v>
      </c>
      <c r="K141" s="77">
        <f>SUMIFS('Imports Data'!$B$13:$B$234,'Imports Data'!$A$13:$A$234,'SC CONSIDERATION'!E141)</f>
        <v>7118</v>
      </c>
      <c r="L141" s="78">
        <f t="shared" si="4"/>
        <v>-7104</v>
      </c>
    </row>
    <row r="142" spans="1:12" hidden="1">
      <c r="A142" t="s">
        <v>435</v>
      </c>
      <c r="B142" s="49">
        <v>4280</v>
      </c>
      <c r="C142">
        <v>2023</v>
      </c>
      <c r="E142" t="s">
        <v>107</v>
      </c>
      <c r="F142" s="54">
        <v>5190</v>
      </c>
      <c r="G142" s="54">
        <v>10240</v>
      </c>
      <c r="H142" s="55">
        <v>14682.43</v>
      </c>
      <c r="J142" s="77">
        <f>SUMIFS('Export Data'!$B$13:$B$176,'Export Data'!$A$13:$A$176,'SC CONSIDERATION'!E142)</f>
        <v>6</v>
      </c>
      <c r="K142" s="77">
        <f>SUMIFS('Imports Data'!$B$13:$B$234,'Imports Data'!$A$13:$A$234,'SC CONSIDERATION'!E142)</f>
        <v>7970</v>
      </c>
      <c r="L142" s="78">
        <f t="shared" si="4"/>
        <v>-7964</v>
      </c>
    </row>
    <row r="143" spans="1:12" hidden="1">
      <c r="A143" t="s">
        <v>469</v>
      </c>
      <c r="B143" s="49">
        <v>1810</v>
      </c>
      <c r="C143">
        <v>2023</v>
      </c>
      <c r="E143" t="s">
        <v>119</v>
      </c>
      <c r="F143" s="54">
        <v>6070</v>
      </c>
      <c r="G143" s="54">
        <v>9330</v>
      </c>
      <c r="H143" s="55">
        <v>2429.1999999999998</v>
      </c>
      <c r="J143" s="77">
        <f>SUMIFS('Export Data'!$B$13:$B$176,'Export Data'!$A$13:$A$176,'SC CONSIDERATION'!E143)</f>
        <v>6</v>
      </c>
      <c r="K143" s="77">
        <f>SUMIFS('Imports Data'!$B$13:$B$234,'Imports Data'!$A$13:$A$234,'SC CONSIDERATION'!E143)</f>
        <v>947</v>
      </c>
      <c r="L143" s="78">
        <f t="shared" si="4"/>
        <v>-941</v>
      </c>
    </row>
    <row r="144" spans="1:12" hidden="1">
      <c r="A144" t="s">
        <v>486</v>
      </c>
      <c r="B144" s="49">
        <v>1040</v>
      </c>
      <c r="C144">
        <v>2015</v>
      </c>
      <c r="E144" t="s">
        <v>228</v>
      </c>
      <c r="F144" s="54">
        <v>7790</v>
      </c>
      <c r="G144" s="54">
        <v>11990</v>
      </c>
      <c r="H144" s="55">
        <v>563.76</v>
      </c>
      <c r="J144" s="77">
        <f>SUMIFS('Export Data'!$B$13:$B$176,'Export Data'!$A$13:$A$176,'SC CONSIDERATION'!E144)</f>
        <v>6</v>
      </c>
      <c r="K144" s="77">
        <f>SUMIFS('Imports Data'!$B$13:$B$234,'Imports Data'!$A$13:$A$234,'SC CONSIDERATION'!E144)</f>
        <v>669</v>
      </c>
      <c r="L144" s="78">
        <f t="shared" si="4"/>
        <v>-663</v>
      </c>
    </row>
    <row r="145" spans="1:12" hidden="1">
      <c r="A145" t="s">
        <v>487</v>
      </c>
      <c r="B145" s="49">
        <v>990</v>
      </c>
      <c r="C145">
        <v>2023</v>
      </c>
      <c r="E145" t="s">
        <v>289</v>
      </c>
      <c r="F145" s="54">
        <v>61880</v>
      </c>
      <c r="G145" s="54">
        <v>52500</v>
      </c>
      <c r="H145" s="54">
        <v>4165</v>
      </c>
      <c r="J145" s="77">
        <f>SUMIFS('Export Data'!$B$13:$B$176,'Export Data'!$A$13:$A$176,'SC CONSIDERATION'!E145)</f>
        <v>6</v>
      </c>
      <c r="K145" s="77">
        <f>SUMIFS('Imports Data'!$B$13:$B$234,'Imports Data'!$A$13:$A$234,'SC CONSIDERATION'!E145)</f>
        <v>487</v>
      </c>
      <c r="L145" s="78">
        <f t="shared" si="4"/>
        <v>-481</v>
      </c>
    </row>
    <row r="146" spans="1:12" hidden="1">
      <c r="A146" t="s">
        <v>388</v>
      </c>
      <c r="B146" s="49">
        <v>11500</v>
      </c>
      <c r="C146">
        <v>2023</v>
      </c>
      <c r="E146" t="s">
        <v>259</v>
      </c>
      <c r="F146" s="54">
        <v>1150</v>
      </c>
      <c r="G146" s="54">
        <v>5180</v>
      </c>
      <c r="H146" s="55">
        <v>11224.53</v>
      </c>
      <c r="J146" s="77">
        <f>SUMIFS('Export Data'!$B$13:$B$176,'Export Data'!$A$13:$A$176,'SC CONSIDERATION'!E146)</f>
        <v>5</v>
      </c>
      <c r="K146" s="77">
        <f>SUMIFS('Imports Data'!$B$13:$B$234,'Imports Data'!$A$13:$A$234,'SC CONSIDERATION'!E146)</f>
        <v>12568</v>
      </c>
      <c r="L146" s="78">
        <f t="shared" si="4"/>
        <v>-12563</v>
      </c>
    </row>
    <row r="147" spans="1:12" hidden="1">
      <c r="A147" t="s">
        <v>471</v>
      </c>
      <c r="B147" s="49">
        <v>1740</v>
      </c>
      <c r="C147">
        <v>2023</v>
      </c>
      <c r="E147" t="s">
        <v>217</v>
      </c>
      <c r="F147" s="54">
        <v>63460</v>
      </c>
      <c r="G147" s="54">
        <v>55890</v>
      </c>
      <c r="H147" s="55">
        <v>23639.279999999999</v>
      </c>
      <c r="J147" s="77">
        <f>SUMIFS('Export Data'!$B$13:$B$176,'Export Data'!$A$13:$A$176,'SC CONSIDERATION'!E147)</f>
        <v>5</v>
      </c>
      <c r="K147" s="77">
        <f>SUMIFS('Imports Data'!$B$13:$B$234,'Imports Data'!$A$13:$A$234,'SC CONSIDERATION'!E147)</f>
        <v>2955</v>
      </c>
      <c r="L147" s="78">
        <f t="shared" si="4"/>
        <v>-2950</v>
      </c>
    </row>
    <row r="148" spans="1:12" hidden="1">
      <c r="A148" t="s">
        <v>438</v>
      </c>
      <c r="B148" s="49">
        <v>4180</v>
      </c>
      <c r="C148">
        <v>2023</v>
      </c>
      <c r="E148" t="s">
        <v>282</v>
      </c>
      <c r="F148" s="54">
        <v>6430</v>
      </c>
      <c r="G148" s="54">
        <v>15420</v>
      </c>
      <c r="H148" s="55">
        <v>16635.349999999999</v>
      </c>
      <c r="J148" s="77">
        <f>SUMIFS('Export Data'!$B$13:$B$176,'Export Data'!$A$13:$A$176,'SC CONSIDERATION'!E148)</f>
        <v>4</v>
      </c>
      <c r="K148" s="77">
        <f>SUMIFS('Imports Data'!$B$13:$B$234,'Imports Data'!$A$13:$A$234,'SC CONSIDERATION'!E148)</f>
        <v>7029</v>
      </c>
      <c r="L148" s="78">
        <f t="shared" si="4"/>
        <v>-7025</v>
      </c>
    </row>
    <row r="149" spans="1:12" hidden="1">
      <c r="A149" t="s">
        <v>354</v>
      </c>
      <c r="B149" s="49">
        <v>25240</v>
      </c>
      <c r="C149">
        <v>2023</v>
      </c>
      <c r="E149" t="s">
        <v>242</v>
      </c>
      <c r="F149" s="54">
        <v>590</v>
      </c>
      <c r="G149" s="54">
        <v>1330</v>
      </c>
      <c r="H149" s="55">
        <v>14825.07</v>
      </c>
      <c r="J149" s="77">
        <f>SUMIFS('Export Data'!$B$13:$B$176,'Export Data'!$A$13:$A$176,'SC CONSIDERATION'!E149)</f>
        <v>3</v>
      </c>
      <c r="K149" s="77">
        <f>SUMIFS('Imports Data'!$B$13:$B$234,'Imports Data'!$A$13:$A$234,'SC CONSIDERATION'!E149)</f>
        <v>992</v>
      </c>
      <c r="L149" s="78">
        <f t="shared" si="4"/>
        <v>-989</v>
      </c>
    </row>
    <row r="150" spans="1:12" hidden="1">
      <c r="A150" t="s">
        <v>382</v>
      </c>
      <c r="B150" s="49">
        <v>12520</v>
      </c>
      <c r="C150">
        <v>2023</v>
      </c>
      <c r="E150" t="s">
        <v>299</v>
      </c>
      <c r="F150" s="54">
        <v>8920</v>
      </c>
      <c r="H150" s="55">
        <v>100932.93</v>
      </c>
      <c r="J150" s="77">
        <f>SUMIFS('Export Data'!$B$13:$B$176,'Export Data'!$A$13:$A$176,'SC CONSIDERATION'!E150)</f>
        <v>3</v>
      </c>
      <c r="K150" s="77">
        <f>SUMIFS('Imports Data'!$B$13:$B$234,'Imports Data'!$A$13:$A$234,'SC CONSIDERATION'!E150)</f>
        <v>10972</v>
      </c>
      <c r="L150" s="78">
        <f t="shared" si="4"/>
        <v>-10969</v>
      </c>
    </row>
    <row r="151" spans="1:12" hidden="1">
      <c r="A151" t="s">
        <v>464</v>
      </c>
      <c r="B151" s="49">
        <v>2140</v>
      </c>
      <c r="C151">
        <v>2023</v>
      </c>
      <c r="E151" t="s">
        <v>258</v>
      </c>
      <c r="F151" s="54">
        <v>9340</v>
      </c>
      <c r="G151" s="54">
        <v>23770</v>
      </c>
      <c r="H151" s="55">
        <v>5780.66</v>
      </c>
      <c r="J151" s="77">
        <f>SUMIFS('Export Data'!$B$13:$B$176,'Export Data'!$A$13:$A$176,'SC CONSIDERATION'!E151)</f>
        <v>3</v>
      </c>
      <c r="K151" s="77">
        <f>SUMIFS('Imports Data'!$B$13:$B$234,'Imports Data'!$A$13:$A$234,'SC CONSIDERATION'!E151)</f>
        <v>1228</v>
      </c>
      <c r="L151" s="78">
        <f t="shared" si="4"/>
        <v>-1225</v>
      </c>
    </row>
    <row r="152" spans="1:12" hidden="1">
      <c r="A152" s="51">
        <v>1150</v>
      </c>
      <c r="B152" s="49">
        <v>2023</v>
      </c>
      <c r="E152" t="s">
        <v>218</v>
      </c>
      <c r="F152" s="54">
        <v>15780</v>
      </c>
      <c r="G152" s="54">
        <v>20770</v>
      </c>
      <c r="H152" s="55">
        <v>1471.35</v>
      </c>
      <c r="J152" s="77">
        <f>SUMIFS('Export Data'!$B$13:$B$176,'Export Data'!$A$13:$A$176,'SC CONSIDERATION'!E152)</f>
        <v>2</v>
      </c>
      <c r="K152" s="77">
        <f>SUMIFS('Imports Data'!$B$13:$B$234,'Imports Data'!$A$13:$A$234,'SC CONSIDERATION'!E152)</f>
        <v>181</v>
      </c>
      <c r="L152" s="78">
        <f t="shared" si="4"/>
        <v>-179</v>
      </c>
    </row>
    <row r="153" spans="1:12" hidden="1">
      <c r="A153" t="s">
        <v>488</v>
      </c>
      <c r="B153" s="49">
        <v>980</v>
      </c>
      <c r="C153">
        <v>2023</v>
      </c>
      <c r="E153" t="s">
        <v>295</v>
      </c>
      <c r="F153" s="54">
        <v>122470</v>
      </c>
      <c r="G153" s="54">
        <v>91950</v>
      </c>
      <c r="H153" s="55">
        <v>7821.93</v>
      </c>
      <c r="J153" s="77">
        <f>SUMIFS('Export Data'!$B$13:$B$176,'Export Data'!$A$13:$A$176,'SC CONSIDERATION'!E153)</f>
        <v>1</v>
      </c>
      <c r="K153" s="77">
        <f>SUMIFS('Imports Data'!$B$13:$B$234,'Imports Data'!$A$13:$A$234,'SC CONSIDERATION'!E153)</f>
        <v>117</v>
      </c>
      <c r="L153" s="78">
        <f t="shared" si="4"/>
        <v>-116</v>
      </c>
    </row>
    <row r="154" spans="1:12" hidden="1">
      <c r="A154" t="s">
        <v>454</v>
      </c>
      <c r="B154" s="49">
        <v>2840</v>
      </c>
      <c r="C154">
        <v>2023</v>
      </c>
      <c r="E154" t="s">
        <v>109</v>
      </c>
      <c r="F154" s="54">
        <v>3650</v>
      </c>
      <c r="G154" s="54">
        <v>8950</v>
      </c>
      <c r="H154" s="55">
        <v>4354.68</v>
      </c>
      <c r="I154" t="s">
        <v>510</v>
      </c>
      <c r="J154" s="77">
        <f>SUMIFS('Export Data'!$B$13:$B$176,'Export Data'!$A$13:$A$176,'SC CONSIDERATION'!E154)</f>
        <v>0</v>
      </c>
      <c r="K154" s="77">
        <f>SUMIFS('Imports Data'!$B$13:$B$234,'Imports Data'!$A$13:$A$234,'SC CONSIDERATION'!E154)</f>
        <v>798</v>
      </c>
      <c r="L154" s="78">
        <f t="shared" si="4"/>
        <v>-798</v>
      </c>
    </row>
    <row r="155" spans="1:12" hidden="1">
      <c r="A155" t="s">
        <v>459</v>
      </c>
      <c r="B155" s="49">
        <v>2360</v>
      </c>
      <c r="C155">
        <v>2023</v>
      </c>
      <c r="E155" t="s">
        <v>294</v>
      </c>
      <c r="F155" s="54">
        <v>3040</v>
      </c>
      <c r="G155" s="54">
        <v>11250</v>
      </c>
      <c r="H155" s="55">
        <v>2364.86</v>
      </c>
      <c r="I155" t="s">
        <v>510</v>
      </c>
      <c r="J155" s="77">
        <f>SUMIFS('Export Data'!$B$13:$B$176,'Export Data'!$A$13:$A$176,'SC CONSIDERATION'!E155)</f>
        <v>0</v>
      </c>
      <c r="K155" s="77">
        <f>SUMIFS('Imports Data'!$B$13:$B$234,'Imports Data'!$A$13:$A$234,'SC CONSIDERATION'!E155)</f>
        <v>2663</v>
      </c>
      <c r="L155" s="78">
        <f t="shared" si="4"/>
        <v>-2663</v>
      </c>
    </row>
    <row r="156" spans="1:12" hidden="1">
      <c r="A156" t="s">
        <v>465</v>
      </c>
      <c r="B156" s="49">
        <v>2130</v>
      </c>
      <c r="C156">
        <v>2023</v>
      </c>
      <c r="E156" t="s">
        <v>237</v>
      </c>
      <c r="F156" s="54">
        <v>3190</v>
      </c>
      <c r="G156" s="54">
        <v>6590</v>
      </c>
      <c r="H156" s="55">
        <v>1873.78</v>
      </c>
      <c r="I156" t="s">
        <v>510</v>
      </c>
      <c r="J156" s="77">
        <f>SUMIFS('Export Data'!$B$13:$B$176,'Export Data'!$A$13:$A$176,'SC CONSIDERATION'!E156)</f>
        <v>0</v>
      </c>
      <c r="K156" s="77">
        <f>SUMIFS('Imports Data'!$B$13:$B$234,'Imports Data'!$A$13:$A$234,'SC CONSIDERATION'!E156)</f>
        <v>1073</v>
      </c>
      <c r="L156" s="78">
        <f t="shared" si="4"/>
        <v>-1073</v>
      </c>
    </row>
    <row r="157" spans="1:12" hidden="1">
      <c r="A157" t="s">
        <v>472</v>
      </c>
      <c r="B157" s="49">
        <v>1700</v>
      </c>
      <c r="C157">
        <v>2023</v>
      </c>
      <c r="E157" t="s">
        <v>116</v>
      </c>
      <c r="F157" s="54">
        <v>3240</v>
      </c>
      <c r="G157" s="54">
        <v>3360</v>
      </c>
      <c r="H157" s="55">
        <v>1035.3</v>
      </c>
      <c r="I157" t="s">
        <v>510</v>
      </c>
      <c r="J157" s="77">
        <f>SUMIFS('Export Data'!$B$13:$B$176,'Export Data'!$A$13:$A$176,'SC CONSIDERATION'!E157)</f>
        <v>0</v>
      </c>
      <c r="K157" s="77">
        <f>SUMIFS('Imports Data'!$B$13:$B$234,'Imports Data'!$A$13:$A$234,'SC CONSIDERATION'!E157)</f>
        <v>120</v>
      </c>
      <c r="L157" s="78">
        <f t="shared" si="4"/>
        <v>-120</v>
      </c>
    </row>
    <row r="158" spans="1:12" hidden="1">
      <c r="A158" t="s">
        <v>475</v>
      </c>
      <c r="B158" s="49">
        <v>1600</v>
      </c>
      <c r="C158">
        <v>2023</v>
      </c>
      <c r="E158" t="s">
        <v>97</v>
      </c>
      <c r="F158" s="54">
        <v>3810</v>
      </c>
      <c r="G158" s="54">
        <v>5970</v>
      </c>
      <c r="H158" s="55">
        <v>834.06</v>
      </c>
      <c r="I158" t="s">
        <v>510</v>
      </c>
      <c r="J158" s="77">
        <f>SUMIFS('Export Data'!$B$13:$B$176,'Export Data'!$A$13:$A$176,'SC CONSIDERATION'!E158)</f>
        <v>0</v>
      </c>
      <c r="K158" s="77">
        <f>SUMIFS('Imports Data'!$B$13:$B$234,'Imports Data'!$A$13:$A$234,'SC CONSIDERATION'!E158)</f>
        <v>30</v>
      </c>
      <c r="L158" s="78">
        <f t="shared" si="4"/>
        <v>-30</v>
      </c>
    </row>
    <row r="159" spans="1:12" hidden="1">
      <c r="A159" t="s">
        <v>480</v>
      </c>
      <c r="B159" s="49">
        <v>1360</v>
      </c>
      <c r="C159">
        <v>2023</v>
      </c>
      <c r="E159" t="s">
        <v>575</v>
      </c>
      <c r="F159" s="54">
        <v>3980</v>
      </c>
      <c r="G159" s="54">
        <v>4010</v>
      </c>
      <c r="H159" s="55">
        <v>450.75</v>
      </c>
      <c r="I159" t="s">
        <v>510</v>
      </c>
      <c r="J159" s="77">
        <f>SUMIFS('Export Data'!$B$13:$B$176,'Export Data'!$A$13:$A$176,'SC CONSIDERATION'!E159)</f>
        <v>0</v>
      </c>
      <c r="K159" s="77">
        <f>SUMIFS('Imports Data'!$B$13:$B$234,'Imports Data'!$A$13:$A$234,'SC CONSIDERATION'!E159)</f>
        <v>211</v>
      </c>
      <c r="L159" s="78">
        <f t="shared" si="4"/>
        <v>-211</v>
      </c>
    </row>
    <row r="160" spans="1:12" hidden="1">
      <c r="A160" t="s">
        <v>320</v>
      </c>
      <c r="B160" s="49">
        <v>55200</v>
      </c>
      <c r="C160">
        <v>2023</v>
      </c>
      <c r="E160" t="s">
        <v>521</v>
      </c>
      <c r="F160" s="54">
        <v>9900</v>
      </c>
      <c r="G160" s="54">
        <v>30290</v>
      </c>
      <c r="H160" s="55">
        <v>839644.67</v>
      </c>
      <c r="J160" s="77">
        <f>SUMIFS('Export Data'!$B$13:$B$176,'Export Data'!$A$13:$A$176,'SC CONSIDERATION'!E160)</f>
        <v>0</v>
      </c>
      <c r="K160" s="77">
        <f>SUMIFS('Imports Data'!$B$13:$B$234,'Imports Data'!$A$13:$A$234,'SC CONSIDERATION'!E160)</f>
        <v>0</v>
      </c>
      <c r="L160" s="78">
        <f t="shared" si="4"/>
        <v>0</v>
      </c>
    </row>
    <row r="161" spans="1:12" hidden="1">
      <c r="A161" t="s">
        <v>352</v>
      </c>
      <c r="B161" s="49">
        <v>26570</v>
      </c>
      <c r="C161">
        <v>2023</v>
      </c>
      <c r="E161" t="s">
        <v>528</v>
      </c>
      <c r="F161" s="54">
        <v>2420</v>
      </c>
      <c r="G161" s="54">
        <v>5670</v>
      </c>
      <c r="H161" s="55">
        <v>66469.56</v>
      </c>
      <c r="J161" s="77">
        <f>SUMIFS('Export Data'!$B$13:$B$176,'Export Data'!$A$13:$A$176,'SC CONSIDERATION'!E161)</f>
        <v>0</v>
      </c>
      <c r="K161" s="77">
        <f>SUMIFS('Imports Data'!$B$13:$B$234,'Imports Data'!$A$13:$A$234,'SC CONSIDERATION'!E161)</f>
        <v>0</v>
      </c>
      <c r="L161" s="78">
        <f t="shared" si="4"/>
        <v>0</v>
      </c>
    </row>
    <row r="162" spans="1:12" hidden="1">
      <c r="A162" t="s">
        <v>356</v>
      </c>
      <c r="B162" s="49">
        <v>22790</v>
      </c>
      <c r="C162">
        <v>2023</v>
      </c>
      <c r="E162" t="s">
        <v>297</v>
      </c>
      <c r="F162" s="54">
        <v>760</v>
      </c>
      <c r="H162" s="55">
        <v>15714.12</v>
      </c>
      <c r="J162" s="77">
        <f>SUMIFS('Export Data'!$B$13:$B$176,'Export Data'!$A$13:$A$176,'SC CONSIDERATION'!E162)</f>
        <v>0</v>
      </c>
      <c r="K162" s="77">
        <f>SUMIFS('Imports Data'!$B$13:$B$234,'Imports Data'!$A$13:$A$234,'SC CONSIDERATION'!E162)</f>
        <v>11643</v>
      </c>
      <c r="L162" s="78">
        <f t="shared" si="4"/>
        <v>-11643</v>
      </c>
    </row>
    <row r="163" spans="1:12" hidden="1">
      <c r="A163" t="s">
        <v>360</v>
      </c>
      <c r="B163" s="49">
        <v>21540</v>
      </c>
      <c r="C163">
        <v>2023</v>
      </c>
      <c r="E163" t="s">
        <v>249</v>
      </c>
      <c r="F163" s="54">
        <v>620</v>
      </c>
      <c r="G163" s="54">
        <v>1610</v>
      </c>
      <c r="H163" s="55">
        <v>12317.14</v>
      </c>
      <c r="J163" s="77">
        <f>SUMIFS('Export Data'!$B$13:$B$176,'Export Data'!$A$13:$A$176,'SC CONSIDERATION'!E163)</f>
        <v>0</v>
      </c>
      <c r="K163" s="77">
        <f>SUMIFS('Imports Data'!$B$13:$B$234,'Imports Data'!$A$13:$A$234,'SC CONSIDERATION'!E163)</f>
        <v>12744</v>
      </c>
      <c r="L163" s="78">
        <f t="shared" si="4"/>
        <v>-12744</v>
      </c>
    </row>
    <row r="164" spans="1:12" hidden="1">
      <c r="A164" t="s">
        <v>365</v>
      </c>
      <c r="B164" s="49">
        <v>20360</v>
      </c>
      <c r="C164">
        <v>2023</v>
      </c>
      <c r="E164" t="s">
        <v>221</v>
      </c>
      <c r="F164" s="54">
        <v>640</v>
      </c>
      <c r="G164" s="54">
        <v>1510</v>
      </c>
      <c r="H164" s="55">
        <v>11061.46</v>
      </c>
      <c r="J164" s="77">
        <f>SUMIFS('Export Data'!$B$13:$B$176,'Export Data'!$A$13:$A$176,'SC CONSIDERATION'!E164)</f>
        <v>0</v>
      </c>
      <c r="K164" s="77">
        <f>SUMIFS('Imports Data'!$B$13:$B$234,'Imports Data'!$A$13:$A$234,'SC CONSIDERATION'!E164)</f>
        <v>1741</v>
      </c>
      <c r="L164" s="78">
        <f t="shared" si="4"/>
        <v>-1741</v>
      </c>
    </row>
    <row r="165" spans="1:12" hidden="1">
      <c r="A165" t="s">
        <v>373</v>
      </c>
      <c r="B165" s="49">
        <v>16940</v>
      </c>
      <c r="C165">
        <v>2023</v>
      </c>
      <c r="E165" t="s">
        <v>273</v>
      </c>
      <c r="F165" s="54">
        <v>1020</v>
      </c>
      <c r="G165" s="54">
        <v>2560</v>
      </c>
      <c r="H165" s="55">
        <v>13789.5</v>
      </c>
      <c r="J165" s="77">
        <f>SUMIFS('Export Data'!$B$13:$B$176,'Export Data'!$A$13:$A$176,'SC CONSIDERATION'!E165)</f>
        <v>0</v>
      </c>
      <c r="K165" s="77">
        <f>SUMIFS('Imports Data'!$B$13:$B$234,'Imports Data'!$A$13:$A$234,'SC CONSIDERATION'!E165)</f>
        <v>10209</v>
      </c>
      <c r="L165" s="78">
        <f t="shared" si="4"/>
        <v>-10209</v>
      </c>
    </row>
    <row r="166" spans="1:12" hidden="1">
      <c r="A166" t="s">
        <v>375</v>
      </c>
      <c r="B166" s="49">
        <v>15820</v>
      </c>
      <c r="C166">
        <v>2023</v>
      </c>
      <c r="E166" t="s">
        <v>283</v>
      </c>
      <c r="F166" s="54">
        <v>1350</v>
      </c>
      <c r="G166" s="54">
        <v>3750</v>
      </c>
      <c r="H166" s="55">
        <v>17603.22</v>
      </c>
      <c r="J166" s="77">
        <f>SUMIFS('Export Data'!$B$13:$B$176,'Export Data'!$A$13:$A$176,'SC CONSIDERATION'!E166)</f>
        <v>0</v>
      </c>
      <c r="K166" s="77">
        <f>SUMIFS('Imports Data'!$B$13:$B$234,'Imports Data'!$A$13:$A$234,'SC CONSIDERATION'!E166)</f>
        <v>2827</v>
      </c>
      <c r="L166" s="78">
        <f t="shared" si="4"/>
        <v>-2827</v>
      </c>
    </row>
    <row r="167" spans="1:12" hidden="1">
      <c r="A167" t="s">
        <v>376</v>
      </c>
      <c r="B167" s="49">
        <v>14460</v>
      </c>
      <c r="C167">
        <v>2023</v>
      </c>
      <c r="E167" t="s">
        <v>284</v>
      </c>
      <c r="F167" s="54">
        <v>220</v>
      </c>
      <c r="G167" s="54">
        <v>780</v>
      </c>
      <c r="H167" s="55">
        <v>2793.49</v>
      </c>
      <c r="J167" s="77">
        <f>SUMIFS('Export Data'!$B$13:$B$176,'Export Data'!$A$13:$A$176,'SC CONSIDERATION'!E167)</f>
        <v>0</v>
      </c>
      <c r="K167" s="77">
        <f>SUMIFS('Imports Data'!$B$13:$B$234,'Imports Data'!$A$13:$A$234,'SC CONSIDERATION'!E167)</f>
        <v>992</v>
      </c>
      <c r="L167" s="78">
        <f t="shared" ref="L167:L198" si="5">J167-K167</f>
        <v>-992</v>
      </c>
    </row>
    <row r="168" spans="1:12" hidden="1">
      <c r="A168" t="s">
        <v>395</v>
      </c>
      <c r="B168" s="49">
        <v>9070</v>
      </c>
      <c r="C168">
        <v>2023</v>
      </c>
      <c r="E168" t="s">
        <v>76</v>
      </c>
      <c r="F168" s="54">
        <v>960</v>
      </c>
      <c r="G168" s="54">
        <v>2340</v>
      </c>
      <c r="H168" s="55">
        <v>8303.93</v>
      </c>
      <c r="J168" s="77">
        <f>SUMIFS('Export Data'!$B$13:$B$176,'Export Data'!$A$13:$A$176,'SC CONSIDERATION'!E168)</f>
        <v>0</v>
      </c>
      <c r="K168" s="77">
        <f>SUMIFS('Imports Data'!$B$13:$B$234,'Imports Data'!$A$13:$A$234,'SC CONSIDERATION'!E168)</f>
        <v>2305</v>
      </c>
      <c r="L168" s="78">
        <f t="shared" si="5"/>
        <v>-2305</v>
      </c>
    </row>
    <row r="169" spans="1:12" hidden="1">
      <c r="A169" t="s">
        <v>403</v>
      </c>
      <c r="B169" s="49">
        <v>7570</v>
      </c>
      <c r="C169">
        <v>2023</v>
      </c>
      <c r="E169" t="s">
        <v>219</v>
      </c>
      <c r="F169" s="54">
        <v>8700</v>
      </c>
      <c r="G169" s="54">
        <v>24330</v>
      </c>
      <c r="H169" s="55">
        <v>58607.75</v>
      </c>
      <c r="J169" s="77">
        <f>SUMIFS('Export Data'!$B$13:$B$176,'Export Data'!$A$13:$A$176,'SC CONSIDERATION'!E169)</f>
        <v>0</v>
      </c>
      <c r="K169" s="77">
        <f>SUMIFS('Imports Data'!$B$13:$B$234,'Imports Data'!$A$13:$A$234,'SC CONSIDERATION'!E169)</f>
        <v>0</v>
      </c>
      <c r="L169" s="78">
        <f t="shared" si="5"/>
        <v>0</v>
      </c>
    </row>
    <row r="170" spans="1:12" hidden="1">
      <c r="A170" t="s">
        <v>407</v>
      </c>
      <c r="B170" s="49">
        <v>7330</v>
      </c>
      <c r="C170">
        <v>2023</v>
      </c>
      <c r="E170" t="s">
        <v>270</v>
      </c>
      <c r="F170" s="54">
        <v>6970</v>
      </c>
      <c r="G170" s="54">
        <v>15050</v>
      </c>
      <c r="H170" s="55">
        <v>42916.72</v>
      </c>
      <c r="J170" s="77">
        <f>SUMIFS('Export Data'!$B$13:$B$176,'Export Data'!$A$13:$A$176,'SC CONSIDERATION'!E170)</f>
        <v>0</v>
      </c>
      <c r="K170" s="77">
        <f>SUMIFS('Imports Data'!$B$13:$B$234,'Imports Data'!$A$13:$A$234,'SC CONSIDERATION'!E170)</f>
        <v>3853</v>
      </c>
      <c r="L170" s="78">
        <f t="shared" si="5"/>
        <v>-3853</v>
      </c>
    </row>
    <row r="171" spans="1:12" hidden="1">
      <c r="A171" t="s">
        <v>409</v>
      </c>
      <c r="B171" s="49">
        <v>7180</v>
      </c>
      <c r="C171">
        <v>2023</v>
      </c>
      <c r="E171" t="s">
        <v>530</v>
      </c>
      <c r="F171" s="54">
        <v>1970</v>
      </c>
      <c r="G171" s="54">
        <v>3400</v>
      </c>
      <c r="H171" s="55">
        <v>11484.74</v>
      </c>
      <c r="J171" s="77">
        <f>SUMIFS('Export Data'!$B$13:$B$176,'Export Data'!$A$13:$A$176,'SC CONSIDERATION'!E171)</f>
        <v>0</v>
      </c>
      <c r="K171" s="77">
        <f>SUMIFS('Imports Data'!$B$13:$B$234,'Imports Data'!$A$13:$A$234,'SC CONSIDERATION'!E171)</f>
        <v>0</v>
      </c>
      <c r="L171" s="78">
        <f t="shared" si="5"/>
        <v>0</v>
      </c>
    </row>
    <row r="172" spans="1:12" hidden="1">
      <c r="A172" t="s">
        <v>412</v>
      </c>
      <c r="B172" s="49">
        <v>6870</v>
      </c>
      <c r="C172">
        <v>2023</v>
      </c>
      <c r="E172" t="s">
        <v>239</v>
      </c>
      <c r="F172" s="54">
        <v>480</v>
      </c>
      <c r="G172" s="54">
        <v>980</v>
      </c>
      <c r="H172" s="55">
        <v>2612.2199999999998</v>
      </c>
      <c r="J172" s="77">
        <f>SUMIFS('Export Data'!$B$13:$B$176,'Export Data'!$A$13:$A$176,'SC CONSIDERATION'!E172)</f>
        <v>0</v>
      </c>
      <c r="K172" s="77">
        <f>SUMIFS('Imports Data'!$B$13:$B$234,'Imports Data'!$A$13:$A$234,'SC CONSIDERATION'!E172)</f>
        <v>522</v>
      </c>
      <c r="L172" s="78">
        <f t="shared" si="5"/>
        <v>-522</v>
      </c>
    </row>
    <row r="173" spans="1:12" hidden="1">
      <c r="A173" t="s">
        <v>417</v>
      </c>
      <c r="B173" s="49">
        <v>6200</v>
      </c>
      <c r="C173">
        <v>2023</v>
      </c>
      <c r="E173" t="s">
        <v>572</v>
      </c>
      <c r="F173" s="54">
        <v>4220</v>
      </c>
      <c r="G173" s="54">
        <v>7370</v>
      </c>
      <c r="H173" s="55">
        <v>20770.13</v>
      </c>
      <c r="J173" s="77">
        <f>SUMIFS('Export Data'!$B$13:$B$176,'Export Data'!$A$13:$A$176,'SC CONSIDERATION'!E173)</f>
        <v>0</v>
      </c>
      <c r="K173" s="77">
        <f>SUMIFS('Imports Data'!$B$13:$B$234,'Imports Data'!$A$13:$A$234,'SC CONSIDERATION'!E173)</f>
        <v>3867</v>
      </c>
      <c r="L173" s="78">
        <f t="shared" si="5"/>
        <v>-3867</v>
      </c>
    </row>
    <row r="174" spans="1:12" hidden="1">
      <c r="A174" t="s">
        <v>430</v>
      </c>
      <c r="B174" s="49">
        <v>4920</v>
      </c>
      <c r="C174">
        <v>2023</v>
      </c>
      <c r="E174" t="s">
        <v>257</v>
      </c>
      <c r="F174" s="54">
        <v>5370</v>
      </c>
      <c r="G174" s="54">
        <v>15810</v>
      </c>
      <c r="H174" s="55">
        <v>14049.63</v>
      </c>
      <c r="J174" s="77">
        <f>SUMIFS('Export Data'!$B$13:$B$176,'Export Data'!$A$13:$A$176,'SC CONSIDERATION'!E174)</f>
        <v>0</v>
      </c>
      <c r="K174" s="77">
        <f>SUMIFS('Imports Data'!$B$13:$B$234,'Imports Data'!$A$13:$A$234,'SC CONSIDERATION'!E174)</f>
        <v>0</v>
      </c>
      <c r="L174" s="78">
        <f t="shared" si="5"/>
        <v>0</v>
      </c>
    </row>
    <row r="175" spans="1:12" hidden="1">
      <c r="A175" t="s">
        <v>431</v>
      </c>
      <c r="B175" s="49">
        <v>4870</v>
      </c>
      <c r="C175">
        <v>2023</v>
      </c>
      <c r="E175" t="s">
        <v>268</v>
      </c>
      <c r="F175" s="54">
        <v>22580</v>
      </c>
      <c r="G175" s="54">
        <v>24750</v>
      </c>
      <c r="H175" s="55">
        <v>73678.05</v>
      </c>
      <c r="J175" s="77">
        <f>SUMIFS('Export Data'!$B$13:$B$176,'Export Data'!$A$13:$A$176,'SC CONSIDERATION'!E175)</f>
        <v>0</v>
      </c>
      <c r="K175" s="77">
        <f>SUMIFS('Imports Data'!$B$13:$B$234,'Imports Data'!$A$13:$A$234,'SC CONSIDERATION'!E175)</f>
        <v>0</v>
      </c>
      <c r="L175" s="78">
        <f t="shared" si="5"/>
        <v>0</v>
      </c>
    </row>
    <row r="176" spans="1:12" hidden="1">
      <c r="A176" t="s">
        <v>433</v>
      </c>
      <c r="B176" s="49">
        <v>4680</v>
      </c>
      <c r="C176">
        <v>2023</v>
      </c>
      <c r="E176" t="s">
        <v>531</v>
      </c>
      <c r="F176" s="54">
        <v>740</v>
      </c>
      <c r="G176" s="54">
        <v>2220</v>
      </c>
      <c r="H176" s="55">
        <v>1951.49</v>
      </c>
      <c r="J176" s="77">
        <f>SUMIFS('Export Data'!$B$13:$B$176,'Export Data'!$A$13:$A$176,'SC CONSIDERATION'!E176)</f>
        <v>0</v>
      </c>
      <c r="K176" s="77">
        <f>SUMIFS('Imports Data'!$B$13:$B$234,'Imports Data'!$A$13:$A$234,'SC CONSIDERATION'!E176)</f>
        <v>35</v>
      </c>
      <c r="L176" s="78">
        <f t="shared" si="5"/>
        <v>-35</v>
      </c>
    </row>
    <row r="177" spans="1:12" hidden="1">
      <c r="A177" t="s">
        <v>442</v>
      </c>
      <c r="B177" s="49">
        <v>3860</v>
      </c>
      <c r="C177">
        <v>2023</v>
      </c>
      <c r="E177" t="s">
        <v>222</v>
      </c>
      <c r="F177" s="54">
        <v>1210</v>
      </c>
      <c r="G177" s="54">
        <v>2870</v>
      </c>
      <c r="H177" s="55">
        <v>2750.49</v>
      </c>
      <c r="J177" s="77">
        <f>SUMIFS('Export Data'!$B$13:$B$176,'Export Data'!$A$13:$A$176,'SC CONSIDERATION'!E177)</f>
        <v>0</v>
      </c>
      <c r="K177" s="77">
        <f>SUMIFS('Imports Data'!$B$13:$B$234,'Imports Data'!$A$13:$A$234,'SC CONSIDERATION'!E177)</f>
        <v>172</v>
      </c>
      <c r="L177" s="78">
        <f t="shared" si="5"/>
        <v>-172</v>
      </c>
    </row>
    <row r="178" spans="1:12" hidden="1">
      <c r="A178" t="s">
        <v>443</v>
      </c>
      <c r="B178" s="49">
        <v>3770</v>
      </c>
      <c r="C178">
        <v>2023</v>
      </c>
      <c r="E178" t="s">
        <v>278</v>
      </c>
      <c r="F178" s="54">
        <v>760</v>
      </c>
      <c r="G178" s="54">
        <v>2010</v>
      </c>
      <c r="H178" s="55">
        <v>1574.28</v>
      </c>
      <c r="J178" s="77">
        <f>SUMIFS('Export Data'!$B$13:$B$176,'Export Data'!$A$13:$A$176,'SC CONSIDERATION'!E178)</f>
        <v>0</v>
      </c>
      <c r="K178" s="77">
        <f>SUMIFS('Imports Data'!$B$13:$B$234,'Imports Data'!$A$13:$A$234,'SC CONSIDERATION'!E178)</f>
        <v>536</v>
      </c>
      <c r="L178" s="78">
        <f t="shared" si="5"/>
        <v>-536</v>
      </c>
    </row>
    <row r="179" spans="1:12" hidden="1">
      <c r="A179" t="s">
        <v>445</v>
      </c>
      <c r="B179" s="49">
        <v>3730</v>
      </c>
      <c r="C179">
        <v>2023</v>
      </c>
      <c r="E179" t="s">
        <v>251</v>
      </c>
      <c r="F179" s="54">
        <v>6190</v>
      </c>
      <c r="G179" s="54">
        <v>17410</v>
      </c>
      <c r="H179" s="55">
        <v>12778.45</v>
      </c>
      <c r="J179" s="77">
        <f>SUMIFS('Export Data'!$B$13:$B$176,'Export Data'!$A$13:$A$176,'SC CONSIDERATION'!E179)</f>
        <v>0</v>
      </c>
      <c r="K179" s="77">
        <f>SUMIFS('Imports Data'!$B$13:$B$234,'Imports Data'!$A$13:$A$234,'SC CONSIDERATION'!E179)</f>
        <v>0</v>
      </c>
      <c r="L179" s="78">
        <f t="shared" si="5"/>
        <v>0</v>
      </c>
    </row>
    <row r="180" spans="1:12" hidden="1">
      <c r="A180" t="s">
        <v>447</v>
      </c>
      <c r="B180" s="49">
        <v>3660</v>
      </c>
      <c r="C180">
        <v>2023</v>
      </c>
      <c r="E180" t="s">
        <v>276</v>
      </c>
      <c r="F180" s="54">
        <v>5150</v>
      </c>
      <c r="G180" s="54">
        <v>11990</v>
      </c>
      <c r="H180" s="55">
        <v>8418.01</v>
      </c>
      <c r="J180" s="77">
        <f>SUMIFS('Export Data'!$B$13:$B$176,'Export Data'!$A$13:$A$176,'SC CONSIDERATION'!E180)</f>
        <v>0</v>
      </c>
      <c r="K180" s="77">
        <f>SUMIFS('Imports Data'!$B$13:$B$234,'Imports Data'!$A$13:$A$234,'SC CONSIDERATION'!E180)</f>
        <v>636</v>
      </c>
      <c r="L180" s="78">
        <f t="shared" si="5"/>
        <v>-636</v>
      </c>
    </row>
    <row r="181" spans="1:12" hidden="1">
      <c r="A181" t="s">
        <v>450</v>
      </c>
      <c r="B181" s="49">
        <v>3540</v>
      </c>
      <c r="C181">
        <v>2023</v>
      </c>
      <c r="E181" t="s">
        <v>269</v>
      </c>
      <c r="F181" s="54">
        <v>1140</v>
      </c>
      <c r="G181" s="54">
        <v>2880</v>
      </c>
      <c r="H181" s="55">
        <v>1509.57</v>
      </c>
      <c r="J181" s="77">
        <f>SUMIFS('Export Data'!$B$13:$B$176,'Export Data'!$A$13:$A$176,'SC CONSIDERATION'!E181)</f>
        <v>0</v>
      </c>
      <c r="K181" s="77">
        <f>SUMIFS('Imports Data'!$B$13:$B$234,'Imports Data'!$A$13:$A$234,'SC CONSIDERATION'!E181)</f>
        <v>110</v>
      </c>
      <c r="L181" s="78">
        <f t="shared" si="5"/>
        <v>-110</v>
      </c>
    </row>
    <row r="182" spans="1:12" hidden="1">
      <c r="A182" t="s">
        <v>457</v>
      </c>
      <c r="B182" s="49">
        <v>2480</v>
      </c>
      <c r="C182">
        <v>2023</v>
      </c>
      <c r="E182" t="s">
        <v>234</v>
      </c>
      <c r="F182" s="54">
        <v>1580</v>
      </c>
      <c r="G182" s="54">
        <v>3560</v>
      </c>
      <c r="H182" s="55">
        <v>1299.48</v>
      </c>
      <c r="J182" s="77">
        <f>SUMIFS('Export Data'!$B$13:$B$176,'Export Data'!$A$13:$A$176,'SC CONSIDERATION'!E182)</f>
        <v>0</v>
      </c>
      <c r="K182" s="77">
        <f>SUMIFS('Imports Data'!$B$13:$B$234,'Imports Data'!$A$13:$A$234,'SC CONSIDERATION'!E182)</f>
        <v>2</v>
      </c>
      <c r="L182" s="78">
        <f t="shared" si="5"/>
        <v>-2</v>
      </c>
    </row>
    <row r="183" spans="1:12" hidden="1">
      <c r="A183" t="s">
        <v>460</v>
      </c>
      <c r="B183" s="49">
        <v>2340</v>
      </c>
      <c r="C183">
        <v>2023</v>
      </c>
      <c r="E183" t="s">
        <v>262</v>
      </c>
      <c r="F183" s="54">
        <v>2320</v>
      </c>
      <c r="G183" s="54">
        <v>2680</v>
      </c>
      <c r="H183" s="55">
        <v>1640.96</v>
      </c>
      <c r="J183" s="77">
        <f>SUMIFS('Export Data'!$B$13:$B$176,'Export Data'!$A$13:$A$176,'SC CONSIDERATION'!E183)</f>
        <v>0</v>
      </c>
      <c r="K183" s="77">
        <f>SUMIFS('Imports Data'!$B$13:$B$234,'Imports Data'!$A$13:$A$234,'SC CONSIDERATION'!E183)</f>
        <v>99</v>
      </c>
      <c r="L183" s="78">
        <f t="shared" si="5"/>
        <v>-99</v>
      </c>
    </row>
    <row r="184" spans="1:12" hidden="1">
      <c r="A184" t="s">
        <v>461</v>
      </c>
      <c r="B184" s="49">
        <v>2270</v>
      </c>
      <c r="C184">
        <v>2023</v>
      </c>
      <c r="E184" t="s">
        <v>106</v>
      </c>
      <c r="F184" s="54">
        <v>46450</v>
      </c>
      <c r="G184" s="54">
        <v>72940</v>
      </c>
      <c r="H184" s="55">
        <v>31894.66</v>
      </c>
      <c r="J184" s="77">
        <f>SUMIFS('Export Data'!$B$13:$B$176,'Export Data'!$A$13:$A$176,'SC CONSIDERATION'!E184)</f>
        <v>0</v>
      </c>
      <c r="K184" s="77">
        <f>SUMIFS('Imports Data'!$B$13:$B$234,'Imports Data'!$A$13:$A$234,'SC CONSIDERATION'!E184)</f>
        <v>4390</v>
      </c>
      <c r="L184" s="78">
        <f t="shared" si="5"/>
        <v>-4390</v>
      </c>
    </row>
    <row r="185" spans="1:12" hidden="1">
      <c r="A185" t="s">
        <v>463</v>
      </c>
      <c r="B185" s="49">
        <v>2150</v>
      </c>
      <c r="C185">
        <v>2023</v>
      </c>
      <c r="E185" t="s">
        <v>236</v>
      </c>
      <c r="F185" s="54">
        <v>4410</v>
      </c>
      <c r="G185" s="54">
        <v>14090</v>
      </c>
      <c r="H185" s="55">
        <v>2702.73</v>
      </c>
      <c r="J185" s="77">
        <f>SUMIFS('Export Data'!$B$13:$B$176,'Export Data'!$A$13:$A$176,'SC CONSIDERATION'!E185)</f>
        <v>0</v>
      </c>
      <c r="K185" s="77">
        <f>SUMIFS('Imports Data'!$B$13:$B$234,'Imports Data'!$A$13:$A$234,'SC CONSIDERATION'!E185)</f>
        <v>1162</v>
      </c>
      <c r="L185" s="78">
        <f t="shared" si="5"/>
        <v>-1162</v>
      </c>
    </row>
    <row r="186" spans="1:12" hidden="1">
      <c r="A186" t="s">
        <v>467</v>
      </c>
      <c r="B186" s="49">
        <v>2110</v>
      </c>
      <c r="C186">
        <v>2023</v>
      </c>
      <c r="E186" t="s">
        <v>248</v>
      </c>
      <c r="F186" s="54">
        <v>9600</v>
      </c>
      <c r="G186" s="54">
        <v>18770</v>
      </c>
      <c r="H186" s="55">
        <v>5006.51</v>
      </c>
      <c r="J186" s="77">
        <f>SUMIFS('Export Data'!$B$13:$B$176,'Export Data'!$A$13:$A$176,'SC CONSIDERATION'!E186)</f>
        <v>0</v>
      </c>
      <c r="K186" s="77">
        <f>SUMIFS('Imports Data'!$B$13:$B$234,'Imports Data'!$A$13:$A$234,'SC CONSIDERATION'!E186)</f>
        <v>10083</v>
      </c>
      <c r="L186" s="78">
        <f t="shared" si="5"/>
        <v>-10083</v>
      </c>
    </row>
    <row r="187" spans="1:12" hidden="1">
      <c r="A187" t="s">
        <v>470</v>
      </c>
      <c r="B187" s="49">
        <v>1740</v>
      </c>
      <c r="C187">
        <v>2023</v>
      </c>
      <c r="E187" t="s">
        <v>532</v>
      </c>
      <c r="F187" s="54">
        <v>26490</v>
      </c>
      <c r="G187" s="54">
        <v>31010</v>
      </c>
      <c r="H187" s="55">
        <v>10804.7</v>
      </c>
      <c r="J187" s="77">
        <f>SUMIFS('Export Data'!$B$13:$B$176,'Export Data'!$A$13:$A$176,'SC CONSIDERATION'!E187)</f>
        <v>0</v>
      </c>
      <c r="K187" s="77">
        <f>SUMIFS('Imports Data'!$B$13:$B$234,'Imports Data'!$A$13:$A$234,'SC CONSIDERATION'!E187)</f>
        <v>1027</v>
      </c>
      <c r="L187" s="78">
        <f t="shared" si="5"/>
        <v>-1027</v>
      </c>
    </row>
    <row r="188" spans="1:12" hidden="1">
      <c r="A188" t="s">
        <v>474</v>
      </c>
      <c r="B188" s="49">
        <v>1650</v>
      </c>
      <c r="C188">
        <v>2023</v>
      </c>
      <c r="E188" t="s">
        <v>233</v>
      </c>
      <c r="F188" s="54">
        <v>2260</v>
      </c>
      <c r="G188" s="54">
        <v>4500</v>
      </c>
      <c r="H188" s="55">
        <v>504.36</v>
      </c>
      <c r="J188" s="77">
        <f>SUMIFS('Export Data'!$B$13:$B$176,'Export Data'!$A$13:$A$176,'SC CONSIDERATION'!E188)</f>
        <v>0</v>
      </c>
      <c r="K188" s="77">
        <f>SUMIFS('Imports Data'!$B$13:$B$234,'Imports Data'!$A$13:$A$234,'SC CONSIDERATION'!E188)</f>
        <v>92</v>
      </c>
      <c r="L188" s="78">
        <f t="shared" si="5"/>
        <v>-92</v>
      </c>
    </row>
    <row r="189" spans="1:12" hidden="1">
      <c r="A189" t="s">
        <v>476</v>
      </c>
      <c r="B189" s="49">
        <v>1500</v>
      </c>
      <c r="C189">
        <v>2023</v>
      </c>
      <c r="E189" t="s">
        <v>291</v>
      </c>
      <c r="F189" s="54">
        <v>18430</v>
      </c>
      <c r="G189" s="54">
        <v>23790</v>
      </c>
      <c r="H189" s="55">
        <v>2808.4</v>
      </c>
      <c r="J189" s="77">
        <f>SUMIFS('Export Data'!$B$13:$B$176,'Export Data'!$A$13:$A$176,'SC CONSIDERATION'!E189)</f>
        <v>0</v>
      </c>
      <c r="K189" s="77">
        <f>SUMIFS('Imports Data'!$B$13:$B$234,'Imports Data'!$A$13:$A$234,'SC CONSIDERATION'!E189)</f>
        <v>0</v>
      </c>
      <c r="L189" s="78">
        <f t="shared" si="5"/>
        <v>0</v>
      </c>
    </row>
    <row r="190" spans="1:12" hidden="1">
      <c r="A190" t="s">
        <v>478</v>
      </c>
      <c r="B190" s="49">
        <v>1440</v>
      </c>
      <c r="C190">
        <v>2023</v>
      </c>
      <c r="E190" t="s">
        <v>235</v>
      </c>
      <c r="F190" s="54">
        <v>2750</v>
      </c>
      <c r="G190" s="54">
        <v>3870</v>
      </c>
      <c r="H190" s="55">
        <v>354.93</v>
      </c>
      <c r="J190" s="77">
        <f>SUMIFS('Export Data'!$B$13:$B$176,'Export Data'!$A$13:$A$176,'SC CONSIDERATION'!E190)</f>
        <v>0</v>
      </c>
      <c r="K190" s="77">
        <f>SUMIFS('Imports Data'!$B$13:$B$234,'Imports Data'!$A$13:$A$234,'SC CONSIDERATION'!E190)</f>
        <v>2</v>
      </c>
      <c r="L190" s="78">
        <f t="shared" si="5"/>
        <v>-2</v>
      </c>
    </row>
    <row r="191" spans="1:12" hidden="1">
      <c r="A191" t="s">
        <v>479</v>
      </c>
      <c r="B191" s="49">
        <v>1370</v>
      </c>
      <c r="C191">
        <v>2023</v>
      </c>
      <c r="E191" t="s">
        <v>274</v>
      </c>
      <c r="F191" s="54">
        <v>8590</v>
      </c>
      <c r="G191" s="54">
        <v>14150</v>
      </c>
      <c r="H191" s="55">
        <v>1070.5999999999999</v>
      </c>
      <c r="J191" s="77">
        <f>SUMIFS('Export Data'!$B$13:$B$176,'Export Data'!$A$13:$A$176,'SC CONSIDERATION'!E191)</f>
        <v>0</v>
      </c>
      <c r="K191" s="77">
        <f>SUMIFS('Imports Data'!$B$13:$B$234,'Imports Data'!$A$13:$A$234,'SC CONSIDERATION'!E191)</f>
        <v>712</v>
      </c>
      <c r="L191" s="78">
        <f t="shared" si="5"/>
        <v>-712</v>
      </c>
    </row>
    <row r="192" spans="1:12" hidden="1">
      <c r="A192" t="s">
        <v>481</v>
      </c>
      <c r="B192" s="49">
        <v>1320</v>
      </c>
      <c r="C192">
        <v>2023</v>
      </c>
      <c r="E192" t="s">
        <v>293</v>
      </c>
      <c r="F192" s="54">
        <v>4930</v>
      </c>
      <c r="G192" s="54">
        <v>7130</v>
      </c>
      <c r="H192" s="55">
        <v>522.27</v>
      </c>
      <c r="J192" s="77">
        <f>SUMIFS('Export Data'!$B$13:$B$176,'Export Data'!$A$13:$A$176,'SC CONSIDERATION'!E192)</f>
        <v>0</v>
      </c>
      <c r="K192" s="77">
        <f>SUMIFS('Imports Data'!$B$13:$B$234,'Imports Data'!$A$13:$A$234,'SC CONSIDERATION'!E192)</f>
        <v>37</v>
      </c>
      <c r="L192" s="78">
        <f t="shared" si="5"/>
        <v>-37</v>
      </c>
    </row>
    <row r="193" spans="1:12" hidden="1">
      <c r="A193" t="s">
        <v>482</v>
      </c>
      <c r="B193" s="49">
        <v>1210</v>
      </c>
      <c r="C193">
        <v>2023</v>
      </c>
      <c r="E193" t="s">
        <v>263</v>
      </c>
      <c r="F193" s="54">
        <v>14540</v>
      </c>
      <c r="G193" s="54">
        <v>29800</v>
      </c>
      <c r="H193" s="55">
        <v>1443.37</v>
      </c>
      <c r="J193" s="77">
        <f>SUMIFS('Export Data'!$B$13:$B$176,'Export Data'!$A$13:$A$176,'SC CONSIDERATION'!E193)</f>
        <v>0</v>
      </c>
      <c r="K193" s="77">
        <f>SUMIFS('Imports Data'!$B$13:$B$234,'Imports Data'!$A$13:$A$234,'SC CONSIDERATION'!E193)</f>
        <v>679</v>
      </c>
      <c r="L193" s="78">
        <f t="shared" si="5"/>
        <v>-679</v>
      </c>
    </row>
    <row r="194" spans="1:12" hidden="1">
      <c r="A194" t="s">
        <v>483</v>
      </c>
      <c r="B194" s="49">
        <v>1210</v>
      </c>
      <c r="C194">
        <v>2023</v>
      </c>
      <c r="E194" t="s">
        <v>287</v>
      </c>
      <c r="F194" s="54">
        <v>29390</v>
      </c>
      <c r="G194" s="54">
        <v>41430</v>
      </c>
      <c r="H194" s="55">
        <v>3130.83</v>
      </c>
      <c r="J194" s="77">
        <f>SUMIFS('Export Data'!$B$13:$B$176,'Export Data'!$A$13:$A$176,'SC CONSIDERATION'!E194)</f>
        <v>0</v>
      </c>
      <c r="K194" s="77">
        <f>SUMIFS('Imports Data'!$B$13:$B$234,'Imports Data'!$A$13:$A$234,'SC CONSIDERATION'!E194)</f>
        <v>386</v>
      </c>
      <c r="L194" s="78">
        <f t="shared" si="5"/>
        <v>-386</v>
      </c>
    </row>
    <row r="195" spans="1:12" hidden="1">
      <c r="A195" t="s">
        <v>484</v>
      </c>
      <c r="B195" s="49">
        <v>1160</v>
      </c>
      <c r="C195">
        <v>2023</v>
      </c>
      <c r="E195" t="s">
        <v>534</v>
      </c>
      <c r="F195" s="54">
        <v>8720</v>
      </c>
      <c r="G195" s="54">
        <v>14970</v>
      </c>
      <c r="H195" s="55">
        <v>909.57</v>
      </c>
      <c r="J195" s="77">
        <f>SUMIFS('Export Data'!$B$13:$B$176,'Export Data'!$A$13:$A$176,'SC CONSIDERATION'!E195)</f>
        <v>0</v>
      </c>
      <c r="K195" s="77">
        <f>SUMIFS('Imports Data'!$B$13:$B$234,'Imports Data'!$A$13:$A$234,'SC CONSIDERATION'!E195)</f>
        <v>603</v>
      </c>
      <c r="L195" s="78">
        <f t="shared" si="5"/>
        <v>-603</v>
      </c>
    </row>
    <row r="196" spans="1:12" hidden="1">
      <c r="A196" t="s">
        <v>485</v>
      </c>
      <c r="B196" s="49">
        <v>1130</v>
      </c>
      <c r="C196">
        <v>2023</v>
      </c>
      <c r="E196" t="s">
        <v>104</v>
      </c>
      <c r="F196" s="54">
        <v>46530</v>
      </c>
      <c r="H196" s="55">
        <v>3551.99</v>
      </c>
      <c r="J196" s="77">
        <f>SUMIFS('Export Data'!$B$13:$B$176,'Export Data'!$A$13:$A$176,'SC CONSIDERATION'!E196)</f>
        <v>0</v>
      </c>
      <c r="K196" s="77">
        <f>SUMIFS('Imports Data'!$B$13:$B$234,'Imports Data'!$A$13:$A$234,'SC CONSIDERATION'!E196)</f>
        <v>143</v>
      </c>
      <c r="L196" s="78">
        <f t="shared" si="5"/>
        <v>-143</v>
      </c>
    </row>
    <row r="197" spans="1:12" hidden="1">
      <c r="A197" t="s">
        <v>489</v>
      </c>
      <c r="B197" s="49">
        <v>980</v>
      </c>
      <c r="C197">
        <v>2023</v>
      </c>
      <c r="E197" t="s">
        <v>535</v>
      </c>
      <c r="F197" s="54">
        <v>18820</v>
      </c>
      <c r="G197" s="54">
        <v>28420</v>
      </c>
      <c r="H197" s="55">
        <v>896.16</v>
      </c>
      <c r="J197" s="77">
        <f>SUMIFS('Export Data'!$B$13:$B$176,'Export Data'!$A$13:$A$176,'SC CONSIDERATION'!E197)</f>
        <v>0</v>
      </c>
      <c r="K197" s="77">
        <f>SUMIFS('Imports Data'!$B$13:$B$234,'Imports Data'!$A$13:$A$234,'SC CONSIDERATION'!E197)</f>
        <v>370</v>
      </c>
      <c r="L197" s="78">
        <f t="shared" si="5"/>
        <v>-370</v>
      </c>
    </row>
    <row r="198" spans="1:12" hidden="1">
      <c r="A198" t="s">
        <v>492</v>
      </c>
      <c r="B198" s="49">
        <v>860</v>
      </c>
      <c r="C198">
        <v>2023</v>
      </c>
      <c r="E198" t="s">
        <v>296</v>
      </c>
      <c r="F198" s="54">
        <v>41450</v>
      </c>
      <c r="G198" s="54">
        <v>53680</v>
      </c>
      <c r="H198" s="55">
        <v>1409.69</v>
      </c>
      <c r="J198" s="77">
        <f>SUMIFS('Export Data'!$B$13:$B$176,'Export Data'!$A$13:$A$176,'SC CONSIDERATION'!E198)</f>
        <v>0</v>
      </c>
      <c r="K198" s="77">
        <f>SUMIFS('Imports Data'!$B$13:$B$234,'Imports Data'!$A$13:$A$234,'SC CONSIDERATION'!E198)</f>
        <v>0</v>
      </c>
      <c r="L198" s="78">
        <f t="shared" si="5"/>
        <v>0</v>
      </c>
    </row>
    <row r="199" spans="1:12" hidden="1">
      <c r="A199" t="s">
        <v>493</v>
      </c>
      <c r="B199" s="49">
        <v>850</v>
      </c>
      <c r="C199">
        <v>2023</v>
      </c>
      <c r="E199" t="s">
        <v>267</v>
      </c>
      <c r="F199" s="54">
        <v>12790</v>
      </c>
      <c r="G199" s="54">
        <v>15490</v>
      </c>
      <c r="H199" s="55">
        <v>230.44</v>
      </c>
      <c r="J199" s="77">
        <f>SUMIFS('Export Data'!$B$13:$B$176,'Export Data'!$A$13:$A$176,'SC CONSIDERATION'!E199)</f>
        <v>0</v>
      </c>
      <c r="K199" s="77">
        <f>SUMIFS('Imports Data'!$B$13:$B$234,'Imports Data'!$A$13:$A$234,'SC CONSIDERATION'!E199)</f>
        <v>25</v>
      </c>
      <c r="L199" s="78">
        <f t="shared" ref="L199:L201" si="6">J199-K199</f>
        <v>-25</v>
      </c>
    </row>
    <row r="200" spans="1:12" hidden="1">
      <c r="A200" t="s">
        <v>494</v>
      </c>
      <c r="B200" s="49">
        <v>830</v>
      </c>
      <c r="C200">
        <v>2023</v>
      </c>
      <c r="E200" t="s">
        <v>240</v>
      </c>
      <c r="F200" s="54">
        <v>16920</v>
      </c>
      <c r="G200" s="54">
        <v>21820</v>
      </c>
      <c r="H200" s="55">
        <v>211.72</v>
      </c>
      <c r="J200" s="77">
        <f>SUMIFS('Export Data'!$B$13:$B$176,'Export Data'!$A$13:$A$176,'SC CONSIDERATION'!E200)</f>
        <v>0</v>
      </c>
      <c r="K200" s="77">
        <f>SUMIFS('Imports Data'!$B$13:$B$234,'Imports Data'!$A$13:$A$234,'SC CONSIDERATION'!E200)</f>
        <v>2</v>
      </c>
      <c r="L200" s="78">
        <f t="shared" si="6"/>
        <v>-2</v>
      </c>
    </row>
    <row r="201" spans="1:12" hidden="1">
      <c r="A201" t="s">
        <v>495</v>
      </c>
      <c r="B201" s="49">
        <v>820</v>
      </c>
      <c r="C201">
        <v>2018</v>
      </c>
      <c r="E201" t="s">
        <v>224</v>
      </c>
      <c r="F201" s="54">
        <v>7200</v>
      </c>
      <c r="G201" s="54">
        <v>7210</v>
      </c>
      <c r="H201" s="55">
        <v>80.67</v>
      </c>
      <c r="J201" s="77">
        <f>SUMIFS('Export Data'!$B$13:$B$176,'Export Data'!$A$13:$A$176,'SC CONSIDERATION'!E201)</f>
        <v>0</v>
      </c>
      <c r="K201" s="77">
        <f>SUMIFS('Imports Data'!$B$13:$B$234,'Imports Data'!$A$13:$A$234,'SC CONSIDERATION'!E201)</f>
        <v>7</v>
      </c>
      <c r="L201" s="78">
        <f t="shared" si="6"/>
        <v>-7</v>
      </c>
    </row>
    <row r="202" spans="1:12" hidden="1">
      <c r="A202" t="s">
        <v>496</v>
      </c>
      <c r="B202" s="49">
        <v>730</v>
      </c>
      <c r="C202">
        <v>2023</v>
      </c>
    </row>
    <row r="203" spans="1:12" hidden="1">
      <c r="A203" t="s">
        <v>497</v>
      </c>
      <c r="B203" s="49">
        <v>710</v>
      </c>
      <c r="C203">
        <v>2023</v>
      </c>
    </row>
    <row r="204" spans="1:12" hidden="1">
      <c r="A204" t="s">
        <v>498</v>
      </c>
      <c r="B204" s="49">
        <v>660</v>
      </c>
      <c r="C204">
        <v>2023</v>
      </c>
    </row>
    <row r="205" spans="1:12" hidden="1">
      <c r="A205" t="s">
        <v>499</v>
      </c>
      <c r="B205" s="49">
        <v>640</v>
      </c>
      <c r="C205">
        <v>2023</v>
      </c>
    </row>
    <row r="206" spans="1:12" hidden="1">
      <c r="A206" t="s">
        <v>500</v>
      </c>
      <c r="B206" s="49">
        <v>610</v>
      </c>
      <c r="C206">
        <v>2023</v>
      </c>
    </row>
    <row r="207" spans="1:12" hidden="1">
      <c r="A207" t="s">
        <v>501</v>
      </c>
      <c r="B207" s="49">
        <v>600</v>
      </c>
      <c r="C207">
        <v>2023</v>
      </c>
    </row>
    <row r="208" spans="1:12" hidden="1">
      <c r="A208" t="s">
        <v>502</v>
      </c>
      <c r="B208" s="49">
        <v>560</v>
      </c>
      <c r="C208">
        <v>2023</v>
      </c>
    </row>
    <row r="209" spans="1:3" hidden="1">
      <c r="A209" t="s">
        <v>503</v>
      </c>
      <c r="B209" s="49">
        <v>560</v>
      </c>
      <c r="C209">
        <v>2021</v>
      </c>
    </row>
    <row r="210" spans="1:3" hidden="1">
      <c r="A210" t="s">
        <v>504</v>
      </c>
      <c r="B210" s="49">
        <v>530</v>
      </c>
      <c r="C210">
        <v>2023</v>
      </c>
    </row>
    <row r="211" spans="1:3" hidden="1">
      <c r="A211" t="s">
        <v>505</v>
      </c>
      <c r="B211" s="49">
        <v>530</v>
      </c>
      <c r="C211">
        <v>2023</v>
      </c>
    </row>
    <row r="212" spans="1:3" hidden="1">
      <c r="A212" t="s">
        <v>506</v>
      </c>
      <c r="B212">
        <v>470</v>
      </c>
      <c r="C212">
        <v>2023</v>
      </c>
    </row>
    <row r="213" spans="1:3" hidden="1">
      <c r="A213" t="s">
        <v>507</v>
      </c>
      <c r="B213" s="49">
        <v>360</v>
      </c>
      <c r="C213">
        <v>2022</v>
      </c>
    </row>
    <row r="214" spans="1:3" hidden="1">
      <c r="A214" t="s">
        <v>508</v>
      </c>
      <c r="B214" s="49">
        <v>230</v>
      </c>
      <c r="C214">
        <v>2023</v>
      </c>
    </row>
  </sheetData>
  <autoFilter ref="A6:M214" xr:uid="{1724F0C1-2E27-464D-B0D9-730E93DAC2FB}">
    <filterColumn colId="4">
      <filters>
        <filter val="Egypt"/>
      </filters>
    </filterColumn>
  </autoFilter>
  <hyperlinks>
    <hyperlink ref="A5" r:id="rId1" display="https://datacatalogfiles.worldbank.org/ddh-published/0038128/DR0046435/GNIPC.pdf?versionId=2024-07-01T12:43:25.7145590Z" xr:uid="{40BF2B47-4DE7-4701-ACCF-2399DFD02E14}"/>
    <hyperlink ref="E4" r:id="rId2" display="https://worldpopulationreview.com/country-rankings/gni-per-capita-by-country" xr:uid="{D1B118FA-ACBE-4623-980A-A2BB255837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C9B4A-3574-41DE-AA2D-9C8D3F687E43}">
  <sheetPr>
    <tabColor theme="5" tint="0.59999389629810485"/>
    <pageSetUpPr fitToPage="1"/>
  </sheetPr>
  <dimension ref="B1:R54"/>
  <sheetViews>
    <sheetView tabSelected="1" topLeftCell="A36" zoomScaleNormal="100" workbookViewId="0">
      <selection activeCell="G52" sqref="G52"/>
    </sheetView>
  </sheetViews>
  <sheetFormatPr defaultColWidth="9.140625" defaultRowHeight="15"/>
  <cols>
    <col min="1" max="1" width="3.42578125" style="2" customWidth="1"/>
    <col min="2" max="2" width="14.5703125" style="2" bestFit="1" customWidth="1"/>
    <col min="3" max="3" width="44.28515625" style="2" bestFit="1" customWidth="1"/>
    <col min="4" max="4" width="13.85546875" style="2" customWidth="1"/>
    <col min="5" max="5" width="35.140625" style="2" bestFit="1" customWidth="1"/>
    <col min="6" max="6" width="18.140625" style="2" bestFit="1" customWidth="1"/>
    <col min="7" max="7" width="23" style="2" bestFit="1" customWidth="1"/>
    <col min="8" max="8" width="13.140625" style="2" bestFit="1" customWidth="1"/>
    <col min="9" max="9" width="11.140625" style="2" customWidth="1"/>
    <col min="10" max="10" width="13.7109375" style="2" bestFit="1" customWidth="1"/>
    <col min="11" max="11" width="12" style="2" bestFit="1" customWidth="1"/>
    <col min="12" max="12" width="25.85546875" style="2" customWidth="1"/>
    <col min="13" max="13" width="17.28515625" style="2" customWidth="1"/>
    <col min="14" max="14" width="17.140625" style="201" customWidth="1"/>
    <col min="15" max="15" width="9.140625" style="2"/>
    <col min="16" max="16" width="11.28515625" style="2" bestFit="1" customWidth="1"/>
    <col min="17" max="17" width="44.28515625" style="2" bestFit="1" customWidth="1"/>
    <col min="18" max="18" width="10.140625" style="2" bestFit="1" customWidth="1"/>
    <col min="19" max="16384" width="9.140625" style="2"/>
  </cols>
  <sheetData>
    <row r="1" spans="2:18" ht="21">
      <c r="B1" s="89" t="s">
        <v>596</v>
      </c>
    </row>
    <row r="2" spans="2:18">
      <c r="B2" s="1" t="s">
        <v>138</v>
      </c>
    </row>
    <row r="3" spans="2:18">
      <c r="B3" s="1" t="s">
        <v>617</v>
      </c>
    </row>
    <row r="5" spans="2:18">
      <c r="B5" s="3" t="s">
        <v>143</v>
      </c>
      <c r="C5" s="7"/>
      <c r="D5" s="7"/>
      <c r="E5" s="7"/>
      <c r="F5" s="7"/>
      <c r="G5" s="7"/>
      <c r="H5" s="7"/>
      <c r="I5" s="7"/>
      <c r="J5" s="7"/>
      <c r="K5" s="7"/>
      <c r="L5" s="7"/>
      <c r="M5" s="7"/>
      <c r="N5" s="205"/>
    </row>
    <row r="6" spans="2:18" ht="15.75" thickBot="1">
      <c r="B6" s="7"/>
      <c r="C6" s="7"/>
      <c r="D6" s="7"/>
      <c r="E6" s="7"/>
      <c r="F6" s="7"/>
      <c r="G6" s="7"/>
      <c r="H6" s="7"/>
      <c r="I6" s="7"/>
      <c r="J6" s="7"/>
      <c r="K6" s="7"/>
      <c r="L6" s="7"/>
      <c r="M6" s="7"/>
      <c r="N6" s="205"/>
    </row>
    <row r="7" spans="2:18" ht="60">
      <c r="B7" s="8" t="s">
        <v>598</v>
      </c>
      <c r="C7" s="9" t="s">
        <v>1</v>
      </c>
      <c r="D7" s="10" t="s">
        <v>597</v>
      </c>
      <c r="E7" s="10" t="s">
        <v>2</v>
      </c>
      <c r="F7" s="10" t="s">
        <v>3</v>
      </c>
      <c r="G7" s="10" t="s">
        <v>4</v>
      </c>
      <c r="H7" s="11" t="s">
        <v>5</v>
      </c>
      <c r="I7" s="11" t="s">
        <v>6</v>
      </c>
      <c r="J7" s="11" t="s">
        <v>7</v>
      </c>
      <c r="K7" s="11" t="s">
        <v>8</v>
      </c>
      <c r="L7" s="11" t="s">
        <v>144</v>
      </c>
      <c r="M7" s="11" t="s">
        <v>147</v>
      </c>
      <c r="N7" s="206" t="s">
        <v>145</v>
      </c>
      <c r="P7" s="1"/>
      <c r="Q7" s="1"/>
      <c r="R7" s="1"/>
    </row>
    <row r="8" spans="2:18">
      <c r="B8" s="92">
        <v>150000003</v>
      </c>
      <c r="C8" s="90" t="s">
        <v>599</v>
      </c>
      <c r="D8" s="12">
        <v>39159010</v>
      </c>
      <c r="E8" s="13" t="s">
        <v>878</v>
      </c>
      <c r="F8" s="14" t="s">
        <v>900</v>
      </c>
      <c r="G8" s="136">
        <f>'EX-2.1 Chai &amp; vảy'!$D$69</f>
        <v>0.55177263545607536</v>
      </c>
      <c r="H8" s="15" t="s">
        <v>132</v>
      </c>
      <c r="I8" s="15" t="s">
        <v>49</v>
      </c>
      <c r="J8" s="16">
        <v>1</v>
      </c>
      <c r="K8" s="17">
        <f>'EX-3 CPI'!$D$38</f>
        <v>1</v>
      </c>
      <c r="L8" s="19">
        <f>G8/J8*K8</f>
        <v>0.55177263545607536</v>
      </c>
      <c r="M8" s="19">
        <v>1</v>
      </c>
      <c r="N8" s="197">
        <f>L8*M8</f>
        <v>0.55177263545607536</v>
      </c>
    </row>
    <row r="9" spans="2:18">
      <c r="B9" s="93">
        <v>150000113</v>
      </c>
      <c r="C9" s="91" t="s">
        <v>600</v>
      </c>
      <c r="D9" s="12">
        <v>39159010</v>
      </c>
      <c r="E9" s="13" t="s">
        <v>878</v>
      </c>
      <c r="F9" s="14" t="s">
        <v>900</v>
      </c>
      <c r="G9" s="136">
        <f>'EX-2.1 Chai &amp; vảy'!$D$69</f>
        <v>0.55177263545607536</v>
      </c>
      <c r="H9" s="15" t="s">
        <v>132</v>
      </c>
      <c r="I9" s="15" t="s">
        <v>49</v>
      </c>
      <c r="J9" s="16">
        <v>1</v>
      </c>
      <c r="K9" s="17">
        <f>'EX-3 CPI'!$D$38</f>
        <v>1</v>
      </c>
      <c r="L9" s="19">
        <f t="shared" ref="L9:L25" si="0">G9/J9*K9</f>
        <v>0.55177263545607536</v>
      </c>
      <c r="M9" s="19">
        <v>1</v>
      </c>
      <c r="N9" s="197">
        <f t="shared" ref="N9:N43" si="1">L9*M9</f>
        <v>0.55177263545607536</v>
      </c>
    </row>
    <row r="10" spans="2:18">
      <c r="B10" s="93">
        <v>150000004</v>
      </c>
      <c r="C10" s="91" t="s">
        <v>601</v>
      </c>
      <c r="D10" s="12">
        <v>39159010</v>
      </c>
      <c r="E10" s="13" t="s">
        <v>878</v>
      </c>
      <c r="F10" s="14" t="s">
        <v>900</v>
      </c>
      <c r="G10" s="136">
        <f>'EX-2.1 Chai &amp; vảy'!$D$69</f>
        <v>0.55177263545607536</v>
      </c>
      <c r="H10" s="15" t="s">
        <v>132</v>
      </c>
      <c r="I10" s="15" t="s">
        <v>49</v>
      </c>
      <c r="J10" s="16">
        <v>1</v>
      </c>
      <c r="K10" s="17">
        <f>'EX-3 CPI'!$D$38</f>
        <v>1</v>
      </c>
      <c r="L10" s="19">
        <f t="shared" si="0"/>
        <v>0.55177263545607536</v>
      </c>
      <c r="M10" s="19">
        <v>1</v>
      </c>
      <c r="N10" s="197">
        <f t="shared" si="1"/>
        <v>0.55177263545607536</v>
      </c>
    </row>
    <row r="11" spans="2:18">
      <c r="B11" s="93">
        <v>150000050</v>
      </c>
      <c r="C11" s="91" t="s">
        <v>602</v>
      </c>
      <c r="D11" s="12">
        <v>39159010</v>
      </c>
      <c r="E11" s="13" t="s">
        <v>878</v>
      </c>
      <c r="F11" s="14" t="s">
        <v>900</v>
      </c>
      <c r="G11" s="136">
        <f>'EX-2.1 Chai &amp; vảy'!$D$69</f>
        <v>0.55177263545607536</v>
      </c>
      <c r="H11" s="15" t="s">
        <v>132</v>
      </c>
      <c r="I11" s="15" t="s">
        <v>49</v>
      </c>
      <c r="J11" s="16">
        <v>1</v>
      </c>
      <c r="K11" s="17">
        <f>'EX-3 CPI'!$D$38</f>
        <v>1</v>
      </c>
      <c r="L11" s="19">
        <f t="shared" si="0"/>
        <v>0.55177263545607536</v>
      </c>
      <c r="M11" s="19">
        <v>1</v>
      </c>
      <c r="N11" s="197">
        <f t="shared" si="1"/>
        <v>0.55177263545607536</v>
      </c>
    </row>
    <row r="12" spans="2:18">
      <c r="B12" s="93">
        <v>150000005</v>
      </c>
      <c r="C12" s="91" t="s">
        <v>603</v>
      </c>
      <c r="D12" s="12">
        <v>39159010</v>
      </c>
      <c r="E12" s="13" t="s">
        <v>878</v>
      </c>
      <c r="F12" s="14" t="s">
        <v>900</v>
      </c>
      <c r="G12" s="136">
        <f>'EX-2.1 Chai &amp; vảy'!$D$69</f>
        <v>0.55177263545607536</v>
      </c>
      <c r="H12" s="15" t="s">
        <v>132</v>
      </c>
      <c r="I12" s="15" t="s">
        <v>49</v>
      </c>
      <c r="J12" s="16">
        <v>1</v>
      </c>
      <c r="K12" s="17">
        <f>'EX-3 CPI'!$D$38</f>
        <v>1</v>
      </c>
      <c r="L12" s="19">
        <f t="shared" si="0"/>
        <v>0.55177263545607536</v>
      </c>
      <c r="M12" s="19">
        <v>1</v>
      </c>
      <c r="N12" s="197">
        <f t="shared" si="1"/>
        <v>0.55177263545607536</v>
      </c>
    </row>
    <row r="13" spans="2:18" ht="13.5" customHeight="1">
      <c r="B13" s="93">
        <v>150000014</v>
      </c>
      <c r="C13" s="91" t="s">
        <v>604</v>
      </c>
      <c r="D13" s="12">
        <v>39159010</v>
      </c>
      <c r="E13" s="13" t="s">
        <v>878</v>
      </c>
      <c r="F13" s="14" t="s">
        <v>900</v>
      </c>
      <c r="G13" s="136">
        <f>'EX-2.1 Chai &amp; vảy'!$D$69</f>
        <v>0.55177263545607536</v>
      </c>
      <c r="H13" s="15" t="s">
        <v>132</v>
      </c>
      <c r="I13" s="15" t="s">
        <v>49</v>
      </c>
      <c r="J13" s="16">
        <v>1</v>
      </c>
      <c r="K13" s="17">
        <f>'EX-3 CPI'!$D$38</f>
        <v>1</v>
      </c>
      <c r="L13" s="19">
        <f t="shared" si="0"/>
        <v>0.55177263545607536</v>
      </c>
      <c r="M13" s="19">
        <v>1</v>
      </c>
      <c r="N13" s="197">
        <f t="shared" si="1"/>
        <v>0.55177263545607536</v>
      </c>
    </row>
    <row r="14" spans="2:18">
      <c r="B14" s="93">
        <v>150000015</v>
      </c>
      <c r="C14" s="91" t="s">
        <v>605</v>
      </c>
      <c r="D14" s="12">
        <v>39159010</v>
      </c>
      <c r="E14" s="13" t="s">
        <v>878</v>
      </c>
      <c r="F14" s="14" t="s">
        <v>900</v>
      </c>
      <c r="G14" s="136">
        <f>'EX-2.1 Chai &amp; vảy'!$D$69</f>
        <v>0.55177263545607536</v>
      </c>
      <c r="H14" s="15" t="s">
        <v>132</v>
      </c>
      <c r="I14" s="15" t="s">
        <v>49</v>
      </c>
      <c r="J14" s="16">
        <v>1</v>
      </c>
      <c r="K14" s="17">
        <f>'EX-3 CPI'!$D$38</f>
        <v>1</v>
      </c>
      <c r="L14" s="19">
        <f t="shared" si="0"/>
        <v>0.55177263545607536</v>
      </c>
      <c r="M14" s="19">
        <v>1</v>
      </c>
      <c r="N14" s="197">
        <f t="shared" si="1"/>
        <v>0.55177263545607536</v>
      </c>
    </row>
    <row r="15" spans="2:18">
      <c r="B15" s="93">
        <v>150000016</v>
      </c>
      <c r="C15" s="91" t="s">
        <v>606</v>
      </c>
      <c r="D15" s="12">
        <v>39159010</v>
      </c>
      <c r="E15" s="13" t="s">
        <v>878</v>
      </c>
      <c r="F15" s="14" t="s">
        <v>900</v>
      </c>
      <c r="G15" s="136">
        <f>'EX-2.1 Chai &amp; vảy'!$D$69</f>
        <v>0.55177263545607536</v>
      </c>
      <c r="H15" s="15" t="s">
        <v>132</v>
      </c>
      <c r="I15" s="15" t="s">
        <v>49</v>
      </c>
      <c r="J15" s="16">
        <v>1</v>
      </c>
      <c r="K15" s="17">
        <f>'EX-3 CPI'!$D$38</f>
        <v>1</v>
      </c>
      <c r="L15" s="19">
        <f t="shared" si="0"/>
        <v>0.55177263545607536</v>
      </c>
      <c r="M15" s="19">
        <v>1</v>
      </c>
      <c r="N15" s="197">
        <f t="shared" si="1"/>
        <v>0.55177263545607536</v>
      </c>
    </row>
    <row r="16" spans="2:18">
      <c r="B16" s="93">
        <v>150000114</v>
      </c>
      <c r="C16" s="91" t="s">
        <v>607</v>
      </c>
      <c r="D16" s="12">
        <v>39159010</v>
      </c>
      <c r="E16" s="13" t="s">
        <v>878</v>
      </c>
      <c r="F16" s="14" t="s">
        <v>900</v>
      </c>
      <c r="G16" s="136">
        <f>'EX-2.1 Chai &amp; vảy'!$D$69</f>
        <v>0.55177263545607536</v>
      </c>
      <c r="H16" s="15" t="s">
        <v>132</v>
      </c>
      <c r="I16" s="15" t="s">
        <v>49</v>
      </c>
      <c r="J16" s="16">
        <v>1</v>
      </c>
      <c r="K16" s="17">
        <f>'EX-3 CPI'!$D$38</f>
        <v>1</v>
      </c>
      <c r="L16" s="19">
        <f t="shared" si="0"/>
        <v>0.55177263545607536</v>
      </c>
      <c r="M16" s="19">
        <v>1</v>
      </c>
      <c r="N16" s="197">
        <f t="shared" si="1"/>
        <v>0.55177263545607536</v>
      </c>
    </row>
    <row r="17" spans="2:14">
      <c r="B17" s="93">
        <v>150000010</v>
      </c>
      <c r="C17" s="91" t="s">
        <v>608</v>
      </c>
      <c r="D17" s="12">
        <v>39159010</v>
      </c>
      <c r="E17" s="13" t="s">
        <v>878</v>
      </c>
      <c r="F17" s="14" t="s">
        <v>900</v>
      </c>
      <c r="G17" s="136">
        <f>'EX-2.1 Chai &amp; vảy'!$D$69</f>
        <v>0.55177263545607536</v>
      </c>
      <c r="H17" s="15" t="s">
        <v>132</v>
      </c>
      <c r="I17" s="15" t="s">
        <v>49</v>
      </c>
      <c r="J17" s="16">
        <v>1</v>
      </c>
      <c r="K17" s="17">
        <f>'EX-3 CPI'!$D$38</f>
        <v>1</v>
      </c>
      <c r="L17" s="19">
        <f t="shared" si="0"/>
        <v>0.55177263545607536</v>
      </c>
      <c r="M17" s="19">
        <v>1</v>
      </c>
      <c r="N17" s="197">
        <f t="shared" si="1"/>
        <v>0.55177263545607536</v>
      </c>
    </row>
    <row r="18" spans="2:14">
      <c r="B18" s="93">
        <v>150000051</v>
      </c>
      <c r="C18" s="91" t="s">
        <v>609</v>
      </c>
      <c r="D18" s="12">
        <v>39159010</v>
      </c>
      <c r="E18" s="13" t="s">
        <v>878</v>
      </c>
      <c r="F18" s="14" t="s">
        <v>900</v>
      </c>
      <c r="G18" s="136">
        <f>'EX-2.1 Chai &amp; vảy'!$D$69</f>
        <v>0.55177263545607536</v>
      </c>
      <c r="H18" s="15" t="s">
        <v>132</v>
      </c>
      <c r="I18" s="15" t="s">
        <v>49</v>
      </c>
      <c r="J18" s="16">
        <v>1</v>
      </c>
      <c r="K18" s="17">
        <f>'EX-3 CPI'!$D$38</f>
        <v>1</v>
      </c>
      <c r="L18" s="19">
        <f t="shared" si="0"/>
        <v>0.55177263545607536</v>
      </c>
      <c r="M18" s="19">
        <v>1</v>
      </c>
      <c r="N18" s="197">
        <f t="shared" si="1"/>
        <v>0.55177263545607536</v>
      </c>
    </row>
    <row r="19" spans="2:14">
      <c r="B19" s="93">
        <v>150000052</v>
      </c>
      <c r="C19" s="91" t="s">
        <v>610</v>
      </c>
      <c r="D19" s="12">
        <v>39159010</v>
      </c>
      <c r="E19" s="13" t="s">
        <v>878</v>
      </c>
      <c r="F19" s="14" t="s">
        <v>900</v>
      </c>
      <c r="G19" s="136">
        <f>'EX-2.1 Chai &amp; vảy'!$D$69</f>
        <v>0.55177263545607536</v>
      </c>
      <c r="H19" s="15" t="s">
        <v>132</v>
      </c>
      <c r="I19" s="15" t="s">
        <v>49</v>
      </c>
      <c r="J19" s="16">
        <v>1</v>
      </c>
      <c r="K19" s="17">
        <f>'EX-3 CPI'!$D$38</f>
        <v>1</v>
      </c>
      <c r="L19" s="19">
        <f t="shared" si="0"/>
        <v>0.55177263545607536</v>
      </c>
      <c r="M19" s="19">
        <v>1</v>
      </c>
      <c r="N19" s="197">
        <f t="shared" si="1"/>
        <v>0.55177263545607536</v>
      </c>
    </row>
    <row r="20" spans="2:14">
      <c r="B20" s="93">
        <v>150000053</v>
      </c>
      <c r="C20" s="91" t="s">
        <v>611</v>
      </c>
      <c r="D20" s="12">
        <v>39159010</v>
      </c>
      <c r="E20" s="13" t="s">
        <v>878</v>
      </c>
      <c r="F20" s="14" t="s">
        <v>900</v>
      </c>
      <c r="G20" s="136">
        <f>'EX-2.1 Chai &amp; vảy'!$D$69</f>
        <v>0.55177263545607536</v>
      </c>
      <c r="H20" s="15" t="s">
        <v>132</v>
      </c>
      <c r="I20" s="15" t="s">
        <v>49</v>
      </c>
      <c r="J20" s="16">
        <v>1</v>
      </c>
      <c r="K20" s="17">
        <f>'EX-3 CPI'!$D$38</f>
        <v>1</v>
      </c>
      <c r="L20" s="19">
        <f t="shared" si="0"/>
        <v>0.55177263545607536</v>
      </c>
      <c r="M20" s="19">
        <v>1</v>
      </c>
      <c r="N20" s="197">
        <f t="shared" si="1"/>
        <v>0.55177263545607536</v>
      </c>
    </row>
    <row r="21" spans="2:14">
      <c r="B21" s="93">
        <v>700000196</v>
      </c>
      <c r="C21" s="91" t="s">
        <v>612</v>
      </c>
      <c r="D21" s="12">
        <v>32061990</v>
      </c>
      <c r="E21" s="13" t="s">
        <v>878</v>
      </c>
      <c r="F21" s="14" t="s">
        <v>900</v>
      </c>
      <c r="G21" s="136">
        <f>'EX-2.3 Phụ gia 409'!$G$6</f>
        <v>4.8268555683125642</v>
      </c>
      <c r="H21" s="15" t="s">
        <v>132</v>
      </c>
      <c r="I21" s="15" t="s">
        <v>49</v>
      </c>
      <c r="J21" s="16">
        <v>1</v>
      </c>
      <c r="K21" s="17">
        <f>'EX-3 CPI'!$D$38</f>
        <v>1</v>
      </c>
      <c r="L21" s="19">
        <f t="shared" si="0"/>
        <v>4.8268555683125642</v>
      </c>
      <c r="M21" s="19">
        <v>1</v>
      </c>
      <c r="N21" s="207">
        <f>L21*M21</f>
        <v>4.8268555683125642</v>
      </c>
    </row>
    <row r="22" spans="2:14">
      <c r="B22" s="93">
        <v>700000169</v>
      </c>
      <c r="C22" s="91" t="s">
        <v>613</v>
      </c>
      <c r="D22" s="12">
        <v>32049000</v>
      </c>
      <c r="E22" s="13" t="s">
        <v>878</v>
      </c>
      <c r="F22" s="14">
        <v>2023</v>
      </c>
      <c r="G22" s="136">
        <f>'EX-2.4 Phụ gia khác'!$D$6</f>
        <v>5.9997551120362431E-2</v>
      </c>
      <c r="H22" s="15" t="s">
        <v>132</v>
      </c>
      <c r="I22" s="15" t="s">
        <v>49</v>
      </c>
      <c r="J22" s="16">
        <v>1</v>
      </c>
      <c r="K22" s="17">
        <f>VLOOKUP(F22,'EX-3 CPI'!$B$33:$D$38,3,0)</f>
        <v>1.2017885475263237</v>
      </c>
      <c r="L22" s="19">
        <f t="shared" si="0"/>
        <v>7.2104369816076722E-2</v>
      </c>
      <c r="M22" s="19">
        <v>1</v>
      </c>
      <c r="N22" s="207">
        <f>L22*M22</f>
        <v>7.2104369816076722E-2</v>
      </c>
    </row>
    <row r="23" spans="2:14">
      <c r="B23" s="93">
        <v>120003033</v>
      </c>
      <c r="C23" s="91" t="s">
        <v>614</v>
      </c>
      <c r="D23" s="12">
        <v>32049000</v>
      </c>
      <c r="E23" s="13" t="s">
        <v>878</v>
      </c>
      <c r="F23" s="14">
        <v>2023</v>
      </c>
      <c r="G23" s="136">
        <f>'EX-2.4 Phụ gia khác'!$D$6</f>
        <v>5.9997551120362431E-2</v>
      </c>
      <c r="H23" s="15" t="s">
        <v>132</v>
      </c>
      <c r="I23" s="15" t="s">
        <v>49</v>
      </c>
      <c r="J23" s="16">
        <v>1</v>
      </c>
      <c r="K23" s="17">
        <f>VLOOKUP(F23,'EX-3 CPI'!$B$33:$D$38,3,0)</f>
        <v>1.2017885475263237</v>
      </c>
      <c r="L23" s="19">
        <f t="shared" si="0"/>
        <v>7.2104369816076722E-2</v>
      </c>
      <c r="M23" s="19">
        <v>1</v>
      </c>
      <c r="N23" s="207">
        <f>L23*M23</f>
        <v>7.2104369816076722E-2</v>
      </c>
    </row>
    <row r="24" spans="2:14">
      <c r="B24" s="93">
        <v>120002994</v>
      </c>
      <c r="C24" s="91" t="s">
        <v>615</v>
      </c>
      <c r="D24" s="12">
        <v>32049000</v>
      </c>
      <c r="E24" s="13" t="s">
        <v>878</v>
      </c>
      <c r="F24" s="14">
        <v>2023</v>
      </c>
      <c r="G24" s="136">
        <f>'EX-2.4 Phụ gia khác'!$D$6</f>
        <v>5.9997551120362431E-2</v>
      </c>
      <c r="H24" s="15" t="s">
        <v>132</v>
      </c>
      <c r="I24" s="15" t="s">
        <v>49</v>
      </c>
      <c r="J24" s="16">
        <v>1</v>
      </c>
      <c r="K24" s="17">
        <f>VLOOKUP(F24,'EX-3 CPI'!$B$33:$D$38,3,0)</f>
        <v>1.2017885475263237</v>
      </c>
      <c r="L24" s="19">
        <f t="shared" si="0"/>
        <v>7.2104369816076722E-2</v>
      </c>
      <c r="M24" s="19">
        <v>1</v>
      </c>
      <c r="N24" s="207">
        <f t="shared" si="1"/>
        <v>7.2104369816076722E-2</v>
      </c>
    </row>
    <row r="25" spans="2:14">
      <c r="B25" s="93">
        <v>120003028</v>
      </c>
      <c r="C25" s="91" t="s">
        <v>616</v>
      </c>
      <c r="D25" s="12">
        <v>3206199</v>
      </c>
      <c r="E25" s="13" t="s">
        <v>878</v>
      </c>
      <c r="F25" s="14">
        <v>2023</v>
      </c>
      <c r="G25" s="136">
        <f>'EX-2.5 Phụ gia RHC'!D7</f>
        <v>4.824143070044709</v>
      </c>
      <c r="H25" s="15" t="s">
        <v>132</v>
      </c>
      <c r="I25" s="15" t="s">
        <v>49</v>
      </c>
      <c r="J25" s="16">
        <v>1</v>
      </c>
      <c r="K25" s="17">
        <f>VLOOKUP(F25,'EX-3 CPI'!$B$33:$D$38,3,0)</f>
        <v>1.2017885475263237</v>
      </c>
      <c r="L25" s="19">
        <f t="shared" si="0"/>
        <v>5.7975998932082105</v>
      </c>
      <c r="M25" s="19">
        <v>1</v>
      </c>
      <c r="N25" s="207">
        <f t="shared" si="1"/>
        <v>5.7975998932082105</v>
      </c>
    </row>
    <row r="26" spans="2:14">
      <c r="B26" s="93">
        <v>150000078</v>
      </c>
      <c r="C26" s="91" t="s">
        <v>969</v>
      </c>
      <c r="D26" s="12">
        <v>39159010</v>
      </c>
      <c r="E26" s="13" t="s">
        <v>878</v>
      </c>
      <c r="F26" s="14" t="s">
        <v>900</v>
      </c>
      <c r="G26" s="136">
        <f>'EX-2.1 Chai &amp; vảy'!$D$69</f>
        <v>0.55177263545607536</v>
      </c>
      <c r="H26" s="15" t="s">
        <v>132</v>
      </c>
      <c r="I26" s="15" t="s">
        <v>49</v>
      </c>
      <c r="J26" s="16">
        <v>1</v>
      </c>
      <c r="K26" s="17">
        <f>'EX-3 CPI'!$D$38</f>
        <v>1</v>
      </c>
      <c r="L26" s="19">
        <f t="shared" ref="L26:L28" si="2">G26/J26*K26</f>
        <v>0.55177263545607536</v>
      </c>
      <c r="M26" s="19">
        <v>1</v>
      </c>
      <c r="N26" s="197">
        <f t="shared" ref="N26:N28" si="3">L26*M26</f>
        <v>0.55177263545607536</v>
      </c>
    </row>
    <row r="27" spans="2:14">
      <c r="B27" s="93">
        <v>150000018</v>
      </c>
      <c r="C27" s="91" t="s">
        <v>970</v>
      </c>
      <c r="D27" s="12">
        <v>39159010</v>
      </c>
      <c r="E27" s="13" t="s">
        <v>878</v>
      </c>
      <c r="F27" s="14" t="s">
        <v>900</v>
      </c>
      <c r="G27" s="136">
        <f>'EX-2.1 Chai &amp; vảy'!$D$69</f>
        <v>0.55177263545607536</v>
      </c>
      <c r="H27" s="15" t="s">
        <v>132</v>
      </c>
      <c r="I27" s="15" t="s">
        <v>49</v>
      </c>
      <c r="J27" s="16">
        <v>1</v>
      </c>
      <c r="K27" s="17">
        <f>'EX-3 CPI'!$D$38</f>
        <v>1</v>
      </c>
      <c r="L27" s="19">
        <f t="shared" si="2"/>
        <v>0.55177263545607536</v>
      </c>
      <c r="M27" s="19">
        <v>1</v>
      </c>
      <c r="N27" s="197">
        <f t="shared" si="3"/>
        <v>0.55177263545607536</v>
      </c>
    </row>
    <row r="28" spans="2:14">
      <c r="B28" s="93">
        <v>150000061</v>
      </c>
      <c r="C28" s="91" t="s">
        <v>971</v>
      </c>
      <c r="D28" s="12">
        <v>39159010</v>
      </c>
      <c r="E28" s="13" t="s">
        <v>878</v>
      </c>
      <c r="F28" s="14" t="s">
        <v>900</v>
      </c>
      <c r="G28" s="136">
        <f>'EX-2.1 Chai &amp; vảy'!$D$69</f>
        <v>0.55177263545607536</v>
      </c>
      <c r="H28" s="15" t="s">
        <v>132</v>
      </c>
      <c r="I28" s="15" t="s">
        <v>49</v>
      </c>
      <c r="J28" s="16">
        <v>1</v>
      </c>
      <c r="K28" s="17">
        <f>'EX-3 CPI'!$D$38</f>
        <v>1</v>
      </c>
      <c r="L28" s="19">
        <f t="shared" si="2"/>
        <v>0.55177263545607536</v>
      </c>
      <c r="M28" s="19">
        <v>1</v>
      </c>
      <c r="N28" s="197">
        <f t="shared" si="3"/>
        <v>0.55177263545607536</v>
      </c>
    </row>
    <row r="29" spans="2:14">
      <c r="B29" s="93">
        <v>120003031</v>
      </c>
      <c r="C29" s="91" t="s">
        <v>974</v>
      </c>
      <c r="D29" s="12">
        <v>32061990</v>
      </c>
      <c r="E29" s="13" t="s">
        <v>878</v>
      </c>
      <c r="F29" s="14" t="s">
        <v>900</v>
      </c>
      <c r="G29" s="136">
        <f>'EX-2.3 Phụ gia 409'!$G$6</f>
        <v>4.8268555683125642</v>
      </c>
      <c r="H29" s="15" t="s">
        <v>132</v>
      </c>
      <c r="I29" s="15" t="s">
        <v>49</v>
      </c>
      <c r="J29" s="16">
        <v>1</v>
      </c>
      <c r="K29" s="17">
        <f>'EX-3 CPI'!$D$38</f>
        <v>1</v>
      </c>
      <c r="L29" s="19">
        <f t="shared" ref="L29:L30" si="4">G29/J29*K29</f>
        <v>4.8268555683125642</v>
      </c>
      <c r="M29" s="19">
        <v>1</v>
      </c>
      <c r="N29" s="207">
        <f t="shared" ref="N29:N30" si="5">L29*M29</f>
        <v>4.8268555683125642</v>
      </c>
    </row>
    <row r="30" spans="2:14">
      <c r="B30" s="93">
        <v>120003027</v>
      </c>
      <c r="C30" s="91" t="s">
        <v>975</v>
      </c>
      <c r="D30" s="12">
        <v>32061990</v>
      </c>
      <c r="E30" s="13" t="s">
        <v>878</v>
      </c>
      <c r="F30" s="14" t="s">
        <v>900</v>
      </c>
      <c r="G30" s="136">
        <f>'EX-2.3 Phụ gia 409'!$G$6</f>
        <v>4.8268555683125642</v>
      </c>
      <c r="H30" s="15" t="s">
        <v>132</v>
      </c>
      <c r="I30" s="15" t="s">
        <v>49</v>
      </c>
      <c r="J30" s="16">
        <v>1</v>
      </c>
      <c r="K30" s="17">
        <f>'EX-3 CPI'!$D$38</f>
        <v>1</v>
      </c>
      <c r="L30" s="19">
        <f t="shared" si="4"/>
        <v>4.8268555683125642</v>
      </c>
      <c r="M30" s="19">
        <v>1</v>
      </c>
      <c r="N30" s="207">
        <f t="shared" si="5"/>
        <v>4.8268555683125642</v>
      </c>
    </row>
    <row r="31" spans="2:14">
      <c r="B31" s="93">
        <v>700000185</v>
      </c>
      <c r="C31" s="91" t="s">
        <v>972</v>
      </c>
      <c r="D31" s="12">
        <v>38249970</v>
      </c>
      <c r="E31" s="13" t="s">
        <v>878</v>
      </c>
      <c r="F31" s="14" t="s">
        <v>900</v>
      </c>
      <c r="G31" s="136">
        <f>'EX-2.6 Phá bọt'!D6</f>
        <v>4.7189260832763908</v>
      </c>
      <c r="H31" s="15" t="s">
        <v>132</v>
      </c>
      <c r="I31" s="15" t="s">
        <v>49</v>
      </c>
      <c r="J31" s="16">
        <v>1</v>
      </c>
      <c r="K31" s="17">
        <f>'EX-3 CPI'!$D$38</f>
        <v>1</v>
      </c>
      <c r="L31" s="19">
        <f>G31/J31*K31</f>
        <v>4.7189260832763908</v>
      </c>
      <c r="M31" s="19">
        <v>1</v>
      </c>
      <c r="N31" s="207">
        <f>L31*M31</f>
        <v>4.7189260832763908</v>
      </c>
    </row>
    <row r="32" spans="2:14">
      <c r="B32" s="93">
        <v>120002594</v>
      </c>
      <c r="C32" s="91" t="s">
        <v>973</v>
      </c>
      <c r="D32" s="12">
        <v>28391990</v>
      </c>
      <c r="E32" s="13" t="s">
        <v>878</v>
      </c>
      <c r="F32" s="14" t="s">
        <v>900</v>
      </c>
      <c r="G32" s="136">
        <f>'EX-2.7- Thủy tinh lỏng'!D6</f>
        <v>0.58017401247131062</v>
      </c>
      <c r="H32" s="15" t="s">
        <v>132</v>
      </c>
      <c r="I32" s="15" t="s">
        <v>49</v>
      </c>
      <c r="J32" s="16">
        <v>1</v>
      </c>
      <c r="K32" s="17">
        <f>'EX-3 CPI'!$D$38</f>
        <v>1</v>
      </c>
      <c r="L32" s="19">
        <f>G32/J32*K32</f>
        <v>0.58017401247131062</v>
      </c>
      <c r="M32" s="19">
        <v>1</v>
      </c>
      <c r="N32" s="207">
        <f>L32*M32</f>
        <v>0.58017401247131062</v>
      </c>
    </row>
    <row r="33" spans="2:14">
      <c r="B33" s="93">
        <v>700000180</v>
      </c>
      <c r="C33" s="91" t="s">
        <v>976</v>
      </c>
      <c r="D33" s="12">
        <v>28151100</v>
      </c>
      <c r="E33" s="13" t="s">
        <v>878</v>
      </c>
      <c r="F33" s="14" t="s">
        <v>900</v>
      </c>
      <c r="G33" s="136">
        <f>'EX-2.8 Sodium 281511'!$D$6</f>
        <v>0.87114878475625257</v>
      </c>
      <c r="H33" s="15" t="s">
        <v>132</v>
      </c>
      <c r="I33" s="15" t="s">
        <v>49</v>
      </c>
      <c r="J33" s="16">
        <v>1</v>
      </c>
      <c r="K33" s="17">
        <f>'EX-3 CPI'!$D$38</f>
        <v>1</v>
      </c>
      <c r="L33" s="19">
        <f t="shared" ref="L33:L40" si="6">G33/J33*K33</f>
        <v>0.87114878475625257</v>
      </c>
      <c r="M33" s="19">
        <v>1</v>
      </c>
      <c r="N33" s="207">
        <f t="shared" ref="N33:N40" si="7">L33*M33</f>
        <v>0.87114878475625257</v>
      </c>
    </row>
    <row r="34" spans="2:14">
      <c r="B34" s="93">
        <v>700000180</v>
      </c>
      <c r="C34" s="91" t="s">
        <v>977</v>
      </c>
      <c r="D34" s="12">
        <v>28151200</v>
      </c>
      <c r="E34" s="13" t="s">
        <v>878</v>
      </c>
      <c r="F34" s="14" t="s">
        <v>900</v>
      </c>
      <c r="G34" s="136">
        <f>'EX-2.9 Sodium 281512'!D6</f>
        <v>0.45179294770950046</v>
      </c>
      <c r="H34" s="15" t="s">
        <v>132</v>
      </c>
      <c r="I34" s="15" t="s">
        <v>49</v>
      </c>
      <c r="J34" s="16">
        <v>1</v>
      </c>
      <c r="K34" s="17">
        <f>'EX-3 CPI'!$D$38</f>
        <v>1</v>
      </c>
      <c r="L34" s="19">
        <f t="shared" si="6"/>
        <v>0.45179294770950046</v>
      </c>
      <c r="M34" s="19">
        <v>1</v>
      </c>
      <c r="N34" s="207">
        <f t="shared" si="7"/>
        <v>0.45179294770950046</v>
      </c>
    </row>
    <row r="35" spans="2:14">
      <c r="B35" s="93">
        <v>140005072</v>
      </c>
      <c r="C35" s="91" t="s">
        <v>978</v>
      </c>
      <c r="D35" s="309">
        <v>39232990</v>
      </c>
      <c r="E35" s="13" t="s">
        <v>878</v>
      </c>
      <c r="F35" s="14" t="s">
        <v>900</v>
      </c>
      <c r="G35" s="136">
        <f>'EX-2.11 Bao bì'!$D$6</f>
        <v>6.3871807062155828</v>
      </c>
      <c r="H35" s="15" t="s">
        <v>132</v>
      </c>
      <c r="I35" s="15" t="s">
        <v>49</v>
      </c>
      <c r="J35" s="16">
        <v>1</v>
      </c>
      <c r="K35" s="17">
        <f>'EX-3 CPI'!$D$38</f>
        <v>1</v>
      </c>
      <c r="L35" s="19">
        <f t="shared" si="6"/>
        <v>6.3871807062155828</v>
      </c>
      <c r="M35" s="19">
        <v>1</v>
      </c>
      <c r="N35" s="207">
        <f t="shared" si="7"/>
        <v>6.3871807062155828</v>
      </c>
    </row>
    <row r="36" spans="2:14">
      <c r="B36" s="93">
        <v>140006135</v>
      </c>
      <c r="C36" s="91" t="s">
        <v>979</v>
      </c>
      <c r="D36" s="309">
        <v>39232990</v>
      </c>
      <c r="E36" s="13" t="s">
        <v>878</v>
      </c>
      <c r="F36" s="14" t="s">
        <v>900</v>
      </c>
      <c r="G36" s="136">
        <f>'EX-2.11 Bao bì'!$D$6</f>
        <v>6.3871807062155828</v>
      </c>
      <c r="H36" s="15" t="s">
        <v>132</v>
      </c>
      <c r="I36" s="15" t="s">
        <v>49</v>
      </c>
      <c r="J36" s="16">
        <v>1</v>
      </c>
      <c r="K36" s="17">
        <f>'EX-3 CPI'!$D$38</f>
        <v>1</v>
      </c>
      <c r="L36" s="19">
        <f t="shared" si="6"/>
        <v>6.3871807062155828</v>
      </c>
      <c r="M36" s="19">
        <v>1</v>
      </c>
      <c r="N36" s="207">
        <f t="shared" si="7"/>
        <v>6.3871807062155828</v>
      </c>
    </row>
    <row r="37" spans="2:14">
      <c r="B37" s="93">
        <v>140006103</v>
      </c>
      <c r="C37" s="91" t="s">
        <v>980</v>
      </c>
      <c r="D37" s="309">
        <v>39232990</v>
      </c>
      <c r="E37" s="13" t="s">
        <v>878</v>
      </c>
      <c r="F37" s="14" t="s">
        <v>900</v>
      </c>
      <c r="G37" s="136">
        <f>'EX-2.11 Bao bì'!$D$6</f>
        <v>6.3871807062155828</v>
      </c>
      <c r="H37" s="15" t="s">
        <v>132</v>
      </c>
      <c r="I37" s="15" t="s">
        <v>49</v>
      </c>
      <c r="J37" s="16">
        <v>1</v>
      </c>
      <c r="K37" s="17">
        <f>'EX-3 CPI'!$D$38</f>
        <v>1</v>
      </c>
      <c r="L37" s="19">
        <f t="shared" si="6"/>
        <v>6.3871807062155828</v>
      </c>
      <c r="M37" s="19">
        <v>1</v>
      </c>
      <c r="N37" s="207">
        <f t="shared" si="7"/>
        <v>6.3871807062155828</v>
      </c>
    </row>
    <row r="38" spans="2:14">
      <c r="B38" s="93">
        <v>140006125</v>
      </c>
      <c r="C38" s="91" t="s">
        <v>981</v>
      </c>
      <c r="D38" s="309">
        <v>39232990</v>
      </c>
      <c r="E38" s="13" t="s">
        <v>878</v>
      </c>
      <c r="F38" s="14" t="s">
        <v>900</v>
      </c>
      <c r="G38" s="136">
        <f>'EX-2.11 Bao bì'!$D$6</f>
        <v>6.3871807062155828</v>
      </c>
      <c r="H38" s="15" t="s">
        <v>132</v>
      </c>
      <c r="I38" s="15" t="s">
        <v>49</v>
      </c>
      <c r="J38" s="16">
        <v>1</v>
      </c>
      <c r="K38" s="17">
        <f>'EX-3 CPI'!$D$38</f>
        <v>1</v>
      </c>
      <c r="L38" s="19">
        <f t="shared" si="6"/>
        <v>6.3871807062155828</v>
      </c>
      <c r="M38" s="19">
        <v>1</v>
      </c>
      <c r="N38" s="207">
        <f t="shared" si="7"/>
        <v>6.3871807062155828</v>
      </c>
    </row>
    <row r="39" spans="2:14">
      <c r="B39" s="93">
        <v>140006123</v>
      </c>
      <c r="C39" s="91" t="s">
        <v>982</v>
      </c>
      <c r="D39" s="309">
        <v>39232990</v>
      </c>
      <c r="E39" s="13" t="s">
        <v>878</v>
      </c>
      <c r="F39" s="14" t="s">
        <v>900</v>
      </c>
      <c r="G39" s="136">
        <f>'EX-2.11 Bao bì'!$D$6</f>
        <v>6.3871807062155828</v>
      </c>
      <c r="H39" s="15" t="s">
        <v>132</v>
      </c>
      <c r="I39" s="15" t="s">
        <v>49</v>
      </c>
      <c r="J39" s="16">
        <v>1</v>
      </c>
      <c r="K39" s="17">
        <f>'EX-3 CPI'!$D$38</f>
        <v>1</v>
      </c>
      <c r="L39" s="19">
        <f t="shared" si="6"/>
        <v>6.3871807062155828</v>
      </c>
      <c r="M39" s="19">
        <v>1</v>
      </c>
      <c r="N39" s="207">
        <f t="shared" si="7"/>
        <v>6.3871807062155828</v>
      </c>
    </row>
    <row r="40" spans="2:14">
      <c r="B40" s="93">
        <v>140006107</v>
      </c>
      <c r="C40" s="91" t="s">
        <v>983</v>
      </c>
      <c r="D40" s="12">
        <v>44152000</v>
      </c>
      <c r="E40" s="13" t="s">
        <v>878</v>
      </c>
      <c r="F40" s="14" t="s">
        <v>900</v>
      </c>
      <c r="G40" s="136">
        <f>'EX-2.10 Pallet gỗ'!D6</f>
        <v>12.096353388925086</v>
      </c>
      <c r="H40" s="15" t="s">
        <v>132</v>
      </c>
      <c r="I40" s="15" t="s">
        <v>49</v>
      </c>
      <c r="J40" s="16">
        <v>1</v>
      </c>
      <c r="K40" s="17">
        <f>'EX-3 CPI'!$D$38</f>
        <v>1</v>
      </c>
      <c r="L40" s="19">
        <f t="shared" si="6"/>
        <v>12.096353388925086</v>
      </c>
      <c r="M40" s="19">
        <v>1</v>
      </c>
      <c r="N40" s="207">
        <f t="shared" si="7"/>
        <v>12.096353388925086</v>
      </c>
    </row>
    <row r="41" spans="2:14">
      <c r="B41" s="93"/>
      <c r="C41" s="91"/>
      <c r="D41" s="12"/>
      <c r="E41" s="13"/>
      <c r="F41" s="14"/>
      <c r="G41" s="136"/>
      <c r="H41" s="15"/>
      <c r="I41" s="15"/>
      <c r="J41" s="16"/>
      <c r="K41" s="17"/>
      <c r="L41" s="19"/>
      <c r="M41" s="19"/>
      <c r="N41" s="207"/>
    </row>
    <row r="42" spans="2:14">
      <c r="B42" s="135" t="s">
        <v>9</v>
      </c>
      <c r="C42" s="91" t="s">
        <v>10</v>
      </c>
      <c r="D42" s="20" t="s">
        <v>11</v>
      </c>
      <c r="E42" s="21"/>
      <c r="F42" s="20">
        <v>2022</v>
      </c>
      <c r="G42" s="204">
        <f>'EX-5A LABOR'!$I$20</f>
        <v>0.93853993344425968</v>
      </c>
      <c r="H42" s="15" t="s">
        <v>133</v>
      </c>
      <c r="I42" s="15" t="s">
        <v>134</v>
      </c>
      <c r="J42" s="16">
        <v>1</v>
      </c>
      <c r="K42" s="17">
        <f>VLOOKUP(F42,'EX-3 CPI'!$B$33:$D$38,3,0)</f>
        <v>1.609011908593502</v>
      </c>
      <c r="L42" s="19">
        <f>G42/J42*K42</f>
        <v>1.5101219296023665</v>
      </c>
      <c r="M42" s="19">
        <v>1</v>
      </c>
      <c r="N42" s="197">
        <f>L42*M42</f>
        <v>1.5101219296023665</v>
      </c>
    </row>
    <row r="43" spans="2:14">
      <c r="B43" s="135" t="s">
        <v>12</v>
      </c>
      <c r="C43" s="91" t="s">
        <v>13</v>
      </c>
      <c r="D43" s="20" t="s">
        <v>11</v>
      </c>
      <c r="E43" s="21"/>
      <c r="F43" s="20">
        <v>2022</v>
      </c>
      <c r="G43" s="204">
        <f>'EX-5A LABOR'!$I$20</f>
        <v>0.93853993344425968</v>
      </c>
      <c r="H43" s="15" t="s">
        <v>133</v>
      </c>
      <c r="I43" s="15" t="s">
        <v>134</v>
      </c>
      <c r="J43" s="16">
        <v>1</v>
      </c>
      <c r="K43" s="17">
        <f>VLOOKUP(F43,'EX-3 CPI'!$B$33:$D$38,3,0)</f>
        <v>1.609011908593502</v>
      </c>
      <c r="L43" s="18">
        <f t="shared" ref="L43" si="8">G43/J43*K43</f>
        <v>1.5101219296023665</v>
      </c>
      <c r="M43" s="19">
        <v>1</v>
      </c>
      <c r="N43" s="197">
        <f t="shared" si="1"/>
        <v>1.5101219296023665</v>
      </c>
    </row>
    <row r="44" spans="2:14">
      <c r="B44" s="135" t="s">
        <v>14</v>
      </c>
      <c r="C44" s="91" t="s">
        <v>15</v>
      </c>
      <c r="D44" s="20" t="s">
        <v>11</v>
      </c>
      <c r="E44" s="13"/>
      <c r="F44" s="14">
        <v>2023</v>
      </c>
      <c r="G44" s="204">
        <f>'EX-6A ELEC'!B11</f>
        <v>2.4E-2</v>
      </c>
      <c r="H44" s="15" t="s">
        <v>948</v>
      </c>
      <c r="I44" s="15" t="s">
        <v>135</v>
      </c>
      <c r="J44" s="16">
        <v>1</v>
      </c>
      <c r="K44" s="17">
        <f>VLOOKUP(F44,'EX-3 CPI'!$B$33:$D$38,3,0)</f>
        <v>1.2017885475263237</v>
      </c>
      <c r="L44" s="18">
        <f>G44/J44*K44</f>
        <v>2.8842925140631769E-2</v>
      </c>
      <c r="M44" s="19">
        <v>1</v>
      </c>
      <c r="N44" s="197">
        <f>L44*M44</f>
        <v>2.8842925140631769E-2</v>
      </c>
    </row>
    <row r="45" spans="2:14">
      <c r="B45" s="135" t="s">
        <v>1032</v>
      </c>
      <c r="C45" s="91" t="s">
        <v>1033</v>
      </c>
      <c r="D45" s="20" t="s">
        <v>11</v>
      </c>
      <c r="E45" s="13"/>
      <c r="F45" s="14" t="s">
        <v>900</v>
      </c>
      <c r="G45" s="204">
        <f>Water!C7</f>
        <v>0.11</v>
      </c>
      <c r="H45" s="15"/>
      <c r="I45" s="15"/>
      <c r="J45" s="16"/>
      <c r="K45" s="17"/>
      <c r="L45" s="18"/>
      <c r="M45" s="19"/>
      <c r="N45" s="197"/>
    </row>
    <row r="46" spans="2:14">
      <c r="B46" s="135" t="s">
        <v>16</v>
      </c>
      <c r="C46" s="91" t="s">
        <v>17</v>
      </c>
      <c r="D46" s="20" t="s">
        <v>11</v>
      </c>
      <c r="E46" s="22" t="s">
        <v>18</v>
      </c>
      <c r="F46" s="14" t="s">
        <v>900</v>
      </c>
      <c r="G46" s="280">
        <f>'EX-10A FINRATIO'!B9</f>
        <v>5.478640305985024E-2</v>
      </c>
      <c r="H46" s="15"/>
      <c r="I46" s="15"/>
      <c r="J46" s="16"/>
      <c r="K46" s="17"/>
      <c r="L46" s="23"/>
      <c r="M46" s="23"/>
      <c r="N46" s="208"/>
    </row>
    <row r="47" spans="2:14">
      <c r="B47" s="135" t="s">
        <v>19</v>
      </c>
      <c r="C47" s="91" t="s">
        <v>20</v>
      </c>
      <c r="D47" s="20" t="s">
        <v>11</v>
      </c>
      <c r="E47" s="22" t="s">
        <v>18</v>
      </c>
      <c r="F47" s="14" t="s">
        <v>900</v>
      </c>
      <c r="G47" s="280">
        <f>'EX-10A FINRATIO'!C9</f>
        <v>0.24739530132788559</v>
      </c>
      <c r="H47" s="15"/>
      <c r="I47" s="15"/>
      <c r="J47" s="16"/>
      <c r="K47" s="15"/>
      <c r="L47" s="23"/>
      <c r="M47" s="23"/>
      <c r="N47" s="208"/>
    </row>
    <row r="48" spans="2:14">
      <c r="B48" s="311" t="s">
        <v>21</v>
      </c>
      <c r="C48" s="91" t="s">
        <v>21</v>
      </c>
      <c r="D48" s="20" t="s">
        <v>11</v>
      </c>
      <c r="E48" s="22" t="s">
        <v>18</v>
      </c>
      <c r="F48" s="312" t="s">
        <v>900</v>
      </c>
      <c r="G48" s="280">
        <f>'EX-10A FINRATIO'!D9</f>
        <v>1.5189977071732724E-2</v>
      </c>
      <c r="H48" s="15"/>
      <c r="I48" s="15"/>
      <c r="J48" s="16"/>
      <c r="K48" s="15"/>
      <c r="L48" s="23"/>
      <c r="M48" s="23"/>
      <c r="N48" s="204"/>
    </row>
    <row r="49" spans="2:15">
      <c r="B49" s="38"/>
      <c r="C49" s="38"/>
      <c r="D49" s="38"/>
      <c r="E49" s="38"/>
      <c r="F49" s="38"/>
      <c r="G49" s="38"/>
      <c r="H49" s="38"/>
      <c r="I49" s="38"/>
      <c r="J49" s="38"/>
      <c r="K49" s="38"/>
      <c r="L49" s="38"/>
      <c r="M49" s="38"/>
      <c r="N49" s="19"/>
      <c r="O49" s="24"/>
    </row>
    <row r="50" spans="2:15">
      <c r="B50" s="38" t="s">
        <v>1045</v>
      </c>
      <c r="C50" s="38" t="s">
        <v>1040</v>
      </c>
      <c r="D50" s="38"/>
      <c r="E50" s="38"/>
      <c r="F50" s="38"/>
      <c r="G50" s="38"/>
      <c r="H50" s="38"/>
      <c r="I50" s="38"/>
      <c r="J50" s="38"/>
      <c r="K50" s="38"/>
      <c r="L50" s="38"/>
      <c r="M50" s="38"/>
      <c r="N50" s="19"/>
    </row>
    <row r="51" spans="2:15">
      <c r="B51" s="38" t="s">
        <v>1045</v>
      </c>
      <c r="C51" s="38" t="s">
        <v>1041</v>
      </c>
      <c r="D51" s="38"/>
      <c r="E51" s="52" t="s">
        <v>1048</v>
      </c>
      <c r="F51" s="35">
        <v>2020</v>
      </c>
      <c r="G51" s="19">
        <f>Movement!C7/Movement!C9</f>
        <v>8.9285714285714286E-5</v>
      </c>
      <c r="H51" s="38" t="s">
        <v>1046</v>
      </c>
      <c r="I51" s="38"/>
      <c r="J51" s="16">
        <v>1</v>
      </c>
      <c r="K51" s="17">
        <f>VLOOKUP(F51,'EX-3 CPI'!$B$33:$D$38,3,0)</f>
        <v>1.9281471440821332</v>
      </c>
      <c r="L51" s="19">
        <f t="shared" ref="L51:L54" si="9">G51/J51*K51</f>
        <v>1.7215599500733332E-4</v>
      </c>
      <c r="M51" s="19">
        <v>1</v>
      </c>
      <c r="N51" s="197">
        <f t="shared" ref="N51:N54" si="10">L51*M51</f>
        <v>1.7215599500733332E-4</v>
      </c>
    </row>
    <row r="52" spans="2:15">
      <c r="B52" s="38" t="s">
        <v>1045</v>
      </c>
      <c r="C52" s="38" t="s">
        <v>1042</v>
      </c>
      <c r="D52" s="38"/>
      <c r="E52" s="52" t="s">
        <v>1048</v>
      </c>
      <c r="F52" s="35">
        <v>2020</v>
      </c>
      <c r="G52" s="19">
        <f>Movement!C8/Movement!C9</f>
        <v>8.0357142857142853E-5</v>
      </c>
      <c r="H52" s="38" t="s">
        <v>1046</v>
      </c>
      <c r="I52" s="38"/>
      <c r="J52" s="16">
        <v>1</v>
      </c>
      <c r="K52" s="17">
        <f>VLOOKUP(F52,'EX-3 CPI'!$B$33:$D$38,3,0)</f>
        <v>1.9281471440821332</v>
      </c>
      <c r="L52" s="19">
        <f t="shared" si="9"/>
        <v>1.5494039550659997E-4</v>
      </c>
      <c r="M52" s="19">
        <v>1</v>
      </c>
      <c r="N52" s="197">
        <f t="shared" si="10"/>
        <v>1.5494039550659997E-4</v>
      </c>
    </row>
    <row r="53" spans="2:15">
      <c r="B53" s="38" t="s">
        <v>1045</v>
      </c>
      <c r="C53" s="38" t="s">
        <v>1043</v>
      </c>
      <c r="D53" s="38"/>
      <c r="E53" s="52" t="s">
        <v>1048</v>
      </c>
      <c r="F53" s="35">
        <v>2020</v>
      </c>
      <c r="G53" s="19">
        <f>Movement!C4/Movement!C9</f>
        <v>3.6933333333333332E-2</v>
      </c>
      <c r="H53" s="38" t="s">
        <v>1047</v>
      </c>
      <c r="I53" s="38"/>
      <c r="J53" s="16">
        <v>1</v>
      </c>
      <c r="K53" s="17">
        <f>VLOOKUP(F53,'EX-3 CPI'!$B$33:$D$38,3,0)</f>
        <v>1.9281471440821332</v>
      </c>
      <c r="L53" s="19">
        <f t="shared" si="9"/>
        <v>7.1212901188100114E-2</v>
      </c>
      <c r="M53" s="19">
        <v>1</v>
      </c>
      <c r="N53" s="197">
        <f t="shared" si="10"/>
        <v>7.1212901188100114E-2</v>
      </c>
    </row>
    <row r="54" spans="2:15">
      <c r="B54" s="38" t="s">
        <v>1045</v>
      </c>
      <c r="C54" s="38" t="s">
        <v>1044</v>
      </c>
      <c r="D54" s="38"/>
      <c r="E54" s="52" t="s">
        <v>1048</v>
      </c>
      <c r="F54" s="35">
        <v>2020</v>
      </c>
      <c r="G54" s="19">
        <f>Movement!C5/Movement!C9</f>
        <v>1.72E-2</v>
      </c>
      <c r="H54" s="38" t="s">
        <v>1047</v>
      </c>
      <c r="I54" s="38"/>
      <c r="J54" s="16">
        <v>1</v>
      </c>
      <c r="K54" s="17">
        <f>VLOOKUP(F54,'EX-3 CPI'!$B$33:$D$38,3,0)</f>
        <v>1.9281471440821332</v>
      </c>
      <c r="L54" s="19">
        <f t="shared" si="9"/>
        <v>3.316413087821269E-2</v>
      </c>
      <c r="M54" s="19">
        <v>1</v>
      </c>
      <c r="N54" s="197">
        <f t="shared" si="10"/>
        <v>3.316413087821269E-2</v>
      </c>
    </row>
  </sheetData>
  <pageMargins left="0.7" right="0.7" top="0.75" bottom="0.75" header="0.3" footer="0.3"/>
  <pageSetup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3E35-5544-4BF0-8366-0844462082B3}">
  <dimension ref="B1:E9"/>
  <sheetViews>
    <sheetView workbookViewId="0">
      <selection activeCell="C7" sqref="C7"/>
    </sheetView>
  </sheetViews>
  <sheetFormatPr defaultRowHeight="15"/>
  <cols>
    <col min="1" max="1" width="7" customWidth="1"/>
    <col min="2" max="2" width="37" bestFit="1" customWidth="1"/>
  </cols>
  <sheetData>
    <row r="1" spans="2:5">
      <c r="B1" s="52" t="s">
        <v>1048</v>
      </c>
    </row>
    <row r="3" spans="2:5">
      <c r="B3" s="56" t="s">
        <v>900</v>
      </c>
    </row>
    <row r="4" spans="2:5">
      <c r="B4" t="s">
        <v>1043</v>
      </c>
      <c r="C4">
        <v>554</v>
      </c>
    </row>
    <row r="5" spans="2:5">
      <c r="B5" t="s">
        <v>1044</v>
      </c>
      <c r="C5">
        <v>258</v>
      </c>
    </row>
    <row r="7" spans="2:5">
      <c r="B7" t="s">
        <v>1041</v>
      </c>
      <c r="C7" s="329">
        <f>D7/E7</f>
        <v>1.3392857142857142</v>
      </c>
      <c r="D7">
        <v>300</v>
      </c>
      <c r="E7">
        <v>224</v>
      </c>
    </row>
    <row r="8" spans="2:5">
      <c r="B8" t="s">
        <v>1042</v>
      </c>
      <c r="C8" s="329">
        <f>D8/E7</f>
        <v>1.2053571428571428</v>
      </c>
      <c r="D8">
        <v>270</v>
      </c>
    </row>
    <row r="9" spans="2:5">
      <c r="B9" t="s">
        <v>45</v>
      </c>
      <c r="C9">
        <v>15000</v>
      </c>
    </row>
  </sheetData>
  <hyperlinks>
    <hyperlink ref="B1" r:id="rId1" location="DB_tab" display="https://archive.doingbusiness.org/en/data/exploreeconomies/egypt - DB_tab" xr:uid="{9B85C9BD-9CE5-45A0-83D3-A724CC30C2FB}"/>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25F3-252E-4281-97BD-F6CBB7ECAA34}">
  <dimension ref="B2:D27"/>
  <sheetViews>
    <sheetView workbookViewId="0">
      <selection activeCell="C7" sqref="C7"/>
    </sheetView>
  </sheetViews>
  <sheetFormatPr defaultRowHeight="15"/>
  <cols>
    <col min="2" max="2" width="37.7109375" bestFit="1" customWidth="1"/>
    <col min="3" max="3" width="17.42578125" bestFit="1" customWidth="1"/>
    <col min="4" max="4" width="18.5703125" customWidth="1"/>
  </cols>
  <sheetData>
    <row r="2" spans="2:4">
      <c r="B2" s="52" t="s">
        <v>1034</v>
      </c>
    </row>
    <row r="3" spans="2:4">
      <c r="B3" s="52" t="s">
        <v>1039</v>
      </c>
    </row>
    <row r="4" spans="2:4">
      <c r="B4" s="52"/>
    </row>
    <row r="5" spans="2:4">
      <c r="B5" s="50" t="s">
        <v>1035</v>
      </c>
      <c r="C5" s="310"/>
      <c r="D5" s="310"/>
    </row>
    <row r="6" spans="2:4">
      <c r="B6" t="s">
        <v>1036</v>
      </c>
      <c r="C6">
        <v>5.35</v>
      </c>
    </row>
    <row r="7" spans="2:4">
      <c r="B7" s="50" t="s">
        <v>1037</v>
      </c>
      <c r="C7" s="50">
        <v>0.11</v>
      </c>
      <c r="D7" s="50"/>
    </row>
    <row r="8" spans="2:4">
      <c r="B8" t="s">
        <v>1038</v>
      </c>
      <c r="C8">
        <v>0.10100000000000001</v>
      </c>
    </row>
    <row r="26" s="50" customFormat="1"/>
    <row r="27" s="50" customFormat="1"/>
  </sheetData>
  <hyperlinks>
    <hyperlink ref="B2" r:id="rId1" display="https://www.globalproductprices.com/Egypt/mineral_water_prices/" xr:uid="{0B6C5257-D90D-4EC1-97A3-74B59B1783D6}"/>
    <hyperlink ref="B3" r:id="rId2" display="https://english.ahram.org.eg/NewsContent/3/12/100283/Business/Economy/First-price-hike-on-water-bills-for-Egyptian-house.aspx" xr:uid="{78ECF9CF-74F6-4B92-88FD-E2746025750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5E96-AE33-42B9-BE23-5C22F7CCD476}">
  <dimension ref="B2:B14"/>
  <sheetViews>
    <sheetView workbookViewId="0">
      <selection activeCell="B2" sqref="B2:B16"/>
    </sheetView>
  </sheetViews>
  <sheetFormatPr defaultRowHeight="15"/>
  <cols>
    <col min="2" max="2" width="99.28515625" bestFit="1" customWidth="1"/>
  </cols>
  <sheetData>
    <row r="2" spans="2:2" ht="21">
      <c r="B2" s="290" t="s">
        <v>949</v>
      </c>
    </row>
    <row r="3" spans="2:2">
      <c r="B3" s="291" t="s">
        <v>766</v>
      </c>
    </row>
    <row r="4" spans="2:2">
      <c r="B4" s="291" t="s">
        <v>767</v>
      </c>
    </row>
    <row r="5" spans="2:2">
      <c r="B5" s="291" t="s">
        <v>768</v>
      </c>
    </row>
    <row r="6" spans="2:2">
      <c r="B6" s="291" t="s">
        <v>769</v>
      </c>
    </row>
    <row r="7" spans="2:2">
      <c r="B7" s="291" t="s">
        <v>770</v>
      </c>
    </row>
    <row r="8" spans="2:2">
      <c r="B8" s="291" t="s">
        <v>771</v>
      </c>
    </row>
    <row r="9" spans="2:2">
      <c r="B9" s="291" t="s">
        <v>772</v>
      </c>
    </row>
    <row r="10" spans="2:2">
      <c r="B10" s="291" t="s">
        <v>773</v>
      </c>
    </row>
    <row r="11" spans="2:2">
      <c r="B11" s="291" t="s">
        <v>774</v>
      </c>
    </row>
    <row r="12" spans="2:2">
      <c r="B12" s="291" t="s">
        <v>775</v>
      </c>
    </row>
    <row r="13" spans="2:2">
      <c r="B13" s="291" t="s">
        <v>776</v>
      </c>
    </row>
    <row r="14" spans="2:2">
      <c r="B14" s="292" t="s">
        <v>777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D672-35AD-433E-985C-04F57B5C2967}">
  <dimension ref="A1:P176"/>
  <sheetViews>
    <sheetView showGridLines="0" workbookViewId="0">
      <selection activeCell="B13" sqref="B13:B176"/>
    </sheetView>
  </sheetViews>
  <sheetFormatPr defaultRowHeight="15"/>
  <cols>
    <col min="1" max="1" width="36.5703125" bestFit="1" customWidth="1"/>
    <col min="2" max="2" width="27.5703125" bestFit="1" customWidth="1"/>
    <col min="3" max="3" width="26.5703125" bestFit="1" customWidth="1"/>
    <col min="4" max="4" width="18.7109375" bestFit="1" customWidth="1"/>
    <col min="5" max="5" width="9.85546875" bestFit="1" customWidth="1"/>
    <col min="6" max="6" width="15.140625" bestFit="1" customWidth="1"/>
    <col min="7" max="7" width="32.5703125" bestFit="1" customWidth="1"/>
    <col min="8" max="8" width="34.7109375" bestFit="1" customWidth="1"/>
    <col min="9" max="9" width="32.5703125" bestFit="1" customWidth="1"/>
    <col min="10" max="10" width="18.42578125" bestFit="1" customWidth="1"/>
    <col min="11" max="11" width="31.28515625" bestFit="1" customWidth="1"/>
    <col min="12" max="12" width="26.42578125" bestFit="1" customWidth="1"/>
  </cols>
  <sheetData>
    <row r="1" spans="1:16">
      <c r="A1" s="313" t="s">
        <v>588</v>
      </c>
      <c r="B1" s="313"/>
      <c r="C1" s="313"/>
      <c r="D1" s="313"/>
      <c r="E1" s="313"/>
      <c r="F1" s="313"/>
    </row>
    <row r="2" spans="1:16">
      <c r="A2" s="314" t="s">
        <v>545</v>
      </c>
      <c r="B2" s="314"/>
      <c r="C2" s="314"/>
      <c r="D2" s="314"/>
      <c r="E2" s="314"/>
      <c r="F2" s="314"/>
    </row>
    <row r="3" spans="1:16">
      <c r="A3" s="57"/>
    </row>
    <row r="4" spans="1:16">
      <c r="A4" s="211" t="s">
        <v>546</v>
      </c>
    </row>
    <row r="5" spans="1:16">
      <c r="A5" s="211" t="s">
        <v>547</v>
      </c>
    </row>
    <row r="6" spans="1:16">
      <c r="A6" s="211" t="s">
        <v>548</v>
      </c>
    </row>
    <row r="7" spans="1:16">
      <c r="A7" s="293" t="s">
        <v>549</v>
      </c>
    </row>
    <row r="8" spans="1:16">
      <c r="A8" s="293" t="s">
        <v>550</v>
      </c>
    </row>
    <row r="9" spans="1:16">
      <c r="A9" s="57"/>
    </row>
    <row r="10" spans="1:16">
      <c r="A10" s="57"/>
    </row>
    <row r="11" spans="1:16">
      <c r="A11" s="315" t="s">
        <v>22</v>
      </c>
      <c r="B11" s="317" t="s">
        <v>552</v>
      </c>
      <c r="C11" s="318"/>
      <c r="D11" s="318"/>
      <c r="E11" s="318"/>
      <c r="F11" s="318"/>
      <c r="G11" s="318"/>
      <c r="H11" s="318"/>
      <c r="I11" s="318"/>
      <c r="J11" s="318"/>
      <c r="K11" s="318"/>
      <c r="L11" s="318"/>
      <c r="M11" s="318"/>
      <c r="N11" s="318"/>
      <c r="O11" s="318"/>
      <c r="P11" s="319"/>
    </row>
    <row r="12" spans="1:16">
      <c r="A12" s="316"/>
      <c r="B12" s="47" t="s">
        <v>589</v>
      </c>
      <c r="C12" s="47" t="s">
        <v>554</v>
      </c>
      <c r="D12" s="47" t="s">
        <v>590</v>
      </c>
      <c r="E12" s="47" t="s">
        <v>556</v>
      </c>
      <c r="F12" s="47" t="s">
        <v>557</v>
      </c>
      <c r="G12" s="47" t="s">
        <v>558</v>
      </c>
      <c r="H12" s="47" t="s">
        <v>559</v>
      </c>
      <c r="I12" s="47" t="s">
        <v>560</v>
      </c>
      <c r="J12" s="47" t="s">
        <v>591</v>
      </c>
      <c r="K12" s="47" t="s">
        <v>592</v>
      </c>
      <c r="L12" s="47" t="s">
        <v>593</v>
      </c>
      <c r="P12" s="58"/>
    </row>
    <row r="13" spans="1:16">
      <c r="A13" s="59" t="s">
        <v>23</v>
      </c>
      <c r="B13" s="60">
        <v>62971259</v>
      </c>
      <c r="C13" s="61">
        <v>-1390078</v>
      </c>
      <c r="D13" s="60">
        <v>0</v>
      </c>
      <c r="E13" s="60" t="s">
        <v>565</v>
      </c>
      <c r="F13" s="60"/>
      <c r="G13" s="60">
        <v>7</v>
      </c>
      <c r="H13" s="60">
        <v>3</v>
      </c>
      <c r="I13" s="60">
        <v>-20</v>
      </c>
      <c r="J13" s="60">
        <v>100</v>
      </c>
      <c r="K13" s="60">
        <v>4181</v>
      </c>
      <c r="L13" s="60">
        <v>0.04</v>
      </c>
      <c r="P13" s="58"/>
    </row>
    <row r="14" spans="1:16">
      <c r="A14" s="45" t="s">
        <v>29</v>
      </c>
      <c r="B14" s="62">
        <v>10750920</v>
      </c>
      <c r="C14" s="62">
        <v>3781429</v>
      </c>
      <c r="D14" s="63">
        <v>8553332</v>
      </c>
      <c r="E14" s="63" t="s">
        <v>566</v>
      </c>
      <c r="F14" s="63">
        <v>1257</v>
      </c>
      <c r="G14" s="62">
        <v>20</v>
      </c>
      <c r="H14" s="62">
        <v>18</v>
      </c>
      <c r="I14" s="62">
        <v>-9</v>
      </c>
      <c r="J14" s="62">
        <v>17.100000000000001</v>
      </c>
      <c r="K14" s="62">
        <v>6925</v>
      </c>
      <c r="L14" s="62">
        <v>0.03</v>
      </c>
      <c r="P14" s="58"/>
    </row>
    <row r="15" spans="1:16">
      <c r="A15" s="44" t="s">
        <v>42</v>
      </c>
      <c r="B15" s="64">
        <v>5633830</v>
      </c>
      <c r="C15" s="64">
        <v>1150654</v>
      </c>
      <c r="D15" s="65">
        <v>1666353</v>
      </c>
      <c r="E15" s="65" t="s">
        <v>566</v>
      </c>
      <c r="F15" s="65">
        <v>3381</v>
      </c>
      <c r="G15" s="64">
        <v>3</v>
      </c>
      <c r="H15" s="64">
        <v>-4</v>
      </c>
      <c r="I15" s="64">
        <v>-17</v>
      </c>
      <c r="J15" s="64">
        <v>8.9</v>
      </c>
      <c r="K15" s="64">
        <v>5795</v>
      </c>
      <c r="L15" s="64">
        <v>0.17</v>
      </c>
      <c r="P15" s="58"/>
    </row>
    <row r="16" spans="1:16">
      <c r="A16" s="45" t="s">
        <v>33</v>
      </c>
      <c r="B16" s="62">
        <v>5306241</v>
      </c>
      <c r="C16" s="62">
        <v>4051463</v>
      </c>
      <c r="D16" s="63">
        <v>2653321</v>
      </c>
      <c r="E16" s="63" t="s">
        <v>566</v>
      </c>
      <c r="F16" s="63">
        <v>2000</v>
      </c>
      <c r="G16" s="62">
        <v>6</v>
      </c>
      <c r="H16" s="62">
        <v>0</v>
      </c>
      <c r="I16" s="62">
        <v>-22</v>
      </c>
      <c r="J16" s="62">
        <v>8.4</v>
      </c>
      <c r="K16" s="62">
        <v>5987</v>
      </c>
      <c r="L16" s="62">
        <v>0.09</v>
      </c>
      <c r="P16" s="58"/>
    </row>
    <row r="17" spans="1:16">
      <c r="A17" s="44" t="s">
        <v>30</v>
      </c>
      <c r="B17" s="64">
        <v>4885272</v>
      </c>
      <c r="C17" s="64">
        <v>636425</v>
      </c>
      <c r="D17" s="65">
        <v>1454792</v>
      </c>
      <c r="E17" s="65" t="s">
        <v>566</v>
      </c>
      <c r="F17" s="65">
        <v>3358</v>
      </c>
      <c r="G17" s="64">
        <v>4</v>
      </c>
      <c r="H17" s="64">
        <v>-5</v>
      </c>
      <c r="I17" s="64">
        <v>-21</v>
      </c>
      <c r="J17" s="64">
        <v>7.8</v>
      </c>
      <c r="K17" s="64">
        <v>1955</v>
      </c>
      <c r="L17" s="64">
        <v>0.05</v>
      </c>
      <c r="P17" s="58"/>
    </row>
    <row r="18" spans="1:16">
      <c r="A18" s="45" t="s">
        <v>60</v>
      </c>
      <c r="B18" s="62">
        <v>4148736</v>
      </c>
      <c r="C18" s="62">
        <v>2950183</v>
      </c>
      <c r="D18" s="63">
        <v>1702960</v>
      </c>
      <c r="E18" s="63" t="s">
        <v>566</v>
      </c>
      <c r="F18" s="63">
        <v>2436</v>
      </c>
      <c r="G18" s="62">
        <v>4</v>
      </c>
      <c r="H18" s="62">
        <v>-5</v>
      </c>
      <c r="I18" s="62">
        <v>-27</v>
      </c>
      <c r="J18" s="62">
        <v>6.6</v>
      </c>
      <c r="K18" s="62">
        <v>1665</v>
      </c>
      <c r="L18" s="62">
        <v>0.09</v>
      </c>
      <c r="P18" s="58"/>
    </row>
    <row r="19" spans="1:16">
      <c r="A19" s="44" t="s">
        <v>34</v>
      </c>
      <c r="B19" s="64">
        <v>3703519</v>
      </c>
      <c r="C19" s="64">
        <v>2864429</v>
      </c>
      <c r="D19" s="65">
        <v>2167075</v>
      </c>
      <c r="E19" s="65" t="s">
        <v>566</v>
      </c>
      <c r="F19" s="65">
        <v>1709</v>
      </c>
      <c r="G19" s="64">
        <v>3</v>
      </c>
      <c r="H19" s="64">
        <v>-1</v>
      </c>
      <c r="I19" s="64">
        <v>-31</v>
      </c>
      <c r="J19" s="64">
        <v>5.9</v>
      </c>
      <c r="K19" s="64">
        <v>4749</v>
      </c>
      <c r="L19" s="64">
        <v>0.17</v>
      </c>
      <c r="P19" s="58"/>
    </row>
    <row r="20" spans="1:16">
      <c r="A20" s="45" t="s">
        <v>74</v>
      </c>
      <c r="B20" s="62">
        <v>3402459</v>
      </c>
      <c r="C20" s="62">
        <v>1305108</v>
      </c>
      <c r="D20" s="63">
        <v>1346318</v>
      </c>
      <c r="E20" s="63" t="s">
        <v>566</v>
      </c>
      <c r="F20" s="63">
        <v>2527</v>
      </c>
      <c r="G20" s="62">
        <v>11</v>
      </c>
      <c r="H20" s="62">
        <v>1</v>
      </c>
      <c r="I20" s="62">
        <v>-18</v>
      </c>
      <c r="J20" s="62">
        <v>5.4</v>
      </c>
      <c r="K20" s="62">
        <v>1513</v>
      </c>
      <c r="L20" s="62">
        <v>0.11</v>
      </c>
      <c r="P20" s="58"/>
    </row>
    <row r="21" spans="1:16">
      <c r="A21" s="44" t="s">
        <v>71</v>
      </c>
      <c r="B21" s="64">
        <v>2433530</v>
      </c>
      <c r="C21" s="61">
        <v>-464295</v>
      </c>
      <c r="D21" s="70">
        <v>689765</v>
      </c>
      <c r="E21" s="70" t="s">
        <v>566</v>
      </c>
      <c r="F21" s="70">
        <v>3528</v>
      </c>
      <c r="G21" s="64">
        <v>10</v>
      </c>
      <c r="H21" s="64">
        <v>1</v>
      </c>
      <c r="I21" s="64">
        <v>-11</v>
      </c>
      <c r="J21" s="64">
        <v>3.9</v>
      </c>
      <c r="K21" s="64">
        <v>2579</v>
      </c>
      <c r="L21" s="64">
        <v>7.0000000000000007E-2</v>
      </c>
      <c r="P21" s="58"/>
    </row>
    <row r="22" spans="1:16">
      <c r="A22" s="45" t="s">
        <v>55</v>
      </c>
      <c r="B22" s="62">
        <v>2365823</v>
      </c>
      <c r="C22" s="62">
        <v>1290115</v>
      </c>
      <c r="D22" s="63">
        <v>1385727</v>
      </c>
      <c r="E22" s="63" t="s">
        <v>566</v>
      </c>
      <c r="F22" s="63">
        <v>1707</v>
      </c>
      <c r="G22" s="62">
        <v>6</v>
      </c>
      <c r="H22" s="62">
        <v>1</v>
      </c>
      <c r="I22" s="62">
        <v>-16</v>
      </c>
      <c r="J22" s="62">
        <v>3.8</v>
      </c>
      <c r="K22" s="62">
        <v>4339</v>
      </c>
      <c r="L22" s="62">
        <v>0.11</v>
      </c>
      <c r="P22" s="58"/>
    </row>
    <row r="23" spans="1:16">
      <c r="A23" s="44" t="s">
        <v>32</v>
      </c>
      <c r="B23" s="64">
        <v>2335669</v>
      </c>
      <c r="C23" s="64">
        <v>46630</v>
      </c>
      <c r="D23" s="65">
        <v>576440</v>
      </c>
      <c r="E23" s="65" t="s">
        <v>566</v>
      </c>
      <c r="F23" s="65">
        <v>4052</v>
      </c>
      <c r="G23" s="64">
        <v>-1</v>
      </c>
      <c r="H23" s="64">
        <v>-2</v>
      </c>
      <c r="I23" s="64">
        <v>-18</v>
      </c>
      <c r="J23" s="64">
        <v>3.7</v>
      </c>
      <c r="K23" s="64">
        <v>4082</v>
      </c>
      <c r="L23" s="64">
        <v>0.18</v>
      </c>
      <c r="P23" s="58"/>
    </row>
    <row r="24" spans="1:16">
      <c r="A24" s="45" t="s">
        <v>51</v>
      </c>
      <c r="B24" s="62">
        <v>1851425</v>
      </c>
      <c r="C24" s="62">
        <v>413147</v>
      </c>
      <c r="D24" s="62">
        <v>0</v>
      </c>
      <c r="E24" s="62" t="s">
        <v>565</v>
      </c>
      <c r="F24" s="62"/>
      <c r="G24" s="62">
        <v>3</v>
      </c>
      <c r="H24" s="62"/>
      <c r="I24" s="62">
        <v>-23</v>
      </c>
      <c r="J24" s="62">
        <v>2.9</v>
      </c>
      <c r="K24" s="62">
        <v>2162</v>
      </c>
      <c r="L24" s="62">
        <v>0.09</v>
      </c>
      <c r="P24" s="58"/>
    </row>
    <row r="25" spans="1:16">
      <c r="A25" s="44" t="s">
        <v>28</v>
      </c>
      <c r="B25" s="64">
        <v>1344380</v>
      </c>
      <c r="C25" s="64">
        <v>770473</v>
      </c>
      <c r="D25" s="65">
        <v>588010</v>
      </c>
      <c r="E25" s="65" t="s">
        <v>566</v>
      </c>
      <c r="F25" s="65">
        <v>2286</v>
      </c>
      <c r="G25" s="64">
        <v>0</v>
      </c>
      <c r="H25" s="64">
        <v>-2</v>
      </c>
      <c r="I25" s="64">
        <v>-16</v>
      </c>
      <c r="J25" s="64">
        <v>2.1</v>
      </c>
      <c r="K25" s="64">
        <v>3817</v>
      </c>
      <c r="L25" s="64">
        <v>0.1</v>
      </c>
      <c r="P25" s="58"/>
    </row>
    <row r="26" spans="1:16">
      <c r="A26" s="45" t="s">
        <v>63</v>
      </c>
      <c r="B26" s="62">
        <v>1171798</v>
      </c>
      <c r="C26" s="66">
        <v>-402327</v>
      </c>
      <c r="D26" s="62">
        <v>715815</v>
      </c>
      <c r="E26" s="62" t="s">
        <v>566</v>
      </c>
      <c r="F26" s="62">
        <v>1637</v>
      </c>
      <c r="G26" s="62">
        <v>25</v>
      </c>
      <c r="H26" s="62">
        <v>18</v>
      </c>
      <c r="I26" s="62">
        <v>-15</v>
      </c>
      <c r="J26" s="62">
        <v>1.9</v>
      </c>
      <c r="K26" s="62">
        <v>2396</v>
      </c>
      <c r="L26" s="62">
        <v>0.06</v>
      </c>
      <c r="P26" s="58"/>
    </row>
    <row r="27" spans="1:16">
      <c r="A27" s="44" t="s">
        <v>26</v>
      </c>
      <c r="B27" s="64">
        <v>1155784</v>
      </c>
      <c r="C27" s="64">
        <v>204025</v>
      </c>
      <c r="D27" s="65">
        <v>764477</v>
      </c>
      <c r="E27" s="65" t="s">
        <v>566</v>
      </c>
      <c r="F27" s="65">
        <v>1512</v>
      </c>
      <c r="G27" s="64">
        <v>3</v>
      </c>
      <c r="H27" s="64">
        <v>-2</v>
      </c>
      <c r="I27" s="64">
        <v>-17</v>
      </c>
      <c r="J27" s="64">
        <v>1.8</v>
      </c>
      <c r="K27" s="64">
        <v>5655</v>
      </c>
      <c r="L27" s="64">
        <v>0.1</v>
      </c>
      <c r="P27" s="58"/>
    </row>
    <row r="28" spans="1:16">
      <c r="A28" s="71" t="s">
        <v>39</v>
      </c>
      <c r="B28" s="72">
        <v>990414</v>
      </c>
      <c r="C28" s="72">
        <v>699800</v>
      </c>
      <c r="D28" s="72">
        <v>0</v>
      </c>
      <c r="E28" s="72" t="s">
        <v>565</v>
      </c>
      <c r="F28" s="72"/>
      <c r="G28" s="72">
        <v>-4</v>
      </c>
      <c r="H28" s="72">
        <v>-2</v>
      </c>
      <c r="I28" s="72">
        <v>-40</v>
      </c>
      <c r="J28" s="72">
        <v>1.6</v>
      </c>
      <c r="K28" s="72">
        <v>5330</v>
      </c>
      <c r="L28" s="72">
        <v>0.13</v>
      </c>
      <c r="P28" s="58"/>
    </row>
    <row r="29" spans="1:16">
      <c r="A29" s="44" t="s">
        <v>69</v>
      </c>
      <c r="B29" s="64">
        <v>949718</v>
      </c>
      <c r="C29" s="61">
        <v>-1104836</v>
      </c>
      <c r="D29" s="65">
        <v>352503</v>
      </c>
      <c r="E29" s="65" t="s">
        <v>566</v>
      </c>
      <c r="F29" s="65">
        <v>2694</v>
      </c>
      <c r="G29" s="64">
        <v>5</v>
      </c>
      <c r="H29" s="64">
        <v>-2</v>
      </c>
      <c r="I29" s="64">
        <v>-15</v>
      </c>
      <c r="J29" s="64">
        <v>1.5</v>
      </c>
      <c r="K29" s="64">
        <v>1582</v>
      </c>
      <c r="L29" s="64">
        <v>0.09</v>
      </c>
      <c r="P29" s="58"/>
    </row>
    <row r="30" spans="1:16">
      <c r="A30" s="71" t="s">
        <v>59</v>
      </c>
      <c r="B30" s="72">
        <v>920122</v>
      </c>
      <c r="C30" s="66">
        <v>-1032936</v>
      </c>
      <c r="D30" s="72">
        <v>761238</v>
      </c>
      <c r="E30" s="72" t="s">
        <v>566</v>
      </c>
      <c r="F30" s="72">
        <v>1209</v>
      </c>
      <c r="G30" s="72">
        <v>24</v>
      </c>
      <c r="H30" s="72">
        <v>13</v>
      </c>
      <c r="I30" s="72">
        <v>-15</v>
      </c>
      <c r="J30" s="72">
        <v>1.5</v>
      </c>
      <c r="K30" s="72">
        <v>7994</v>
      </c>
      <c r="L30" s="72">
        <v>0.08</v>
      </c>
      <c r="P30" s="58"/>
    </row>
    <row r="31" spans="1:16">
      <c r="A31" s="44" t="s">
        <v>64</v>
      </c>
      <c r="B31" s="64">
        <v>731627</v>
      </c>
      <c r="C31" s="61">
        <v>-793396</v>
      </c>
      <c r="D31" s="65">
        <v>83941</v>
      </c>
      <c r="E31" s="65" t="s">
        <v>566</v>
      </c>
      <c r="F31" s="65">
        <v>8716</v>
      </c>
      <c r="G31" s="64">
        <v>3</v>
      </c>
      <c r="H31" s="64">
        <v>-7</v>
      </c>
      <c r="I31" s="64">
        <v>-16</v>
      </c>
      <c r="J31" s="64">
        <v>1.2</v>
      </c>
      <c r="K31" s="64">
        <v>3898</v>
      </c>
      <c r="L31" s="64">
        <v>0.12</v>
      </c>
      <c r="P31" s="58"/>
    </row>
    <row r="32" spans="1:16">
      <c r="A32" s="45" t="s">
        <v>0</v>
      </c>
      <c r="B32" s="62">
        <v>726681</v>
      </c>
      <c r="C32" s="66">
        <v>-1765103</v>
      </c>
      <c r="D32" s="63">
        <v>570472</v>
      </c>
      <c r="E32" s="63" t="s">
        <v>566</v>
      </c>
      <c r="F32" s="63">
        <v>1274</v>
      </c>
      <c r="G32" s="62">
        <v>-7</v>
      </c>
      <c r="H32" s="62">
        <v>-14</v>
      </c>
      <c r="I32" s="62">
        <v>-42</v>
      </c>
      <c r="J32" s="62">
        <v>1.2</v>
      </c>
      <c r="K32" s="62">
        <v>5928</v>
      </c>
      <c r="L32" s="62">
        <v>0.03</v>
      </c>
      <c r="P32" s="58"/>
    </row>
    <row r="33" spans="1:16">
      <c r="A33" s="44" t="s">
        <v>80</v>
      </c>
      <c r="B33" s="64">
        <v>695311</v>
      </c>
      <c r="C33" s="61">
        <v>-1964590</v>
      </c>
      <c r="D33" s="70">
        <v>0</v>
      </c>
      <c r="E33" s="70" t="s">
        <v>565</v>
      </c>
      <c r="F33" s="70"/>
      <c r="G33" s="64">
        <v>9</v>
      </c>
      <c r="H33" s="64"/>
      <c r="I33" s="64">
        <v>-31</v>
      </c>
      <c r="J33" s="64">
        <v>1.1000000000000001</v>
      </c>
      <c r="K33" s="64">
        <v>2054</v>
      </c>
      <c r="L33" s="64">
        <v>0.71</v>
      </c>
      <c r="P33" s="58"/>
    </row>
    <row r="34" spans="1:16">
      <c r="A34" s="45" t="s">
        <v>84</v>
      </c>
      <c r="B34" s="62">
        <v>638928</v>
      </c>
      <c r="C34" s="66">
        <v>-529542</v>
      </c>
      <c r="D34" s="62">
        <v>0</v>
      </c>
      <c r="E34" s="62" t="s">
        <v>565</v>
      </c>
      <c r="F34" s="62"/>
      <c r="G34" s="62">
        <v>19</v>
      </c>
      <c r="H34" s="62"/>
      <c r="I34" s="62">
        <v>-11</v>
      </c>
      <c r="J34" s="62">
        <v>1</v>
      </c>
      <c r="K34" s="62">
        <v>1005</v>
      </c>
      <c r="L34" s="62">
        <v>0.17</v>
      </c>
      <c r="P34" s="58"/>
    </row>
    <row r="35" spans="1:16">
      <c r="A35" s="44" t="s">
        <v>41</v>
      </c>
      <c r="B35" s="64">
        <v>634341</v>
      </c>
      <c r="C35" s="64">
        <v>32969</v>
      </c>
      <c r="D35" s="64">
        <v>100134</v>
      </c>
      <c r="E35" s="64" t="s">
        <v>566</v>
      </c>
      <c r="F35" s="64">
        <v>6335</v>
      </c>
      <c r="G35" s="64">
        <v>5</v>
      </c>
      <c r="H35" s="64">
        <v>-2</v>
      </c>
      <c r="I35" s="64">
        <v>-4</v>
      </c>
      <c r="J35" s="64">
        <v>1</v>
      </c>
      <c r="K35" s="64">
        <v>2538</v>
      </c>
      <c r="L35" s="64">
        <v>0.17</v>
      </c>
      <c r="P35" s="58"/>
    </row>
    <row r="36" spans="1:16">
      <c r="A36" s="45" t="s">
        <v>88</v>
      </c>
      <c r="B36" s="62">
        <v>617698</v>
      </c>
      <c r="C36" s="62">
        <v>445551</v>
      </c>
      <c r="D36" s="67">
        <v>485172</v>
      </c>
      <c r="E36" s="67" t="s">
        <v>566</v>
      </c>
      <c r="F36" s="67">
        <v>1273</v>
      </c>
      <c r="G36" s="62">
        <v>5</v>
      </c>
      <c r="H36" s="62">
        <v>-3</v>
      </c>
      <c r="I36" s="62">
        <v>-33</v>
      </c>
      <c r="J36" s="62">
        <v>1</v>
      </c>
      <c r="K36" s="62">
        <v>1224</v>
      </c>
      <c r="L36" s="62">
        <v>0.1</v>
      </c>
      <c r="P36" s="58"/>
    </row>
    <row r="37" spans="1:16">
      <c r="A37" s="44" t="s">
        <v>70</v>
      </c>
      <c r="B37" s="64">
        <v>533376</v>
      </c>
      <c r="C37" s="61">
        <v>-603922</v>
      </c>
      <c r="D37" s="64">
        <v>182228</v>
      </c>
      <c r="E37" s="64" t="s">
        <v>566</v>
      </c>
      <c r="F37" s="64">
        <v>2927</v>
      </c>
      <c r="G37" s="64">
        <v>9</v>
      </c>
      <c r="H37" s="64">
        <v>0</v>
      </c>
      <c r="I37" s="64">
        <v>-9</v>
      </c>
      <c r="J37" s="64">
        <v>0.8</v>
      </c>
      <c r="K37" s="64">
        <v>1834</v>
      </c>
      <c r="L37" s="64">
        <v>0.85</v>
      </c>
      <c r="P37" s="58"/>
    </row>
    <row r="38" spans="1:16">
      <c r="A38" s="45" t="s">
        <v>31</v>
      </c>
      <c r="B38" s="62">
        <v>458319</v>
      </c>
      <c r="C38" s="62">
        <v>34436</v>
      </c>
      <c r="D38" s="62">
        <v>125286</v>
      </c>
      <c r="E38" s="62" t="s">
        <v>566</v>
      </c>
      <c r="F38" s="62">
        <v>3658</v>
      </c>
      <c r="G38" s="62">
        <v>-19</v>
      </c>
      <c r="H38" s="62">
        <v>-23</v>
      </c>
      <c r="I38" s="62">
        <v>-36</v>
      </c>
      <c r="J38" s="62">
        <v>0.7</v>
      </c>
      <c r="K38" s="62">
        <v>1204</v>
      </c>
      <c r="L38" s="62">
        <v>0.79</v>
      </c>
      <c r="P38" s="58"/>
    </row>
    <row r="39" spans="1:16">
      <c r="A39" s="44" t="s">
        <v>57</v>
      </c>
      <c r="B39" s="64">
        <v>453422</v>
      </c>
      <c r="C39" s="64">
        <v>126327</v>
      </c>
      <c r="D39" s="70">
        <v>345576</v>
      </c>
      <c r="E39" s="70" t="s">
        <v>566</v>
      </c>
      <c r="F39" s="70">
        <v>1312</v>
      </c>
      <c r="G39" s="64">
        <v>16</v>
      </c>
      <c r="H39" s="64">
        <v>6</v>
      </c>
      <c r="I39" s="64">
        <v>-30</v>
      </c>
      <c r="J39" s="64">
        <v>0.7</v>
      </c>
      <c r="K39" s="64">
        <v>2877</v>
      </c>
      <c r="L39" s="64">
        <v>0.15</v>
      </c>
      <c r="P39" s="58"/>
    </row>
    <row r="40" spans="1:16">
      <c r="A40" s="45" t="s">
        <v>43</v>
      </c>
      <c r="B40" s="62">
        <v>392195</v>
      </c>
      <c r="C40" s="66">
        <v>-296278</v>
      </c>
      <c r="D40" s="63">
        <v>94440</v>
      </c>
      <c r="E40" s="63" t="s">
        <v>566</v>
      </c>
      <c r="F40" s="63">
        <v>4153</v>
      </c>
      <c r="G40" s="62">
        <v>7</v>
      </c>
      <c r="H40" s="62">
        <v>1</v>
      </c>
      <c r="I40" s="62">
        <v>-5</v>
      </c>
      <c r="J40" s="62">
        <v>0.6</v>
      </c>
      <c r="K40" s="62">
        <v>1549</v>
      </c>
      <c r="L40" s="62">
        <v>0.14000000000000001</v>
      </c>
      <c r="P40" s="58"/>
    </row>
    <row r="41" spans="1:16">
      <c r="A41" s="44" t="s">
        <v>96</v>
      </c>
      <c r="B41" s="64">
        <v>357483</v>
      </c>
      <c r="C41" s="61">
        <v>-588773</v>
      </c>
      <c r="D41" s="65">
        <v>110298</v>
      </c>
      <c r="E41" s="65" t="s">
        <v>566</v>
      </c>
      <c r="F41" s="65">
        <v>3241</v>
      </c>
      <c r="G41" s="64">
        <v>8</v>
      </c>
      <c r="H41" s="64">
        <v>-4</v>
      </c>
      <c r="I41" s="64">
        <v>-27</v>
      </c>
      <c r="J41" s="64">
        <v>0.6</v>
      </c>
      <c r="K41" s="64">
        <v>777</v>
      </c>
      <c r="L41" s="64">
        <v>0.13</v>
      </c>
      <c r="P41" s="58"/>
    </row>
    <row r="42" spans="1:16">
      <c r="A42" s="45" t="s">
        <v>44</v>
      </c>
      <c r="B42" s="62">
        <v>286712</v>
      </c>
      <c r="C42" s="66">
        <v>-737589</v>
      </c>
      <c r="D42" s="62">
        <v>300476</v>
      </c>
      <c r="E42" s="62" t="s">
        <v>566</v>
      </c>
      <c r="F42" s="62">
        <v>954</v>
      </c>
      <c r="G42" s="62">
        <v>-5</v>
      </c>
      <c r="H42" s="62">
        <v>-8</v>
      </c>
      <c r="I42" s="62">
        <v>-2</v>
      </c>
      <c r="J42" s="62">
        <v>0.5</v>
      </c>
      <c r="K42" s="62">
        <v>6346</v>
      </c>
      <c r="L42" s="62">
        <v>0.1</v>
      </c>
      <c r="P42" s="58"/>
    </row>
    <row r="43" spans="1:16">
      <c r="A43" s="68" t="s">
        <v>35</v>
      </c>
      <c r="B43" s="69">
        <v>222355</v>
      </c>
      <c r="C43" s="69">
        <v>172393</v>
      </c>
      <c r="D43" s="69">
        <v>0</v>
      </c>
      <c r="E43" s="69" t="s">
        <v>565</v>
      </c>
      <c r="F43" s="69"/>
      <c r="G43" s="69">
        <v>13</v>
      </c>
      <c r="H43" s="69">
        <v>6</v>
      </c>
      <c r="I43" s="69">
        <v>-64</v>
      </c>
      <c r="J43" s="69">
        <v>0.4</v>
      </c>
      <c r="K43" s="69">
        <v>7473</v>
      </c>
      <c r="L43" s="69">
        <v>0.13</v>
      </c>
      <c r="P43" s="58"/>
    </row>
    <row r="44" spans="1:16">
      <c r="A44" s="45" t="s">
        <v>82</v>
      </c>
      <c r="B44" s="62">
        <v>196105</v>
      </c>
      <c r="C44" s="66">
        <v>-380050</v>
      </c>
      <c r="D44" s="67">
        <v>0</v>
      </c>
      <c r="E44" s="67" t="s">
        <v>565</v>
      </c>
      <c r="F44" s="67"/>
      <c r="G44" s="62">
        <v>7</v>
      </c>
      <c r="H44" s="62"/>
      <c r="I44" s="62">
        <v>-16</v>
      </c>
      <c r="J44" s="62">
        <v>0.3</v>
      </c>
      <c r="K44" s="62">
        <v>620</v>
      </c>
      <c r="L44" s="62">
        <v>0.15</v>
      </c>
      <c r="P44" s="58"/>
    </row>
    <row r="45" spans="1:16">
      <c r="A45" s="44" t="s">
        <v>66</v>
      </c>
      <c r="B45" s="64">
        <v>194663</v>
      </c>
      <c r="C45" s="61">
        <v>-681644</v>
      </c>
      <c r="D45" s="64">
        <v>97189</v>
      </c>
      <c r="E45" s="64" t="s">
        <v>566</v>
      </c>
      <c r="F45" s="64">
        <v>2003</v>
      </c>
      <c r="G45" s="64">
        <v>3</v>
      </c>
      <c r="H45" s="64">
        <v>-9</v>
      </c>
      <c r="I45" s="64">
        <v>-55</v>
      </c>
      <c r="J45" s="64">
        <v>0.3</v>
      </c>
      <c r="K45" s="64">
        <v>4064</v>
      </c>
      <c r="L45" s="64">
        <v>0.17</v>
      </c>
      <c r="P45" s="58"/>
    </row>
    <row r="46" spans="1:16">
      <c r="A46" s="45" t="s">
        <v>79</v>
      </c>
      <c r="B46" s="62">
        <v>190123</v>
      </c>
      <c r="C46" s="66">
        <v>-384262</v>
      </c>
      <c r="D46" s="67">
        <v>102405</v>
      </c>
      <c r="E46" s="67" t="s">
        <v>566</v>
      </c>
      <c r="F46" s="67">
        <v>1857</v>
      </c>
      <c r="G46" s="62">
        <v>6</v>
      </c>
      <c r="H46" s="62">
        <v>0</v>
      </c>
      <c r="I46" s="62">
        <v>-28</v>
      </c>
      <c r="J46" s="62">
        <v>0.3</v>
      </c>
      <c r="K46" s="62">
        <v>1177</v>
      </c>
      <c r="L46" s="62">
        <v>0.1</v>
      </c>
      <c r="P46" s="58"/>
    </row>
    <row r="47" spans="1:16">
      <c r="A47" s="44" t="s">
        <v>83</v>
      </c>
      <c r="B47" s="64">
        <v>177961</v>
      </c>
      <c r="C47" s="64">
        <v>20443</v>
      </c>
      <c r="D47" s="64">
        <v>179590</v>
      </c>
      <c r="E47" s="64" t="s">
        <v>566</v>
      </c>
      <c r="F47" s="64">
        <v>991</v>
      </c>
      <c r="G47" s="64">
        <v>-9</v>
      </c>
      <c r="H47" s="64">
        <v>-13</v>
      </c>
      <c r="I47" s="64">
        <v>44</v>
      </c>
      <c r="J47" s="64">
        <v>0.3</v>
      </c>
      <c r="K47" s="64">
        <v>8462</v>
      </c>
      <c r="L47" s="64">
        <v>0.19</v>
      </c>
      <c r="P47" s="58"/>
    </row>
    <row r="48" spans="1:16">
      <c r="A48" s="45" t="s">
        <v>68</v>
      </c>
      <c r="B48" s="62">
        <v>174226</v>
      </c>
      <c r="C48" s="66">
        <v>-235669</v>
      </c>
      <c r="D48" s="67">
        <v>53597</v>
      </c>
      <c r="E48" s="67" t="s">
        <v>566</v>
      </c>
      <c r="F48" s="67">
        <v>3251</v>
      </c>
      <c r="G48" s="62">
        <v>5</v>
      </c>
      <c r="H48" s="62">
        <v>-3</v>
      </c>
      <c r="I48" s="62">
        <v>-17</v>
      </c>
      <c r="J48" s="62">
        <v>0.3</v>
      </c>
      <c r="K48" s="62">
        <v>1215</v>
      </c>
      <c r="L48" s="62">
        <v>0.11</v>
      </c>
      <c r="P48" s="58"/>
    </row>
    <row r="49" spans="1:16">
      <c r="A49" s="44" t="s">
        <v>67</v>
      </c>
      <c r="B49" s="64">
        <v>132375</v>
      </c>
      <c r="C49" s="61">
        <v>-278097</v>
      </c>
      <c r="D49" s="70">
        <v>52114</v>
      </c>
      <c r="E49" s="70" t="s">
        <v>566</v>
      </c>
      <c r="F49" s="70">
        <v>2540</v>
      </c>
      <c r="G49" s="64">
        <v>6</v>
      </c>
      <c r="H49" s="64">
        <v>1</v>
      </c>
      <c r="I49" s="64">
        <v>-10</v>
      </c>
      <c r="J49" s="64">
        <v>0.2</v>
      </c>
      <c r="K49" s="64">
        <v>398</v>
      </c>
      <c r="L49" s="64">
        <v>0.19</v>
      </c>
      <c r="P49" s="58"/>
    </row>
    <row r="50" spans="1:16">
      <c r="A50" s="71" t="s">
        <v>25</v>
      </c>
      <c r="B50" s="72">
        <v>129249</v>
      </c>
      <c r="C50" s="66">
        <v>-539065</v>
      </c>
      <c r="D50" s="72">
        <v>0</v>
      </c>
      <c r="E50" s="72" t="s">
        <v>565</v>
      </c>
      <c r="F50" s="72"/>
      <c r="G50" s="72">
        <v>11</v>
      </c>
      <c r="H50" s="72">
        <v>14</v>
      </c>
      <c r="I50" s="72">
        <v>-36</v>
      </c>
      <c r="J50" s="72">
        <v>0.2</v>
      </c>
      <c r="K50" s="72">
        <v>4472</v>
      </c>
      <c r="L50" s="72">
        <v>0.06</v>
      </c>
      <c r="P50" s="58"/>
    </row>
    <row r="51" spans="1:16">
      <c r="A51" s="44" t="s">
        <v>85</v>
      </c>
      <c r="B51" s="64">
        <v>117078</v>
      </c>
      <c r="C51" s="61">
        <v>-525852</v>
      </c>
      <c r="D51" s="70">
        <v>50363</v>
      </c>
      <c r="E51" s="70" t="s">
        <v>566</v>
      </c>
      <c r="F51" s="70">
        <v>2325</v>
      </c>
      <c r="G51" s="64">
        <v>11</v>
      </c>
      <c r="H51" s="64">
        <v>3</v>
      </c>
      <c r="I51" s="64">
        <v>6</v>
      </c>
      <c r="J51" s="64">
        <v>0.2</v>
      </c>
      <c r="K51" s="64">
        <v>2748</v>
      </c>
      <c r="L51" s="64">
        <v>0.17</v>
      </c>
      <c r="P51" s="58"/>
    </row>
    <row r="52" spans="1:16">
      <c r="A52" s="45" t="s">
        <v>201</v>
      </c>
      <c r="B52" s="62">
        <v>108984</v>
      </c>
      <c r="C52" s="66">
        <v>-96678</v>
      </c>
      <c r="D52" s="63">
        <v>42434</v>
      </c>
      <c r="E52" s="63" t="s">
        <v>566</v>
      </c>
      <c r="F52" s="63">
        <v>2568</v>
      </c>
      <c r="G52" s="62">
        <v>5</v>
      </c>
      <c r="H52" s="62">
        <v>-4</v>
      </c>
      <c r="I52" s="62">
        <v>-25</v>
      </c>
      <c r="J52" s="62">
        <v>0.2</v>
      </c>
      <c r="K52" s="62">
        <v>823</v>
      </c>
      <c r="L52" s="62">
        <v>0.15</v>
      </c>
      <c r="P52" s="58"/>
    </row>
    <row r="53" spans="1:16">
      <c r="A53" s="44" t="s">
        <v>89</v>
      </c>
      <c r="B53" s="64">
        <v>90364</v>
      </c>
      <c r="C53" s="61">
        <v>-101256</v>
      </c>
      <c r="D53" s="70">
        <v>25475</v>
      </c>
      <c r="E53" s="70" t="s">
        <v>566</v>
      </c>
      <c r="F53" s="70">
        <v>3547</v>
      </c>
      <c r="G53" s="64">
        <v>10</v>
      </c>
      <c r="H53" s="64">
        <v>1</v>
      </c>
      <c r="I53" s="64">
        <v>-29</v>
      </c>
      <c r="J53" s="64">
        <v>0.1</v>
      </c>
      <c r="K53" s="64">
        <v>226</v>
      </c>
      <c r="L53" s="64">
        <v>0.81</v>
      </c>
      <c r="P53" s="58"/>
    </row>
    <row r="54" spans="1:16">
      <c r="A54" s="45" t="s">
        <v>73</v>
      </c>
      <c r="B54" s="62">
        <v>90127</v>
      </c>
      <c r="C54" s="66">
        <v>-58177</v>
      </c>
      <c r="D54" s="67">
        <v>30462</v>
      </c>
      <c r="E54" s="67" t="s">
        <v>566</v>
      </c>
      <c r="F54" s="67">
        <v>2959</v>
      </c>
      <c r="G54" s="62">
        <v>0</v>
      </c>
      <c r="H54" s="62">
        <v>-5</v>
      </c>
      <c r="I54" s="62">
        <v>-20</v>
      </c>
      <c r="J54" s="62">
        <v>0.1</v>
      </c>
      <c r="K54" s="62">
        <v>1208</v>
      </c>
      <c r="L54" s="62">
        <v>0.24</v>
      </c>
      <c r="P54" s="58"/>
    </row>
    <row r="55" spans="1:16">
      <c r="A55" s="44" t="s">
        <v>40</v>
      </c>
      <c r="B55" s="64">
        <v>89377</v>
      </c>
      <c r="C55" s="61">
        <v>-113273</v>
      </c>
      <c r="D55" s="64">
        <v>62887</v>
      </c>
      <c r="E55" s="64" t="s">
        <v>566</v>
      </c>
      <c r="F55" s="64">
        <v>1421</v>
      </c>
      <c r="G55" s="64">
        <v>-4</v>
      </c>
      <c r="H55" s="64">
        <v>-11</v>
      </c>
      <c r="I55" s="64">
        <v>11</v>
      </c>
      <c r="J55" s="64">
        <v>0.1</v>
      </c>
      <c r="K55" s="64">
        <v>7158</v>
      </c>
      <c r="L55" s="64">
        <v>0.15</v>
      </c>
      <c r="P55" s="58"/>
    </row>
    <row r="56" spans="1:16">
      <c r="A56" s="45" t="s">
        <v>65</v>
      </c>
      <c r="B56" s="62">
        <v>81396</v>
      </c>
      <c r="C56" s="66">
        <v>-106297</v>
      </c>
      <c r="D56" s="62">
        <v>0</v>
      </c>
      <c r="E56" s="62" t="s">
        <v>565</v>
      </c>
      <c r="F56" s="62"/>
      <c r="G56" s="62">
        <v>13</v>
      </c>
      <c r="H56" s="62"/>
      <c r="I56" s="62">
        <v>-29</v>
      </c>
      <c r="J56" s="62">
        <v>0.1</v>
      </c>
      <c r="K56" s="62">
        <v>1471</v>
      </c>
      <c r="L56" s="62">
        <v>0.14000000000000001</v>
      </c>
      <c r="P56" s="58"/>
    </row>
    <row r="57" spans="1:16">
      <c r="A57" s="44" t="s">
        <v>118</v>
      </c>
      <c r="B57" s="64">
        <v>80889</v>
      </c>
      <c r="C57" s="61">
        <v>-237922</v>
      </c>
      <c r="D57" s="64">
        <v>49818</v>
      </c>
      <c r="E57" s="64" t="s">
        <v>566</v>
      </c>
      <c r="F57" s="64">
        <v>1624</v>
      </c>
      <c r="G57" s="64">
        <v>22</v>
      </c>
      <c r="H57" s="64">
        <v>19</v>
      </c>
      <c r="I57" s="64">
        <v>-14</v>
      </c>
      <c r="J57" s="64">
        <v>0.1</v>
      </c>
      <c r="K57" s="64">
        <v>3151</v>
      </c>
      <c r="L57" s="64">
        <v>0.15</v>
      </c>
      <c r="P57" s="58"/>
    </row>
    <row r="58" spans="1:16">
      <c r="A58" s="45" t="s">
        <v>100</v>
      </c>
      <c r="B58" s="62">
        <v>78318</v>
      </c>
      <c r="C58" s="66">
        <v>-180954</v>
      </c>
      <c r="D58" s="67">
        <v>18659</v>
      </c>
      <c r="E58" s="67" t="s">
        <v>566</v>
      </c>
      <c r="F58" s="67">
        <v>4197</v>
      </c>
      <c r="G58" s="62">
        <v>7</v>
      </c>
      <c r="H58" s="62">
        <v>0</v>
      </c>
      <c r="I58" s="62">
        <v>-26</v>
      </c>
      <c r="J58" s="62">
        <v>0.1</v>
      </c>
      <c r="K58" s="62">
        <v>6764</v>
      </c>
      <c r="L58" s="62">
        <v>0.14000000000000001</v>
      </c>
      <c r="P58" s="58"/>
    </row>
    <row r="59" spans="1:16">
      <c r="A59" s="68" t="s">
        <v>38</v>
      </c>
      <c r="B59" s="69">
        <v>69539</v>
      </c>
      <c r="C59" s="61">
        <v>-930560</v>
      </c>
      <c r="D59" s="69">
        <v>34638</v>
      </c>
      <c r="E59" s="69" t="s">
        <v>566</v>
      </c>
      <c r="F59" s="69">
        <v>2008</v>
      </c>
      <c r="G59" s="69">
        <v>-8</v>
      </c>
      <c r="H59" s="69">
        <v>-10</v>
      </c>
      <c r="I59" s="69">
        <v>-47</v>
      </c>
      <c r="J59" s="69">
        <v>0.1</v>
      </c>
      <c r="K59" s="69">
        <v>2264</v>
      </c>
      <c r="L59" s="69">
        <v>0.32</v>
      </c>
      <c r="P59" s="58"/>
    </row>
    <row r="60" spans="1:16">
      <c r="A60" s="45" t="s">
        <v>130</v>
      </c>
      <c r="B60" s="62">
        <v>54572</v>
      </c>
      <c r="C60" s="62">
        <v>7498</v>
      </c>
      <c r="D60" s="67">
        <v>39945</v>
      </c>
      <c r="E60" s="67" t="s">
        <v>566</v>
      </c>
      <c r="F60" s="67">
        <v>1366</v>
      </c>
      <c r="G60" s="62">
        <v>11</v>
      </c>
      <c r="H60" s="62">
        <v>1</v>
      </c>
      <c r="I60" s="62">
        <v>-39</v>
      </c>
      <c r="J60" s="62">
        <v>0.1</v>
      </c>
      <c r="K60" s="62">
        <v>1160</v>
      </c>
      <c r="L60" s="62">
        <v>0.14000000000000001</v>
      </c>
      <c r="P60" s="58"/>
    </row>
    <row r="61" spans="1:16">
      <c r="A61" s="44" t="s">
        <v>72</v>
      </c>
      <c r="B61" s="64">
        <v>52641</v>
      </c>
      <c r="C61" s="61">
        <v>-221291</v>
      </c>
      <c r="D61" s="70">
        <v>13655</v>
      </c>
      <c r="E61" s="70" t="s">
        <v>566</v>
      </c>
      <c r="F61" s="70">
        <v>3855</v>
      </c>
      <c r="G61" s="64">
        <v>2</v>
      </c>
      <c r="H61" s="64">
        <v>-6</v>
      </c>
      <c r="I61" s="64">
        <v>-15</v>
      </c>
      <c r="J61" s="64">
        <v>0.1</v>
      </c>
      <c r="K61" s="64">
        <v>1449</v>
      </c>
      <c r="L61" s="64">
        <v>7.0000000000000007E-2</v>
      </c>
      <c r="P61" s="58"/>
    </row>
    <row r="62" spans="1:16">
      <c r="A62" s="45" t="s">
        <v>227</v>
      </c>
      <c r="B62" s="62">
        <v>52529</v>
      </c>
      <c r="C62" s="62">
        <v>17845</v>
      </c>
      <c r="D62" s="62">
        <v>40377061</v>
      </c>
      <c r="E62" s="62" t="s">
        <v>566</v>
      </c>
      <c r="F62" s="62">
        <v>1.3</v>
      </c>
      <c r="G62" s="62"/>
      <c r="H62" s="62"/>
      <c r="I62" s="62">
        <v>30</v>
      </c>
      <c r="J62" s="62">
        <v>0.1</v>
      </c>
      <c r="K62" s="62">
        <v>533</v>
      </c>
      <c r="L62" s="62">
        <v>0.99</v>
      </c>
      <c r="P62" s="58"/>
    </row>
    <row r="63" spans="1:16">
      <c r="A63" s="44" t="s">
        <v>95</v>
      </c>
      <c r="B63" s="64">
        <v>43937</v>
      </c>
      <c r="C63" s="61">
        <v>-31208</v>
      </c>
      <c r="D63" s="70">
        <v>28898</v>
      </c>
      <c r="E63" s="70" t="s">
        <v>566</v>
      </c>
      <c r="F63" s="70">
        <v>1520</v>
      </c>
      <c r="G63" s="64">
        <v>20</v>
      </c>
      <c r="H63" s="64">
        <v>13</v>
      </c>
      <c r="I63" s="64">
        <v>-6</v>
      </c>
      <c r="J63" s="64">
        <v>0.1</v>
      </c>
      <c r="K63" s="64">
        <v>628</v>
      </c>
      <c r="L63" s="64">
        <v>0.1</v>
      </c>
      <c r="P63" s="58"/>
    </row>
    <row r="64" spans="1:16">
      <c r="A64" s="45" t="s">
        <v>87</v>
      </c>
      <c r="B64" s="62">
        <v>43642</v>
      </c>
      <c r="C64" s="66">
        <v>-166021</v>
      </c>
      <c r="D64" s="62">
        <v>0</v>
      </c>
      <c r="E64" s="62" t="s">
        <v>565</v>
      </c>
      <c r="F64" s="62"/>
      <c r="G64" s="62">
        <v>4</v>
      </c>
      <c r="H64" s="62"/>
      <c r="I64" s="62">
        <v>-29</v>
      </c>
      <c r="J64" s="62">
        <v>0.1</v>
      </c>
      <c r="K64" s="62">
        <v>2201</v>
      </c>
      <c r="L64" s="62">
        <v>0.4</v>
      </c>
      <c r="P64" s="58"/>
    </row>
    <row r="65" spans="1:16">
      <c r="A65" s="44" t="s">
        <v>103</v>
      </c>
      <c r="B65" s="64">
        <v>43105</v>
      </c>
      <c r="C65" s="61">
        <v>-12528</v>
      </c>
      <c r="D65" s="70">
        <v>12637</v>
      </c>
      <c r="E65" s="70" t="s">
        <v>566</v>
      </c>
      <c r="F65" s="70">
        <v>3411</v>
      </c>
      <c r="G65" s="64">
        <v>6</v>
      </c>
      <c r="H65" s="64">
        <v>-8</v>
      </c>
      <c r="I65" s="64">
        <v>-4</v>
      </c>
      <c r="J65" s="64">
        <v>0.1</v>
      </c>
      <c r="K65" s="64">
        <v>890</v>
      </c>
      <c r="L65" s="64">
        <v>0.2</v>
      </c>
      <c r="P65" s="58"/>
    </row>
    <row r="66" spans="1:16">
      <c r="A66" s="45" t="s">
        <v>81</v>
      </c>
      <c r="B66" s="62">
        <v>42666</v>
      </c>
      <c r="C66" s="66">
        <v>-177116</v>
      </c>
      <c r="D66" s="62">
        <v>0</v>
      </c>
      <c r="E66" s="62" t="s">
        <v>565</v>
      </c>
      <c r="F66" s="62"/>
      <c r="G66" s="62">
        <v>24</v>
      </c>
      <c r="H66" s="62"/>
      <c r="I66" s="62">
        <v>6</v>
      </c>
      <c r="J66" s="62">
        <v>0.1</v>
      </c>
      <c r="K66" s="62">
        <v>691</v>
      </c>
      <c r="L66" s="62">
        <v>0.27</v>
      </c>
      <c r="P66" s="58"/>
    </row>
    <row r="67" spans="1:16">
      <c r="A67" s="44" t="s">
        <v>24</v>
      </c>
      <c r="B67" s="64">
        <v>32824</v>
      </c>
      <c r="C67" s="61">
        <v>-278495</v>
      </c>
      <c r="D67" s="64">
        <v>16606</v>
      </c>
      <c r="E67" s="64" t="s">
        <v>566</v>
      </c>
      <c r="F67" s="64">
        <v>1977</v>
      </c>
      <c r="G67" s="64">
        <v>2</v>
      </c>
      <c r="H67" s="64">
        <v>1</v>
      </c>
      <c r="I67" s="64">
        <v>-8</v>
      </c>
      <c r="J67" s="64">
        <v>0.1</v>
      </c>
      <c r="K67" s="64">
        <v>6345</v>
      </c>
      <c r="L67" s="64">
        <v>0.23</v>
      </c>
      <c r="P67" s="58"/>
    </row>
    <row r="68" spans="1:16">
      <c r="A68" s="45" t="s">
        <v>56</v>
      </c>
      <c r="B68" s="62">
        <v>31704</v>
      </c>
      <c r="C68" s="66">
        <v>-142752</v>
      </c>
      <c r="D68" s="62">
        <v>20269</v>
      </c>
      <c r="E68" s="62" t="s">
        <v>566</v>
      </c>
      <c r="F68" s="62">
        <v>1564</v>
      </c>
      <c r="G68" s="62">
        <v>-2</v>
      </c>
      <c r="H68" s="62">
        <v>-10</v>
      </c>
      <c r="I68" s="62">
        <v>-1</v>
      </c>
      <c r="J68" s="62">
        <v>0.1</v>
      </c>
      <c r="K68" s="62">
        <v>1980</v>
      </c>
      <c r="L68" s="62">
        <v>0.16</v>
      </c>
      <c r="P68" s="58"/>
    </row>
    <row r="69" spans="1:16">
      <c r="A69" s="68" t="s">
        <v>90</v>
      </c>
      <c r="B69" s="69">
        <v>31699</v>
      </c>
      <c r="C69" s="61">
        <v>-231093</v>
      </c>
      <c r="D69" s="69">
        <v>39148</v>
      </c>
      <c r="E69" s="69" t="s">
        <v>566</v>
      </c>
      <c r="F69" s="69">
        <v>810</v>
      </c>
      <c r="G69" s="69">
        <v>28</v>
      </c>
      <c r="H69" s="69">
        <v>11</v>
      </c>
      <c r="I69" s="69">
        <v>8</v>
      </c>
      <c r="J69" s="69">
        <v>0.1</v>
      </c>
      <c r="K69" s="69">
        <v>3429</v>
      </c>
      <c r="L69" s="69">
        <v>0.32</v>
      </c>
      <c r="P69" s="58"/>
    </row>
    <row r="70" spans="1:16">
      <c r="A70" s="45" t="s">
        <v>61</v>
      </c>
      <c r="B70" s="62">
        <v>31684</v>
      </c>
      <c r="C70" s="66">
        <v>-48151</v>
      </c>
      <c r="D70" s="62">
        <v>13402</v>
      </c>
      <c r="E70" s="62" t="s">
        <v>566</v>
      </c>
      <c r="F70" s="62">
        <v>2364</v>
      </c>
      <c r="G70" s="62">
        <v>36</v>
      </c>
      <c r="H70" s="62">
        <v>62</v>
      </c>
      <c r="I70" s="62">
        <v>-1</v>
      </c>
      <c r="J70" s="62">
        <v>0.1</v>
      </c>
      <c r="K70" s="62">
        <v>1637</v>
      </c>
      <c r="L70" s="62">
        <v>0.22</v>
      </c>
      <c r="P70" s="58"/>
    </row>
    <row r="71" spans="1:16">
      <c r="A71" s="44" t="s">
        <v>194</v>
      </c>
      <c r="B71" s="64">
        <v>31567</v>
      </c>
      <c r="C71" s="61">
        <v>-99360</v>
      </c>
      <c r="D71" s="64">
        <v>35192</v>
      </c>
      <c r="E71" s="64" t="s">
        <v>566</v>
      </c>
      <c r="F71" s="64">
        <v>897</v>
      </c>
      <c r="G71" s="64">
        <v>17</v>
      </c>
      <c r="H71" s="64">
        <v>6</v>
      </c>
      <c r="I71" s="64">
        <v>-44</v>
      </c>
      <c r="J71" s="64">
        <v>0.1</v>
      </c>
      <c r="K71" s="64">
        <v>3407</v>
      </c>
      <c r="L71" s="64">
        <v>0.32</v>
      </c>
      <c r="P71" s="58"/>
    </row>
    <row r="72" spans="1:16">
      <c r="A72" s="45" t="s">
        <v>229</v>
      </c>
      <c r="B72" s="62">
        <v>29534</v>
      </c>
      <c r="C72" s="66">
        <v>-95193</v>
      </c>
      <c r="D72" s="62">
        <v>12297</v>
      </c>
      <c r="E72" s="62" t="s">
        <v>566</v>
      </c>
      <c r="F72" s="62">
        <v>2402</v>
      </c>
      <c r="G72" s="62">
        <v>24</v>
      </c>
      <c r="H72" s="62">
        <v>9</v>
      </c>
      <c r="I72" s="62">
        <v>-3</v>
      </c>
      <c r="J72" s="62">
        <v>0</v>
      </c>
      <c r="K72" s="62">
        <v>2220</v>
      </c>
      <c r="L72" s="62">
        <v>0.18</v>
      </c>
      <c r="P72" s="58"/>
    </row>
    <row r="73" spans="1:16">
      <c r="A73" s="44" t="s">
        <v>113</v>
      </c>
      <c r="B73" s="64">
        <v>29147</v>
      </c>
      <c r="C73" s="61">
        <v>-229379</v>
      </c>
      <c r="D73" s="64">
        <v>29022</v>
      </c>
      <c r="E73" s="64" t="s">
        <v>566</v>
      </c>
      <c r="F73" s="64">
        <v>1004</v>
      </c>
      <c r="G73" s="64">
        <v>11</v>
      </c>
      <c r="H73" s="64">
        <v>3</v>
      </c>
      <c r="I73" s="64">
        <v>-6</v>
      </c>
      <c r="J73" s="64">
        <v>0</v>
      </c>
      <c r="K73" s="64">
        <v>4050</v>
      </c>
      <c r="L73" s="64">
        <v>0.24</v>
      </c>
      <c r="P73" s="58"/>
    </row>
    <row r="74" spans="1:16">
      <c r="A74" s="45" t="s">
        <v>280</v>
      </c>
      <c r="B74" s="62">
        <v>28882</v>
      </c>
      <c r="C74" s="66">
        <v>-130203</v>
      </c>
      <c r="D74" s="63">
        <v>14032</v>
      </c>
      <c r="E74" s="63" t="s">
        <v>566</v>
      </c>
      <c r="F74" s="63">
        <v>2058</v>
      </c>
      <c r="G74" s="62">
        <v>15</v>
      </c>
      <c r="H74" s="62">
        <v>4</v>
      </c>
      <c r="I74" s="62">
        <v>-19</v>
      </c>
      <c r="J74" s="62">
        <v>0</v>
      </c>
      <c r="K74" s="62">
        <v>1159</v>
      </c>
      <c r="L74" s="62">
        <v>0.14000000000000001</v>
      </c>
      <c r="P74" s="58"/>
    </row>
    <row r="75" spans="1:16">
      <c r="A75" s="44" t="s">
        <v>99</v>
      </c>
      <c r="B75" s="64">
        <v>24367</v>
      </c>
      <c r="C75" s="61">
        <v>-163489</v>
      </c>
      <c r="D75" s="64">
        <v>14770</v>
      </c>
      <c r="E75" s="64" t="s">
        <v>566</v>
      </c>
      <c r="F75" s="64">
        <v>1650</v>
      </c>
      <c r="G75" s="64">
        <v>67</v>
      </c>
      <c r="H75" s="64">
        <v>-28</v>
      </c>
      <c r="I75" s="64">
        <v>24</v>
      </c>
      <c r="J75" s="64">
        <v>0</v>
      </c>
      <c r="K75" s="64">
        <v>1433</v>
      </c>
      <c r="L75" s="64">
        <v>0.6</v>
      </c>
      <c r="P75" s="58"/>
    </row>
    <row r="76" spans="1:16">
      <c r="A76" s="45" t="s">
        <v>271</v>
      </c>
      <c r="B76" s="62">
        <v>23415</v>
      </c>
      <c r="C76" s="66">
        <v>-10003</v>
      </c>
      <c r="D76" s="62">
        <v>16521</v>
      </c>
      <c r="E76" s="62" t="s">
        <v>566</v>
      </c>
      <c r="F76" s="62">
        <v>1417</v>
      </c>
      <c r="G76" s="62">
        <v>203</v>
      </c>
      <c r="H76" s="62">
        <v>169</v>
      </c>
      <c r="I76" s="62"/>
      <c r="J76" s="62">
        <v>0</v>
      </c>
      <c r="K76" s="62">
        <v>1405</v>
      </c>
      <c r="L76" s="62">
        <v>0.38</v>
      </c>
      <c r="P76" s="58"/>
    </row>
    <row r="77" spans="1:16">
      <c r="A77" s="44" t="s">
        <v>62</v>
      </c>
      <c r="B77" s="64">
        <v>19705</v>
      </c>
      <c r="C77" s="61">
        <v>-524505</v>
      </c>
      <c r="D77" s="64">
        <v>13491</v>
      </c>
      <c r="E77" s="64" t="s">
        <v>566</v>
      </c>
      <c r="F77" s="64">
        <v>1461</v>
      </c>
      <c r="G77" s="64">
        <v>10</v>
      </c>
      <c r="H77" s="64">
        <v>16</v>
      </c>
      <c r="I77" s="64">
        <v>4</v>
      </c>
      <c r="J77" s="64">
        <v>0</v>
      </c>
      <c r="K77" s="64">
        <v>2805</v>
      </c>
      <c r="L77" s="64">
        <v>0.2</v>
      </c>
      <c r="P77" s="58"/>
    </row>
    <row r="78" spans="1:16">
      <c r="A78" s="45" t="s">
        <v>54</v>
      </c>
      <c r="B78" s="62">
        <v>17102</v>
      </c>
      <c r="C78" s="66">
        <v>-309643</v>
      </c>
      <c r="D78" s="62">
        <v>11778</v>
      </c>
      <c r="E78" s="62" t="s">
        <v>566</v>
      </c>
      <c r="F78" s="62">
        <v>1452</v>
      </c>
      <c r="G78" s="62">
        <v>-3</v>
      </c>
      <c r="H78" s="62">
        <v>-10</v>
      </c>
      <c r="I78" s="62">
        <v>-54</v>
      </c>
      <c r="J78" s="62">
        <v>0</v>
      </c>
      <c r="K78" s="62">
        <v>3643</v>
      </c>
      <c r="L78" s="62">
        <v>0.17</v>
      </c>
      <c r="P78" s="58"/>
    </row>
    <row r="79" spans="1:16">
      <c r="A79" s="44" t="s">
        <v>199</v>
      </c>
      <c r="B79" s="64">
        <v>14442</v>
      </c>
      <c r="C79" s="61">
        <v>-5995</v>
      </c>
      <c r="D79" s="64">
        <v>11363</v>
      </c>
      <c r="E79" s="64" t="s">
        <v>566</v>
      </c>
      <c r="F79" s="64">
        <v>1271</v>
      </c>
      <c r="G79" s="64">
        <v>101</v>
      </c>
      <c r="H79" s="64">
        <v>74</v>
      </c>
      <c r="I79" s="64">
        <v>231</v>
      </c>
      <c r="J79" s="64">
        <v>0</v>
      </c>
      <c r="K79" s="64">
        <v>421</v>
      </c>
      <c r="L79" s="64">
        <v>0.84</v>
      </c>
      <c r="P79" s="58"/>
    </row>
    <row r="80" spans="1:16">
      <c r="A80" s="71" t="s">
        <v>123</v>
      </c>
      <c r="B80" s="72">
        <v>13686</v>
      </c>
      <c r="C80" s="66">
        <v>-59302</v>
      </c>
      <c r="D80" s="72">
        <v>0</v>
      </c>
      <c r="E80" s="72" t="s">
        <v>565</v>
      </c>
      <c r="F80" s="72"/>
      <c r="G80" s="72">
        <v>32</v>
      </c>
      <c r="H80" s="72">
        <v>6</v>
      </c>
      <c r="I80" s="72">
        <v>0</v>
      </c>
      <c r="J80" s="72">
        <v>0</v>
      </c>
      <c r="K80" s="72">
        <v>1976</v>
      </c>
      <c r="L80" s="72">
        <v>0.35</v>
      </c>
      <c r="P80" s="58"/>
    </row>
    <row r="81" spans="1:16">
      <c r="A81" s="44" t="s">
        <v>52</v>
      </c>
      <c r="B81" s="64">
        <v>12151</v>
      </c>
      <c r="C81" s="61">
        <v>-160149</v>
      </c>
      <c r="D81" s="64">
        <v>135010</v>
      </c>
      <c r="E81" s="64" t="s">
        <v>566</v>
      </c>
      <c r="F81" s="64">
        <v>90</v>
      </c>
      <c r="G81" s="64">
        <v>78</v>
      </c>
      <c r="H81" s="64">
        <v>112</v>
      </c>
      <c r="I81" s="64">
        <v>151</v>
      </c>
      <c r="J81" s="64">
        <v>0</v>
      </c>
      <c r="K81" s="64">
        <v>5279</v>
      </c>
      <c r="L81" s="64">
        <v>0.2</v>
      </c>
      <c r="P81" s="58"/>
    </row>
    <row r="82" spans="1:16">
      <c r="A82" s="45" t="s">
        <v>117</v>
      </c>
      <c r="B82" s="62">
        <v>11624</v>
      </c>
      <c r="C82" s="66">
        <v>-86397</v>
      </c>
      <c r="D82" s="62">
        <v>11674</v>
      </c>
      <c r="E82" s="62" t="s">
        <v>566</v>
      </c>
      <c r="F82" s="62">
        <v>996</v>
      </c>
      <c r="G82" s="62">
        <v>21</v>
      </c>
      <c r="H82" s="62">
        <v>17</v>
      </c>
      <c r="I82" s="62">
        <v>35</v>
      </c>
      <c r="J82" s="62">
        <v>0</v>
      </c>
      <c r="K82" s="62">
        <v>3573</v>
      </c>
      <c r="L82" s="62">
        <v>0.21</v>
      </c>
      <c r="P82" s="58"/>
    </row>
    <row r="83" spans="1:16">
      <c r="A83" s="44" t="s">
        <v>277</v>
      </c>
      <c r="B83" s="64">
        <v>10514</v>
      </c>
      <c r="C83" s="61">
        <v>-90850</v>
      </c>
      <c r="D83" s="65">
        <v>6314</v>
      </c>
      <c r="E83" s="65" t="s">
        <v>566</v>
      </c>
      <c r="F83" s="65">
        <v>1665</v>
      </c>
      <c r="G83" s="64">
        <v>15</v>
      </c>
      <c r="H83" s="64">
        <v>5</v>
      </c>
      <c r="I83" s="64">
        <v>-21</v>
      </c>
      <c r="J83" s="64">
        <v>0</v>
      </c>
      <c r="K83" s="64">
        <v>952</v>
      </c>
      <c r="L83" s="64">
        <v>0.24</v>
      </c>
      <c r="P83" s="58"/>
    </row>
    <row r="84" spans="1:16">
      <c r="A84" s="45" t="s">
        <v>214</v>
      </c>
      <c r="B84" s="62">
        <v>9562</v>
      </c>
      <c r="C84" s="66">
        <v>-70465</v>
      </c>
      <c r="D84" s="67">
        <v>5191</v>
      </c>
      <c r="E84" s="67" t="s">
        <v>566</v>
      </c>
      <c r="F84" s="67">
        <v>1842</v>
      </c>
      <c r="G84" s="62">
        <v>14</v>
      </c>
      <c r="H84" s="62">
        <v>4</v>
      </c>
      <c r="I84" s="62">
        <v>-13</v>
      </c>
      <c r="J84" s="62">
        <v>0</v>
      </c>
      <c r="K84" s="62">
        <v>764</v>
      </c>
      <c r="L84" s="62">
        <v>0.25</v>
      </c>
      <c r="P84" s="58"/>
    </row>
    <row r="85" spans="1:16">
      <c r="A85" s="44" t="s">
        <v>266</v>
      </c>
      <c r="B85" s="64">
        <v>9146</v>
      </c>
      <c r="C85" s="61">
        <v>-52507</v>
      </c>
      <c r="D85" s="64">
        <v>9911</v>
      </c>
      <c r="E85" s="64" t="s">
        <v>566</v>
      </c>
      <c r="F85" s="64">
        <v>923</v>
      </c>
      <c r="G85" s="64">
        <v>10</v>
      </c>
      <c r="H85" s="64">
        <v>1</v>
      </c>
      <c r="I85" s="64">
        <v>28</v>
      </c>
      <c r="J85" s="64">
        <v>0</v>
      </c>
      <c r="K85" s="64">
        <v>1054</v>
      </c>
      <c r="L85" s="64">
        <v>0.5</v>
      </c>
      <c r="P85" s="58"/>
    </row>
    <row r="86" spans="1:16">
      <c r="A86" s="71" t="s">
        <v>205</v>
      </c>
      <c r="B86" s="72">
        <v>8873</v>
      </c>
      <c r="C86" s="66">
        <v>-47330</v>
      </c>
      <c r="D86" s="72">
        <v>7685</v>
      </c>
      <c r="E86" s="72" t="s">
        <v>566</v>
      </c>
      <c r="F86" s="72">
        <v>1155</v>
      </c>
      <c r="G86" s="72">
        <v>-25</v>
      </c>
      <c r="H86" s="72">
        <v>13</v>
      </c>
      <c r="I86" s="72">
        <v>0</v>
      </c>
      <c r="J86" s="72">
        <v>0</v>
      </c>
      <c r="K86" s="72">
        <v>2614</v>
      </c>
      <c r="L86" s="72">
        <v>0.23</v>
      </c>
      <c r="P86" s="58"/>
    </row>
    <row r="87" spans="1:16">
      <c r="A87" s="44" t="s">
        <v>101</v>
      </c>
      <c r="B87" s="64">
        <v>8475</v>
      </c>
      <c r="C87" s="61">
        <v>-187338</v>
      </c>
      <c r="D87" s="64">
        <v>4452</v>
      </c>
      <c r="E87" s="64" t="s">
        <v>566</v>
      </c>
      <c r="F87" s="64">
        <v>1904</v>
      </c>
      <c r="G87" s="64">
        <v>10</v>
      </c>
      <c r="H87" s="64">
        <v>9</v>
      </c>
      <c r="I87" s="64">
        <v>-34</v>
      </c>
      <c r="J87" s="64">
        <v>0</v>
      </c>
      <c r="K87" s="64">
        <v>3537</v>
      </c>
      <c r="L87" s="64">
        <v>0.16</v>
      </c>
      <c r="P87" s="58"/>
    </row>
    <row r="88" spans="1:16">
      <c r="A88" s="45" t="s">
        <v>91</v>
      </c>
      <c r="B88" s="62">
        <v>6994</v>
      </c>
      <c r="C88" s="66">
        <v>-89098</v>
      </c>
      <c r="D88" s="62">
        <v>12224</v>
      </c>
      <c r="E88" s="62" t="s">
        <v>566</v>
      </c>
      <c r="F88" s="62">
        <v>572</v>
      </c>
      <c r="G88" s="62">
        <v>33</v>
      </c>
      <c r="H88" s="62">
        <v>38</v>
      </c>
      <c r="I88" s="62">
        <v>33</v>
      </c>
      <c r="J88" s="62">
        <v>0</v>
      </c>
      <c r="K88" s="62">
        <v>6419</v>
      </c>
      <c r="L88" s="62">
        <v>0.31</v>
      </c>
      <c r="P88" s="58"/>
    </row>
    <row r="89" spans="1:16">
      <c r="A89" s="68" t="s">
        <v>226</v>
      </c>
      <c r="B89" s="69">
        <v>6984</v>
      </c>
      <c r="C89" s="61">
        <v>-321194</v>
      </c>
      <c r="D89" s="69">
        <v>13482</v>
      </c>
      <c r="E89" s="69" t="s">
        <v>566</v>
      </c>
      <c r="F89" s="69">
        <v>518</v>
      </c>
      <c r="G89" s="69">
        <v>159</v>
      </c>
      <c r="H89" s="69"/>
      <c r="I89" s="69">
        <v>-53</v>
      </c>
      <c r="J89" s="69">
        <v>0</v>
      </c>
      <c r="K89" s="69">
        <v>1375</v>
      </c>
      <c r="L89" s="69">
        <v>0.24</v>
      </c>
      <c r="P89" s="58"/>
    </row>
    <row r="90" spans="1:16">
      <c r="A90" s="45" t="s">
        <v>102</v>
      </c>
      <c r="B90" s="62">
        <v>6944</v>
      </c>
      <c r="C90" s="66">
        <v>-68467</v>
      </c>
      <c r="D90" s="63">
        <v>1638</v>
      </c>
      <c r="E90" s="63" t="s">
        <v>566</v>
      </c>
      <c r="F90" s="63">
        <v>4239</v>
      </c>
      <c r="G90" s="62">
        <v>30</v>
      </c>
      <c r="H90" s="62">
        <v>18</v>
      </c>
      <c r="I90" s="62">
        <v>17</v>
      </c>
      <c r="J90" s="62">
        <v>0</v>
      </c>
      <c r="K90" s="62">
        <v>9301</v>
      </c>
      <c r="L90" s="62">
        <v>0.32</v>
      </c>
      <c r="P90" s="58"/>
    </row>
    <row r="91" spans="1:16">
      <c r="A91" s="68" t="s">
        <v>241</v>
      </c>
      <c r="B91" s="69">
        <v>6814</v>
      </c>
      <c r="C91" s="61">
        <v>-30915</v>
      </c>
      <c r="D91" s="69">
        <v>7711</v>
      </c>
      <c r="E91" s="69" t="s">
        <v>566</v>
      </c>
      <c r="F91" s="69">
        <v>884</v>
      </c>
      <c r="G91" s="69">
        <v>424</v>
      </c>
      <c r="H91" s="69"/>
      <c r="I91" s="69">
        <v>21866</v>
      </c>
      <c r="J91" s="69">
        <v>0</v>
      </c>
      <c r="K91" s="69">
        <v>871</v>
      </c>
      <c r="L91" s="69">
        <v>1</v>
      </c>
      <c r="P91" s="58"/>
    </row>
    <row r="92" spans="1:16">
      <c r="A92" s="45" t="s">
        <v>126</v>
      </c>
      <c r="B92" s="62">
        <v>6755</v>
      </c>
      <c r="C92" s="66">
        <v>-145902</v>
      </c>
      <c r="D92" s="62">
        <v>12215</v>
      </c>
      <c r="E92" s="62" t="s">
        <v>566</v>
      </c>
      <c r="F92" s="62">
        <v>553</v>
      </c>
      <c r="G92" s="62">
        <v>28</v>
      </c>
      <c r="H92" s="62">
        <v>17</v>
      </c>
      <c r="I92" s="62">
        <v>-11</v>
      </c>
      <c r="J92" s="62">
        <v>0</v>
      </c>
      <c r="K92" s="62">
        <v>5902</v>
      </c>
      <c r="L92" s="62">
        <v>0.1</v>
      </c>
      <c r="P92" s="58"/>
    </row>
    <row r="93" spans="1:16">
      <c r="A93" s="68" t="s">
        <v>569</v>
      </c>
      <c r="B93" s="69">
        <v>4885</v>
      </c>
      <c r="C93" s="61">
        <v>-33718</v>
      </c>
      <c r="D93" s="69">
        <v>10247</v>
      </c>
      <c r="E93" s="69" t="s">
        <v>566</v>
      </c>
      <c r="F93" s="69">
        <v>477</v>
      </c>
      <c r="G93" s="69">
        <v>-6</v>
      </c>
      <c r="H93" s="69">
        <v>43</v>
      </c>
      <c r="I93" s="69">
        <v>57</v>
      </c>
      <c r="J93" s="69">
        <v>0</v>
      </c>
      <c r="K93" s="69">
        <v>7264</v>
      </c>
      <c r="L93" s="69">
        <v>0.96</v>
      </c>
      <c r="P93" s="58"/>
    </row>
    <row r="94" spans="1:16">
      <c r="A94" s="45" t="s">
        <v>253</v>
      </c>
      <c r="B94" s="62">
        <v>4642</v>
      </c>
      <c r="C94" s="66">
        <v>-14973</v>
      </c>
      <c r="D94" s="62">
        <v>6972</v>
      </c>
      <c r="E94" s="62" t="s">
        <v>566</v>
      </c>
      <c r="F94" s="62">
        <v>666</v>
      </c>
      <c r="G94" s="62">
        <v>353</v>
      </c>
      <c r="H94" s="62">
        <v>192</v>
      </c>
      <c r="I94" s="62">
        <v>186</v>
      </c>
      <c r="J94" s="62">
        <v>0</v>
      </c>
      <c r="K94" s="62">
        <v>1667</v>
      </c>
      <c r="L94" s="62">
        <v>0.96</v>
      </c>
      <c r="P94" s="58"/>
    </row>
    <row r="95" spans="1:16">
      <c r="A95" s="44" t="s">
        <v>120</v>
      </c>
      <c r="B95" s="64">
        <v>4164</v>
      </c>
      <c r="C95" s="61">
        <v>-258872</v>
      </c>
      <c r="D95" s="64">
        <v>1838</v>
      </c>
      <c r="E95" s="64" t="s">
        <v>566</v>
      </c>
      <c r="F95" s="64">
        <v>2266</v>
      </c>
      <c r="G95" s="64">
        <v>-36</v>
      </c>
      <c r="H95" s="64">
        <v>-41</v>
      </c>
      <c r="I95" s="64">
        <v>-29</v>
      </c>
      <c r="J95" s="64">
        <v>0</v>
      </c>
      <c r="K95" s="64">
        <v>1214</v>
      </c>
      <c r="L95" s="64">
        <v>0.28000000000000003</v>
      </c>
      <c r="P95" s="58"/>
    </row>
    <row r="96" spans="1:16">
      <c r="A96" s="71" t="s">
        <v>220</v>
      </c>
      <c r="B96" s="72">
        <v>3917</v>
      </c>
      <c r="C96" s="72">
        <v>3833</v>
      </c>
      <c r="D96" s="72">
        <v>2684</v>
      </c>
      <c r="E96" s="72" t="s">
        <v>566</v>
      </c>
      <c r="F96" s="72">
        <v>1459</v>
      </c>
      <c r="G96" s="72">
        <v>322</v>
      </c>
      <c r="H96" s="72">
        <v>126</v>
      </c>
      <c r="I96" s="72">
        <v>24</v>
      </c>
      <c r="J96" s="72">
        <v>0</v>
      </c>
      <c r="K96" s="72">
        <v>11794</v>
      </c>
      <c r="L96" s="72">
        <v>0.93</v>
      </c>
      <c r="P96" s="58"/>
    </row>
    <row r="97" spans="1:16">
      <c r="A97" s="44" t="s">
        <v>195</v>
      </c>
      <c r="B97" s="64">
        <v>3637</v>
      </c>
      <c r="C97" s="61">
        <v>-175592</v>
      </c>
      <c r="D97" s="64">
        <v>2552</v>
      </c>
      <c r="E97" s="64" t="s">
        <v>566</v>
      </c>
      <c r="F97" s="64">
        <v>1425</v>
      </c>
      <c r="G97" s="64">
        <v>-4</v>
      </c>
      <c r="H97" s="64">
        <v>-9</v>
      </c>
      <c r="I97" s="64">
        <v>-53</v>
      </c>
      <c r="J97" s="64">
        <v>0</v>
      </c>
      <c r="K97" s="64">
        <v>2916</v>
      </c>
      <c r="L97" s="64">
        <v>0.33</v>
      </c>
      <c r="P97" s="58"/>
    </row>
    <row r="98" spans="1:16">
      <c r="A98" s="71" t="s">
        <v>573</v>
      </c>
      <c r="B98" s="72">
        <v>3348</v>
      </c>
      <c r="C98" s="66">
        <v>-463</v>
      </c>
      <c r="D98" s="72">
        <v>801</v>
      </c>
      <c r="E98" s="72" t="s">
        <v>566</v>
      </c>
      <c r="F98" s="72">
        <v>4180</v>
      </c>
      <c r="G98" s="72">
        <v>10</v>
      </c>
      <c r="H98" s="72">
        <v>5</v>
      </c>
      <c r="I98" s="72">
        <v>-23</v>
      </c>
      <c r="J98" s="72">
        <v>0</v>
      </c>
      <c r="K98" s="72"/>
      <c r="L98" s="72">
        <v>0.45</v>
      </c>
      <c r="P98" s="58"/>
    </row>
    <row r="99" spans="1:16">
      <c r="A99" s="44" t="s">
        <v>114</v>
      </c>
      <c r="B99" s="64">
        <v>3178</v>
      </c>
      <c r="C99" s="61">
        <v>-130059</v>
      </c>
      <c r="D99" s="64">
        <v>3614</v>
      </c>
      <c r="E99" s="64" t="s">
        <v>566</v>
      </c>
      <c r="F99" s="64">
        <v>879</v>
      </c>
      <c r="G99" s="64">
        <v>13</v>
      </c>
      <c r="H99" s="64">
        <v>8</v>
      </c>
      <c r="I99" s="64">
        <v>53</v>
      </c>
      <c r="J99" s="64">
        <v>0</v>
      </c>
      <c r="K99" s="64">
        <v>2658</v>
      </c>
      <c r="L99" s="64">
        <v>0.61</v>
      </c>
      <c r="P99" s="58"/>
    </row>
    <row r="100" spans="1:16">
      <c r="A100" s="45" t="s">
        <v>75</v>
      </c>
      <c r="B100" s="62">
        <v>3122</v>
      </c>
      <c r="C100" s="66">
        <v>-45633</v>
      </c>
      <c r="D100" s="62">
        <v>2630</v>
      </c>
      <c r="E100" s="62" t="s">
        <v>566</v>
      </c>
      <c r="F100" s="62">
        <v>1187</v>
      </c>
      <c r="G100" s="62">
        <v>111</v>
      </c>
      <c r="H100" s="62">
        <v>75</v>
      </c>
      <c r="I100" s="62">
        <v>-40</v>
      </c>
      <c r="J100" s="62">
        <v>0</v>
      </c>
      <c r="K100" s="62">
        <v>734</v>
      </c>
      <c r="L100" s="62">
        <v>0.77</v>
      </c>
      <c r="P100" s="58"/>
    </row>
    <row r="101" spans="1:16">
      <c r="A101" s="68" t="s">
        <v>215</v>
      </c>
      <c r="B101" s="69">
        <v>2957</v>
      </c>
      <c r="C101" s="61">
        <v>-16564</v>
      </c>
      <c r="D101" s="69">
        <v>3109</v>
      </c>
      <c r="E101" s="69" t="s">
        <v>566</v>
      </c>
      <c r="F101" s="69">
        <v>951</v>
      </c>
      <c r="G101" s="69">
        <v>46</v>
      </c>
      <c r="H101" s="69"/>
      <c r="I101" s="69">
        <v>-29</v>
      </c>
      <c r="J101" s="69">
        <v>0</v>
      </c>
      <c r="K101" s="69">
        <v>506</v>
      </c>
      <c r="L101" s="69">
        <v>0.5</v>
      </c>
      <c r="P101" s="58"/>
    </row>
    <row r="102" spans="1:16">
      <c r="A102" s="71" t="s">
        <v>225</v>
      </c>
      <c r="B102" s="72">
        <v>2704</v>
      </c>
      <c r="C102" s="66">
        <v>-53799</v>
      </c>
      <c r="D102" s="72">
        <v>3036</v>
      </c>
      <c r="E102" s="72" t="s">
        <v>566</v>
      </c>
      <c r="F102" s="72">
        <v>891</v>
      </c>
      <c r="G102" s="72">
        <v>21</v>
      </c>
      <c r="H102" s="72"/>
      <c r="I102" s="72">
        <v>-23</v>
      </c>
      <c r="J102" s="72">
        <v>0</v>
      </c>
      <c r="K102" s="72">
        <v>2212</v>
      </c>
      <c r="L102" s="72">
        <v>0.23</v>
      </c>
      <c r="P102" s="58"/>
    </row>
    <row r="103" spans="1:16">
      <c r="A103" s="44" t="s">
        <v>110</v>
      </c>
      <c r="B103" s="64">
        <v>2678</v>
      </c>
      <c r="C103" s="61">
        <v>-254026</v>
      </c>
      <c r="D103" s="64">
        <v>2093</v>
      </c>
      <c r="E103" s="64" t="s">
        <v>566</v>
      </c>
      <c r="F103" s="64">
        <v>1280</v>
      </c>
      <c r="G103" s="64">
        <v>-31</v>
      </c>
      <c r="H103" s="64">
        <v>-37</v>
      </c>
      <c r="I103" s="64">
        <v>-83</v>
      </c>
      <c r="J103" s="64">
        <v>0</v>
      </c>
      <c r="K103" s="64">
        <v>1050</v>
      </c>
      <c r="L103" s="64">
        <v>0.17</v>
      </c>
      <c r="P103" s="58"/>
    </row>
    <row r="104" spans="1:16">
      <c r="A104" s="71" t="s">
        <v>255</v>
      </c>
      <c r="B104" s="72">
        <v>2628</v>
      </c>
      <c r="C104" s="66">
        <v>-177571</v>
      </c>
      <c r="D104" s="72">
        <v>1079</v>
      </c>
      <c r="E104" s="72" t="s">
        <v>566</v>
      </c>
      <c r="F104" s="72">
        <v>2436</v>
      </c>
      <c r="G104" s="72">
        <v>57</v>
      </c>
      <c r="H104" s="72"/>
      <c r="I104" s="72">
        <v>463</v>
      </c>
      <c r="J104" s="72">
        <v>0</v>
      </c>
      <c r="K104" s="72">
        <v>2516</v>
      </c>
      <c r="L104" s="72">
        <v>0.35</v>
      </c>
      <c r="P104" s="58"/>
    </row>
    <row r="105" spans="1:16">
      <c r="A105" s="44" t="s">
        <v>570</v>
      </c>
      <c r="B105" s="64">
        <v>2569</v>
      </c>
      <c r="C105" s="61">
        <v>-25801</v>
      </c>
      <c r="D105" s="70">
        <v>2811</v>
      </c>
      <c r="E105" s="70" t="s">
        <v>566</v>
      </c>
      <c r="F105" s="70">
        <v>914</v>
      </c>
      <c r="G105" s="64">
        <v>-1</v>
      </c>
      <c r="H105" s="64">
        <v>-8</v>
      </c>
      <c r="I105" s="64">
        <v>-56</v>
      </c>
      <c r="J105" s="64">
        <v>0</v>
      </c>
      <c r="K105" s="64">
        <v>584</v>
      </c>
      <c r="L105" s="64">
        <v>0.35</v>
      </c>
      <c r="P105" s="58"/>
    </row>
    <row r="106" spans="1:16">
      <c r="A106" s="45" t="s">
        <v>36</v>
      </c>
      <c r="B106" s="62">
        <v>2529</v>
      </c>
      <c r="C106" s="66">
        <v>-76091</v>
      </c>
      <c r="D106" s="63">
        <v>2275</v>
      </c>
      <c r="E106" s="63" t="s">
        <v>566</v>
      </c>
      <c r="F106" s="63">
        <v>1112</v>
      </c>
      <c r="G106" s="62">
        <v>-13</v>
      </c>
      <c r="H106" s="62">
        <v>3</v>
      </c>
      <c r="I106" s="62">
        <v>-17</v>
      </c>
      <c r="J106" s="62">
        <v>0</v>
      </c>
      <c r="K106" s="62">
        <v>4862</v>
      </c>
      <c r="L106" s="62">
        <v>0.28999999999999998</v>
      </c>
      <c r="P106" s="58"/>
    </row>
    <row r="107" spans="1:16">
      <c r="A107" s="44" t="s">
        <v>115</v>
      </c>
      <c r="B107" s="64">
        <v>2249</v>
      </c>
      <c r="C107" s="61">
        <v>-111842</v>
      </c>
      <c r="D107" s="64">
        <v>2969</v>
      </c>
      <c r="E107" s="64" t="s">
        <v>566</v>
      </c>
      <c r="F107" s="64">
        <v>757</v>
      </c>
      <c r="G107" s="64">
        <v>156</v>
      </c>
      <c r="H107" s="64">
        <v>64</v>
      </c>
      <c r="I107" s="64">
        <v>33</v>
      </c>
      <c r="J107" s="64">
        <v>0</v>
      </c>
      <c r="K107" s="64">
        <v>1953</v>
      </c>
      <c r="L107" s="64">
        <v>0.54</v>
      </c>
      <c r="P107" s="58"/>
    </row>
    <row r="108" spans="1:16">
      <c r="A108" s="45" t="s">
        <v>200</v>
      </c>
      <c r="B108" s="62">
        <v>2216</v>
      </c>
      <c r="C108" s="66">
        <v>-2490</v>
      </c>
      <c r="D108" s="62">
        <v>3054</v>
      </c>
      <c r="E108" s="62" t="s">
        <v>566</v>
      </c>
      <c r="F108" s="62">
        <v>726</v>
      </c>
      <c r="G108" s="62"/>
      <c r="H108" s="62">
        <v>365</v>
      </c>
      <c r="I108" s="62">
        <v>-44</v>
      </c>
      <c r="J108" s="62">
        <v>0</v>
      </c>
      <c r="K108" s="62">
        <v>3035</v>
      </c>
      <c r="L108" s="62">
        <v>0.77</v>
      </c>
      <c r="P108" s="58"/>
    </row>
    <row r="109" spans="1:16">
      <c r="A109" s="68" t="s">
        <v>58</v>
      </c>
      <c r="B109" s="69">
        <v>2168</v>
      </c>
      <c r="C109" s="61">
        <v>-52515</v>
      </c>
      <c r="D109" s="69">
        <v>2509</v>
      </c>
      <c r="E109" s="69" t="s">
        <v>566</v>
      </c>
      <c r="F109" s="69">
        <v>864</v>
      </c>
      <c r="G109" s="69">
        <v>6</v>
      </c>
      <c r="H109" s="69">
        <v>-2</v>
      </c>
      <c r="I109" s="69">
        <v>9</v>
      </c>
      <c r="J109" s="69">
        <v>0</v>
      </c>
      <c r="K109" s="69">
        <v>4107</v>
      </c>
      <c r="L109" s="69">
        <v>0.89</v>
      </c>
      <c r="P109" s="58"/>
    </row>
    <row r="110" spans="1:16">
      <c r="A110" s="45" t="s">
        <v>197</v>
      </c>
      <c r="B110" s="62">
        <v>2007</v>
      </c>
      <c r="C110" s="66">
        <v>-42650</v>
      </c>
      <c r="D110" s="62">
        <v>1129</v>
      </c>
      <c r="E110" s="62" t="s">
        <v>566</v>
      </c>
      <c r="F110" s="62">
        <v>1778</v>
      </c>
      <c r="G110" s="62">
        <v>7</v>
      </c>
      <c r="H110" s="62">
        <v>-5</v>
      </c>
      <c r="I110" s="62">
        <v>-61</v>
      </c>
      <c r="J110" s="62">
        <v>0</v>
      </c>
      <c r="K110" s="62">
        <v>1221</v>
      </c>
      <c r="L110" s="62">
        <v>0.46</v>
      </c>
      <c r="P110" s="58"/>
    </row>
    <row r="111" spans="1:16">
      <c r="A111" s="44" t="s">
        <v>244</v>
      </c>
      <c r="B111" s="64">
        <v>1568</v>
      </c>
      <c r="C111" s="61">
        <v>-45644</v>
      </c>
      <c r="D111" s="64">
        <v>1626</v>
      </c>
      <c r="E111" s="64" t="s">
        <v>566</v>
      </c>
      <c r="F111" s="64">
        <v>964</v>
      </c>
      <c r="G111" s="64">
        <v>-6</v>
      </c>
      <c r="H111" s="64">
        <v>-9</v>
      </c>
      <c r="I111" s="64">
        <v>1029</v>
      </c>
      <c r="J111" s="64">
        <v>0</v>
      </c>
      <c r="K111" s="64">
        <v>1801</v>
      </c>
      <c r="L111" s="64">
        <v>0.71</v>
      </c>
      <c r="P111" s="58"/>
    </row>
    <row r="112" spans="1:16">
      <c r="A112" s="45" t="s">
        <v>112</v>
      </c>
      <c r="B112" s="62">
        <v>1373</v>
      </c>
      <c r="C112" s="66">
        <v>-10197</v>
      </c>
      <c r="D112" s="62">
        <v>279</v>
      </c>
      <c r="E112" s="62" t="s">
        <v>566</v>
      </c>
      <c r="F112" s="62">
        <v>4921</v>
      </c>
      <c r="G112" s="62">
        <v>43</v>
      </c>
      <c r="H112" s="62">
        <v>27</v>
      </c>
      <c r="I112" s="62">
        <v>-56</v>
      </c>
      <c r="J112" s="62">
        <v>0</v>
      </c>
      <c r="K112" s="62">
        <v>985</v>
      </c>
      <c r="L112" s="62">
        <v>0.23</v>
      </c>
      <c r="P112" s="58"/>
    </row>
    <row r="113" spans="1:16">
      <c r="A113" s="44" t="s">
        <v>279</v>
      </c>
      <c r="B113" s="64">
        <v>1190</v>
      </c>
      <c r="C113" s="61">
        <v>-12010</v>
      </c>
      <c r="D113" s="64">
        <v>2352</v>
      </c>
      <c r="E113" s="64" t="s">
        <v>566</v>
      </c>
      <c r="F113" s="64">
        <v>506</v>
      </c>
      <c r="G113" s="64">
        <v>122</v>
      </c>
      <c r="H113" s="64">
        <v>87</v>
      </c>
      <c r="I113" s="64">
        <v>-24</v>
      </c>
      <c r="J113" s="64">
        <v>0</v>
      </c>
      <c r="K113" s="64">
        <v>1173</v>
      </c>
      <c r="L113" s="64">
        <v>0.9</v>
      </c>
      <c r="P113" s="58"/>
    </row>
    <row r="114" spans="1:16">
      <c r="A114" s="45" t="s">
        <v>27</v>
      </c>
      <c r="B114" s="62">
        <v>1153</v>
      </c>
      <c r="C114" s="66">
        <v>-55079</v>
      </c>
      <c r="D114" s="67">
        <v>281</v>
      </c>
      <c r="E114" s="67" t="s">
        <v>566</v>
      </c>
      <c r="F114" s="67">
        <v>4103</v>
      </c>
      <c r="G114" s="62">
        <v>24</v>
      </c>
      <c r="H114" s="62">
        <v>-7</v>
      </c>
      <c r="I114" s="62">
        <v>-6</v>
      </c>
      <c r="J114" s="62">
        <v>0</v>
      </c>
      <c r="K114" s="62">
        <v>1342</v>
      </c>
      <c r="L114" s="62">
        <v>0.34</v>
      </c>
      <c r="P114" s="58"/>
    </row>
    <row r="115" spans="1:16">
      <c r="A115" s="44" t="s">
        <v>246</v>
      </c>
      <c r="B115" s="64">
        <v>1134</v>
      </c>
      <c r="C115" s="61">
        <v>-141404</v>
      </c>
      <c r="D115" s="64">
        <v>1921</v>
      </c>
      <c r="E115" s="64" t="s">
        <v>566</v>
      </c>
      <c r="F115" s="64">
        <v>590</v>
      </c>
      <c r="G115" s="64">
        <v>-9</v>
      </c>
      <c r="H115" s="64">
        <v>-2</v>
      </c>
      <c r="I115" s="64">
        <v>-74</v>
      </c>
      <c r="J115" s="64">
        <v>0</v>
      </c>
      <c r="K115" s="64">
        <v>3915</v>
      </c>
      <c r="L115" s="64">
        <v>0.3</v>
      </c>
      <c r="P115" s="58"/>
    </row>
    <row r="116" spans="1:16">
      <c r="A116" s="45" t="s">
        <v>264</v>
      </c>
      <c r="B116" s="62">
        <v>1094</v>
      </c>
      <c r="C116" s="66">
        <v>-32340</v>
      </c>
      <c r="D116" s="62">
        <v>1801</v>
      </c>
      <c r="E116" s="62" t="s">
        <v>566</v>
      </c>
      <c r="F116" s="62">
        <v>607</v>
      </c>
      <c r="G116" s="62">
        <v>51</v>
      </c>
      <c r="H116" s="62">
        <v>88</v>
      </c>
      <c r="I116" s="62">
        <v>-23</v>
      </c>
      <c r="J116" s="62">
        <v>0</v>
      </c>
      <c r="K116" s="62">
        <v>1435</v>
      </c>
      <c r="L116" s="62">
        <v>0.64</v>
      </c>
      <c r="P116" s="58"/>
    </row>
    <row r="117" spans="1:16">
      <c r="A117" s="44" t="s">
        <v>202</v>
      </c>
      <c r="B117" s="64">
        <v>1028</v>
      </c>
      <c r="C117" s="61">
        <v>-25359</v>
      </c>
      <c r="D117" s="64">
        <v>354</v>
      </c>
      <c r="E117" s="64" t="s">
        <v>566</v>
      </c>
      <c r="F117" s="64">
        <v>2904</v>
      </c>
      <c r="G117" s="64">
        <v>23</v>
      </c>
      <c r="H117" s="64">
        <v>10</v>
      </c>
      <c r="I117" s="64">
        <v>-33</v>
      </c>
      <c r="J117" s="64">
        <v>0</v>
      </c>
      <c r="K117" s="64">
        <v>972</v>
      </c>
      <c r="L117" s="64">
        <v>0.22</v>
      </c>
      <c r="P117" s="58"/>
    </row>
    <row r="118" spans="1:16">
      <c r="A118" s="45" t="s">
        <v>105</v>
      </c>
      <c r="B118" s="62">
        <v>1019</v>
      </c>
      <c r="C118" s="66">
        <v>-10319</v>
      </c>
      <c r="D118" s="62">
        <v>217</v>
      </c>
      <c r="E118" s="62" t="s">
        <v>566</v>
      </c>
      <c r="F118" s="62">
        <v>4696</v>
      </c>
      <c r="G118" s="62">
        <v>16</v>
      </c>
      <c r="H118" s="62">
        <v>-10</v>
      </c>
      <c r="I118" s="62">
        <v>2</v>
      </c>
      <c r="J118" s="62">
        <v>0</v>
      </c>
      <c r="K118" s="62">
        <v>1775</v>
      </c>
      <c r="L118" s="62">
        <v>0.94</v>
      </c>
      <c r="P118" s="58"/>
    </row>
    <row r="119" spans="1:16">
      <c r="A119" s="44" t="s">
        <v>196</v>
      </c>
      <c r="B119" s="64">
        <v>928</v>
      </c>
      <c r="C119" s="61">
        <v>-30113</v>
      </c>
      <c r="D119" s="64">
        <v>727</v>
      </c>
      <c r="E119" s="64" t="s">
        <v>566</v>
      </c>
      <c r="F119" s="64">
        <v>1276</v>
      </c>
      <c r="G119" s="64">
        <v>37</v>
      </c>
      <c r="H119" s="64">
        <v>30</v>
      </c>
      <c r="I119" s="64">
        <v>-95</v>
      </c>
      <c r="J119" s="64">
        <v>0</v>
      </c>
      <c r="K119" s="64">
        <v>1421</v>
      </c>
      <c r="L119" s="64">
        <v>0.35</v>
      </c>
      <c r="P119" s="58"/>
    </row>
    <row r="120" spans="1:16">
      <c r="A120" s="45" t="s">
        <v>92</v>
      </c>
      <c r="B120" s="62">
        <v>695</v>
      </c>
      <c r="C120" s="66">
        <v>-62440</v>
      </c>
      <c r="D120" s="62">
        <v>1955</v>
      </c>
      <c r="E120" s="62" t="s">
        <v>566</v>
      </c>
      <c r="F120" s="62">
        <v>355</v>
      </c>
      <c r="G120" s="62">
        <v>-35</v>
      </c>
      <c r="H120" s="62">
        <v>-35</v>
      </c>
      <c r="I120" s="62">
        <v>84</v>
      </c>
      <c r="J120" s="62">
        <v>0</v>
      </c>
      <c r="K120" s="62">
        <v>2787</v>
      </c>
      <c r="L120" s="62">
        <v>0.99</v>
      </c>
      <c r="P120" s="58"/>
    </row>
    <row r="121" spans="1:16">
      <c r="A121" s="68" t="s">
        <v>571</v>
      </c>
      <c r="B121" s="69">
        <v>638</v>
      </c>
      <c r="C121" s="61">
        <v>-13619</v>
      </c>
      <c r="D121" s="69">
        <v>758</v>
      </c>
      <c r="E121" s="69" t="s">
        <v>566</v>
      </c>
      <c r="F121" s="69">
        <v>842</v>
      </c>
      <c r="G121" s="69">
        <v>-13</v>
      </c>
      <c r="H121" s="69">
        <v>-14</v>
      </c>
      <c r="I121" s="69">
        <v>-45</v>
      </c>
      <c r="J121" s="69">
        <v>0</v>
      </c>
      <c r="K121" s="69">
        <v>1862</v>
      </c>
      <c r="L121" s="69">
        <v>0.67</v>
      </c>
      <c r="P121" s="58"/>
    </row>
    <row r="122" spans="1:16">
      <c r="A122" s="45" t="s">
        <v>232</v>
      </c>
      <c r="B122" s="62">
        <v>635</v>
      </c>
      <c r="C122" s="66">
        <v>-31407</v>
      </c>
      <c r="D122" s="62">
        <v>397</v>
      </c>
      <c r="E122" s="62" t="s">
        <v>566</v>
      </c>
      <c r="F122" s="62">
        <v>1599</v>
      </c>
      <c r="G122" s="62">
        <v>-12</v>
      </c>
      <c r="H122" s="62">
        <v>-16</v>
      </c>
      <c r="I122" s="62">
        <v>582</v>
      </c>
      <c r="J122" s="62">
        <v>0</v>
      </c>
      <c r="K122" s="62">
        <v>1541</v>
      </c>
      <c r="L122" s="62">
        <v>0.35</v>
      </c>
      <c r="P122" s="58"/>
    </row>
    <row r="123" spans="1:16">
      <c r="A123" s="68" t="s">
        <v>37</v>
      </c>
      <c r="B123" s="69">
        <v>619</v>
      </c>
      <c r="C123" s="61">
        <v>-35686</v>
      </c>
      <c r="D123" s="69">
        <v>515</v>
      </c>
      <c r="E123" s="69" t="s">
        <v>566</v>
      </c>
      <c r="F123" s="69">
        <v>1202</v>
      </c>
      <c r="G123" s="69">
        <v>-33</v>
      </c>
      <c r="H123" s="69"/>
      <c r="I123" s="69">
        <v>-46</v>
      </c>
      <c r="J123" s="69">
        <v>0</v>
      </c>
      <c r="K123" s="69">
        <v>5310</v>
      </c>
      <c r="L123" s="69">
        <v>0.12</v>
      </c>
      <c r="P123" s="58"/>
    </row>
    <row r="124" spans="1:16">
      <c r="A124" s="71" t="s">
        <v>124</v>
      </c>
      <c r="B124" s="72">
        <v>576</v>
      </c>
      <c r="C124" s="66">
        <v>-31313</v>
      </c>
      <c r="D124" s="72">
        <v>592</v>
      </c>
      <c r="E124" s="72" t="s">
        <v>566</v>
      </c>
      <c r="F124" s="72">
        <v>973</v>
      </c>
      <c r="G124" s="72">
        <v>4</v>
      </c>
      <c r="H124" s="72"/>
      <c r="I124" s="72">
        <v>-59</v>
      </c>
      <c r="J124" s="72">
        <v>0</v>
      </c>
      <c r="K124" s="72">
        <v>4225</v>
      </c>
      <c r="L124" s="72">
        <v>0.21</v>
      </c>
      <c r="P124" s="58"/>
    </row>
    <row r="125" spans="1:16">
      <c r="A125" s="68" t="s">
        <v>111</v>
      </c>
      <c r="B125" s="69">
        <v>564</v>
      </c>
      <c r="C125" s="69">
        <v>545</v>
      </c>
      <c r="D125" s="69">
        <v>54</v>
      </c>
      <c r="E125" s="69" t="s">
        <v>566</v>
      </c>
      <c r="F125" s="69">
        <v>10444</v>
      </c>
      <c r="G125" s="69">
        <v>281</v>
      </c>
      <c r="H125" s="69"/>
      <c r="I125" s="69">
        <v>8435</v>
      </c>
      <c r="J125" s="69">
        <v>0</v>
      </c>
      <c r="K125" s="69"/>
      <c r="L125" s="69">
        <v>0.81</v>
      </c>
      <c r="P125" s="58"/>
    </row>
    <row r="126" spans="1:16">
      <c r="A126" s="45" t="s">
        <v>198</v>
      </c>
      <c r="B126" s="62">
        <v>542</v>
      </c>
      <c r="C126" s="66">
        <v>-57175</v>
      </c>
      <c r="D126" s="62">
        <v>281</v>
      </c>
      <c r="E126" s="62" t="s">
        <v>566</v>
      </c>
      <c r="F126" s="62">
        <v>1929</v>
      </c>
      <c r="G126" s="62">
        <v>-3</v>
      </c>
      <c r="H126" s="62">
        <v>-14</v>
      </c>
      <c r="I126" s="62">
        <v>-17</v>
      </c>
      <c r="J126" s="62">
        <v>0</v>
      </c>
      <c r="K126" s="62">
        <v>465</v>
      </c>
      <c r="L126" s="62"/>
      <c r="P126" s="58"/>
    </row>
    <row r="127" spans="1:16">
      <c r="A127" s="44" t="s">
        <v>216</v>
      </c>
      <c r="B127" s="64">
        <v>442</v>
      </c>
      <c r="C127" s="61">
        <v>-13421</v>
      </c>
      <c r="D127" s="64">
        <v>227</v>
      </c>
      <c r="E127" s="64" t="s">
        <v>566</v>
      </c>
      <c r="F127" s="64">
        <v>1947</v>
      </c>
      <c r="G127" s="64">
        <v>-15</v>
      </c>
      <c r="H127" s="64">
        <v>-35</v>
      </c>
      <c r="I127" s="64">
        <v>-67</v>
      </c>
      <c r="J127" s="64">
        <v>0</v>
      </c>
      <c r="K127" s="64">
        <v>1659</v>
      </c>
      <c r="L127" s="64">
        <v>0.83</v>
      </c>
      <c r="P127" s="58"/>
    </row>
    <row r="128" spans="1:16">
      <c r="A128" s="45" t="s">
        <v>265</v>
      </c>
      <c r="B128" s="62">
        <v>421</v>
      </c>
      <c r="C128" s="66">
        <v>-58776</v>
      </c>
      <c r="D128" s="62">
        <v>1472</v>
      </c>
      <c r="E128" s="62" t="s">
        <v>566</v>
      </c>
      <c r="F128" s="62">
        <v>286</v>
      </c>
      <c r="G128" s="62">
        <v>7</v>
      </c>
      <c r="H128" s="62">
        <v>-3</v>
      </c>
      <c r="I128" s="62">
        <v>-45</v>
      </c>
      <c r="J128" s="62">
        <v>0</v>
      </c>
      <c r="K128" s="62">
        <v>909</v>
      </c>
      <c r="L128" s="62">
        <v>0.49</v>
      </c>
      <c r="P128" s="58"/>
    </row>
    <row r="129" spans="1:16">
      <c r="A129" s="44" t="s">
        <v>238</v>
      </c>
      <c r="B129" s="64">
        <v>418</v>
      </c>
      <c r="C129" s="61">
        <v>-13896</v>
      </c>
      <c r="D129" s="64">
        <v>3776</v>
      </c>
      <c r="E129" s="64" t="s">
        <v>566</v>
      </c>
      <c r="F129" s="64">
        <v>111</v>
      </c>
      <c r="G129" s="64">
        <v>182</v>
      </c>
      <c r="H129" s="64">
        <v>341</v>
      </c>
      <c r="I129" s="64">
        <v>-57</v>
      </c>
      <c r="J129" s="64">
        <v>0</v>
      </c>
      <c r="K129" s="64">
        <v>7581</v>
      </c>
      <c r="L129" s="64">
        <v>0.87</v>
      </c>
      <c r="P129" s="58"/>
    </row>
    <row r="130" spans="1:16">
      <c r="A130" s="45" t="s">
        <v>127</v>
      </c>
      <c r="B130" s="62">
        <v>319</v>
      </c>
      <c r="C130" s="66">
        <v>-67357</v>
      </c>
      <c r="D130" s="62">
        <v>289</v>
      </c>
      <c r="E130" s="62" t="s">
        <v>566</v>
      </c>
      <c r="F130" s="62">
        <v>1104</v>
      </c>
      <c r="G130" s="62">
        <v>-6</v>
      </c>
      <c r="H130" s="62">
        <v>-14</v>
      </c>
      <c r="I130" s="62">
        <v>-78</v>
      </c>
      <c r="J130" s="62">
        <v>0</v>
      </c>
      <c r="K130" s="62">
        <v>2243</v>
      </c>
      <c r="L130" s="62">
        <v>0.51</v>
      </c>
      <c r="P130" s="58"/>
    </row>
    <row r="131" spans="1:16">
      <c r="A131" s="68" t="s">
        <v>121</v>
      </c>
      <c r="B131" s="69">
        <v>264</v>
      </c>
      <c r="C131" s="61">
        <v>-6278</v>
      </c>
      <c r="D131" s="69">
        <v>0</v>
      </c>
      <c r="E131" s="69" t="s">
        <v>565</v>
      </c>
      <c r="F131" s="69"/>
      <c r="G131" s="69">
        <v>-37</v>
      </c>
      <c r="H131" s="69"/>
      <c r="I131" s="69">
        <v>-74</v>
      </c>
      <c r="J131" s="69">
        <v>0</v>
      </c>
      <c r="K131" s="69">
        <v>10772</v>
      </c>
      <c r="L131" s="69">
        <v>0.28999999999999998</v>
      </c>
      <c r="P131" s="58"/>
    </row>
    <row r="132" spans="1:16">
      <c r="A132" s="71" t="s">
        <v>86</v>
      </c>
      <c r="B132" s="72">
        <v>221</v>
      </c>
      <c r="C132" s="66">
        <v>-862</v>
      </c>
      <c r="D132" s="72">
        <v>162</v>
      </c>
      <c r="E132" s="72" t="s">
        <v>566</v>
      </c>
      <c r="F132" s="72">
        <v>1364</v>
      </c>
      <c r="G132" s="72">
        <v>-33</v>
      </c>
      <c r="H132" s="72"/>
      <c r="I132" s="72">
        <v>94</v>
      </c>
      <c r="J132" s="72">
        <v>0</v>
      </c>
      <c r="K132" s="72"/>
      <c r="L132" s="72">
        <v>0.41</v>
      </c>
      <c r="P132" s="58"/>
    </row>
    <row r="133" spans="1:16">
      <c r="A133" s="68" t="s">
        <v>254</v>
      </c>
      <c r="B133" s="69">
        <v>210</v>
      </c>
      <c r="C133" s="61">
        <v>-5165</v>
      </c>
      <c r="D133" s="69">
        <v>40</v>
      </c>
      <c r="E133" s="69" t="s">
        <v>566</v>
      </c>
      <c r="F133" s="69">
        <v>5250</v>
      </c>
      <c r="G133" s="69">
        <v>64</v>
      </c>
      <c r="H133" s="69"/>
      <c r="I133" s="69">
        <v>-7</v>
      </c>
      <c r="J133" s="69">
        <v>0</v>
      </c>
      <c r="K133" s="69">
        <v>4904</v>
      </c>
      <c r="L133" s="69">
        <v>1</v>
      </c>
      <c r="P133" s="58"/>
    </row>
    <row r="134" spans="1:16">
      <c r="A134" s="45" t="s">
        <v>261</v>
      </c>
      <c r="B134" s="62">
        <v>203</v>
      </c>
      <c r="C134" s="66">
        <v>-148171</v>
      </c>
      <c r="D134" s="62">
        <v>599</v>
      </c>
      <c r="E134" s="62" t="s">
        <v>566</v>
      </c>
      <c r="F134" s="62">
        <v>339</v>
      </c>
      <c r="G134" s="62">
        <v>-15</v>
      </c>
      <c r="H134" s="62">
        <v>-9</v>
      </c>
      <c r="I134" s="62">
        <v>-82</v>
      </c>
      <c r="J134" s="62">
        <v>0</v>
      </c>
      <c r="K134" s="62">
        <v>4177</v>
      </c>
      <c r="L134" s="62">
        <v>0.27</v>
      </c>
      <c r="P134" s="58"/>
    </row>
    <row r="135" spans="1:16">
      <c r="A135" s="44" t="s">
        <v>286</v>
      </c>
      <c r="B135" s="64">
        <v>176</v>
      </c>
      <c r="C135" s="61">
        <v>-5435</v>
      </c>
      <c r="D135" s="64">
        <v>84</v>
      </c>
      <c r="E135" s="64" t="s">
        <v>566</v>
      </c>
      <c r="F135" s="64">
        <v>2095</v>
      </c>
      <c r="G135" s="64">
        <v>-29</v>
      </c>
      <c r="H135" s="64">
        <v>20</v>
      </c>
      <c r="I135" s="64"/>
      <c r="J135" s="64">
        <v>0</v>
      </c>
      <c r="K135" s="64">
        <v>661</v>
      </c>
      <c r="L135" s="64">
        <v>0.91</v>
      </c>
      <c r="P135" s="58"/>
    </row>
    <row r="136" spans="1:16">
      <c r="A136" s="45" t="s">
        <v>245</v>
      </c>
      <c r="B136" s="62">
        <v>148</v>
      </c>
      <c r="C136" s="66">
        <v>-8235</v>
      </c>
      <c r="D136" s="62">
        <v>361</v>
      </c>
      <c r="E136" s="62" t="s">
        <v>566</v>
      </c>
      <c r="F136" s="62">
        <v>410</v>
      </c>
      <c r="G136" s="62">
        <v>0</v>
      </c>
      <c r="H136" s="62">
        <v>44</v>
      </c>
      <c r="I136" s="62">
        <v>214</v>
      </c>
      <c r="J136" s="62">
        <v>0</v>
      </c>
      <c r="K136" s="62">
        <v>15770</v>
      </c>
      <c r="L136" s="62">
        <v>0.95</v>
      </c>
      <c r="P136" s="58"/>
    </row>
    <row r="137" spans="1:16">
      <c r="A137" s="44" t="s">
        <v>243</v>
      </c>
      <c r="B137" s="64">
        <v>143</v>
      </c>
      <c r="C137" s="61">
        <v>-3640</v>
      </c>
      <c r="D137" s="64">
        <v>112</v>
      </c>
      <c r="E137" s="64" t="s">
        <v>566</v>
      </c>
      <c r="F137" s="64">
        <v>1277</v>
      </c>
      <c r="G137" s="64">
        <v>48</v>
      </c>
      <c r="H137" s="64">
        <v>108</v>
      </c>
      <c r="I137" s="64">
        <v>-26</v>
      </c>
      <c r="J137" s="64">
        <v>0</v>
      </c>
      <c r="K137" s="64">
        <v>1457</v>
      </c>
      <c r="L137" s="64">
        <v>0.55000000000000004</v>
      </c>
      <c r="P137" s="58"/>
    </row>
    <row r="138" spans="1:16">
      <c r="A138" s="71" t="s">
        <v>272</v>
      </c>
      <c r="B138" s="72">
        <v>134</v>
      </c>
      <c r="C138" s="66">
        <v>-17938</v>
      </c>
      <c r="D138" s="72">
        <v>189</v>
      </c>
      <c r="E138" s="72" t="s">
        <v>566</v>
      </c>
      <c r="F138" s="72">
        <v>709</v>
      </c>
      <c r="G138" s="72">
        <v>-19</v>
      </c>
      <c r="H138" s="72">
        <v>6</v>
      </c>
      <c r="I138" s="72">
        <v>-62</v>
      </c>
      <c r="J138" s="72">
        <v>0</v>
      </c>
      <c r="K138" s="72">
        <v>5053</v>
      </c>
      <c r="L138" s="72">
        <v>0.55000000000000004</v>
      </c>
      <c r="P138" s="58"/>
    </row>
    <row r="139" spans="1:16">
      <c r="A139" s="68" t="s">
        <v>93</v>
      </c>
      <c r="B139" s="69">
        <v>117</v>
      </c>
      <c r="C139" s="61">
        <v>-33498</v>
      </c>
      <c r="D139" s="69">
        <v>102</v>
      </c>
      <c r="E139" s="69" t="s">
        <v>566</v>
      </c>
      <c r="F139" s="69">
        <v>1147</v>
      </c>
      <c r="G139" s="69">
        <v>40</v>
      </c>
      <c r="H139" s="69"/>
      <c r="I139" s="69">
        <v>-51</v>
      </c>
      <c r="J139" s="69">
        <v>0</v>
      </c>
      <c r="K139" s="69">
        <v>4339</v>
      </c>
      <c r="L139" s="69">
        <v>0.31</v>
      </c>
      <c r="P139" s="58"/>
    </row>
    <row r="140" spans="1:16">
      <c r="A140" s="45" t="s">
        <v>94</v>
      </c>
      <c r="B140" s="62">
        <v>116</v>
      </c>
      <c r="C140" s="66">
        <v>-52816</v>
      </c>
      <c r="D140" s="62">
        <v>102</v>
      </c>
      <c r="E140" s="62" t="s">
        <v>566</v>
      </c>
      <c r="F140" s="62">
        <v>1137</v>
      </c>
      <c r="G140" s="62">
        <v>-28</v>
      </c>
      <c r="H140" s="62">
        <v>-32</v>
      </c>
      <c r="I140" s="62">
        <v>-76</v>
      </c>
      <c r="J140" s="62">
        <v>0</v>
      </c>
      <c r="K140" s="62">
        <v>2757</v>
      </c>
      <c r="L140" s="62">
        <v>0.28000000000000003</v>
      </c>
      <c r="P140" s="58"/>
    </row>
    <row r="141" spans="1:16">
      <c r="A141" s="68" t="s">
        <v>231</v>
      </c>
      <c r="B141" s="69">
        <v>107</v>
      </c>
      <c r="C141" s="61">
        <v>-4880</v>
      </c>
      <c r="D141" s="69">
        <v>12</v>
      </c>
      <c r="E141" s="69" t="s">
        <v>566</v>
      </c>
      <c r="F141" s="69">
        <v>8917</v>
      </c>
      <c r="G141" s="69">
        <v>224</v>
      </c>
      <c r="H141" s="69"/>
      <c r="I141" s="69">
        <v>868</v>
      </c>
      <c r="J141" s="69">
        <v>0</v>
      </c>
      <c r="K141" s="69">
        <v>14576</v>
      </c>
      <c r="L141" s="69">
        <v>0.72</v>
      </c>
      <c r="P141" s="58"/>
    </row>
    <row r="142" spans="1:16">
      <c r="A142" s="71" t="s">
        <v>252</v>
      </c>
      <c r="B142" s="72">
        <v>95</v>
      </c>
      <c r="C142" s="72">
        <v>7</v>
      </c>
      <c r="D142" s="72">
        <v>69</v>
      </c>
      <c r="E142" s="72" t="s">
        <v>566</v>
      </c>
      <c r="F142" s="72">
        <v>1377</v>
      </c>
      <c r="G142" s="72"/>
      <c r="H142" s="72"/>
      <c r="I142" s="72"/>
      <c r="J142" s="72">
        <v>0</v>
      </c>
      <c r="K142" s="72">
        <v>14681</v>
      </c>
      <c r="L142" s="72">
        <v>1</v>
      </c>
      <c r="P142" s="58"/>
    </row>
    <row r="143" spans="1:16">
      <c r="A143" s="68" t="s">
        <v>298</v>
      </c>
      <c r="B143" s="69">
        <v>89</v>
      </c>
      <c r="C143" s="61">
        <v>-1057</v>
      </c>
      <c r="D143" s="69">
        <v>123</v>
      </c>
      <c r="E143" s="69" t="s">
        <v>566</v>
      </c>
      <c r="F143" s="69">
        <v>724</v>
      </c>
      <c r="G143" s="69"/>
      <c r="H143" s="69"/>
      <c r="I143" s="69"/>
      <c r="J143" s="69">
        <v>0</v>
      </c>
      <c r="K143" s="69">
        <v>10086</v>
      </c>
      <c r="L143" s="69">
        <v>0.53</v>
      </c>
      <c r="P143" s="58"/>
    </row>
    <row r="144" spans="1:16">
      <c r="A144" s="71" t="s">
        <v>568</v>
      </c>
      <c r="B144" s="72">
        <v>73</v>
      </c>
      <c r="C144" s="66">
        <v>-47825</v>
      </c>
      <c r="D144" s="72">
        <v>150</v>
      </c>
      <c r="E144" s="72" t="s">
        <v>566</v>
      </c>
      <c r="F144" s="72">
        <v>487</v>
      </c>
      <c r="G144" s="72">
        <v>72</v>
      </c>
      <c r="H144" s="72"/>
      <c r="I144" s="72">
        <v>-35</v>
      </c>
      <c r="J144" s="72">
        <v>0</v>
      </c>
      <c r="K144" s="72">
        <v>1804</v>
      </c>
      <c r="L144" s="72">
        <v>0.71</v>
      </c>
      <c r="P144" s="58"/>
    </row>
    <row r="145" spans="1:16">
      <c r="A145" s="44" t="s">
        <v>256</v>
      </c>
      <c r="B145" s="64">
        <v>66</v>
      </c>
      <c r="C145" s="61">
        <v>-9253</v>
      </c>
      <c r="D145" s="64">
        <v>195</v>
      </c>
      <c r="E145" s="64" t="s">
        <v>566</v>
      </c>
      <c r="F145" s="64">
        <v>338</v>
      </c>
      <c r="G145" s="64">
        <v>-26</v>
      </c>
      <c r="H145" s="64">
        <v>-20</v>
      </c>
      <c r="I145" s="64">
        <v>46</v>
      </c>
      <c r="J145" s="64">
        <v>0</v>
      </c>
      <c r="K145" s="64">
        <v>6589</v>
      </c>
      <c r="L145" s="64">
        <v>0.52</v>
      </c>
      <c r="P145" s="58"/>
    </row>
    <row r="146" spans="1:16">
      <c r="A146" s="71" t="s">
        <v>108</v>
      </c>
      <c r="B146" s="72">
        <v>66</v>
      </c>
      <c r="C146" s="66">
        <v>-166681</v>
      </c>
      <c r="D146" s="72">
        <v>107</v>
      </c>
      <c r="E146" s="72" t="s">
        <v>566</v>
      </c>
      <c r="F146" s="72">
        <v>617</v>
      </c>
      <c r="G146" s="72">
        <v>-15</v>
      </c>
      <c r="H146" s="72">
        <v>-4</v>
      </c>
      <c r="I146" s="72">
        <v>-76</v>
      </c>
      <c r="J146" s="72">
        <v>0</v>
      </c>
      <c r="K146" s="72">
        <v>1191</v>
      </c>
      <c r="L146" s="72">
        <v>1</v>
      </c>
      <c r="P146" s="58"/>
    </row>
    <row r="147" spans="1:16">
      <c r="A147" s="68" t="s">
        <v>230</v>
      </c>
      <c r="B147" s="69">
        <v>55</v>
      </c>
      <c r="C147" s="61">
        <v>-5239</v>
      </c>
      <c r="D147" s="69">
        <v>66</v>
      </c>
      <c r="E147" s="69" t="s">
        <v>566</v>
      </c>
      <c r="F147" s="69">
        <v>833</v>
      </c>
      <c r="G147" s="69">
        <v>-53</v>
      </c>
      <c r="H147" s="69"/>
      <c r="I147" s="69"/>
      <c r="J147" s="69">
        <v>0</v>
      </c>
      <c r="K147" s="69"/>
      <c r="L147" s="69">
        <v>1</v>
      </c>
      <c r="P147" s="58"/>
    </row>
    <row r="148" spans="1:16">
      <c r="A148" s="45" t="s">
        <v>250</v>
      </c>
      <c r="B148" s="62">
        <v>54</v>
      </c>
      <c r="C148" s="66">
        <v>-22253</v>
      </c>
      <c r="D148" s="62">
        <v>25</v>
      </c>
      <c r="E148" s="62" t="s">
        <v>566</v>
      </c>
      <c r="F148" s="62">
        <v>2160</v>
      </c>
      <c r="G148" s="62">
        <v>-31</v>
      </c>
      <c r="H148" s="62">
        <v>-39</v>
      </c>
      <c r="I148" s="62">
        <v>58</v>
      </c>
      <c r="J148" s="62">
        <v>0</v>
      </c>
      <c r="K148" s="62">
        <v>1591</v>
      </c>
      <c r="L148" s="62">
        <v>0.45</v>
      </c>
      <c r="P148" s="58"/>
    </row>
    <row r="149" spans="1:16">
      <c r="A149" s="44" t="s">
        <v>122</v>
      </c>
      <c r="B149" s="64">
        <v>48</v>
      </c>
      <c r="C149" s="61">
        <v>-2413</v>
      </c>
      <c r="D149" s="64">
        <v>12</v>
      </c>
      <c r="E149" s="64" t="s">
        <v>566</v>
      </c>
      <c r="F149" s="64">
        <v>4000</v>
      </c>
      <c r="G149" s="64"/>
      <c r="H149" s="64">
        <v>52</v>
      </c>
      <c r="I149" s="64">
        <v>1235</v>
      </c>
      <c r="J149" s="64">
        <v>0</v>
      </c>
      <c r="K149" s="64">
        <v>1042</v>
      </c>
      <c r="L149" s="64">
        <v>0.64</v>
      </c>
      <c r="P149" s="58"/>
    </row>
    <row r="150" spans="1:16">
      <c r="A150" s="71" t="s">
        <v>281</v>
      </c>
      <c r="B150" s="72">
        <v>38</v>
      </c>
      <c r="C150" s="66">
        <v>-2079</v>
      </c>
      <c r="D150" s="72">
        <v>6</v>
      </c>
      <c r="E150" s="72" t="s">
        <v>566</v>
      </c>
      <c r="F150" s="72">
        <v>6333</v>
      </c>
      <c r="G150" s="72"/>
      <c r="H150" s="72"/>
      <c r="I150" s="72">
        <v>737</v>
      </c>
      <c r="J150" s="72">
        <v>0</v>
      </c>
      <c r="K150" s="72">
        <v>5940</v>
      </c>
      <c r="L150" s="72">
        <v>1</v>
      </c>
      <c r="P150" s="58"/>
    </row>
    <row r="151" spans="1:16">
      <c r="A151" s="68" t="s">
        <v>260</v>
      </c>
      <c r="B151" s="69">
        <v>35</v>
      </c>
      <c r="C151" s="61">
        <v>-5567</v>
      </c>
      <c r="D151" s="69">
        <v>24</v>
      </c>
      <c r="E151" s="69" t="s">
        <v>566</v>
      </c>
      <c r="F151" s="69">
        <v>1458</v>
      </c>
      <c r="G151" s="69"/>
      <c r="H151" s="69"/>
      <c r="I151" s="69"/>
      <c r="J151" s="69">
        <v>0</v>
      </c>
      <c r="K151" s="69">
        <v>6210</v>
      </c>
      <c r="L151" s="69">
        <v>1</v>
      </c>
      <c r="P151" s="58"/>
    </row>
    <row r="152" spans="1:16">
      <c r="A152" s="71" t="s">
        <v>128</v>
      </c>
      <c r="B152" s="72">
        <v>30</v>
      </c>
      <c r="C152" s="66">
        <v>-3468</v>
      </c>
      <c r="D152" s="72">
        <v>72</v>
      </c>
      <c r="E152" s="72" t="s">
        <v>566</v>
      </c>
      <c r="F152" s="72">
        <v>417</v>
      </c>
      <c r="G152" s="72">
        <v>28</v>
      </c>
      <c r="H152" s="72"/>
      <c r="I152" s="72">
        <v>915</v>
      </c>
      <c r="J152" s="72">
        <v>0</v>
      </c>
      <c r="K152" s="72">
        <v>4864</v>
      </c>
      <c r="L152" s="72">
        <v>1</v>
      </c>
      <c r="P152" s="58"/>
    </row>
    <row r="153" spans="1:16">
      <c r="A153" s="68" t="s">
        <v>533</v>
      </c>
      <c r="B153" s="69">
        <v>29</v>
      </c>
      <c r="C153" s="61">
        <v>-139</v>
      </c>
      <c r="D153" s="69">
        <v>9</v>
      </c>
      <c r="E153" s="69" t="s">
        <v>566</v>
      </c>
      <c r="F153" s="69">
        <v>3222</v>
      </c>
      <c r="G153" s="69">
        <v>290</v>
      </c>
      <c r="H153" s="69"/>
      <c r="I153" s="69">
        <v>769</v>
      </c>
      <c r="J153" s="69">
        <v>0</v>
      </c>
      <c r="K153" s="69">
        <v>171</v>
      </c>
      <c r="L153" s="69">
        <v>0.56999999999999995</v>
      </c>
      <c r="P153" s="58"/>
    </row>
    <row r="154" spans="1:16">
      <c r="A154" s="45" t="s">
        <v>98</v>
      </c>
      <c r="B154" s="62">
        <v>26</v>
      </c>
      <c r="C154" s="66">
        <v>-445</v>
      </c>
      <c r="D154" s="62">
        <v>46</v>
      </c>
      <c r="E154" s="62" t="s">
        <v>566</v>
      </c>
      <c r="F154" s="62">
        <v>565</v>
      </c>
      <c r="G154" s="62">
        <v>43</v>
      </c>
      <c r="H154" s="62">
        <v>160</v>
      </c>
      <c r="I154" s="62"/>
      <c r="J154" s="62">
        <v>0</v>
      </c>
      <c r="K154" s="62">
        <v>758</v>
      </c>
      <c r="L154" s="62">
        <v>1</v>
      </c>
      <c r="P154" s="58"/>
    </row>
    <row r="155" spans="1:16">
      <c r="A155" s="68" t="s">
        <v>288</v>
      </c>
      <c r="B155" s="69">
        <v>26</v>
      </c>
      <c r="C155" s="61">
        <v>-12509</v>
      </c>
      <c r="D155" s="69">
        <v>0</v>
      </c>
      <c r="E155" s="69" t="s">
        <v>565</v>
      </c>
      <c r="F155" s="69"/>
      <c r="G155" s="69"/>
      <c r="H155" s="69"/>
      <c r="I155" s="69">
        <v>367</v>
      </c>
      <c r="J155" s="69">
        <v>0</v>
      </c>
      <c r="K155" s="69">
        <v>13098</v>
      </c>
      <c r="L155" s="69">
        <v>0.5</v>
      </c>
      <c r="P155" s="58"/>
    </row>
    <row r="156" spans="1:16">
      <c r="A156" s="45" t="s">
        <v>285</v>
      </c>
      <c r="B156" s="62">
        <v>23</v>
      </c>
      <c r="C156" s="66">
        <v>-2229</v>
      </c>
      <c r="D156" s="62">
        <v>4</v>
      </c>
      <c r="E156" s="62" t="s">
        <v>566</v>
      </c>
      <c r="F156" s="62">
        <v>5750</v>
      </c>
      <c r="G156" s="62">
        <v>-24</v>
      </c>
      <c r="H156" s="62">
        <v>-5</v>
      </c>
      <c r="I156" s="62">
        <v>753</v>
      </c>
      <c r="J156" s="62">
        <v>0</v>
      </c>
      <c r="K156" s="62">
        <v>267</v>
      </c>
      <c r="L156" s="62">
        <v>0.33</v>
      </c>
      <c r="P156" s="58"/>
    </row>
    <row r="157" spans="1:16">
      <c r="A157" s="44" t="s">
        <v>275</v>
      </c>
      <c r="B157" s="64">
        <v>22</v>
      </c>
      <c r="C157" s="61">
        <v>-3973</v>
      </c>
      <c r="D157" s="64">
        <v>5</v>
      </c>
      <c r="E157" s="64" t="s">
        <v>566</v>
      </c>
      <c r="F157" s="64">
        <v>4400</v>
      </c>
      <c r="G157" s="64">
        <v>-47</v>
      </c>
      <c r="H157" s="64">
        <v>-67</v>
      </c>
      <c r="I157" s="64"/>
      <c r="J157" s="64">
        <v>0</v>
      </c>
      <c r="K157" s="64">
        <v>1110</v>
      </c>
      <c r="L157" s="64">
        <v>0.52</v>
      </c>
      <c r="P157" s="58"/>
    </row>
    <row r="158" spans="1:16">
      <c r="A158" s="45" t="s">
        <v>247</v>
      </c>
      <c r="B158" s="62">
        <v>22</v>
      </c>
      <c r="C158" s="66">
        <v>-3557</v>
      </c>
      <c r="D158" s="62">
        <v>60</v>
      </c>
      <c r="E158" s="62" t="s">
        <v>566</v>
      </c>
      <c r="F158" s="62">
        <v>367</v>
      </c>
      <c r="G158" s="62"/>
      <c r="H158" s="62"/>
      <c r="I158" s="62"/>
      <c r="J158" s="62">
        <v>0</v>
      </c>
      <c r="K158" s="62">
        <v>7115</v>
      </c>
      <c r="L158" s="62">
        <v>0.35</v>
      </c>
      <c r="P158" s="58"/>
    </row>
    <row r="159" spans="1:16">
      <c r="A159" s="68" t="s">
        <v>125</v>
      </c>
      <c r="B159" s="69">
        <v>21</v>
      </c>
      <c r="C159" s="61">
        <v>-9180</v>
      </c>
      <c r="D159" s="69">
        <v>22</v>
      </c>
      <c r="E159" s="69" t="s">
        <v>566</v>
      </c>
      <c r="F159" s="69">
        <v>955</v>
      </c>
      <c r="G159" s="69"/>
      <c r="H159" s="69"/>
      <c r="I159" s="69"/>
      <c r="J159" s="69">
        <v>0</v>
      </c>
      <c r="K159" s="69">
        <v>5209</v>
      </c>
      <c r="L159" s="69">
        <v>1</v>
      </c>
      <c r="P159" s="58"/>
    </row>
    <row r="160" spans="1:16">
      <c r="A160" s="71" t="s">
        <v>53</v>
      </c>
      <c r="B160" s="72">
        <v>16</v>
      </c>
      <c r="C160" s="66">
        <v>-44919</v>
      </c>
      <c r="D160" s="72">
        <v>21</v>
      </c>
      <c r="E160" s="72" t="s">
        <v>566</v>
      </c>
      <c r="F160" s="72">
        <v>762</v>
      </c>
      <c r="G160" s="72">
        <v>-12</v>
      </c>
      <c r="H160" s="72"/>
      <c r="I160" s="72">
        <v>-99</v>
      </c>
      <c r="J160" s="72">
        <v>0</v>
      </c>
      <c r="K160" s="72">
        <v>2832</v>
      </c>
      <c r="L160" s="72">
        <v>1</v>
      </c>
      <c r="P160" s="58"/>
    </row>
    <row r="161" spans="1:16">
      <c r="A161" s="44" t="s">
        <v>223</v>
      </c>
      <c r="B161" s="64">
        <v>14</v>
      </c>
      <c r="C161" s="61">
        <v>-7104</v>
      </c>
      <c r="D161" s="64">
        <v>0</v>
      </c>
      <c r="E161" s="64" t="s">
        <v>566</v>
      </c>
      <c r="F161" s="64"/>
      <c r="G161" s="64"/>
      <c r="H161" s="64"/>
      <c r="I161" s="64">
        <v>41</v>
      </c>
      <c r="J161" s="64">
        <v>0</v>
      </c>
      <c r="K161" s="64">
        <v>5291</v>
      </c>
      <c r="L161" s="64">
        <v>1</v>
      </c>
      <c r="P161" s="58"/>
    </row>
    <row r="162" spans="1:16">
      <c r="A162" s="71" t="s">
        <v>576</v>
      </c>
      <c r="B162" s="72">
        <v>7</v>
      </c>
      <c r="C162" s="66">
        <v>-77</v>
      </c>
      <c r="D162" s="72">
        <v>0</v>
      </c>
      <c r="E162" s="72" t="s">
        <v>566</v>
      </c>
      <c r="F162" s="72"/>
      <c r="G162" s="72"/>
      <c r="H162" s="72"/>
      <c r="I162" s="72"/>
      <c r="J162" s="72">
        <v>0</v>
      </c>
      <c r="K162" s="72">
        <v>420</v>
      </c>
      <c r="L162" s="72">
        <v>1</v>
      </c>
      <c r="P162" s="58"/>
    </row>
    <row r="163" spans="1:16">
      <c r="A163" s="44" t="s">
        <v>228</v>
      </c>
      <c r="B163" s="64">
        <v>6</v>
      </c>
      <c r="C163" s="61">
        <v>-663</v>
      </c>
      <c r="D163" s="64">
        <v>1</v>
      </c>
      <c r="E163" s="64" t="s">
        <v>566</v>
      </c>
      <c r="F163" s="64">
        <v>6000</v>
      </c>
      <c r="G163" s="64">
        <v>0</v>
      </c>
      <c r="H163" s="64">
        <v>0</v>
      </c>
      <c r="I163" s="64">
        <v>104</v>
      </c>
      <c r="J163" s="64">
        <v>0</v>
      </c>
      <c r="K163" s="64">
        <v>199</v>
      </c>
      <c r="L163" s="64">
        <v>1</v>
      </c>
      <c r="P163" s="58"/>
    </row>
    <row r="164" spans="1:16">
      <c r="A164" s="45" t="s">
        <v>107</v>
      </c>
      <c r="B164" s="62">
        <v>6</v>
      </c>
      <c r="C164" s="66">
        <v>-7964</v>
      </c>
      <c r="D164" s="62">
        <v>8</v>
      </c>
      <c r="E164" s="62" t="s">
        <v>566</v>
      </c>
      <c r="F164" s="62">
        <v>750</v>
      </c>
      <c r="G164" s="62">
        <v>-62</v>
      </c>
      <c r="H164" s="62"/>
      <c r="I164" s="62">
        <v>196</v>
      </c>
      <c r="J164" s="62">
        <v>0</v>
      </c>
      <c r="K164" s="62">
        <v>1881</v>
      </c>
      <c r="L164" s="62">
        <v>1</v>
      </c>
      <c r="P164" s="58"/>
    </row>
    <row r="165" spans="1:16">
      <c r="A165" s="68" t="s">
        <v>289</v>
      </c>
      <c r="B165" s="69">
        <v>6</v>
      </c>
      <c r="C165" s="61">
        <v>-481</v>
      </c>
      <c r="D165" s="69">
        <v>1</v>
      </c>
      <c r="E165" s="69" t="s">
        <v>566</v>
      </c>
      <c r="F165" s="69">
        <v>6000</v>
      </c>
      <c r="G165" s="69"/>
      <c r="H165" s="69"/>
      <c r="I165" s="69"/>
      <c r="J165" s="69">
        <v>0</v>
      </c>
      <c r="K165" s="69">
        <v>13553</v>
      </c>
      <c r="L165" s="69">
        <v>1</v>
      </c>
      <c r="P165" s="58"/>
    </row>
    <row r="166" spans="1:16">
      <c r="A166" s="45" t="s">
        <v>119</v>
      </c>
      <c r="B166" s="62">
        <v>6</v>
      </c>
      <c r="C166" s="66">
        <v>-941</v>
      </c>
      <c r="D166" s="62">
        <v>1</v>
      </c>
      <c r="E166" s="62" t="s">
        <v>566</v>
      </c>
      <c r="F166" s="62">
        <v>6000</v>
      </c>
      <c r="G166" s="62"/>
      <c r="H166" s="62"/>
      <c r="I166" s="62"/>
      <c r="J166" s="62">
        <v>0</v>
      </c>
      <c r="K166" s="62">
        <v>271</v>
      </c>
      <c r="L166" s="62">
        <v>1</v>
      </c>
      <c r="P166" s="58"/>
    </row>
    <row r="167" spans="1:16">
      <c r="A167" s="68" t="s">
        <v>594</v>
      </c>
      <c r="B167" s="69">
        <v>6</v>
      </c>
      <c r="C167" s="69">
        <v>6</v>
      </c>
      <c r="D167" s="69">
        <v>1</v>
      </c>
      <c r="E167" s="69" t="s">
        <v>566</v>
      </c>
      <c r="F167" s="69">
        <v>6000</v>
      </c>
      <c r="G167" s="69"/>
      <c r="H167" s="69"/>
      <c r="I167" s="69">
        <v>-99</v>
      </c>
      <c r="J167" s="69">
        <v>0</v>
      </c>
      <c r="K167" s="69"/>
      <c r="L167" s="69">
        <v>1</v>
      </c>
      <c r="P167" s="58"/>
    </row>
    <row r="168" spans="1:16">
      <c r="A168" s="45" t="s">
        <v>259</v>
      </c>
      <c r="B168" s="62">
        <v>5</v>
      </c>
      <c r="C168" s="66">
        <v>-12563</v>
      </c>
      <c r="D168" s="62">
        <v>26</v>
      </c>
      <c r="E168" s="62" t="s">
        <v>566</v>
      </c>
      <c r="F168" s="62">
        <v>192</v>
      </c>
      <c r="G168" s="62">
        <v>-51</v>
      </c>
      <c r="H168" s="62">
        <v>-41</v>
      </c>
      <c r="I168" s="62"/>
      <c r="J168" s="62">
        <v>0</v>
      </c>
      <c r="K168" s="62">
        <v>254</v>
      </c>
      <c r="L168" s="62">
        <v>1</v>
      </c>
      <c r="P168" s="58"/>
    </row>
    <row r="169" spans="1:16">
      <c r="A169" s="44" t="s">
        <v>217</v>
      </c>
      <c r="B169" s="64">
        <v>5</v>
      </c>
      <c r="C169" s="61">
        <v>-2950</v>
      </c>
      <c r="D169" s="64">
        <v>0</v>
      </c>
      <c r="E169" s="64" t="s">
        <v>566</v>
      </c>
      <c r="F169" s="64"/>
      <c r="G169" s="64">
        <v>-8</v>
      </c>
      <c r="H169" s="64"/>
      <c r="I169" s="64"/>
      <c r="J169" s="64">
        <v>0</v>
      </c>
      <c r="K169" s="64">
        <v>2707</v>
      </c>
      <c r="L169" s="64">
        <v>1</v>
      </c>
      <c r="P169" s="58"/>
    </row>
    <row r="170" spans="1:16">
      <c r="A170" s="45" t="s">
        <v>282</v>
      </c>
      <c r="B170" s="62">
        <v>4</v>
      </c>
      <c r="C170" s="66">
        <v>-7025</v>
      </c>
      <c r="D170" s="62">
        <v>1</v>
      </c>
      <c r="E170" s="62" t="s">
        <v>566</v>
      </c>
      <c r="F170" s="62">
        <v>4000</v>
      </c>
      <c r="G170" s="62">
        <v>95</v>
      </c>
      <c r="H170" s="62"/>
      <c r="I170" s="62"/>
      <c r="J170" s="62">
        <v>0</v>
      </c>
      <c r="K170" s="62">
        <v>522</v>
      </c>
      <c r="L170" s="62">
        <v>1</v>
      </c>
      <c r="P170" s="58"/>
    </row>
    <row r="171" spans="1:16">
      <c r="A171" s="68" t="s">
        <v>299</v>
      </c>
      <c r="B171" s="69">
        <v>3</v>
      </c>
      <c r="C171" s="61">
        <v>-10969</v>
      </c>
      <c r="D171" s="69">
        <v>0</v>
      </c>
      <c r="E171" s="69" t="s">
        <v>566</v>
      </c>
      <c r="F171" s="69"/>
      <c r="G171" s="69">
        <v>-61</v>
      </c>
      <c r="H171" s="69"/>
      <c r="I171" s="69">
        <v>-96</v>
      </c>
      <c r="J171" s="69">
        <v>0</v>
      </c>
      <c r="K171" s="69">
        <v>17086</v>
      </c>
      <c r="L171" s="69">
        <v>1</v>
      </c>
      <c r="P171" s="58"/>
    </row>
    <row r="172" spans="1:16">
      <c r="A172" s="45" t="s">
        <v>242</v>
      </c>
      <c r="B172" s="62">
        <v>3</v>
      </c>
      <c r="C172" s="66">
        <v>-989</v>
      </c>
      <c r="D172" s="62">
        <v>23</v>
      </c>
      <c r="E172" s="62" t="s">
        <v>566</v>
      </c>
      <c r="F172" s="62">
        <v>130</v>
      </c>
      <c r="G172" s="62"/>
      <c r="H172" s="62"/>
      <c r="I172" s="62"/>
      <c r="J172" s="62">
        <v>0</v>
      </c>
      <c r="K172" s="62">
        <v>709</v>
      </c>
      <c r="L172" s="62">
        <v>1</v>
      </c>
      <c r="P172" s="58"/>
    </row>
    <row r="173" spans="1:16">
      <c r="A173" s="44" t="s">
        <v>258</v>
      </c>
      <c r="B173" s="64">
        <v>3</v>
      </c>
      <c r="C173" s="61">
        <v>-1225</v>
      </c>
      <c r="D173" s="64">
        <v>0</v>
      </c>
      <c r="E173" s="64" t="s">
        <v>566</v>
      </c>
      <c r="F173" s="64"/>
      <c r="G173" s="64">
        <v>-39</v>
      </c>
      <c r="H173" s="64"/>
      <c r="I173" s="64"/>
      <c r="J173" s="64">
        <v>0</v>
      </c>
      <c r="K173" s="64">
        <v>980</v>
      </c>
      <c r="L173" s="64">
        <v>0.5</v>
      </c>
      <c r="P173" s="58"/>
    </row>
    <row r="174" spans="1:16">
      <c r="A174" s="45" t="s">
        <v>218</v>
      </c>
      <c r="B174" s="62">
        <v>2</v>
      </c>
      <c r="C174" s="66">
        <v>-179</v>
      </c>
      <c r="D174" s="62">
        <v>0</v>
      </c>
      <c r="E174" s="62" t="s">
        <v>566</v>
      </c>
      <c r="F174" s="62"/>
      <c r="G174" s="62"/>
      <c r="H174" s="62"/>
      <c r="I174" s="62"/>
      <c r="J174" s="62">
        <v>0</v>
      </c>
      <c r="K174" s="62">
        <v>3652</v>
      </c>
      <c r="L174" s="62">
        <v>1</v>
      </c>
      <c r="P174" s="58"/>
    </row>
    <row r="175" spans="1:16">
      <c r="A175" s="44" t="s">
        <v>295</v>
      </c>
      <c r="B175" s="64">
        <v>1</v>
      </c>
      <c r="C175" s="61">
        <v>-116</v>
      </c>
      <c r="D175" s="64">
        <v>0</v>
      </c>
      <c r="E175" s="64" t="s">
        <v>566</v>
      </c>
      <c r="F175" s="64"/>
      <c r="G175" s="64">
        <v>-29</v>
      </c>
      <c r="H175" s="64"/>
      <c r="I175" s="64"/>
      <c r="J175" s="64">
        <v>0</v>
      </c>
      <c r="K175" s="64">
        <v>6251</v>
      </c>
      <c r="L175" s="64">
        <v>1</v>
      </c>
      <c r="P175" s="58"/>
    </row>
    <row r="176" spans="1:16">
      <c r="A176" s="73" t="s">
        <v>579</v>
      </c>
      <c r="B176" s="74">
        <v>1</v>
      </c>
      <c r="C176" s="66">
        <v>-16</v>
      </c>
      <c r="D176" s="74">
        <v>0</v>
      </c>
      <c r="E176" s="74" t="s">
        <v>566</v>
      </c>
      <c r="F176" s="74"/>
      <c r="G176" s="74"/>
      <c r="H176" s="74"/>
      <c r="I176" s="74"/>
      <c r="J176" s="74">
        <v>0</v>
      </c>
      <c r="K176" s="74">
        <v>13253</v>
      </c>
      <c r="L176" s="74">
        <v>1</v>
      </c>
      <c r="M176" s="75"/>
      <c r="N176" s="75"/>
      <c r="O176" s="75"/>
      <c r="P176" s="76"/>
    </row>
  </sheetData>
  <mergeCells count="4">
    <mergeCell ref="A1:F1"/>
    <mergeCell ref="A2:F2"/>
    <mergeCell ref="A11:A12"/>
    <mergeCell ref="B11:P11"/>
  </mergeCells>
  <hyperlinks>
    <hyperlink ref="A7" r:id="rId1" display="https://www.trademap.org/Docs/Metadata/Methodology_quantity_outliers_Y_EN.pdf" xr:uid="{6ACEFED1-1F3F-4049-A86D-A1DF6CCB200B}"/>
    <hyperlink ref="A8" r:id="rId2" display="https://unstats.un.org/unsd/tradekb/Knowledgebase/Quantity-and-Weight-Data-in-UN-Comtrade" xr:uid="{C9F0C34D-83F2-4731-A7A2-3605F509CBFD}"/>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3F47-8B48-490B-B11E-97AFF6FC7A9F}">
  <dimension ref="A1:P234"/>
  <sheetViews>
    <sheetView showGridLines="0" workbookViewId="0">
      <selection activeCell="A7" sqref="A7"/>
    </sheetView>
  </sheetViews>
  <sheetFormatPr defaultRowHeight="15"/>
  <cols>
    <col min="1" max="1" width="36.5703125" bestFit="1" customWidth="1"/>
    <col min="2" max="2" width="27.7109375" bestFit="1" customWidth="1"/>
    <col min="3" max="3" width="26.5703125" bestFit="1" customWidth="1"/>
    <col min="4" max="4" width="18.85546875" bestFit="1" customWidth="1"/>
    <col min="5" max="5" width="9.85546875" bestFit="1" customWidth="1"/>
    <col min="6" max="6" width="15.140625" bestFit="1" customWidth="1"/>
    <col min="7" max="7" width="32.5703125" bestFit="1" customWidth="1"/>
    <col min="8" max="8" width="34.7109375" bestFit="1" customWidth="1"/>
    <col min="9" max="9" width="32.5703125" bestFit="1" customWidth="1"/>
    <col min="10" max="10" width="18.5703125" bestFit="1" customWidth="1"/>
    <col min="11" max="11" width="31.140625" bestFit="1" customWidth="1"/>
    <col min="12" max="12" width="26.28515625" bestFit="1" customWidth="1"/>
    <col min="13" max="13" width="36" bestFit="1" customWidth="1"/>
  </cols>
  <sheetData>
    <row r="1" spans="1:16">
      <c r="A1" s="313" t="s">
        <v>544</v>
      </c>
      <c r="B1" s="313"/>
      <c r="C1" s="313"/>
      <c r="D1" s="313"/>
      <c r="E1" s="313"/>
      <c r="F1" s="313"/>
    </row>
    <row r="2" spans="1:16">
      <c r="A2" s="314" t="s">
        <v>545</v>
      </c>
      <c r="B2" s="314"/>
      <c r="C2" s="314"/>
      <c r="D2" s="314"/>
      <c r="E2" s="314"/>
      <c r="F2" s="314"/>
    </row>
    <row r="3" spans="1:16">
      <c r="A3" s="57"/>
    </row>
    <row r="4" spans="1:16">
      <c r="A4" s="211" t="s">
        <v>546</v>
      </c>
    </row>
    <row r="5" spans="1:16">
      <c r="A5" s="211" t="s">
        <v>547</v>
      </c>
    </row>
    <row r="6" spans="1:16">
      <c r="A6" s="211" t="s">
        <v>548</v>
      </c>
    </row>
    <row r="7" spans="1:16">
      <c r="A7" s="293" t="s">
        <v>549</v>
      </c>
    </row>
    <row r="8" spans="1:16">
      <c r="A8" s="293" t="s">
        <v>550</v>
      </c>
    </row>
    <row r="10" spans="1:16">
      <c r="A10" s="57"/>
    </row>
    <row r="11" spans="1:16">
      <c r="A11" s="315" t="s">
        <v>551</v>
      </c>
      <c r="B11" s="317" t="s">
        <v>552</v>
      </c>
      <c r="C11" s="318"/>
      <c r="D11" s="318"/>
      <c r="E11" s="318"/>
      <c r="F11" s="318"/>
      <c r="G11" s="318"/>
      <c r="H11" s="318"/>
      <c r="I11" s="318"/>
      <c r="J11" s="318"/>
      <c r="K11" s="318"/>
      <c r="L11" s="318"/>
      <c r="M11" s="318"/>
      <c r="N11" s="318"/>
      <c r="O11" s="318"/>
      <c r="P11" s="319"/>
    </row>
    <row r="12" spans="1:16">
      <c r="A12" s="316"/>
      <c r="B12" s="47" t="s">
        <v>553</v>
      </c>
      <c r="C12" s="47" t="s">
        <v>554</v>
      </c>
      <c r="D12" s="47" t="s">
        <v>555</v>
      </c>
      <c r="E12" s="47" t="s">
        <v>556</v>
      </c>
      <c r="F12" s="47" t="s">
        <v>557</v>
      </c>
      <c r="G12" s="47" t="s">
        <v>558</v>
      </c>
      <c r="H12" s="47" t="s">
        <v>559</v>
      </c>
      <c r="I12" s="47" t="s">
        <v>560</v>
      </c>
      <c r="J12" s="47" t="s">
        <v>561</v>
      </c>
      <c r="K12" s="47" t="s">
        <v>562</v>
      </c>
      <c r="L12" s="47" t="s">
        <v>563</v>
      </c>
      <c r="M12" s="47" t="s">
        <v>564</v>
      </c>
      <c r="P12" s="58"/>
    </row>
    <row r="13" spans="1:16">
      <c r="A13" s="59" t="s">
        <v>23</v>
      </c>
      <c r="B13" s="60">
        <v>64361337</v>
      </c>
      <c r="C13" s="61">
        <v>-1390078</v>
      </c>
      <c r="D13" s="60">
        <v>0</v>
      </c>
      <c r="E13" s="60" t="s">
        <v>565</v>
      </c>
      <c r="F13" s="60"/>
      <c r="G13" s="60">
        <v>6</v>
      </c>
      <c r="H13" s="60">
        <v>1</v>
      </c>
      <c r="I13" s="60">
        <v>-22</v>
      </c>
      <c r="J13" s="60">
        <v>100</v>
      </c>
      <c r="K13" s="60">
        <v>4357</v>
      </c>
      <c r="L13" s="60">
        <v>7.0000000000000007E-2</v>
      </c>
      <c r="M13" s="60"/>
      <c r="P13" s="58"/>
    </row>
    <row r="14" spans="1:16">
      <c r="A14" s="45" t="s">
        <v>29</v>
      </c>
      <c r="B14" s="62">
        <v>6969491</v>
      </c>
      <c r="C14" s="62">
        <v>3781429</v>
      </c>
      <c r="D14" s="63">
        <v>2904246</v>
      </c>
      <c r="E14" s="63" t="s">
        <v>566</v>
      </c>
      <c r="F14" s="63">
        <v>2400</v>
      </c>
      <c r="G14" s="62">
        <v>-4</v>
      </c>
      <c r="H14" s="62">
        <v>-8</v>
      </c>
      <c r="I14" s="62">
        <v>-29</v>
      </c>
      <c r="J14" s="62">
        <v>10.8</v>
      </c>
      <c r="K14" s="62">
        <v>4171</v>
      </c>
      <c r="L14" s="62">
        <v>0.12</v>
      </c>
      <c r="M14" s="62">
        <v>7.9</v>
      </c>
      <c r="P14" s="58"/>
    </row>
    <row r="15" spans="1:16">
      <c r="A15" s="44" t="s">
        <v>42</v>
      </c>
      <c r="B15" s="64">
        <v>4483176</v>
      </c>
      <c r="C15" s="64">
        <v>1150654</v>
      </c>
      <c r="D15" s="65">
        <v>2061898</v>
      </c>
      <c r="E15" s="65" t="s">
        <v>566</v>
      </c>
      <c r="F15" s="65">
        <v>2174</v>
      </c>
      <c r="G15" s="64">
        <v>16</v>
      </c>
      <c r="H15" s="64">
        <v>10</v>
      </c>
      <c r="I15" s="64">
        <v>-32</v>
      </c>
      <c r="J15" s="64">
        <v>7</v>
      </c>
      <c r="K15" s="64">
        <v>8341</v>
      </c>
      <c r="L15" s="64">
        <v>0.1</v>
      </c>
      <c r="M15" s="64">
        <v>2.6</v>
      </c>
      <c r="P15" s="58"/>
    </row>
    <row r="16" spans="1:16">
      <c r="A16" s="45" t="s">
        <v>30</v>
      </c>
      <c r="B16" s="62">
        <v>4248847</v>
      </c>
      <c r="C16" s="62">
        <v>636425</v>
      </c>
      <c r="D16" s="63">
        <v>1498786</v>
      </c>
      <c r="E16" s="63" t="s">
        <v>566</v>
      </c>
      <c r="F16" s="63">
        <v>2835</v>
      </c>
      <c r="G16" s="62">
        <v>6</v>
      </c>
      <c r="H16" s="62">
        <v>-1</v>
      </c>
      <c r="I16" s="62">
        <v>-21</v>
      </c>
      <c r="J16" s="62">
        <v>6.6</v>
      </c>
      <c r="K16" s="62">
        <v>2047</v>
      </c>
      <c r="L16" s="62">
        <v>0.09</v>
      </c>
      <c r="M16" s="62">
        <v>2.1</v>
      </c>
      <c r="P16" s="58"/>
    </row>
    <row r="17" spans="1:16">
      <c r="A17" s="44" t="s">
        <v>71</v>
      </c>
      <c r="B17" s="64">
        <v>2897825</v>
      </c>
      <c r="C17" s="61">
        <v>-464295</v>
      </c>
      <c r="D17" s="65">
        <v>1410475</v>
      </c>
      <c r="E17" s="65" t="s">
        <v>566</v>
      </c>
      <c r="F17" s="65">
        <v>2055</v>
      </c>
      <c r="G17" s="64">
        <v>10</v>
      </c>
      <c r="H17" s="64">
        <v>2</v>
      </c>
      <c r="I17" s="64">
        <v>-21</v>
      </c>
      <c r="J17" s="64">
        <v>4.5</v>
      </c>
      <c r="K17" s="64">
        <v>2609</v>
      </c>
      <c r="L17" s="64">
        <v>0.1</v>
      </c>
      <c r="M17" s="64">
        <v>2.1</v>
      </c>
      <c r="P17" s="58"/>
    </row>
    <row r="18" spans="1:16">
      <c r="A18" s="45" t="s">
        <v>80</v>
      </c>
      <c r="B18" s="62">
        <v>2659901</v>
      </c>
      <c r="C18" s="66">
        <v>-1964590</v>
      </c>
      <c r="D18" s="67">
        <v>0</v>
      </c>
      <c r="E18" s="67" t="s">
        <v>565</v>
      </c>
      <c r="F18" s="67"/>
      <c r="G18" s="62">
        <v>10</v>
      </c>
      <c r="H18" s="62"/>
      <c r="I18" s="62">
        <v>-9</v>
      </c>
      <c r="J18" s="62">
        <v>4.0999999999999996</v>
      </c>
      <c r="K18" s="62">
        <v>5377</v>
      </c>
      <c r="L18" s="62">
        <v>0.41</v>
      </c>
      <c r="M18" s="62">
        <v>3.8</v>
      </c>
      <c r="P18" s="58"/>
    </row>
    <row r="19" spans="1:16">
      <c r="A19" s="44" t="s">
        <v>0</v>
      </c>
      <c r="B19" s="64">
        <v>2491784</v>
      </c>
      <c r="C19" s="61">
        <v>-1765103</v>
      </c>
      <c r="D19" s="65">
        <v>1407387</v>
      </c>
      <c r="E19" s="65" t="s">
        <v>566</v>
      </c>
      <c r="F19" s="65">
        <v>1771</v>
      </c>
      <c r="G19" s="64">
        <v>13</v>
      </c>
      <c r="H19" s="64">
        <v>5</v>
      </c>
      <c r="I19" s="64">
        <v>-4</v>
      </c>
      <c r="J19" s="64">
        <v>3.9</v>
      </c>
      <c r="K19" s="64">
        <v>4712</v>
      </c>
      <c r="L19" s="64">
        <v>0.14000000000000001</v>
      </c>
      <c r="M19" s="64">
        <v>6</v>
      </c>
      <c r="P19" s="58"/>
    </row>
    <row r="20" spans="1:16">
      <c r="A20" s="45" t="s">
        <v>32</v>
      </c>
      <c r="B20" s="62">
        <v>2289039</v>
      </c>
      <c r="C20" s="62">
        <v>46630</v>
      </c>
      <c r="D20" s="63">
        <v>1343808</v>
      </c>
      <c r="E20" s="63" t="s">
        <v>566</v>
      </c>
      <c r="F20" s="63">
        <v>1703</v>
      </c>
      <c r="G20" s="62">
        <v>3</v>
      </c>
      <c r="H20" s="62">
        <v>-2</v>
      </c>
      <c r="I20" s="62">
        <v>-18</v>
      </c>
      <c r="J20" s="62">
        <v>3.6</v>
      </c>
      <c r="K20" s="62">
        <v>3798</v>
      </c>
      <c r="L20" s="62">
        <v>0.16</v>
      </c>
      <c r="M20" s="62">
        <v>0.7</v>
      </c>
      <c r="P20" s="58"/>
    </row>
    <row r="21" spans="1:16">
      <c r="A21" s="44" t="s">
        <v>74</v>
      </c>
      <c r="B21" s="64">
        <v>2097351</v>
      </c>
      <c r="C21" s="64">
        <v>1305108</v>
      </c>
      <c r="D21" s="65">
        <v>858651</v>
      </c>
      <c r="E21" s="65" t="s">
        <v>566</v>
      </c>
      <c r="F21" s="65">
        <v>2443</v>
      </c>
      <c r="G21" s="64">
        <v>14</v>
      </c>
      <c r="H21" s="64">
        <v>5</v>
      </c>
      <c r="I21" s="64">
        <v>-25</v>
      </c>
      <c r="J21" s="64">
        <v>3.3</v>
      </c>
      <c r="K21" s="64">
        <v>3349</v>
      </c>
      <c r="L21" s="64">
        <v>0.1</v>
      </c>
      <c r="M21" s="64">
        <v>2.1</v>
      </c>
      <c r="P21" s="58"/>
    </row>
    <row r="22" spans="1:16">
      <c r="A22" s="45" t="s">
        <v>69</v>
      </c>
      <c r="B22" s="62">
        <v>2054554</v>
      </c>
      <c r="C22" s="66">
        <v>-1104836</v>
      </c>
      <c r="D22" s="63">
        <v>870361</v>
      </c>
      <c r="E22" s="63" t="s">
        <v>566</v>
      </c>
      <c r="F22" s="63">
        <v>2361</v>
      </c>
      <c r="G22" s="62">
        <v>6</v>
      </c>
      <c r="H22" s="62">
        <v>-3</v>
      </c>
      <c r="I22" s="62">
        <v>-17</v>
      </c>
      <c r="J22" s="62">
        <v>3.2</v>
      </c>
      <c r="K22" s="62">
        <v>1768</v>
      </c>
      <c r="L22" s="62">
        <v>0.12</v>
      </c>
      <c r="M22" s="62">
        <v>2.1</v>
      </c>
      <c r="P22" s="58"/>
    </row>
    <row r="23" spans="1:16">
      <c r="A23" s="68" t="s">
        <v>59</v>
      </c>
      <c r="B23" s="69">
        <v>1953058</v>
      </c>
      <c r="C23" s="61">
        <v>-1032936</v>
      </c>
      <c r="D23" s="69">
        <v>1222438</v>
      </c>
      <c r="E23" s="69" t="s">
        <v>566</v>
      </c>
      <c r="F23" s="69">
        <v>1598</v>
      </c>
      <c r="G23" s="69">
        <v>5</v>
      </c>
      <c r="H23" s="69">
        <v>2</v>
      </c>
      <c r="I23" s="69">
        <v>-16</v>
      </c>
      <c r="J23" s="69">
        <v>3</v>
      </c>
      <c r="K23" s="69">
        <v>2508</v>
      </c>
      <c r="L23" s="69">
        <v>0.23</v>
      </c>
      <c r="M23" s="69">
        <v>1.9</v>
      </c>
      <c r="P23" s="58"/>
    </row>
    <row r="24" spans="1:16">
      <c r="A24" s="45" t="s">
        <v>63</v>
      </c>
      <c r="B24" s="62">
        <v>1574125</v>
      </c>
      <c r="C24" s="66">
        <v>-402327</v>
      </c>
      <c r="D24" s="62">
        <v>780423</v>
      </c>
      <c r="E24" s="62" t="s">
        <v>566</v>
      </c>
      <c r="F24" s="62">
        <v>2017</v>
      </c>
      <c r="G24" s="62">
        <v>11</v>
      </c>
      <c r="H24" s="62">
        <v>3</v>
      </c>
      <c r="I24" s="62">
        <v>-28</v>
      </c>
      <c r="J24" s="62">
        <v>2.4</v>
      </c>
      <c r="K24" s="62">
        <v>5034</v>
      </c>
      <c r="L24" s="62">
        <v>0.14000000000000001</v>
      </c>
      <c r="M24" s="62">
        <v>3.2</v>
      </c>
      <c r="P24" s="58"/>
    </row>
    <row r="25" spans="1:16">
      <c r="A25" s="44" t="s">
        <v>64</v>
      </c>
      <c r="B25" s="64">
        <v>1525023</v>
      </c>
      <c r="C25" s="61">
        <v>-793396</v>
      </c>
      <c r="D25" s="65">
        <v>599861</v>
      </c>
      <c r="E25" s="65" t="s">
        <v>566</v>
      </c>
      <c r="F25" s="65">
        <v>2542</v>
      </c>
      <c r="G25" s="64">
        <v>9</v>
      </c>
      <c r="H25" s="64">
        <v>3</v>
      </c>
      <c r="I25" s="64">
        <v>-19</v>
      </c>
      <c r="J25" s="64">
        <v>2.4</v>
      </c>
      <c r="K25" s="64">
        <v>2531</v>
      </c>
      <c r="L25" s="64">
        <v>0.09</v>
      </c>
      <c r="M25" s="64">
        <v>1.4</v>
      </c>
      <c r="P25" s="58"/>
    </row>
    <row r="26" spans="1:16">
      <c r="A26" s="45" t="s">
        <v>51</v>
      </c>
      <c r="B26" s="62">
        <v>1438278</v>
      </c>
      <c r="C26" s="62">
        <v>413147</v>
      </c>
      <c r="D26" s="62">
        <v>0</v>
      </c>
      <c r="E26" s="62" t="s">
        <v>565</v>
      </c>
      <c r="F26" s="62"/>
      <c r="G26" s="62">
        <v>11</v>
      </c>
      <c r="H26" s="62"/>
      <c r="I26" s="62">
        <v>-18</v>
      </c>
      <c r="J26" s="62">
        <v>2.2000000000000002</v>
      </c>
      <c r="K26" s="62">
        <v>3187</v>
      </c>
      <c r="L26" s="62">
        <v>0.09</v>
      </c>
      <c r="M26" s="62">
        <v>2.1</v>
      </c>
      <c r="P26" s="58"/>
    </row>
    <row r="27" spans="1:16">
      <c r="A27" s="44" t="s">
        <v>33</v>
      </c>
      <c r="B27" s="64">
        <v>1254778</v>
      </c>
      <c r="C27" s="64">
        <v>4051463</v>
      </c>
      <c r="D27" s="65">
        <v>577362</v>
      </c>
      <c r="E27" s="65" t="s">
        <v>566</v>
      </c>
      <c r="F27" s="65">
        <v>2173</v>
      </c>
      <c r="G27" s="64">
        <v>6</v>
      </c>
      <c r="H27" s="64">
        <v>3</v>
      </c>
      <c r="I27" s="64">
        <v>-11</v>
      </c>
      <c r="J27" s="64">
        <v>1.9</v>
      </c>
      <c r="K27" s="64">
        <v>3495</v>
      </c>
      <c r="L27" s="64">
        <v>0.25</v>
      </c>
      <c r="M27" s="64">
        <v>3.6</v>
      </c>
      <c r="P27" s="58"/>
    </row>
    <row r="28" spans="1:16">
      <c r="A28" s="45" t="s">
        <v>60</v>
      </c>
      <c r="B28" s="62">
        <v>1198553</v>
      </c>
      <c r="C28" s="62">
        <v>2950183</v>
      </c>
      <c r="D28" s="67">
        <v>453508</v>
      </c>
      <c r="E28" s="67" t="s">
        <v>566</v>
      </c>
      <c r="F28" s="67">
        <v>2643</v>
      </c>
      <c r="G28" s="62">
        <v>1</v>
      </c>
      <c r="H28" s="62">
        <v>-5</v>
      </c>
      <c r="I28" s="62">
        <v>-26</v>
      </c>
      <c r="J28" s="62">
        <v>1.9</v>
      </c>
      <c r="K28" s="62">
        <v>3270</v>
      </c>
      <c r="L28" s="62">
        <v>0.14000000000000001</v>
      </c>
      <c r="M28" s="62">
        <v>2.1</v>
      </c>
      <c r="P28" s="58"/>
    </row>
    <row r="29" spans="1:16">
      <c r="A29" s="44" t="s">
        <v>84</v>
      </c>
      <c r="B29" s="64">
        <v>1168470</v>
      </c>
      <c r="C29" s="61">
        <v>-529542</v>
      </c>
      <c r="D29" s="65">
        <v>526403</v>
      </c>
      <c r="E29" s="65" t="s">
        <v>566</v>
      </c>
      <c r="F29" s="65">
        <v>2220</v>
      </c>
      <c r="G29" s="64">
        <v>10</v>
      </c>
      <c r="H29" s="64">
        <v>6</v>
      </c>
      <c r="I29" s="64">
        <v>-18</v>
      </c>
      <c r="J29" s="64">
        <v>1.8</v>
      </c>
      <c r="K29" s="64">
        <v>2392</v>
      </c>
      <c r="L29" s="64">
        <v>0.08</v>
      </c>
      <c r="M29" s="64">
        <v>2.1</v>
      </c>
      <c r="P29" s="58"/>
    </row>
    <row r="30" spans="1:16">
      <c r="A30" s="45" t="s">
        <v>70</v>
      </c>
      <c r="B30" s="62">
        <v>1137298</v>
      </c>
      <c r="C30" s="66">
        <v>-603922</v>
      </c>
      <c r="D30" s="62">
        <v>429663</v>
      </c>
      <c r="E30" s="62" t="s">
        <v>566</v>
      </c>
      <c r="F30" s="62">
        <v>2647</v>
      </c>
      <c r="G30" s="62">
        <v>8</v>
      </c>
      <c r="H30" s="62">
        <v>2</v>
      </c>
      <c r="I30" s="62">
        <v>-16</v>
      </c>
      <c r="J30" s="62">
        <v>1.8</v>
      </c>
      <c r="K30" s="62">
        <v>3428</v>
      </c>
      <c r="L30" s="62">
        <v>0.54</v>
      </c>
      <c r="M30" s="62">
        <v>0.3</v>
      </c>
      <c r="P30" s="58"/>
    </row>
    <row r="31" spans="1:16">
      <c r="A31" s="44" t="s">
        <v>55</v>
      </c>
      <c r="B31" s="64">
        <v>1075708</v>
      </c>
      <c r="C31" s="64">
        <v>1290115</v>
      </c>
      <c r="D31" s="65">
        <v>403630</v>
      </c>
      <c r="E31" s="65" t="s">
        <v>566</v>
      </c>
      <c r="F31" s="65">
        <v>2665</v>
      </c>
      <c r="G31" s="64">
        <v>5</v>
      </c>
      <c r="H31" s="64">
        <v>-1</v>
      </c>
      <c r="I31" s="64">
        <v>-14</v>
      </c>
      <c r="J31" s="64">
        <v>1.7</v>
      </c>
      <c r="K31" s="64">
        <v>4089</v>
      </c>
      <c r="L31" s="64">
        <v>0.17</v>
      </c>
      <c r="M31" s="64">
        <v>2.4</v>
      </c>
      <c r="P31" s="58"/>
    </row>
    <row r="32" spans="1:16">
      <c r="A32" s="45" t="s">
        <v>44</v>
      </c>
      <c r="B32" s="62">
        <v>1024301</v>
      </c>
      <c r="C32" s="66">
        <v>-737589</v>
      </c>
      <c r="D32" s="63">
        <v>659303</v>
      </c>
      <c r="E32" s="63" t="s">
        <v>566</v>
      </c>
      <c r="F32" s="63">
        <v>1554</v>
      </c>
      <c r="G32" s="62">
        <v>6</v>
      </c>
      <c r="H32" s="62">
        <v>3</v>
      </c>
      <c r="I32" s="62">
        <v>-22</v>
      </c>
      <c r="J32" s="62">
        <v>1.6</v>
      </c>
      <c r="K32" s="62">
        <v>4865</v>
      </c>
      <c r="L32" s="62">
        <v>0.18</v>
      </c>
      <c r="M32" s="62">
        <v>3.5</v>
      </c>
      <c r="P32" s="58"/>
    </row>
    <row r="33" spans="1:16">
      <c r="A33" s="68" t="s">
        <v>38</v>
      </c>
      <c r="B33" s="69">
        <v>1000099</v>
      </c>
      <c r="C33" s="61">
        <v>-930560</v>
      </c>
      <c r="D33" s="69">
        <v>610129</v>
      </c>
      <c r="E33" s="69" t="s">
        <v>566</v>
      </c>
      <c r="F33" s="69">
        <v>1639</v>
      </c>
      <c r="G33" s="69">
        <v>12</v>
      </c>
      <c r="H33" s="69">
        <v>11</v>
      </c>
      <c r="I33" s="69">
        <v>-11</v>
      </c>
      <c r="J33" s="69">
        <v>1.6</v>
      </c>
      <c r="K33" s="69">
        <v>4026</v>
      </c>
      <c r="L33" s="69">
        <v>0.38</v>
      </c>
      <c r="M33" s="69">
        <v>3.2</v>
      </c>
      <c r="P33" s="58"/>
    </row>
    <row r="34" spans="1:16">
      <c r="A34" s="45" t="s">
        <v>26</v>
      </c>
      <c r="B34" s="62">
        <v>951759</v>
      </c>
      <c r="C34" s="62">
        <v>204025</v>
      </c>
      <c r="D34" s="63">
        <v>486053</v>
      </c>
      <c r="E34" s="63" t="s">
        <v>566</v>
      </c>
      <c r="F34" s="63">
        <v>1958</v>
      </c>
      <c r="G34" s="62">
        <v>4</v>
      </c>
      <c r="H34" s="62">
        <v>1</v>
      </c>
      <c r="I34" s="62">
        <v>-24</v>
      </c>
      <c r="J34" s="62">
        <v>1.5</v>
      </c>
      <c r="K34" s="62">
        <v>3952</v>
      </c>
      <c r="L34" s="62">
        <v>0.15</v>
      </c>
      <c r="M34" s="62">
        <v>3.6</v>
      </c>
      <c r="P34" s="58"/>
    </row>
    <row r="35" spans="1:16">
      <c r="A35" s="44" t="s">
        <v>96</v>
      </c>
      <c r="B35" s="64">
        <v>946256</v>
      </c>
      <c r="C35" s="61">
        <v>-588773</v>
      </c>
      <c r="D35" s="70">
        <v>355663</v>
      </c>
      <c r="E35" s="70" t="s">
        <v>566</v>
      </c>
      <c r="F35" s="70">
        <v>2661</v>
      </c>
      <c r="G35" s="64">
        <v>6</v>
      </c>
      <c r="H35" s="64"/>
      <c r="I35" s="64">
        <v>-11</v>
      </c>
      <c r="J35" s="64">
        <v>1.5</v>
      </c>
      <c r="K35" s="64">
        <v>1403</v>
      </c>
      <c r="L35" s="64">
        <v>0.16</v>
      </c>
      <c r="M35" s="64">
        <v>2.1</v>
      </c>
      <c r="P35" s="58"/>
    </row>
    <row r="36" spans="1:16">
      <c r="A36" s="45" t="s">
        <v>66</v>
      </c>
      <c r="B36" s="62">
        <v>876307</v>
      </c>
      <c r="C36" s="66">
        <v>-681644</v>
      </c>
      <c r="D36" s="63">
        <v>434690</v>
      </c>
      <c r="E36" s="63" t="s">
        <v>566</v>
      </c>
      <c r="F36" s="63">
        <v>2016</v>
      </c>
      <c r="G36" s="62">
        <v>11</v>
      </c>
      <c r="H36" s="62">
        <v>5</v>
      </c>
      <c r="I36" s="62">
        <v>-21</v>
      </c>
      <c r="J36" s="62">
        <v>1.4</v>
      </c>
      <c r="K36" s="62">
        <v>12481</v>
      </c>
      <c r="L36" s="62">
        <v>0.16</v>
      </c>
      <c r="M36" s="62">
        <v>11.1</v>
      </c>
      <c r="P36" s="58"/>
    </row>
    <row r="37" spans="1:16">
      <c r="A37" s="44" t="s">
        <v>34</v>
      </c>
      <c r="B37" s="64">
        <v>839090</v>
      </c>
      <c r="C37" s="64">
        <v>2864429</v>
      </c>
      <c r="D37" s="65">
        <v>305202</v>
      </c>
      <c r="E37" s="65" t="s">
        <v>566</v>
      </c>
      <c r="F37" s="65">
        <v>2749</v>
      </c>
      <c r="G37" s="64">
        <v>0</v>
      </c>
      <c r="H37" s="64">
        <v>-1</v>
      </c>
      <c r="I37" s="64">
        <v>-29</v>
      </c>
      <c r="J37" s="64">
        <v>1.3</v>
      </c>
      <c r="K37" s="64">
        <v>3676</v>
      </c>
      <c r="L37" s="64">
        <v>0.17</v>
      </c>
      <c r="M37" s="64">
        <v>2.6</v>
      </c>
      <c r="P37" s="58"/>
    </row>
    <row r="38" spans="1:16">
      <c r="A38" s="45" t="s">
        <v>43</v>
      </c>
      <c r="B38" s="62">
        <v>688473</v>
      </c>
      <c r="C38" s="66">
        <v>-296278</v>
      </c>
      <c r="D38" s="63">
        <v>239552</v>
      </c>
      <c r="E38" s="63" t="s">
        <v>566</v>
      </c>
      <c r="F38" s="63">
        <v>2874</v>
      </c>
      <c r="G38" s="62">
        <v>6</v>
      </c>
      <c r="H38" s="62">
        <v>-4</v>
      </c>
      <c r="I38" s="62">
        <v>-21</v>
      </c>
      <c r="J38" s="62">
        <v>1.1000000000000001</v>
      </c>
      <c r="K38" s="62">
        <v>1154</v>
      </c>
      <c r="L38" s="62">
        <v>0.26</v>
      </c>
      <c r="M38" s="62">
        <v>2.1</v>
      </c>
      <c r="P38" s="58"/>
    </row>
    <row r="39" spans="1:16">
      <c r="A39" s="68" t="s">
        <v>25</v>
      </c>
      <c r="B39" s="69">
        <v>668314</v>
      </c>
      <c r="C39" s="61">
        <v>-539065</v>
      </c>
      <c r="D39" s="69">
        <v>0</v>
      </c>
      <c r="E39" s="69" t="s">
        <v>565</v>
      </c>
      <c r="F39" s="69"/>
      <c r="G39" s="69">
        <v>21</v>
      </c>
      <c r="H39" s="69">
        <v>28</v>
      </c>
      <c r="I39" s="69">
        <v>-16</v>
      </c>
      <c r="J39" s="69">
        <v>1</v>
      </c>
      <c r="K39" s="69">
        <v>5545</v>
      </c>
      <c r="L39" s="69">
        <v>0.36</v>
      </c>
      <c r="M39" s="69">
        <v>4.5</v>
      </c>
      <c r="P39" s="58"/>
    </row>
    <row r="40" spans="1:16">
      <c r="A40" s="45" t="s">
        <v>85</v>
      </c>
      <c r="B40" s="62">
        <v>642930</v>
      </c>
      <c r="C40" s="66">
        <v>-525852</v>
      </c>
      <c r="D40" s="62">
        <v>0</v>
      </c>
      <c r="E40" s="62" t="s">
        <v>565</v>
      </c>
      <c r="F40" s="62"/>
      <c r="G40" s="62">
        <v>13</v>
      </c>
      <c r="H40" s="62"/>
      <c r="I40" s="62">
        <v>-16</v>
      </c>
      <c r="J40" s="62">
        <v>1</v>
      </c>
      <c r="K40" s="62">
        <v>2444</v>
      </c>
      <c r="L40" s="62">
        <v>0.22</v>
      </c>
      <c r="M40" s="62">
        <v>2.1</v>
      </c>
      <c r="P40" s="58"/>
    </row>
    <row r="41" spans="1:16">
      <c r="A41" s="44" t="s">
        <v>41</v>
      </c>
      <c r="B41" s="64">
        <v>601372</v>
      </c>
      <c r="C41" s="64">
        <v>32969</v>
      </c>
      <c r="D41" s="64">
        <v>177815</v>
      </c>
      <c r="E41" s="64" t="s">
        <v>566</v>
      </c>
      <c r="F41" s="64">
        <v>3382</v>
      </c>
      <c r="G41" s="64">
        <v>7</v>
      </c>
      <c r="H41" s="64">
        <v>0</v>
      </c>
      <c r="I41" s="64">
        <v>-16</v>
      </c>
      <c r="J41" s="64">
        <v>0.9</v>
      </c>
      <c r="K41" s="64">
        <v>2972</v>
      </c>
      <c r="L41" s="64">
        <v>0.12</v>
      </c>
      <c r="M41" s="64">
        <v>0.1</v>
      </c>
      <c r="P41" s="58"/>
    </row>
    <row r="42" spans="1:16">
      <c r="A42" s="45" t="s">
        <v>82</v>
      </c>
      <c r="B42" s="62">
        <v>576155</v>
      </c>
      <c r="C42" s="66">
        <v>-380050</v>
      </c>
      <c r="D42" s="62">
        <v>0</v>
      </c>
      <c r="E42" s="62" t="s">
        <v>565</v>
      </c>
      <c r="F42" s="62"/>
      <c r="G42" s="62">
        <v>6</v>
      </c>
      <c r="H42" s="62"/>
      <c r="I42" s="62">
        <v>-21</v>
      </c>
      <c r="J42" s="62">
        <v>0.9</v>
      </c>
      <c r="K42" s="62">
        <v>2712</v>
      </c>
      <c r="L42" s="62">
        <v>0.09</v>
      </c>
      <c r="M42" s="62">
        <v>2.1</v>
      </c>
      <c r="P42" s="58"/>
    </row>
    <row r="43" spans="1:16">
      <c r="A43" s="44" t="s">
        <v>79</v>
      </c>
      <c r="B43" s="64">
        <v>574385</v>
      </c>
      <c r="C43" s="61">
        <v>-384262</v>
      </c>
      <c r="D43" s="64">
        <v>0</v>
      </c>
      <c r="E43" s="64" t="s">
        <v>565</v>
      </c>
      <c r="F43" s="64"/>
      <c r="G43" s="64">
        <v>9</v>
      </c>
      <c r="H43" s="64"/>
      <c r="I43" s="64">
        <v>-10</v>
      </c>
      <c r="J43" s="64">
        <v>0.9</v>
      </c>
      <c r="K43" s="64">
        <v>1704</v>
      </c>
      <c r="L43" s="64">
        <v>0.1</v>
      </c>
      <c r="M43" s="64">
        <v>2.1</v>
      </c>
      <c r="P43" s="58"/>
    </row>
    <row r="44" spans="1:16">
      <c r="A44" s="45" t="s">
        <v>28</v>
      </c>
      <c r="B44" s="62">
        <v>573907</v>
      </c>
      <c r="C44" s="62">
        <v>770473</v>
      </c>
      <c r="D44" s="62">
        <v>217080</v>
      </c>
      <c r="E44" s="62" t="s">
        <v>566</v>
      </c>
      <c r="F44" s="62">
        <v>2644</v>
      </c>
      <c r="G44" s="62">
        <v>-4</v>
      </c>
      <c r="H44" s="62">
        <v>-7</v>
      </c>
      <c r="I44" s="62">
        <v>-28</v>
      </c>
      <c r="J44" s="62">
        <v>0.9</v>
      </c>
      <c r="K44" s="62">
        <v>7596</v>
      </c>
      <c r="L44" s="62">
        <v>0.13</v>
      </c>
      <c r="M44" s="62">
        <v>0</v>
      </c>
      <c r="P44" s="58"/>
    </row>
    <row r="45" spans="1:16">
      <c r="A45" s="44" t="s">
        <v>62</v>
      </c>
      <c r="B45" s="64">
        <v>544210</v>
      </c>
      <c r="C45" s="61">
        <v>-524505</v>
      </c>
      <c r="D45" s="65">
        <v>299505</v>
      </c>
      <c r="E45" s="65" t="s">
        <v>566</v>
      </c>
      <c r="F45" s="65">
        <v>1817</v>
      </c>
      <c r="G45" s="64">
        <v>10</v>
      </c>
      <c r="H45" s="64">
        <v>6</v>
      </c>
      <c r="I45" s="64">
        <v>-23</v>
      </c>
      <c r="J45" s="64">
        <v>0.8</v>
      </c>
      <c r="K45" s="64">
        <v>2845</v>
      </c>
      <c r="L45" s="64">
        <v>0.23</v>
      </c>
      <c r="M45" s="64">
        <v>3.3</v>
      </c>
      <c r="P45" s="58"/>
    </row>
    <row r="46" spans="1:16">
      <c r="A46" s="45" t="s">
        <v>31</v>
      </c>
      <c r="B46" s="62">
        <v>423883</v>
      </c>
      <c r="C46" s="62">
        <v>34436</v>
      </c>
      <c r="D46" s="63">
        <v>121846</v>
      </c>
      <c r="E46" s="63" t="s">
        <v>566</v>
      </c>
      <c r="F46" s="63">
        <v>3479</v>
      </c>
      <c r="G46" s="62">
        <v>-19</v>
      </c>
      <c r="H46" s="62">
        <v>-22</v>
      </c>
      <c r="I46" s="62">
        <v>-39</v>
      </c>
      <c r="J46" s="62">
        <v>0.7</v>
      </c>
      <c r="K46" s="62">
        <v>3857</v>
      </c>
      <c r="L46" s="62">
        <v>0.15</v>
      </c>
      <c r="M46" s="62">
        <v>0</v>
      </c>
      <c r="P46" s="58"/>
    </row>
    <row r="47" spans="1:16">
      <c r="A47" s="44" t="s">
        <v>67</v>
      </c>
      <c r="B47" s="64">
        <v>410472</v>
      </c>
      <c r="C47" s="61">
        <v>-278097</v>
      </c>
      <c r="D47" s="70">
        <v>141276</v>
      </c>
      <c r="E47" s="70" t="s">
        <v>566</v>
      </c>
      <c r="F47" s="70">
        <v>2905</v>
      </c>
      <c r="G47" s="64">
        <v>11</v>
      </c>
      <c r="H47" s="64"/>
      <c r="I47" s="64">
        <v>-3</v>
      </c>
      <c r="J47" s="64">
        <v>0.6</v>
      </c>
      <c r="K47" s="64">
        <v>1304</v>
      </c>
      <c r="L47" s="64">
        <v>0.16</v>
      </c>
      <c r="M47" s="64">
        <v>2.1</v>
      </c>
      <c r="P47" s="58"/>
    </row>
    <row r="48" spans="1:16">
      <c r="A48" s="45" t="s">
        <v>68</v>
      </c>
      <c r="B48" s="62">
        <v>409895</v>
      </c>
      <c r="C48" s="66">
        <v>-235669</v>
      </c>
      <c r="D48" s="63">
        <v>144454</v>
      </c>
      <c r="E48" s="63" t="s">
        <v>566</v>
      </c>
      <c r="F48" s="63">
        <v>2838</v>
      </c>
      <c r="G48" s="62">
        <v>7</v>
      </c>
      <c r="H48" s="62">
        <v>-1</v>
      </c>
      <c r="I48" s="62">
        <v>-20</v>
      </c>
      <c r="J48" s="62">
        <v>0.6</v>
      </c>
      <c r="K48" s="62">
        <v>1189</v>
      </c>
      <c r="L48" s="62">
        <v>0.14000000000000001</v>
      </c>
      <c r="M48" s="62">
        <v>2.1</v>
      </c>
      <c r="P48" s="58"/>
    </row>
    <row r="49" spans="1:16">
      <c r="A49" s="68" t="s">
        <v>226</v>
      </c>
      <c r="B49" s="69">
        <v>328178</v>
      </c>
      <c r="C49" s="61">
        <v>-321194</v>
      </c>
      <c r="D49" s="69">
        <v>274869</v>
      </c>
      <c r="E49" s="69" t="s">
        <v>566</v>
      </c>
      <c r="F49" s="69">
        <v>1194</v>
      </c>
      <c r="G49" s="69">
        <v>9</v>
      </c>
      <c r="H49" s="69">
        <v>7</v>
      </c>
      <c r="I49" s="69">
        <v>-26</v>
      </c>
      <c r="J49" s="69">
        <v>0.5</v>
      </c>
      <c r="K49" s="69">
        <v>6473</v>
      </c>
      <c r="L49" s="69">
        <v>0.33</v>
      </c>
      <c r="M49" s="69">
        <v>4.0999999999999996</v>
      </c>
      <c r="P49" s="58"/>
    </row>
    <row r="50" spans="1:16">
      <c r="A50" s="45" t="s">
        <v>57</v>
      </c>
      <c r="B50" s="62">
        <v>327095</v>
      </c>
      <c r="C50" s="62">
        <v>126327</v>
      </c>
      <c r="D50" s="63">
        <v>147723</v>
      </c>
      <c r="E50" s="63" t="s">
        <v>566</v>
      </c>
      <c r="F50" s="63">
        <v>2214</v>
      </c>
      <c r="G50" s="62">
        <v>-2</v>
      </c>
      <c r="H50" s="62">
        <v>-16</v>
      </c>
      <c r="I50" s="62">
        <v>-35</v>
      </c>
      <c r="J50" s="62">
        <v>0.5</v>
      </c>
      <c r="K50" s="62">
        <v>5293</v>
      </c>
      <c r="L50" s="62">
        <v>0.18</v>
      </c>
      <c r="M50" s="62">
        <v>1.3</v>
      </c>
      <c r="P50" s="58"/>
    </row>
    <row r="51" spans="1:16">
      <c r="A51" s="44" t="s">
        <v>54</v>
      </c>
      <c r="B51" s="64">
        <v>326745</v>
      </c>
      <c r="C51" s="61">
        <v>-309643</v>
      </c>
      <c r="D51" s="65">
        <v>173151</v>
      </c>
      <c r="E51" s="65" t="s">
        <v>566</v>
      </c>
      <c r="F51" s="65">
        <v>1887</v>
      </c>
      <c r="G51" s="64">
        <v>14</v>
      </c>
      <c r="H51" s="64">
        <v>7</v>
      </c>
      <c r="I51" s="64">
        <v>-17</v>
      </c>
      <c r="J51" s="64">
        <v>0.5</v>
      </c>
      <c r="K51" s="64">
        <v>5029</v>
      </c>
      <c r="L51" s="64">
        <v>0.09</v>
      </c>
      <c r="M51" s="64">
        <v>4</v>
      </c>
      <c r="P51" s="58"/>
    </row>
    <row r="52" spans="1:16">
      <c r="A52" s="45" t="s">
        <v>118</v>
      </c>
      <c r="B52" s="62">
        <v>318811</v>
      </c>
      <c r="C52" s="66">
        <v>-237922</v>
      </c>
      <c r="D52" s="63">
        <v>216600</v>
      </c>
      <c r="E52" s="63" t="s">
        <v>566</v>
      </c>
      <c r="F52" s="63">
        <v>1472</v>
      </c>
      <c r="G52" s="62">
        <v>10</v>
      </c>
      <c r="H52" s="62">
        <v>5</v>
      </c>
      <c r="I52" s="62">
        <v>-44</v>
      </c>
      <c r="J52" s="62">
        <v>0.5</v>
      </c>
      <c r="K52" s="62">
        <v>11438</v>
      </c>
      <c r="L52" s="62">
        <v>0.28999999999999998</v>
      </c>
      <c r="M52" s="62">
        <v>2.7</v>
      </c>
      <c r="P52" s="58"/>
    </row>
    <row r="53" spans="1:16">
      <c r="A53" s="44" t="s">
        <v>24</v>
      </c>
      <c r="B53" s="64">
        <v>311319</v>
      </c>
      <c r="C53" s="61">
        <v>-278495</v>
      </c>
      <c r="D53" s="65">
        <v>183188</v>
      </c>
      <c r="E53" s="65" t="s">
        <v>566</v>
      </c>
      <c r="F53" s="65">
        <v>1699</v>
      </c>
      <c r="G53" s="64">
        <v>5</v>
      </c>
      <c r="H53" s="64">
        <v>0</v>
      </c>
      <c r="I53" s="64">
        <v>-20</v>
      </c>
      <c r="J53" s="64">
        <v>0.5</v>
      </c>
      <c r="K53" s="64">
        <v>8995</v>
      </c>
      <c r="L53" s="64">
        <v>0.14000000000000001</v>
      </c>
      <c r="M53" s="64">
        <v>3.1</v>
      </c>
      <c r="P53" s="58"/>
    </row>
    <row r="54" spans="1:16">
      <c r="A54" s="71" t="s">
        <v>39</v>
      </c>
      <c r="B54" s="72">
        <v>290614</v>
      </c>
      <c r="C54" s="72">
        <v>699800</v>
      </c>
      <c r="D54" s="72">
        <v>190647</v>
      </c>
      <c r="E54" s="72" t="s">
        <v>566</v>
      </c>
      <c r="F54" s="72">
        <v>1524</v>
      </c>
      <c r="G54" s="72">
        <v>8</v>
      </c>
      <c r="H54" s="72">
        <v>7</v>
      </c>
      <c r="I54" s="72">
        <v>-16</v>
      </c>
      <c r="J54" s="72">
        <v>0.5</v>
      </c>
      <c r="K54" s="72">
        <v>6215</v>
      </c>
      <c r="L54" s="72">
        <v>0.2</v>
      </c>
      <c r="M54" s="72">
        <v>5.0999999999999996</v>
      </c>
      <c r="P54" s="58"/>
    </row>
    <row r="55" spans="1:16">
      <c r="A55" s="44" t="s">
        <v>72</v>
      </c>
      <c r="B55" s="64">
        <v>273932</v>
      </c>
      <c r="C55" s="61">
        <v>-221291</v>
      </c>
      <c r="D55" s="70">
        <v>91173</v>
      </c>
      <c r="E55" s="70" t="s">
        <v>566</v>
      </c>
      <c r="F55" s="70">
        <v>3005</v>
      </c>
      <c r="G55" s="64">
        <v>8</v>
      </c>
      <c r="H55" s="64">
        <v>-2</v>
      </c>
      <c r="I55" s="64">
        <v>-15</v>
      </c>
      <c r="J55" s="64">
        <v>0.4</v>
      </c>
      <c r="K55" s="64">
        <v>1980</v>
      </c>
      <c r="L55" s="64">
        <v>0.15</v>
      </c>
      <c r="M55" s="64">
        <v>2.1</v>
      </c>
      <c r="P55" s="58"/>
    </row>
    <row r="56" spans="1:16">
      <c r="A56" s="45" t="s">
        <v>120</v>
      </c>
      <c r="B56" s="62">
        <v>263036</v>
      </c>
      <c r="C56" s="66">
        <v>-258872</v>
      </c>
      <c r="D56" s="63">
        <v>116035</v>
      </c>
      <c r="E56" s="63" t="s">
        <v>566</v>
      </c>
      <c r="F56" s="63">
        <v>2267</v>
      </c>
      <c r="G56" s="62">
        <v>19</v>
      </c>
      <c r="H56" s="62">
        <v>10</v>
      </c>
      <c r="I56" s="62">
        <v>-18</v>
      </c>
      <c r="J56" s="62">
        <v>0.4</v>
      </c>
      <c r="K56" s="62">
        <v>9026</v>
      </c>
      <c r="L56" s="62">
        <v>0.19</v>
      </c>
      <c r="M56" s="62">
        <v>10.199999999999999</v>
      </c>
      <c r="P56" s="58"/>
    </row>
    <row r="57" spans="1:16">
      <c r="A57" s="68" t="s">
        <v>90</v>
      </c>
      <c r="B57" s="69">
        <v>262792</v>
      </c>
      <c r="C57" s="61">
        <v>-231093</v>
      </c>
      <c r="D57" s="69">
        <v>242243</v>
      </c>
      <c r="E57" s="69" t="s">
        <v>566</v>
      </c>
      <c r="F57" s="69">
        <v>1085</v>
      </c>
      <c r="G57" s="69">
        <v>6</v>
      </c>
      <c r="H57" s="69">
        <v>7</v>
      </c>
      <c r="I57" s="69">
        <v>-28</v>
      </c>
      <c r="J57" s="69">
        <v>0.4</v>
      </c>
      <c r="K57" s="69">
        <v>2677</v>
      </c>
      <c r="L57" s="69">
        <v>0.28999999999999998</v>
      </c>
      <c r="M57" s="69">
        <v>5.2</v>
      </c>
      <c r="P57" s="58"/>
    </row>
    <row r="58" spans="1:16">
      <c r="A58" s="45" t="s">
        <v>100</v>
      </c>
      <c r="B58" s="62">
        <v>259272</v>
      </c>
      <c r="C58" s="66">
        <v>-180954</v>
      </c>
      <c r="D58" s="67">
        <v>108846</v>
      </c>
      <c r="E58" s="67" t="s">
        <v>566</v>
      </c>
      <c r="F58" s="67">
        <v>2382</v>
      </c>
      <c r="G58" s="62">
        <v>3</v>
      </c>
      <c r="H58" s="62">
        <v>-6</v>
      </c>
      <c r="I58" s="62">
        <v>-37</v>
      </c>
      <c r="J58" s="62">
        <v>0.4</v>
      </c>
      <c r="K58" s="62">
        <v>5839</v>
      </c>
      <c r="L58" s="62">
        <v>0.15</v>
      </c>
      <c r="M58" s="62">
        <v>0</v>
      </c>
      <c r="P58" s="58"/>
    </row>
    <row r="59" spans="1:16">
      <c r="A59" s="44" t="s">
        <v>113</v>
      </c>
      <c r="B59" s="64">
        <v>258526</v>
      </c>
      <c r="C59" s="61">
        <v>-229379</v>
      </c>
      <c r="D59" s="64">
        <v>197260</v>
      </c>
      <c r="E59" s="64" t="s">
        <v>566</v>
      </c>
      <c r="F59" s="64">
        <v>1311</v>
      </c>
      <c r="G59" s="64">
        <v>6</v>
      </c>
      <c r="H59" s="64">
        <v>2</v>
      </c>
      <c r="I59" s="64">
        <v>-42</v>
      </c>
      <c r="J59" s="64">
        <v>0.4</v>
      </c>
      <c r="K59" s="64">
        <v>14767</v>
      </c>
      <c r="L59" s="64">
        <v>0.56999999999999995</v>
      </c>
      <c r="M59" s="64">
        <v>0.1</v>
      </c>
      <c r="P59" s="58"/>
    </row>
    <row r="60" spans="1:16">
      <c r="A60" s="45" t="s">
        <v>110</v>
      </c>
      <c r="B60" s="62">
        <v>256704</v>
      </c>
      <c r="C60" s="66">
        <v>-254026</v>
      </c>
      <c r="D60" s="62">
        <v>161188</v>
      </c>
      <c r="E60" s="62" t="s">
        <v>566</v>
      </c>
      <c r="F60" s="62">
        <v>1593</v>
      </c>
      <c r="G60" s="62">
        <v>-1</v>
      </c>
      <c r="H60" s="62">
        <v>-9</v>
      </c>
      <c r="I60" s="62">
        <v>5</v>
      </c>
      <c r="J60" s="62">
        <v>0.4</v>
      </c>
      <c r="K60" s="62">
        <v>4143</v>
      </c>
      <c r="L60" s="62">
        <v>0.28000000000000003</v>
      </c>
      <c r="M60" s="62">
        <v>0.6</v>
      </c>
      <c r="P60" s="58"/>
    </row>
    <row r="61" spans="1:16">
      <c r="A61" s="44" t="s">
        <v>81</v>
      </c>
      <c r="B61" s="64">
        <v>219782</v>
      </c>
      <c r="C61" s="61">
        <v>-177116</v>
      </c>
      <c r="D61" s="65">
        <v>137676</v>
      </c>
      <c r="E61" s="65" t="s">
        <v>566</v>
      </c>
      <c r="F61" s="65">
        <v>1596</v>
      </c>
      <c r="G61" s="64">
        <v>10</v>
      </c>
      <c r="H61" s="64">
        <v>4</v>
      </c>
      <c r="I61" s="64">
        <v>-12</v>
      </c>
      <c r="J61" s="64">
        <v>0.3</v>
      </c>
      <c r="K61" s="64">
        <v>3277</v>
      </c>
      <c r="L61" s="64">
        <v>0.12</v>
      </c>
      <c r="M61" s="64">
        <v>2.1</v>
      </c>
      <c r="P61" s="58"/>
    </row>
    <row r="62" spans="1:16">
      <c r="A62" s="45" t="s">
        <v>87</v>
      </c>
      <c r="B62" s="62">
        <v>209663</v>
      </c>
      <c r="C62" s="66">
        <v>-166021</v>
      </c>
      <c r="D62" s="67">
        <v>85063</v>
      </c>
      <c r="E62" s="67" t="s">
        <v>566</v>
      </c>
      <c r="F62" s="67">
        <v>2465</v>
      </c>
      <c r="G62" s="62">
        <v>6</v>
      </c>
      <c r="H62" s="62">
        <v>-1</v>
      </c>
      <c r="I62" s="62">
        <v>-25</v>
      </c>
      <c r="J62" s="62">
        <v>0.3</v>
      </c>
      <c r="K62" s="62">
        <v>3469</v>
      </c>
      <c r="L62" s="62">
        <v>0.1</v>
      </c>
      <c r="M62" s="62">
        <v>2.1</v>
      </c>
      <c r="P62" s="58"/>
    </row>
    <row r="63" spans="1:16">
      <c r="A63" s="44" t="s">
        <v>201</v>
      </c>
      <c r="B63" s="64">
        <v>205662</v>
      </c>
      <c r="C63" s="61">
        <v>-96678</v>
      </c>
      <c r="D63" s="64">
        <v>75407</v>
      </c>
      <c r="E63" s="64" t="s">
        <v>566</v>
      </c>
      <c r="F63" s="64">
        <v>2727</v>
      </c>
      <c r="G63" s="64">
        <v>11</v>
      </c>
      <c r="H63" s="64">
        <v>4</v>
      </c>
      <c r="I63" s="64">
        <v>-18</v>
      </c>
      <c r="J63" s="64">
        <v>0.3</v>
      </c>
      <c r="K63" s="64">
        <v>2035</v>
      </c>
      <c r="L63" s="64">
        <v>0.13</v>
      </c>
      <c r="M63" s="64">
        <v>2.1</v>
      </c>
      <c r="P63" s="58"/>
    </row>
    <row r="64" spans="1:16">
      <c r="A64" s="45" t="s">
        <v>40</v>
      </c>
      <c r="B64" s="62">
        <v>202650</v>
      </c>
      <c r="C64" s="66">
        <v>-113273</v>
      </c>
      <c r="D64" s="62">
        <v>109830</v>
      </c>
      <c r="E64" s="62" t="s">
        <v>566</v>
      </c>
      <c r="F64" s="62">
        <v>1845</v>
      </c>
      <c r="G64" s="62">
        <v>2</v>
      </c>
      <c r="H64" s="62">
        <v>-2</v>
      </c>
      <c r="I64" s="62">
        <v>-24</v>
      </c>
      <c r="J64" s="62">
        <v>0.3</v>
      </c>
      <c r="K64" s="62">
        <v>10156</v>
      </c>
      <c r="L64" s="62">
        <v>0.09</v>
      </c>
      <c r="M64" s="62">
        <v>5.5</v>
      </c>
      <c r="P64" s="58"/>
    </row>
    <row r="65" spans="1:16">
      <c r="A65" s="44" t="s">
        <v>101</v>
      </c>
      <c r="B65" s="64">
        <v>195813</v>
      </c>
      <c r="C65" s="61">
        <v>-187338</v>
      </c>
      <c r="D65" s="65">
        <v>135691</v>
      </c>
      <c r="E65" s="65" t="s">
        <v>566</v>
      </c>
      <c r="F65" s="65">
        <v>1443</v>
      </c>
      <c r="G65" s="64">
        <v>4</v>
      </c>
      <c r="H65" s="64">
        <v>-1</v>
      </c>
      <c r="I65" s="64">
        <v>-42</v>
      </c>
      <c r="J65" s="64">
        <v>0.3</v>
      </c>
      <c r="K65" s="64">
        <v>15017</v>
      </c>
      <c r="L65" s="64">
        <v>0.39</v>
      </c>
      <c r="M65" s="64">
        <v>3.3</v>
      </c>
      <c r="P65" s="58"/>
    </row>
    <row r="66" spans="1:16">
      <c r="A66" s="45" t="s">
        <v>89</v>
      </c>
      <c r="B66" s="62">
        <v>191620</v>
      </c>
      <c r="C66" s="66">
        <v>-101256</v>
      </c>
      <c r="D66" s="67">
        <v>132376</v>
      </c>
      <c r="E66" s="67" t="s">
        <v>566</v>
      </c>
      <c r="F66" s="67">
        <v>1448</v>
      </c>
      <c r="G66" s="62">
        <v>11</v>
      </c>
      <c r="H66" s="62">
        <v>1</v>
      </c>
      <c r="I66" s="62">
        <v>-35</v>
      </c>
      <c r="J66" s="62">
        <v>0.3</v>
      </c>
      <c r="K66" s="62">
        <v>1135</v>
      </c>
      <c r="L66" s="62">
        <v>0.14000000000000001</v>
      </c>
      <c r="M66" s="62">
        <v>2.1</v>
      </c>
      <c r="P66" s="58"/>
    </row>
    <row r="67" spans="1:16">
      <c r="A67" s="44" t="s">
        <v>99</v>
      </c>
      <c r="B67" s="64">
        <v>187856</v>
      </c>
      <c r="C67" s="61">
        <v>-163489</v>
      </c>
      <c r="D67" s="70">
        <v>113884</v>
      </c>
      <c r="E67" s="70" t="s">
        <v>566</v>
      </c>
      <c r="F67" s="70">
        <v>1650</v>
      </c>
      <c r="G67" s="64">
        <v>14</v>
      </c>
      <c r="H67" s="64">
        <v>2</v>
      </c>
      <c r="I67" s="64">
        <v>-12</v>
      </c>
      <c r="J67" s="64">
        <v>0.3</v>
      </c>
      <c r="K67" s="64">
        <v>3847</v>
      </c>
      <c r="L67" s="64">
        <v>0.37</v>
      </c>
      <c r="M67" s="64">
        <v>3.2</v>
      </c>
      <c r="P67" s="58"/>
    </row>
    <row r="68" spans="1:16">
      <c r="A68" s="45" t="s">
        <v>65</v>
      </c>
      <c r="B68" s="62">
        <v>187693</v>
      </c>
      <c r="C68" s="66">
        <v>-106297</v>
      </c>
      <c r="D68" s="62">
        <v>0</v>
      </c>
      <c r="E68" s="62" t="s">
        <v>565</v>
      </c>
      <c r="F68" s="62"/>
      <c r="G68" s="62">
        <v>14</v>
      </c>
      <c r="H68" s="62"/>
      <c r="I68" s="62">
        <v>-6</v>
      </c>
      <c r="J68" s="62">
        <v>0.3</v>
      </c>
      <c r="K68" s="62">
        <v>2634</v>
      </c>
      <c r="L68" s="62">
        <v>0.1</v>
      </c>
      <c r="M68" s="62">
        <v>2.1</v>
      </c>
      <c r="P68" s="58"/>
    </row>
    <row r="69" spans="1:16">
      <c r="A69" s="68" t="s">
        <v>255</v>
      </c>
      <c r="B69" s="69">
        <v>180199</v>
      </c>
      <c r="C69" s="61">
        <v>-177571</v>
      </c>
      <c r="D69" s="69">
        <v>147253</v>
      </c>
      <c r="E69" s="69" t="s">
        <v>566</v>
      </c>
      <c r="F69" s="69">
        <v>1224</v>
      </c>
      <c r="G69" s="69">
        <v>20</v>
      </c>
      <c r="H69" s="69">
        <v>17</v>
      </c>
      <c r="I69" s="69">
        <v>0</v>
      </c>
      <c r="J69" s="69">
        <v>0.3</v>
      </c>
      <c r="K69" s="69">
        <v>4096</v>
      </c>
      <c r="L69" s="69">
        <v>0.51</v>
      </c>
      <c r="M69" s="69">
        <v>0</v>
      </c>
      <c r="P69" s="58"/>
    </row>
    <row r="70" spans="1:16">
      <c r="A70" s="45" t="s">
        <v>195</v>
      </c>
      <c r="B70" s="62">
        <v>179229</v>
      </c>
      <c r="C70" s="66">
        <v>-175592</v>
      </c>
      <c r="D70" s="63">
        <v>132641</v>
      </c>
      <c r="E70" s="63" t="s">
        <v>566</v>
      </c>
      <c r="F70" s="63">
        <v>1351</v>
      </c>
      <c r="G70" s="62">
        <v>18</v>
      </c>
      <c r="H70" s="62">
        <v>12</v>
      </c>
      <c r="I70" s="62">
        <v>-32</v>
      </c>
      <c r="J70" s="62">
        <v>0.3</v>
      </c>
      <c r="K70" s="62">
        <v>10380</v>
      </c>
      <c r="L70" s="62">
        <v>0.31</v>
      </c>
      <c r="M70" s="62">
        <v>0.2</v>
      </c>
      <c r="P70" s="58"/>
    </row>
    <row r="71" spans="1:16">
      <c r="A71" s="44" t="s">
        <v>56</v>
      </c>
      <c r="B71" s="64">
        <v>174456</v>
      </c>
      <c r="C71" s="61">
        <v>-142752</v>
      </c>
      <c r="D71" s="64">
        <v>109138</v>
      </c>
      <c r="E71" s="64" t="s">
        <v>566</v>
      </c>
      <c r="F71" s="64">
        <v>1598</v>
      </c>
      <c r="G71" s="64">
        <v>12</v>
      </c>
      <c r="H71" s="64">
        <v>9</v>
      </c>
      <c r="I71" s="64">
        <v>-18</v>
      </c>
      <c r="J71" s="64">
        <v>0.3</v>
      </c>
      <c r="K71" s="64">
        <v>4601</v>
      </c>
      <c r="L71" s="64">
        <v>0.15</v>
      </c>
      <c r="M71" s="64">
        <v>0.9</v>
      </c>
      <c r="P71" s="58"/>
    </row>
    <row r="72" spans="1:16">
      <c r="A72" s="45" t="s">
        <v>52</v>
      </c>
      <c r="B72" s="62">
        <v>172300</v>
      </c>
      <c r="C72" s="66">
        <v>-160149</v>
      </c>
      <c r="D72" s="62">
        <v>138606</v>
      </c>
      <c r="E72" s="62" t="s">
        <v>566</v>
      </c>
      <c r="F72" s="62">
        <v>1243</v>
      </c>
      <c r="G72" s="62">
        <v>-5</v>
      </c>
      <c r="H72" s="62">
        <v>-9</v>
      </c>
      <c r="I72" s="62">
        <v>-55</v>
      </c>
      <c r="J72" s="62">
        <v>0.3</v>
      </c>
      <c r="K72" s="62">
        <v>10550</v>
      </c>
      <c r="L72" s="62">
        <v>0.49</v>
      </c>
      <c r="M72" s="62">
        <v>4.7</v>
      </c>
      <c r="P72" s="58"/>
    </row>
    <row r="73" spans="1:16">
      <c r="A73" s="44" t="s">
        <v>88</v>
      </c>
      <c r="B73" s="64">
        <v>172147</v>
      </c>
      <c r="C73" s="64">
        <v>445551</v>
      </c>
      <c r="D73" s="64">
        <v>0</v>
      </c>
      <c r="E73" s="64" t="s">
        <v>565</v>
      </c>
      <c r="F73" s="64"/>
      <c r="G73" s="64">
        <v>15</v>
      </c>
      <c r="H73" s="64"/>
      <c r="I73" s="64">
        <v>-35</v>
      </c>
      <c r="J73" s="64">
        <v>0.3</v>
      </c>
      <c r="K73" s="64">
        <v>2301</v>
      </c>
      <c r="L73" s="64">
        <v>7.0000000000000007E-2</v>
      </c>
      <c r="M73" s="64">
        <v>2.1</v>
      </c>
      <c r="P73" s="58"/>
    </row>
    <row r="74" spans="1:16">
      <c r="A74" s="71" t="s">
        <v>108</v>
      </c>
      <c r="B74" s="72">
        <v>166747</v>
      </c>
      <c r="C74" s="66">
        <v>-166681</v>
      </c>
      <c r="D74" s="72">
        <v>154561</v>
      </c>
      <c r="E74" s="72" t="s">
        <v>566</v>
      </c>
      <c r="F74" s="72">
        <v>1079</v>
      </c>
      <c r="G74" s="72">
        <v>25</v>
      </c>
      <c r="H74" s="72">
        <v>40</v>
      </c>
      <c r="I74" s="72">
        <v>-21</v>
      </c>
      <c r="J74" s="72">
        <v>0.3</v>
      </c>
      <c r="K74" s="72">
        <v>4450</v>
      </c>
      <c r="L74" s="72">
        <v>0.41</v>
      </c>
      <c r="M74" s="72" t="s">
        <v>567</v>
      </c>
      <c r="P74" s="58"/>
    </row>
    <row r="75" spans="1:16">
      <c r="A75" s="44" t="s">
        <v>280</v>
      </c>
      <c r="B75" s="64">
        <v>159085</v>
      </c>
      <c r="C75" s="61">
        <v>-130203</v>
      </c>
      <c r="D75" s="64">
        <v>90614</v>
      </c>
      <c r="E75" s="64" t="s">
        <v>566</v>
      </c>
      <c r="F75" s="64">
        <v>1756</v>
      </c>
      <c r="G75" s="64">
        <v>6</v>
      </c>
      <c r="H75" s="64">
        <v>-2</v>
      </c>
      <c r="I75" s="64">
        <v>-26</v>
      </c>
      <c r="J75" s="64">
        <v>0.2</v>
      </c>
      <c r="K75" s="64">
        <v>3995</v>
      </c>
      <c r="L75" s="64">
        <v>0.21</v>
      </c>
      <c r="M75" s="64">
        <v>0.9</v>
      </c>
      <c r="P75" s="58"/>
    </row>
    <row r="76" spans="1:16">
      <c r="A76" s="45" t="s">
        <v>83</v>
      </c>
      <c r="B76" s="62">
        <v>157518</v>
      </c>
      <c r="C76" s="62">
        <v>20443</v>
      </c>
      <c r="D76" s="63">
        <v>114557</v>
      </c>
      <c r="E76" s="63" t="s">
        <v>566</v>
      </c>
      <c r="F76" s="63">
        <v>1375</v>
      </c>
      <c r="G76" s="62">
        <v>5</v>
      </c>
      <c r="H76" s="62">
        <v>6</v>
      </c>
      <c r="I76" s="62">
        <v>-31</v>
      </c>
      <c r="J76" s="62">
        <v>0.2</v>
      </c>
      <c r="K76" s="62">
        <v>4379</v>
      </c>
      <c r="L76" s="62">
        <v>0.48</v>
      </c>
      <c r="M76" s="62">
        <v>11.7</v>
      </c>
      <c r="P76" s="58"/>
    </row>
    <row r="77" spans="1:16">
      <c r="A77" s="44" t="s">
        <v>126</v>
      </c>
      <c r="B77" s="64">
        <v>152657</v>
      </c>
      <c r="C77" s="61">
        <v>-145902</v>
      </c>
      <c r="D77" s="65">
        <v>130431</v>
      </c>
      <c r="E77" s="65" t="s">
        <v>566</v>
      </c>
      <c r="F77" s="65">
        <v>1170</v>
      </c>
      <c r="G77" s="64">
        <v>21</v>
      </c>
      <c r="H77" s="64">
        <v>14</v>
      </c>
      <c r="I77" s="64">
        <v>-33</v>
      </c>
      <c r="J77" s="64">
        <v>0.2</v>
      </c>
      <c r="K77" s="64">
        <v>8803</v>
      </c>
      <c r="L77" s="64">
        <v>0.68</v>
      </c>
      <c r="M77" s="64">
        <v>1.4</v>
      </c>
      <c r="P77" s="58"/>
    </row>
    <row r="78" spans="1:16">
      <c r="A78" s="45" t="s">
        <v>261</v>
      </c>
      <c r="B78" s="62">
        <v>148374</v>
      </c>
      <c r="C78" s="66">
        <v>-148171</v>
      </c>
      <c r="D78" s="62">
        <v>317764</v>
      </c>
      <c r="E78" s="62" t="s">
        <v>566</v>
      </c>
      <c r="F78" s="62">
        <v>467</v>
      </c>
      <c r="G78" s="62">
        <v>5</v>
      </c>
      <c r="H78" s="62">
        <v>31</v>
      </c>
      <c r="I78" s="62">
        <v>-5</v>
      </c>
      <c r="J78" s="62">
        <v>0.2</v>
      </c>
      <c r="K78" s="62">
        <v>7099</v>
      </c>
      <c r="L78" s="62">
        <v>0.44</v>
      </c>
      <c r="M78" s="62">
        <v>6</v>
      </c>
      <c r="P78" s="58"/>
    </row>
    <row r="79" spans="1:16">
      <c r="A79" s="44" t="s">
        <v>73</v>
      </c>
      <c r="B79" s="64">
        <v>148304</v>
      </c>
      <c r="C79" s="61">
        <v>-58177</v>
      </c>
      <c r="D79" s="65">
        <v>38706</v>
      </c>
      <c r="E79" s="65" t="s">
        <v>566</v>
      </c>
      <c r="F79" s="65">
        <v>3832</v>
      </c>
      <c r="G79" s="64">
        <v>5</v>
      </c>
      <c r="H79" s="64">
        <v>-4</v>
      </c>
      <c r="I79" s="64">
        <v>-15</v>
      </c>
      <c r="J79" s="64">
        <v>0.2</v>
      </c>
      <c r="K79" s="64">
        <v>1955</v>
      </c>
      <c r="L79" s="64">
        <v>0.14000000000000001</v>
      </c>
      <c r="M79" s="64">
        <v>2.1</v>
      </c>
      <c r="P79" s="58"/>
    </row>
    <row r="80" spans="1:16">
      <c r="A80" s="45" t="s">
        <v>246</v>
      </c>
      <c r="B80" s="62">
        <v>142538</v>
      </c>
      <c r="C80" s="66">
        <v>-141404</v>
      </c>
      <c r="D80" s="62">
        <v>120308</v>
      </c>
      <c r="E80" s="62" t="s">
        <v>566</v>
      </c>
      <c r="F80" s="62">
        <v>1185</v>
      </c>
      <c r="G80" s="62">
        <v>17</v>
      </c>
      <c r="H80" s="62">
        <v>14</v>
      </c>
      <c r="I80" s="62">
        <v>-10</v>
      </c>
      <c r="J80" s="62">
        <v>0.2</v>
      </c>
      <c r="K80" s="62">
        <v>8395</v>
      </c>
      <c r="L80" s="62">
        <v>0.63</v>
      </c>
      <c r="M80" s="62">
        <v>1.4</v>
      </c>
      <c r="P80" s="58"/>
    </row>
    <row r="81" spans="1:16">
      <c r="A81" s="44" t="s">
        <v>114</v>
      </c>
      <c r="B81" s="64">
        <v>133237</v>
      </c>
      <c r="C81" s="61">
        <v>-130059</v>
      </c>
      <c r="D81" s="65">
        <v>104749</v>
      </c>
      <c r="E81" s="65" t="s">
        <v>566</v>
      </c>
      <c r="F81" s="65">
        <v>1272</v>
      </c>
      <c r="G81" s="64">
        <v>8</v>
      </c>
      <c r="H81" s="64">
        <v>3</v>
      </c>
      <c r="I81" s="64">
        <v>-21</v>
      </c>
      <c r="J81" s="64">
        <v>0.2</v>
      </c>
      <c r="K81" s="64">
        <v>16945</v>
      </c>
      <c r="L81" s="64">
        <v>0.69</v>
      </c>
      <c r="M81" s="64">
        <v>10.4</v>
      </c>
      <c r="P81" s="58"/>
    </row>
    <row r="82" spans="1:16">
      <c r="A82" s="45" t="s">
        <v>194</v>
      </c>
      <c r="B82" s="62">
        <v>130927</v>
      </c>
      <c r="C82" s="66">
        <v>-99360</v>
      </c>
      <c r="D82" s="62">
        <v>93615</v>
      </c>
      <c r="E82" s="62" t="s">
        <v>566</v>
      </c>
      <c r="F82" s="62">
        <v>1399</v>
      </c>
      <c r="G82" s="62">
        <v>13</v>
      </c>
      <c r="H82" s="62">
        <v>9</v>
      </c>
      <c r="I82" s="62">
        <v>-27</v>
      </c>
      <c r="J82" s="62">
        <v>0.2</v>
      </c>
      <c r="K82" s="62">
        <v>12940</v>
      </c>
      <c r="L82" s="62">
        <v>0.48</v>
      </c>
      <c r="M82" s="62">
        <v>0</v>
      </c>
      <c r="P82" s="58"/>
    </row>
    <row r="83" spans="1:16">
      <c r="A83" s="44" t="s">
        <v>229</v>
      </c>
      <c r="B83" s="64">
        <v>124727</v>
      </c>
      <c r="C83" s="61">
        <v>-95193</v>
      </c>
      <c r="D83" s="64">
        <v>74056</v>
      </c>
      <c r="E83" s="64" t="s">
        <v>566</v>
      </c>
      <c r="F83" s="64">
        <v>1684</v>
      </c>
      <c r="G83" s="64">
        <v>16</v>
      </c>
      <c r="H83" s="64">
        <v>8</v>
      </c>
      <c r="I83" s="64">
        <v>-6</v>
      </c>
      <c r="J83" s="64">
        <v>0.2</v>
      </c>
      <c r="K83" s="64">
        <v>8836</v>
      </c>
      <c r="L83" s="64">
        <v>0.25</v>
      </c>
      <c r="M83" s="64">
        <v>1</v>
      </c>
      <c r="P83" s="58"/>
    </row>
    <row r="84" spans="1:16">
      <c r="A84" s="45" t="s">
        <v>115</v>
      </c>
      <c r="B84" s="62">
        <v>114091</v>
      </c>
      <c r="C84" s="66">
        <v>-111842</v>
      </c>
      <c r="D84" s="63">
        <v>99255</v>
      </c>
      <c r="E84" s="63" t="s">
        <v>566</v>
      </c>
      <c r="F84" s="63">
        <v>1149</v>
      </c>
      <c r="G84" s="62">
        <v>3</v>
      </c>
      <c r="H84" s="62">
        <v>0</v>
      </c>
      <c r="I84" s="62">
        <v>-15</v>
      </c>
      <c r="J84" s="62">
        <v>0.2</v>
      </c>
      <c r="K84" s="62">
        <v>11477</v>
      </c>
      <c r="L84" s="62">
        <v>0.73</v>
      </c>
      <c r="M84" s="62">
        <v>4.3</v>
      </c>
      <c r="P84" s="58"/>
    </row>
    <row r="85" spans="1:16">
      <c r="A85" s="44" t="s">
        <v>277</v>
      </c>
      <c r="B85" s="64">
        <v>101364</v>
      </c>
      <c r="C85" s="61">
        <v>-90850</v>
      </c>
      <c r="D85" s="65">
        <v>71930</v>
      </c>
      <c r="E85" s="65" t="s">
        <v>566</v>
      </c>
      <c r="F85" s="65">
        <v>1409</v>
      </c>
      <c r="G85" s="64">
        <v>10</v>
      </c>
      <c r="H85" s="64">
        <v>4</v>
      </c>
      <c r="I85" s="64">
        <v>-32</v>
      </c>
      <c r="J85" s="64">
        <v>0.2</v>
      </c>
      <c r="K85" s="64">
        <v>9324</v>
      </c>
      <c r="L85" s="64">
        <v>0.33</v>
      </c>
      <c r="M85" s="64">
        <v>0.2</v>
      </c>
      <c r="P85" s="58"/>
    </row>
    <row r="86" spans="1:16">
      <c r="A86" s="45" t="s">
        <v>117</v>
      </c>
      <c r="B86" s="62">
        <v>98021</v>
      </c>
      <c r="C86" s="66">
        <v>-86397</v>
      </c>
      <c r="D86" s="62">
        <v>76480</v>
      </c>
      <c r="E86" s="62" t="s">
        <v>566</v>
      </c>
      <c r="F86" s="62">
        <v>1282</v>
      </c>
      <c r="G86" s="62">
        <v>2</v>
      </c>
      <c r="H86" s="62">
        <v>-1</v>
      </c>
      <c r="I86" s="62">
        <v>-16</v>
      </c>
      <c r="J86" s="62">
        <v>0.2</v>
      </c>
      <c r="K86" s="62">
        <v>7819</v>
      </c>
      <c r="L86" s="62">
        <v>0.48</v>
      </c>
      <c r="M86" s="62">
        <v>1.4</v>
      </c>
      <c r="P86" s="58"/>
    </row>
    <row r="87" spans="1:16">
      <c r="A87" s="44" t="s">
        <v>91</v>
      </c>
      <c r="B87" s="64">
        <v>96092</v>
      </c>
      <c r="C87" s="61">
        <v>-89098</v>
      </c>
      <c r="D87" s="70">
        <v>88537</v>
      </c>
      <c r="E87" s="70" t="s">
        <v>566</v>
      </c>
      <c r="F87" s="70">
        <v>1085</v>
      </c>
      <c r="G87" s="64">
        <v>13</v>
      </c>
      <c r="H87" s="64"/>
      <c r="I87" s="64">
        <v>24</v>
      </c>
      <c r="J87" s="64">
        <v>0.1</v>
      </c>
      <c r="K87" s="64">
        <v>2554</v>
      </c>
      <c r="L87" s="64">
        <v>0.46</v>
      </c>
      <c r="M87" s="64">
        <v>1.4</v>
      </c>
      <c r="P87" s="58"/>
    </row>
    <row r="88" spans="1:16">
      <c r="A88" s="45" t="s">
        <v>214</v>
      </c>
      <c r="B88" s="62">
        <v>80027</v>
      </c>
      <c r="C88" s="66">
        <v>-70465</v>
      </c>
      <c r="D88" s="67">
        <v>49733</v>
      </c>
      <c r="E88" s="67" t="s">
        <v>566</v>
      </c>
      <c r="F88" s="67">
        <v>1609</v>
      </c>
      <c r="G88" s="62">
        <v>12</v>
      </c>
      <c r="H88" s="62">
        <v>3</v>
      </c>
      <c r="I88" s="62">
        <v>-10</v>
      </c>
      <c r="J88" s="62">
        <v>0.1</v>
      </c>
      <c r="K88" s="62">
        <v>3719</v>
      </c>
      <c r="L88" s="62">
        <v>0.22</v>
      </c>
      <c r="M88" s="62">
        <v>0</v>
      </c>
      <c r="P88" s="58"/>
    </row>
    <row r="89" spans="1:16">
      <c r="A89" s="44" t="s">
        <v>61</v>
      </c>
      <c r="B89" s="64">
        <v>79835</v>
      </c>
      <c r="C89" s="61">
        <v>-48151</v>
      </c>
      <c r="D89" s="65">
        <v>20941</v>
      </c>
      <c r="E89" s="65" t="s">
        <v>566</v>
      </c>
      <c r="F89" s="65">
        <v>3812</v>
      </c>
      <c r="G89" s="64">
        <v>5</v>
      </c>
      <c r="H89" s="64">
        <v>-3</v>
      </c>
      <c r="I89" s="64">
        <v>-24</v>
      </c>
      <c r="J89" s="64">
        <v>0.1</v>
      </c>
      <c r="K89" s="64">
        <v>1957</v>
      </c>
      <c r="L89" s="64">
        <v>0.11</v>
      </c>
      <c r="M89" s="64">
        <v>0</v>
      </c>
      <c r="P89" s="58"/>
    </row>
    <row r="90" spans="1:16">
      <c r="A90" s="45" t="s">
        <v>36</v>
      </c>
      <c r="B90" s="62">
        <v>78620</v>
      </c>
      <c r="C90" s="66">
        <v>-76091</v>
      </c>
      <c r="D90" s="63">
        <v>39278</v>
      </c>
      <c r="E90" s="63" t="s">
        <v>566</v>
      </c>
      <c r="F90" s="63">
        <v>2002</v>
      </c>
      <c r="G90" s="62">
        <v>5</v>
      </c>
      <c r="H90" s="62">
        <v>-1</v>
      </c>
      <c r="I90" s="62">
        <v>-28</v>
      </c>
      <c r="J90" s="62">
        <v>0.1</v>
      </c>
      <c r="K90" s="62">
        <v>8224</v>
      </c>
      <c r="L90" s="62">
        <v>0.17</v>
      </c>
      <c r="M90" s="62">
        <v>1.5</v>
      </c>
      <c r="P90" s="58"/>
    </row>
    <row r="91" spans="1:16">
      <c r="A91" s="44" t="s">
        <v>102</v>
      </c>
      <c r="B91" s="64">
        <v>75411</v>
      </c>
      <c r="C91" s="61">
        <v>-68467</v>
      </c>
      <c r="D91" s="65">
        <v>30042</v>
      </c>
      <c r="E91" s="65" t="s">
        <v>566</v>
      </c>
      <c r="F91" s="65">
        <v>2510</v>
      </c>
      <c r="G91" s="64">
        <v>15</v>
      </c>
      <c r="H91" s="64">
        <v>4</v>
      </c>
      <c r="I91" s="64">
        <v>-7</v>
      </c>
      <c r="J91" s="64">
        <v>0.1</v>
      </c>
      <c r="K91" s="64">
        <v>7344</v>
      </c>
      <c r="L91" s="64">
        <v>0.25</v>
      </c>
      <c r="M91" s="64">
        <v>0.2</v>
      </c>
      <c r="P91" s="58"/>
    </row>
    <row r="92" spans="1:16">
      <c r="A92" s="45" t="s">
        <v>95</v>
      </c>
      <c r="B92" s="62">
        <v>75145</v>
      </c>
      <c r="C92" s="66">
        <v>-31208</v>
      </c>
      <c r="D92" s="67">
        <v>38685</v>
      </c>
      <c r="E92" s="67" t="s">
        <v>566</v>
      </c>
      <c r="F92" s="67">
        <v>1942</v>
      </c>
      <c r="G92" s="62">
        <v>15</v>
      </c>
      <c r="H92" s="62">
        <v>9</v>
      </c>
      <c r="I92" s="62">
        <v>-8</v>
      </c>
      <c r="J92" s="62">
        <v>0.1</v>
      </c>
      <c r="K92" s="62">
        <v>1687</v>
      </c>
      <c r="L92" s="62">
        <v>0.12</v>
      </c>
      <c r="M92" s="62">
        <v>2.1</v>
      </c>
      <c r="P92" s="58"/>
    </row>
    <row r="93" spans="1:16">
      <c r="A93" s="68" t="s">
        <v>123</v>
      </c>
      <c r="B93" s="69">
        <v>72988</v>
      </c>
      <c r="C93" s="61">
        <v>-59302</v>
      </c>
      <c r="D93" s="69">
        <v>41767</v>
      </c>
      <c r="E93" s="69" t="s">
        <v>566</v>
      </c>
      <c r="F93" s="69">
        <v>1748</v>
      </c>
      <c r="G93" s="69">
        <v>-19</v>
      </c>
      <c r="H93" s="69">
        <v>-23</v>
      </c>
      <c r="I93" s="69">
        <v>-16</v>
      </c>
      <c r="J93" s="69">
        <v>0.1</v>
      </c>
      <c r="K93" s="69">
        <v>4689</v>
      </c>
      <c r="L93" s="69">
        <v>0.45</v>
      </c>
      <c r="M93" s="69">
        <v>7.2</v>
      </c>
      <c r="P93" s="58"/>
    </row>
    <row r="94" spans="1:16">
      <c r="A94" s="45" t="s">
        <v>127</v>
      </c>
      <c r="B94" s="62">
        <v>67676</v>
      </c>
      <c r="C94" s="66">
        <v>-67357</v>
      </c>
      <c r="D94" s="63">
        <v>58087</v>
      </c>
      <c r="E94" s="63" t="s">
        <v>566</v>
      </c>
      <c r="F94" s="63">
        <v>1165</v>
      </c>
      <c r="G94" s="62">
        <v>12</v>
      </c>
      <c r="H94" s="62">
        <v>9</v>
      </c>
      <c r="I94" s="62">
        <v>-6</v>
      </c>
      <c r="J94" s="62">
        <v>0.1</v>
      </c>
      <c r="K94" s="62">
        <v>10898</v>
      </c>
      <c r="L94" s="62">
        <v>0.62</v>
      </c>
      <c r="M94" s="62">
        <v>4.4000000000000004</v>
      </c>
      <c r="P94" s="58"/>
    </row>
    <row r="95" spans="1:16">
      <c r="A95" s="44" t="s">
        <v>92</v>
      </c>
      <c r="B95" s="64">
        <v>63135</v>
      </c>
      <c r="C95" s="61">
        <v>-62440</v>
      </c>
      <c r="D95" s="64">
        <v>60563</v>
      </c>
      <c r="E95" s="64" t="s">
        <v>566</v>
      </c>
      <c r="F95" s="64">
        <v>1042</v>
      </c>
      <c r="G95" s="64">
        <v>10</v>
      </c>
      <c r="H95" s="64">
        <v>9</v>
      </c>
      <c r="I95" s="64">
        <v>-14</v>
      </c>
      <c r="J95" s="64">
        <v>0.1</v>
      </c>
      <c r="K95" s="64">
        <v>2420</v>
      </c>
      <c r="L95" s="64">
        <v>0.35</v>
      </c>
      <c r="M95" s="64">
        <v>0</v>
      </c>
      <c r="P95" s="58"/>
    </row>
    <row r="96" spans="1:16">
      <c r="A96" s="45" t="s">
        <v>266</v>
      </c>
      <c r="B96" s="62">
        <v>61653</v>
      </c>
      <c r="C96" s="66">
        <v>-52507</v>
      </c>
      <c r="D96" s="62">
        <v>46132</v>
      </c>
      <c r="E96" s="62" t="s">
        <v>566</v>
      </c>
      <c r="F96" s="62">
        <v>1336</v>
      </c>
      <c r="G96" s="62">
        <v>-4</v>
      </c>
      <c r="H96" s="62">
        <v>-10</v>
      </c>
      <c r="I96" s="62">
        <v>-40</v>
      </c>
      <c r="J96" s="62">
        <v>0.1</v>
      </c>
      <c r="K96" s="62">
        <v>7552</v>
      </c>
      <c r="L96" s="62">
        <v>0.25</v>
      </c>
      <c r="M96" s="62">
        <v>5</v>
      </c>
      <c r="P96" s="58"/>
    </row>
    <row r="97" spans="1:16">
      <c r="A97" s="44" t="s">
        <v>265</v>
      </c>
      <c r="B97" s="64">
        <v>59197</v>
      </c>
      <c r="C97" s="61">
        <v>-58776</v>
      </c>
      <c r="D97" s="70">
        <v>0</v>
      </c>
      <c r="E97" s="70" t="s">
        <v>565</v>
      </c>
      <c r="F97" s="70"/>
      <c r="G97" s="64">
        <v>20</v>
      </c>
      <c r="H97" s="64"/>
      <c r="I97" s="64">
        <v>-3</v>
      </c>
      <c r="J97" s="64">
        <v>0.1</v>
      </c>
      <c r="K97" s="64">
        <v>6237</v>
      </c>
      <c r="L97" s="64">
        <v>0.28000000000000003</v>
      </c>
      <c r="M97" s="64">
        <v>4.5</v>
      </c>
      <c r="P97" s="58"/>
    </row>
    <row r="98" spans="1:16">
      <c r="A98" s="45" t="s">
        <v>198</v>
      </c>
      <c r="B98" s="62">
        <v>57717</v>
      </c>
      <c r="C98" s="66">
        <v>-57175</v>
      </c>
      <c r="D98" s="62">
        <v>28511</v>
      </c>
      <c r="E98" s="62" t="s">
        <v>566</v>
      </c>
      <c r="F98" s="62">
        <v>2024</v>
      </c>
      <c r="G98" s="62">
        <v>10</v>
      </c>
      <c r="H98" s="62">
        <v>4</v>
      </c>
      <c r="I98" s="62">
        <v>-13</v>
      </c>
      <c r="J98" s="62">
        <v>0.1</v>
      </c>
      <c r="K98" s="62">
        <v>2689</v>
      </c>
      <c r="L98" s="62">
        <v>0.14000000000000001</v>
      </c>
      <c r="M98" s="62">
        <v>1.2</v>
      </c>
      <c r="P98" s="58"/>
    </row>
    <row r="99" spans="1:16">
      <c r="A99" s="68" t="s">
        <v>225</v>
      </c>
      <c r="B99" s="69">
        <v>56503</v>
      </c>
      <c r="C99" s="61">
        <v>-53799</v>
      </c>
      <c r="D99" s="69">
        <v>41925</v>
      </c>
      <c r="E99" s="69" t="s">
        <v>566</v>
      </c>
      <c r="F99" s="69">
        <v>1348</v>
      </c>
      <c r="G99" s="69">
        <v>1</v>
      </c>
      <c r="H99" s="69">
        <v>-4</v>
      </c>
      <c r="I99" s="69">
        <v>0</v>
      </c>
      <c r="J99" s="69">
        <v>0.1</v>
      </c>
      <c r="K99" s="69">
        <v>4111</v>
      </c>
      <c r="L99" s="69">
        <v>0.25</v>
      </c>
      <c r="M99" s="69">
        <v>0</v>
      </c>
      <c r="P99" s="58"/>
    </row>
    <row r="100" spans="1:16">
      <c r="A100" s="45" t="s">
        <v>27</v>
      </c>
      <c r="B100" s="62">
        <v>56232</v>
      </c>
      <c r="C100" s="66">
        <v>-55079</v>
      </c>
      <c r="D100" s="67">
        <v>27022</v>
      </c>
      <c r="E100" s="67" t="s">
        <v>566</v>
      </c>
      <c r="F100" s="67">
        <v>2081</v>
      </c>
      <c r="G100" s="62">
        <v>-2</v>
      </c>
      <c r="H100" s="62">
        <v>-16</v>
      </c>
      <c r="I100" s="62">
        <v>-40</v>
      </c>
      <c r="J100" s="62">
        <v>0.1</v>
      </c>
      <c r="K100" s="62">
        <v>4724</v>
      </c>
      <c r="L100" s="62">
        <v>0.36</v>
      </c>
      <c r="M100" s="62">
        <v>4.5</v>
      </c>
      <c r="P100" s="58"/>
    </row>
    <row r="101" spans="1:16">
      <c r="A101" s="68" t="s">
        <v>205</v>
      </c>
      <c r="B101" s="69">
        <v>56203</v>
      </c>
      <c r="C101" s="61">
        <v>-47330</v>
      </c>
      <c r="D101" s="69">
        <v>22943</v>
      </c>
      <c r="E101" s="69" t="s">
        <v>566</v>
      </c>
      <c r="F101" s="69">
        <v>2450</v>
      </c>
      <c r="G101" s="69">
        <v>6</v>
      </c>
      <c r="H101" s="69">
        <v>-1</v>
      </c>
      <c r="I101" s="69">
        <v>1</v>
      </c>
      <c r="J101" s="69">
        <v>0.1</v>
      </c>
      <c r="K101" s="69">
        <v>2221</v>
      </c>
      <c r="L101" s="69">
        <v>0.14000000000000001</v>
      </c>
      <c r="M101" s="69">
        <v>3.2</v>
      </c>
      <c r="P101" s="58"/>
    </row>
    <row r="102" spans="1:16">
      <c r="A102" s="45" t="s">
        <v>103</v>
      </c>
      <c r="B102" s="62">
        <v>55633</v>
      </c>
      <c r="C102" s="66">
        <v>-12528</v>
      </c>
      <c r="D102" s="62">
        <v>0</v>
      </c>
      <c r="E102" s="62" t="s">
        <v>565</v>
      </c>
      <c r="F102" s="62"/>
      <c r="G102" s="62">
        <v>0</v>
      </c>
      <c r="H102" s="62"/>
      <c r="I102" s="62">
        <v>-31</v>
      </c>
      <c r="J102" s="62">
        <v>0.1</v>
      </c>
      <c r="K102" s="62">
        <v>1500</v>
      </c>
      <c r="L102" s="62">
        <v>0.13</v>
      </c>
      <c r="M102" s="62">
        <v>2.1</v>
      </c>
      <c r="P102" s="58"/>
    </row>
    <row r="103" spans="1:16">
      <c r="A103" s="68" t="s">
        <v>58</v>
      </c>
      <c r="B103" s="69">
        <v>54683</v>
      </c>
      <c r="C103" s="61">
        <v>-52515</v>
      </c>
      <c r="D103" s="69">
        <v>0</v>
      </c>
      <c r="E103" s="69" t="s">
        <v>565</v>
      </c>
      <c r="F103" s="69"/>
      <c r="G103" s="69">
        <v>50</v>
      </c>
      <c r="H103" s="69">
        <v>45</v>
      </c>
      <c r="I103" s="69">
        <v>-14</v>
      </c>
      <c r="J103" s="69">
        <v>0.1</v>
      </c>
      <c r="K103" s="69">
        <v>10122</v>
      </c>
      <c r="L103" s="69">
        <v>0.37</v>
      </c>
      <c r="M103" s="69">
        <v>11.4</v>
      </c>
      <c r="P103" s="58"/>
    </row>
    <row r="104" spans="1:16">
      <c r="A104" s="45" t="s">
        <v>94</v>
      </c>
      <c r="B104" s="62">
        <v>52932</v>
      </c>
      <c r="C104" s="66">
        <v>-52816</v>
      </c>
      <c r="D104" s="62">
        <v>0</v>
      </c>
      <c r="E104" s="62" t="s">
        <v>565</v>
      </c>
      <c r="F104" s="62"/>
      <c r="G104" s="62">
        <v>-2</v>
      </c>
      <c r="H104" s="62"/>
      <c r="I104" s="62">
        <v>-28</v>
      </c>
      <c r="J104" s="62">
        <v>0.1</v>
      </c>
      <c r="K104" s="62">
        <v>4226</v>
      </c>
      <c r="L104" s="62">
        <v>0.17</v>
      </c>
      <c r="M104" s="62">
        <v>0</v>
      </c>
      <c r="P104" s="58"/>
    </row>
    <row r="105" spans="1:16">
      <c r="A105" s="68" t="s">
        <v>35</v>
      </c>
      <c r="B105" s="69">
        <v>49962</v>
      </c>
      <c r="C105" s="69">
        <v>172393</v>
      </c>
      <c r="D105" s="69">
        <v>34912</v>
      </c>
      <c r="E105" s="69" t="s">
        <v>566</v>
      </c>
      <c r="F105" s="69">
        <v>1431</v>
      </c>
      <c r="G105" s="69">
        <v>28</v>
      </c>
      <c r="H105" s="69">
        <v>25</v>
      </c>
      <c r="I105" s="69">
        <v>-15</v>
      </c>
      <c r="J105" s="69">
        <v>0.1</v>
      </c>
      <c r="K105" s="69">
        <v>5207</v>
      </c>
      <c r="L105" s="69">
        <v>0.15</v>
      </c>
      <c r="M105" s="69">
        <v>4.5</v>
      </c>
      <c r="P105" s="58"/>
    </row>
    <row r="106" spans="1:16">
      <c r="A106" s="45" t="s">
        <v>75</v>
      </c>
      <c r="B106" s="62">
        <v>48755</v>
      </c>
      <c r="C106" s="66">
        <v>-45633</v>
      </c>
      <c r="D106" s="62">
        <v>35895</v>
      </c>
      <c r="E106" s="62" t="s">
        <v>566</v>
      </c>
      <c r="F106" s="62">
        <v>1358</v>
      </c>
      <c r="G106" s="62">
        <v>30</v>
      </c>
      <c r="H106" s="62">
        <v>20</v>
      </c>
      <c r="I106" s="62">
        <v>6</v>
      </c>
      <c r="J106" s="62">
        <v>0.1</v>
      </c>
      <c r="K106" s="62">
        <v>2953</v>
      </c>
      <c r="L106" s="62">
        <v>0.52</v>
      </c>
      <c r="M106" s="62">
        <v>3.2</v>
      </c>
      <c r="P106" s="58"/>
    </row>
    <row r="107" spans="1:16">
      <c r="A107" s="68" t="s">
        <v>568</v>
      </c>
      <c r="B107" s="69">
        <v>47898</v>
      </c>
      <c r="C107" s="61">
        <v>-47825</v>
      </c>
      <c r="D107" s="69">
        <v>36502</v>
      </c>
      <c r="E107" s="69" t="s">
        <v>566</v>
      </c>
      <c r="F107" s="69">
        <v>1312</v>
      </c>
      <c r="G107" s="69">
        <v>21</v>
      </c>
      <c r="H107" s="69">
        <v>16</v>
      </c>
      <c r="I107" s="69">
        <v>-16</v>
      </c>
      <c r="J107" s="69">
        <v>0.1</v>
      </c>
      <c r="K107" s="69">
        <v>5301</v>
      </c>
      <c r="L107" s="69">
        <v>0.28999999999999998</v>
      </c>
      <c r="M107" s="69">
        <v>4.5999999999999996</v>
      </c>
      <c r="P107" s="58"/>
    </row>
    <row r="108" spans="1:16">
      <c r="A108" s="45" t="s">
        <v>244</v>
      </c>
      <c r="B108" s="62">
        <v>47212</v>
      </c>
      <c r="C108" s="66">
        <v>-45644</v>
      </c>
      <c r="D108" s="62">
        <v>29969</v>
      </c>
      <c r="E108" s="62" t="s">
        <v>566</v>
      </c>
      <c r="F108" s="62">
        <v>1575</v>
      </c>
      <c r="G108" s="62">
        <v>14</v>
      </c>
      <c r="H108" s="62">
        <v>9</v>
      </c>
      <c r="I108" s="62">
        <v>14</v>
      </c>
      <c r="J108" s="62">
        <v>0.1</v>
      </c>
      <c r="K108" s="62">
        <v>3302</v>
      </c>
      <c r="L108" s="62">
        <v>0.4</v>
      </c>
      <c r="M108" s="62">
        <v>0.6</v>
      </c>
      <c r="P108" s="58"/>
    </row>
    <row r="109" spans="1:16">
      <c r="A109" s="44" t="s">
        <v>130</v>
      </c>
      <c r="B109" s="64">
        <v>47074</v>
      </c>
      <c r="C109" s="64">
        <v>7498</v>
      </c>
      <c r="D109" s="70">
        <v>43874</v>
      </c>
      <c r="E109" s="70" t="s">
        <v>566</v>
      </c>
      <c r="F109" s="70">
        <v>1073</v>
      </c>
      <c r="G109" s="64">
        <v>9</v>
      </c>
      <c r="H109" s="64">
        <v>2</v>
      </c>
      <c r="I109" s="64">
        <v>-47</v>
      </c>
      <c r="J109" s="64">
        <v>0.1</v>
      </c>
      <c r="K109" s="64">
        <v>1436</v>
      </c>
      <c r="L109" s="64">
        <v>0.09</v>
      </c>
      <c r="M109" s="64">
        <v>2.1</v>
      </c>
      <c r="P109" s="58"/>
    </row>
    <row r="110" spans="1:16">
      <c r="A110" s="71" t="s">
        <v>53</v>
      </c>
      <c r="B110" s="72">
        <v>44935</v>
      </c>
      <c r="C110" s="66">
        <v>-44919</v>
      </c>
      <c r="D110" s="72">
        <v>38722</v>
      </c>
      <c r="E110" s="72" t="s">
        <v>566</v>
      </c>
      <c r="F110" s="72">
        <v>1160</v>
      </c>
      <c r="G110" s="72">
        <v>21</v>
      </c>
      <c r="H110" s="72">
        <v>25</v>
      </c>
      <c r="I110" s="72">
        <v>-22</v>
      </c>
      <c r="J110" s="72">
        <v>0.1</v>
      </c>
      <c r="K110" s="72">
        <v>10208</v>
      </c>
      <c r="L110" s="72">
        <v>0.48</v>
      </c>
      <c r="M110" s="72">
        <v>0</v>
      </c>
      <c r="P110" s="58"/>
    </row>
    <row r="111" spans="1:16">
      <c r="A111" s="44" t="s">
        <v>197</v>
      </c>
      <c r="B111" s="64">
        <v>44657</v>
      </c>
      <c r="C111" s="61">
        <v>-42650</v>
      </c>
      <c r="D111" s="64">
        <v>34959</v>
      </c>
      <c r="E111" s="64" t="s">
        <v>566</v>
      </c>
      <c r="F111" s="64">
        <v>1277</v>
      </c>
      <c r="G111" s="64">
        <v>7</v>
      </c>
      <c r="H111" s="64">
        <v>3</v>
      </c>
      <c r="I111" s="64">
        <v>-27</v>
      </c>
      <c r="J111" s="64">
        <v>0.1</v>
      </c>
      <c r="K111" s="64">
        <v>16037</v>
      </c>
      <c r="L111" s="64">
        <v>0.71</v>
      </c>
      <c r="M111" s="64">
        <v>5.5</v>
      </c>
      <c r="P111" s="58"/>
    </row>
    <row r="112" spans="1:16">
      <c r="A112" s="71" t="s">
        <v>569</v>
      </c>
      <c r="B112" s="72">
        <v>38603</v>
      </c>
      <c r="C112" s="66">
        <v>-33718</v>
      </c>
      <c r="D112" s="72">
        <v>0</v>
      </c>
      <c r="E112" s="72" t="s">
        <v>565</v>
      </c>
      <c r="F112" s="72"/>
      <c r="G112" s="72">
        <v>5</v>
      </c>
      <c r="H112" s="72">
        <v>6</v>
      </c>
      <c r="I112" s="72">
        <v>-16</v>
      </c>
      <c r="J112" s="72">
        <v>0.1</v>
      </c>
      <c r="K112" s="72">
        <v>4990</v>
      </c>
      <c r="L112" s="72">
        <v>0.39</v>
      </c>
      <c r="M112" s="72">
        <v>4.5999999999999996</v>
      </c>
      <c r="P112" s="58"/>
    </row>
    <row r="113" spans="1:16">
      <c r="A113" s="68" t="s">
        <v>241</v>
      </c>
      <c r="B113" s="69">
        <v>37729</v>
      </c>
      <c r="C113" s="61">
        <v>-30915</v>
      </c>
      <c r="D113" s="69">
        <v>32201</v>
      </c>
      <c r="E113" s="69" t="s">
        <v>566</v>
      </c>
      <c r="F113" s="69">
        <v>1172</v>
      </c>
      <c r="G113" s="69">
        <v>13</v>
      </c>
      <c r="H113" s="69"/>
      <c r="I113" s="69">
        <v>-23</v>
      </c>
      <c r="J113" s="69">
        <v>0.1</v>
      </c>
      <c r="K113" s="69">
        <v>1255</v>
      </c>
      <c r="L113" s="69">
        <v>0.72</v>
      </c>
      <c r="M113" s="69">
        <v>9.9</v>
      </c>
      <c r="P113" s="58"/>
    </row>
    <row r="114" spans="1:16">
      <c r="A114" s="71" t="s">
        <v>37</v>
      </c>
      <c r="B114" s="72">
        <v>36305</v>
      </c>
      <c r="C114" s="66">
        <v>-35686</v>
      </c>
      <c r="D114" s="72">
        <v>20790</v>
      </c>
      <c r="E114" s="72" t="s">
        <v>566</v>
      </c>
      <c r="F114" s="72">
        <v>1746</v>
      </c>
      <c r="G114" s="72">
        <v>-6</v>
      </c>
      <c r="H114" s="72">
        <v>-12</v>
      </c>
      <c r="I114" s="72">
        <v>-38</v>
      </c>
      <c r="J114" s="72">
        <v>0.1</v>
      </c>
      <c r="K114" s="72">
        <v>5318</v>
      </c>
      <c r="L114" s="72">
        <v>0.15</v>
      </c>
      <c r="M114" s="72">
        <v>4.5</v>
      </c>
      <c r="P114" s="58"/>
    </row>
    <row r="115" spans="1:16">
      <c r="A115" s="44" t="s">
        <v>227</v>
      </c>
      <c r="B115" s="64">
        <v>34684</v>
      </c>
      <c r="C115" s="64">
        <v>17845</v>
      </c>
      <c r="D115" s="64">
        <v>32042128</v>
      </c>
      <c r="E115" s="64" t="s">
        <v>566</v>
      </c>
      <c r="F115" s="64">
        <v>1.08</v>
      </c>
      <c r="G115" s="64"/>
      <c r="H115" s="64"/>
      <c r="I115" s="64">
        <v>-34</v>
      </c>
      <c r="J115" s="64">
        <v>0.1</v>
      </c>
      <c r="K115" s="64">
        <v>4456</v>
      </c>
      <c r="L115" s="64">
        <v>0.34</v>
      </c>
      <c r="M115" s="64">
        <v>26</v>
      </c>
      <c r="P115" s="58"/>
    </row>
    <row r="116" spans="1:16">
      <c r="A116" s="71" t="s">
        <v>93</v>
      </c>
      <c r="B116" s="72">
        <v>33615</v>
      </c>
      <c r="C116" s="66">
        <v>-33498</v>
      </c>
      <c r="D116" s="72">
        <v>30157</v>
      </c>
      <c r="E116" s="72" t="s">
        <v>566</v>
      </c>
      <c r="F116" s="72">
        <v>1115</v>
      </c>
      <c r="G116" s="72">
        <v>13</v>
      </c>
      <c r="H116" s="72">
        <v>14</v>
      </c>
      <c r="I116" s="72">
        <v>-36</v>
      </c>
      <c r="J116" s="72">
        <v>0.1</v>
      </c>
      <c r="K116" s="72">
        <v>10083</v>
      </c>
      <c r="L116" s="72">
        <v>0.68</v>
      </c>
      <c r="M116" s="72">
        <v>9.8000000000000007</v>
      </c>
      <c r="P116" s="58"/>
    </row>
    <row r="117" spans="1:16">
      <c r="A117" s="44" t="s">
        <v>264</v>
      </c>
      <c r="B117" s="64">
        <v>33434</v>
      </c>
      <c r="C117" s="61">
        <v>-32340</v>
      </c>
      <c r="D117" s="64">
        <v>22807</v>
      </c>
      <c r="E117" s="64" t="s">
        <v>566</v>
      </c>
      <c r="F117" s="64">
        <v>1466</v>
      </c>
      <c r="G117" s="64">
        <v>7</v>
      </c>
      <c r="H117" s="64">
        <v>7</v>
      </c>
      <c r="I117" s="64">
        <v>-44</v>
      </c>
      <c r="J117" s="64">
        <v>0.1</v>
      </c>
      <c r="K117" s="64">
        <v>7865</v>
      </c>
      <c r="L117" s="64">
        <v>0.26</v>
      </c>
      <c r="M117" s="64">
        <v>0</v>
      </c>
      <c r="P117" s="58"/>
    </row>
    <row r="118" spans="1:16">
      <c r="A118" s="45" t="s">
        <v>271</v>
      </c>
      <c r="B118" s="62">
        <v>33418</v>
      </c>
      <c r="C118" s="66">
        <v>-10003</v>
      </c>
      <c r="D118" s="62">
        <v>24880</v>
      </c>
      <c r="E118" s="62" t="s">
        <v>566</v>
      </c>
      <c r="F118" s="62">
        <v>1343</v>
      </c>
      <c r="G118" s="62">
        <v>-3</v>
      </c>
      <c r="H118" s="62">
        <v>-3</v>
      </c>
      <c r="I118" s="62"/>
      <c r="J118" s="62">
        <v>0.1</v>
      </c>
      <c r="K118" s="62">
        <v>12602</v>
      </c>
      <c r="L118" s="62">
        <v>0.33</v>
      </c>
      <c r="M118" s="62">
        <v>0.2</v>
      </c>
      <c r="P118" s="58"/>
    </row>
    <row r="119" spans="1:16">
      <c r="A119" s="44" t="s">
        <v>232</v>
      </c>
      <c r="B119" s="64">
        <v>32042</v>
      </c>
      <c r="C119" s="61">
        <v>-31407</v>
      </c>
      <c r="D119" s="64">
        <v>24338</v>
      </c>
      <c r="E119" s="64" t="s">
        <v>566</v>
      </c>
      <c r="F119" s="64">
        <v>1317</v>
      </c>
      <c r="G119" s="64">
        <v>20</v>
      </c>
      <c r="H119" s="64">
        <v>18</v>
      </c>
      <c r="I119" s="64">
        <v>-24</v>
      </c>
      <c r="J119" s="64">
        <v>0</v>
      </c>
      <c r="K119" s="64">
        <v>8867</v>
      </c>
      <c r="L119" s="64">
        <v>0.23</v>
      </c>
      <c r="M119" s="64">
        <v>4.7</v>
      </c>
      <c r="P119" s="58"/>
    </row>
    <row r="120" spans="1:16">
      <c r="A120" s="71" t="s">
        <v>124</v>
      </c>
      <c r="B120" s="72">
        <v>31889</v>
      </c>
      <c r="C120" s="66">
        <v>-31313</v>
      </c>
      <c r="D120" s="72">
        <v>25185</v>
      </c>
      <c r="E120" s="72" t="s">
        <v>566</v>
      </c>
      <c r="F120" s="72">
        <v>1266</v>
      </c>
      <c r="G120" s="72">
        <v>6</v>
      </c>
      <c r="H120" s="72">
        <v>35</v>
      </c>
      <c r="I120" s="72">
        <v>-36</v>
      </c>
      <c r="J120" s="72">
        <v>0</v>
      </c>
      <c r="K120" s="72">
        <v>5686</v>
      </c>
      <c r="L120" s="72">
        <v>0.38</v>
      </c>
      <c r="M120" s="72">
        <v>4.5</v>
      </c>
      <c r="P120" s="58"/>
    </row>
    <row r="121" spans="1:16">
      <c r="A121" s="44" t="s">
        <v>196</v>
      </c>
      <c r="B121" s="64">
        <v>31041</v>
      </c>
      <c r="C121" s="61">
        <v>-30113</v>
      </c>
      <c r="D121" s="64">
        <v>25912</v>
      </c>
      <c r="E121" s="64" t="s">
        <v>566</v>
      </c>
      <c r="F121" s="64">
        <v>1198</v>
      </c>
      <c r="G121" s="64">
        <v>16</v>
      </c>
      <c r="H121" s="64">
        <v>11</v>
      </c>
      <c r="I121" s="64">
        <v>-31</v>
      </c>
      <c r="J121" s="64">
        <v>0</v>
      </c>
      <c r="K121" s="64">
        <v>4839</v>
      </c>
      <c r="L121" s="64">
        <v>0.54</v>
      </c>
      <c r="M121" s="64">
        <v>0</v>
      </c>
      <c r="P121" s="58"/>
    </row>
    <row r="122" spans="1:16">
      <c r="A122" s="45" t="s">
        <v>570</v>
      </c>
      <c r="B122" s="62">
        <v>28370</v>
      </c>
      <c r="C122" s="66">
        <v>-25801</v>
      </c>
      <c r="D122" s="63">
        <v>16406</v>
      </c>
      <c r="E122" s="63" t="s">
        <v>566</v>
      </c>
      <c r="F122" s="63">
        <v>1729</v>
      </c>
      <c r="G122" s="62">
        <v>12</v>
      </c>
      <c r="H122" s="62">
        <v>1</v>
      </c>
      <c r="I122" s="62">
        <v>-10</v>
      </c>
      <c r="J122" s="62">
        <v>0</v>
      </c>
      <c r="K122" s="62">
        <v>4088</v>
      </c>
      <c r="L122" s="62">
        <v>0.22</v>
      </c>
      <c r="M122" s="62">
        <v>2.1</v>
      </c>
      <c r="P122" s="58"/>
    </row>
    <row r="123" spans="1:16">
      <c r="A123" s="44" t="s">
        <v>202</v>
      </c>
      <c r="B123" s="64">
        <v>26387</v>
      </c>
      <c r="C123" s="61">
        <v>-25359</v>
      </c>
      <c r="D123" s="64">
        <v>16348</v>
      </c>
      <c r="E123" s="64" t="s">
        <v>566</v>
      </c>
      <c r="F123" s="64">
        <v>1614</v>
      </c>
      <c r="G123" s="64">
        <v>8</v>
      </c>
      <c r="H123" s="64">
        <v>2</v>
      </c>
      <c r="I123" s="64">
        <v>-33</v>
      </c>
      <c r="J123" s="64">
        <v>0</v>
      </c>
      <c r="K123" s="64">
        <v>8726</v>
      </c>
      <c r="L123" s="64">
        <v>0.21</v>
      </c>
      <c r="M123" s="64">
        <v>0</v>
      </c>
      <c r="P123" s="58"/>
    </row>
    <row r="124" spans="1:16">
      <c r="A124" s="45" t="s">
        <v>250</v>
      </c>
      <c r="B124" s="62">
        <v>22307</v>
      </c>
      <c r="C124" s="66">
        <v>-22253</v>
      </c>
      <c r="D124" s="63">
        <v>6930</v>
      </c>
      <c r="E124" s="63" t="s">
        <v>566</v>
      </c>
      <c r="F124" s="63">
        <v>3219</v>
      </c>
      <c r="G124" s="62">
        <v>14</v>
      </c>
      <c r="H124" s="62">
        <v>-10</v>
      </c>
      <c r="I124" s="62">
        <v>-13</v>
      </c>
      <c r="J124" s="62">
        <v>0</v>
      </c>
      <c r="K124" s="62">
        <v>7815</v>
      </c>
      <c r="L124" s="62">
        <v>0.4</v>
      </c>
      <c r="M124" s="62">
        <v>0</v>
      </c>
      <c r="P124" s="58"/>
    </row>
    <row r="125" spans="1:16">
      <c r="A125" s="44" t="s">
        <v>199</v>
      </c>
      <c r="B125" s="64">
        <v>20437</v>
      </c>
      <c r="C125" s="61">
        <v>-5995</v>
      </c>
      <c r="D125" s="70">
        <v>14611</v>
      </c>
      <c r="E125" s="70" t="s">
        <v>566</v>
      </c>
      <c r="F125" s="70">
        <v>1399</v>
      </c>
      <c r="G125" s="64">
        <v>27</v>
      </c>
      <c r="H125" s="64">
        <v>23</v>
      </c>
      <c r="I125" s="64">
        <v>43</v>
      </c>
      <c r="J125" s="64">
        <v>0</v>
      </c>
      <c r="K125" s="64">
        <v>5449</v>
      </c>
      <c r="L125" s="64">
        <v>0.54</v>
      </c>
      <c r="M125" s="64">
        <v>4</v>
      </c>
      <c r="P125" s="58"/>
    </row>
    <row r="126" spans="1:16">
      <c r="A126" s="45" t="s">
        <v>253</v>
      </c>
      <c r="B126" s="62">
        <v>19615</v>
      </c>
      <c r="C126" s="66">
        <v>-14973</v>
      </c>
      <c r="D126" s="62">
        <v>19074</v>
      </c>
      <c r="E126" s="62" t="s">
        <v>566</v>
      </c>
      <c r="F126" s="62">
        <v>1028</v>
      </c>
      <c r="G126" s="62">
        <v>4</v>
      </c>
      <c r="H126" s="62">
        <v>9</v>
      </c>
      <c r="I126" s="62">
        <v>-14</v>
      </c>
      <c r="J126" s="62">
        <v>0</v>
      </c>
      <c r="K126" s="62">
        <v>1769</v>
      </c>
      <c r="L126" s="62">
        <v>0.94</v>
      </c>
      <c r="M126" s="62">
        <v>5</v>
      </c>
      <c r="P126" s="58"/>
    </row>
    <row r="127" spans="1:16">
      <c r="A127" s="68" t="s">
        <v>215</v>
      </c>
      <c r="B127" s="69">
        <v>19521</v>
      </c>
      <c r="C127" s="61">
        <v>-16564</v>
      </c>
      <c r="D127" s="69">
        <v>10981</v>
      </c>
      <c r="E127" s="69" t="s">
        <v>566</v>
      </c>
      <c r="F127" s="69">
        <v>1778</v>
      </c>
      <c r="G127" s="69">
        <v>6</v>
      </c>
      <c r="H127" s="69">
        <v>2</v>
      </c>
      <c r="I127" s="69">
        <v>-35</v>
      </c>
      <c r="J127" s="69">
        <v>0</v>
      </c>
      <c r="K127" s="69">
        <v>3065</v>
      </c>
      <c r="L127" s="69">
        <v>0.23</v>
      </c>
      <c r="M127" s="69">
        <v>1.3</v>
      </c>
      <c r="P127" s="58"/>
    </row>
    <row r="128" spans="1:16">
      <c r="A128" s="71" t="s">
        <v>272</v>
      </c>
      <c r="B128" s="72">
        <v>18072</v>
      </c>
      <c r="C128" s="66">
        <v>-17938</v>
      </c>
      <c r="D128" s="72">
        <v>15529</v>
      </c>
      <c r="E128" s="72" t="s">
        <v>566</v>
      </c>
      <c r="F128" s="72">
        <v>1164</v>
      </c>
      <c r="G128" s="72">
        <v>22</v>
      </c>
      <c r="H128" s="72">
        <v>14</v>
      </c>
      <c r="I128" s="72">
        <v>-3</v>
      </c>
      <c r="J128" s="72">
        <v>0</v>
      </c>
      <c r="K128" s="72">
        <v>13386</v>
      </c>
      <c r="L128" s="72">
        <v>0.8</v>
      </c>
      <c r="M128" s="72">
        <v>3.1</v>
      </c>
      <c r="P128" s="58"/>
    </row>
    <row r="129" spans="1:16">
      <c r="A129" s="44" t="s">
        <v>238</v>
      </c>
      <c r="B129" s="64">
        <v>14314</v>
      </c>
      <c r="C129" s="61">
        <v>-13896</v>
      </c>
      <c r="D129" s="64">
        <v>0</v>
      </c>
      <c r="E129" s="64" t="s">
        <v>565</v>
      </c>
      <c r="F129" s="64"/>
      <c r="G129" s="64">
        <v>8</v>
      </c>
      <c r="H129" s="64"/>
      <c r="I129" s="64">
        <v>-25</v>
      </c>
      <c r="J129" s="64">
        <v>0</v>
      </c>
      <c r="K129" s="64">
        <v>2152</v>
      </c>
      <c r="L129" s="64">
        <v>0.13</v>
      </c>
      <c r="M129" s="64">
        <v>2.1</v>
      </c>
      <c r="P129" s="58"/>
    </row>
    <row r="130" spans="1:16">
      <c r="A130" s="71" t="s">
        <v>571</v>
      </c>
      <c r="B130" s="72">
        <v>14257</v>
      </c>
      <c r="C130" s="66">
        <v>-13619</v>
      </c>
      <c r="D130" s="72">
        <v>9064</v>
      </c>
      <c r="E130" s="72" t="s">
        <v>566</v>
      </c>
      <c r="F130" s="72">
        <v>1573</v>
      </c>
      <c r="G130" s="72">
        <v>15</v>
      </c>
      <c r="H130" s="72">
        <v>8</v>
      </c>
      <c r="I130" s="72">
        <v>-1</v>
      </c>
      <c r="J130" s="72">
        <v>0</v>
      </c>
      <c r="K130" s="72">
        <v>692</v>
      </c>
      <c r="L130" s="72">
        <v>0.91</v>
      </c>
      <c r="M130" s="72">
        <v>4.7</v>
      </c>
      <c r="P130" s="58"/>
    </row>
    <row r="131" spans="1:16">
      <c r="A131" s="44" t="s">
        <v>216</v>
      </c>
      <c r="B131" s="64">
        <v>13863</v>
      </c>
      <c r="C131" s="61">
        <v>-13421</v>
      </c>
      <c r="D131" s="64">
        <v>10661</v>
      </c>
      <c r="E131" s="64" t="s">
        <v>566</v>
      </c>
      <c r="F131" s="64">
        <v>1300</v>
      </c>
      <c r="G131" s="64">
        <v>2</v>
      </c>
      <c r="H131" s="64">
        <v>-3</v>
      </c>
      <c r="I131" s="64">
        <v>6</v>
      </c>
      <c r="J131" s="64">
        <v>0</v>
      </c>
      <c r="K131" s="64">
        <v>4376</v>
      </c>
      <c r="L131" s="64">
        <v>0.31</v>
      </c>
      <c r="M131" s="64">
        <v>3.2</v>
      </c>
      <c r="P131" s="58"/>
    </row>
    <row r="132" spans="1:16">
      <c r="A132" s="45" t="s">
        <v>279</v>
      </c>
      <c r="B132" s="62">
        <v>13200</v>
      </c>
      <c r="C132" s="66">
        <v>-12010</v>
      </c>
      <c r="D132" s="62">
        <v>0</v>
      </c>
      <c r="E132" s="62" t="s">
        <v>565</v>
      </c>
      <c r="F132" s="62"/>
      <c r="G132" s="62">
        <v>-3</v>
      </c>
      <c r="H132" s="62"/>
      <c r="I132" s="62">
        <v>-28</v>
      </c>
      <c r="J132" s="62">
        <v>0</v>
      </c>
      <c r="K132" s="62">
        <v>8055</v>
      </c>
      <c r="L132" s="62">
        <v>0.25</v>
      </c>
      <c r="M132" s="62">
        <v>2.4</v>
      </c>
      <c r="P132" s="58"/>
    </row>
    <row r="133" spans="1:16">
      <c r="A133" s="44" t="s">
        <v>129</v>
      </c>
      <c r="B133" s="64">
        <v>13179</v>
      </c>
      <c r="C133" s="61">
        <v>-13179</v>
      </c>
      <c r="D133" s="64">
        <v>4853</v>
      </c>
      <c r="E133" s="64" t="s">
        <v>566</v>
      </c>
      <c r="F133" s="64">
        <v>2716</v>
      </c>
      <c r="G133" s="64">
        <v>-5</v>
      </c>
      <c r="H133" s="64">
        <v>-21</v>
      </c>
      <c r="I133" s="64">
        <v>-76</v>
      </c>
      <c r="J133" s="64">
        <v>0</v>
      </c>
      <c r="K133" s="64">
        <v>7713</v>
      </c>
      <c r="L133" s="64">
        <v>0.42</v>
      </c>
      <c r="M133" s="64">
        <v>5</v>
      </c>
      <c r="P133" s="58"/>
    </row>
    <row r="134" spans="1:16">
      <c r="A134" s="45" t="s">
        <v>249</v>
      </c>
      <c r="B134" s="62">
        <v>12744</v>
      </c>
      <c r="C134" s="66">
        <v>-12744</v>
      </c>
      <c r="D134" s="62">
        <v>0</v>
      </c>
      <c r="E134" s="62" t="s">
        <v>565</v>
      </c>
      <c r="F134" s="62"/>
      <c r="G134" s="62">
        <v>3</v>
      </c>
      <c r="H134" s="62"/>
      <c r="I134" s="62">
        <v>153</v>
      </c>
      <c r="J134" s="62">
        <v>0</v>
      </c>
      <c r="K134" s="62">
        <v>8430</v>
      </c>
      <c r="L134" s="62">
        <v>0.49</v>
      </c>
      <c r="M134" s="62">
        <v>0</v>
      </c>
      <c r="P134" s="58"/>
    </row>
    <row r="135" spans="1:16">
      <c r="A135" s="44" t="s">
        <v>259</v>
      </c>
      <c r="B135" s="64">
        <v>12568</v>
      </c>
      <c r="C135" s="61">
        <v>-12563</v>
      </c>
      <c r="D135" s="65">
        <v>11524</v>
      </c>
      <c r="E135" s="65" t="s">
        <v>566</v>
      </c>
      <c r="F135" s="65">
        <v>1091</v>
      </c>
      <c r="G135" s="64">
        <v>24</v>
      </c>
      <c r="H135" s="64">
        <v>12</v>
      </c>
      <c r="I135" s="64">
        <v>0</v>
      </c>
      <c r="J135" s="64">
        <v>0</v>
      </c>
      <c r="K135" s="64">
        <v>3673</v>
      </c>
      <c r="L135" s="64">
        <v>0.41</v>
      </c>
      <c r="M135" s="64">
        <v>3.9</v>
      </c>
      <c r="P135" s="58"/>
    </row>
    <row r="136" spans="1:16">
      <c r="A136" s="71" t="s">
        <v>288</v>
      </c>
      <c r="B136" s="72">
        <v>12535</v>
      </c>
      <c r="C136" s="66">
        <v>-12509</v>
      </c>
      <c r="D136" s="72">
        <v>11184</v>
      </c>
      <c r="E136" s="72" t="s">
        <v>566</v>
      </c>
      <c r="F136" s="72">
        <v>1121</v>
      </c>
      <c r="G136" s="72">
        <v>5</v>
      </c>
      <c r="H136" s="72">
        <v>-1</v>
      </c>
      <c r="I136" s="72">
        <v>-20</v>
      </c>
      <c r="J136" s="72">
        <v>0</v>
      </c>
      <c r="K136" s="72">
        <v>1152</v>
      </c>
      <c r="L136" s="72">
        <v>0.69</v>
      </c>
      <c r="M136" s="72">
        <v>2.2999999999999998</v>
      </c>
      <c r="P136" s="58"/>
    </row>
    <row r="137" spans="1:16">
      <c r="A137" s="68" t="s">
        <v>297</v>
      </c>
      <c r="B137" s="69">
        <v>11643</v>
      </c>
      <c r="C137" s="61">
        <v>-11643</v>
      </c>
      <c r="D137" s="69">
        <v>7427</v>
      </c>
      <c r="E137" s="69" t="s">
        <v>566</v>
      </c>
      <c r="F137" s="69">
        <v>1568</v>
      </c>
      <c r="G137" s="69">
        <v>-23</v>
      </c>
      <c r="H137" s="69">
        <v>-33</v>
      </c>
      <c r="I137" s="69">
        <v>-19</v>
      </c>
      <c r="J137" s="69">
        <v>0</v>
      </c>
      <c r="K137" s="69">
        <v>1552</v>
      </c>
      <c r="L137" s="69">
        <v>0.33</v>
      </c>
      <c r="M137" s="69">
        <v>0.9</v>
      </c>
      <c r="P137" s="58"/>
    </row>
    <row r="138" spans="1:16">
      <c r="A138" s="45" t="s">
        <v>112</v>
      </c>
      <c r="B138" s="62">
        <v>11570</v>
      </c>
      <c r="C138" s="66">
        <v>-10197</v>
      </c>
      <c r="D138" s="62">
        <v>5693</v>
      </c>
      <c r="E138" s="62" t="s">
        <v>566</v>
      </c>
      <c r="F138" s="62">
        <v>2032</v>
      </c>
      <c r="G138" s="62">
        <v>9</v>
      </c>
      <c r="H138" s="62">
        <v>9</v>
      </c>
      <c r="I138" s="62">
        <v>-10</v>
      </c>
      <c r="J138" s="62">
        <v>0</v>
      </c>
      <c r="K138" s="62">
        <v>9294</v>
      </c>
      <c r="L138" s="62">
        <v>0.19</v>
      </c>
      <c r="M138" s="62">
        <v>0</v>
      </c>
      <c r="P138" s="58"/>
    </row>
    <row r="139" spans="1:16">
      <c r="A139" s="44" t="s">
        <v>105</v>
      </c>
      <c r="B139" s="64">
        <v>11338</v>
      </c>
      <c r="C139" s="61">
        <v>-10319</v>
      </c>
      <c r="D139" s="70">
        <v>1573</v>
      </c>
      <c r="E139" s="70" t="s">
        <v>566</v>
      </c>
      <c r="F139" s="70">
        <v>7208</v>
      </c>
      <c r="G139" s="64">
        <v>9</v>
      </c>
      <c r="H139" s="64">
        <v>-8</v>
      </c>
      <c r="I139" s="64">
        <v>-26</v>
      </c>
      <c r="J139" s="64">
        <v>0</v>
      </c>
      <c r="K139" s="64">
        <v>5587</v>
      </c>
      <c r="L139" s="64">
        <v>0.18</v>
      </c>
      <c r="M139" s="64">
        <v>2.1</v>
      </c>
      <c r="P139" s="58"/>
    </row>
    <row r="140" spans="1:16">
      <c r="A140" s="71" t="s">
        <v>299</v>
      </c>
      <c r="B140" s="72">
        <v>10972</v>
      </c>
      <c r="C140" s="66">
        <v>-10969</v>
      </c>
      <c r="D140" s="72">
        <v>5902</v>
      </c>
      <c r="E140" s="72" t="s">
        <v>566</v>
      </c>
      <c r="F140" s="72">
        <v>1859</v>
      </c>
      <c r="G140" s="72">
        <v>3</v>
      </c>
      <c r="H140" s="72">
        <v>28</v>
      </c>
      <c r="I140" s="72">
        <v>-10</v>
      </c>
      <c r="J140" s="72">
        <v>0</v>
      </c>
      <c r="K140" s="72">
        <v>8757</v>
      </c>
      <c r="L140" s="72">
        <v>0.42</v>
      </c>
      <c r="M140" s="72">
        <v>9.8000000000000007</v>
      </c>
      <c r="P140" s="58"/>
    </row>
    <row r="141" spans="1:16">
      <c r="A141" s="68" t="s">
        <v>273</v>
      </c>
      <c r="B141" s="69">
        <v>10209</v>
      </c>
      <c r="C141" s="61">
        <v>-10209</v>
      </c>
      <c r="D141" s="69">
        <v>8500</v>
      </c>
      <c r="E141" s="69" t="s">
        <v>566</v>
      </c>
      <c r="F141" s="69">
        <v>1201</v>
      </c>
      <c r="G141" s="69">
        <v>25</v>
      </c>
      <c r="H141" s="69">
        <v>36</v>
      </c>
      <c r="I141" s="69">
        <v>8</v>
      </c>
      <c r="J141" s="69">
        <v>0</v>
      </c>
      <c r="K141" s="69">
        <v>10728</v>
      </c>
      <c r="L141" s="69">
        <v>0.4</v>
      </c>
      <c r="M141" s="69">
        <v>4.7</v>
      </c>
      <c r="P141" s="58"/>
    </row>
    <row r="142" spans="1:16">
      <c r="A142" s="45" t="s">
        <v>248</v>
      </c>
      <c r="B142" s="62">
        <v>10083</v>
      </c>
      <c r="C142" s="66">
        <v>-10083</v>
      </c>
      <c r="D142" s="62">
        <v>6099</v>
      </c>
      <c r="E142" s="62" t="s">
        <v>566</v>
      </c>
      <c r="F142" s="62">
        <v>1653</v>
      </c>
      <c r="G142" s="62">
        <v>16</v>
      </c>
      <c r="H142" s="62">
        <v>8</v>
      </c>
      <c r="I142" s="62">
        <v>-17</v>
      </c>
      <c r="J142" s="62">
        <v>0</v>
      </c>
      <c r="K142" s="62">
        <v>2591</v>
      </c>
      <c r="L142" s="62">
        <v>0.38</v>
      </c>
      <c r="M142" s="62">
        <v>17.399999999999999</v>
      </c>
      <c r="P142" s="58"/>
    </row>
    <row r="143" spans="1:16">
      <c r="A143" s="44" t="s">
        <v>256</v>
      </c>
      <c r="B143" s="64">
        <v>9319</v>
      </c>
      <c r="C143" s="61">
        <v>-9253</v>
      </c>
      <c r="D143" s="64">
        <v>5063</v>
      </c>
      <c r="E143" s="64" t="s">
        <v>566</v>
      </c>
      <c r="F143" s="64">
        <v>1841</v>
      </c>
      <c r="G143" s="64">
        <v>7</v>
      </c>
      <c r="H143" s="64">
        <v>1</v>
      </c>
      <c r="I143" s="64">
        <v>-32</v>
      </c>
      <c r="J143" s="64">
        <v>0</v>
      </c>
      <c r="K143" s="64">
        <v>8054</v>
      </c>
      <c r="L143" s="64">
        <v>0.3</v>
      </c>
      <c r="M143" s="64">
        <v>4.0999999999999996</v>
      </c>
      <c r="P143" s="58"/>
    </row>
    <row r="144" spans="1:16">
      <c r="A144" s="71" t="s">
        <v>125</v>
      </c>
      <c r="B144" s="72">
        <v>9201</v>
      </c>
      <c r="C144" s="66">
        <v>-9180</v>
      </c>
      <c r="D144" s="72">
        <v>6404</v>
      </c>
      <c r="E144" s="72" t="s">
        <v>566</v>
      </c>
      <c r="F144" s="72">
        <v>1437</v>
      </c>
      <c r="G144" s="72">
        <v>22</v>
      </c>
      <c r="H144" s="72">
        <v>42</v>
      </c>
      <c r="I144" s="72">
        <v>-4</v>
      </c>
      <c r="J144" s="72">
        <v>0</v>
      </c>
      <c r="K144" s="72">
        <v>8878</v>
      </c>
      <c r="L144" s="72">
        <v>0.34</v>
      </c>
      <c r="M144" s="72">
        <v>4.9000000000000004</v>
      </c>
      <c r="P144" s="58"/>
    </row>
    <row r="145" spans="1:16">
      <c r="A145" s="44" t="s">
        <v>245</v>
      </c>
      <c r="B145" s="64">
        <v>8383</v>
      </c>
      <c r="C145" s="61">
        <v>-8235</v>
      </c>
      <c r="D145" s="64">
        <v>0</v>
      </c>
      <c r="E145" s="64" t="s">
        <v>565</v>
      </c>
      <c r="F145" s="64"/>
      <c r="G145" s="64">
        <v>5</v>
      </c>
      <c r="H145" s="64"/>
      <c r="I145" s="64">
        <v>-34</v>
      </c>
      <c r="J145" s="64">
        <v>0</v>
      </c>
      <c r="K145" s="64">
        <v>7896</v>
      </c>
      <c r="L145" s="64">
        <v>0.11</v>
      </c>
      <c r="M145" s="64">
        <v>4.9000000000000004</v>
      </c>
      <c r="P145" s="58"/>
    </row>
    <row r="146" spans="1:16">
      <c r="A146" s="45" t="s">
        <v>107</v>
      </c>
      <c r="B146" s="62">
        <v>7970</v>
      </c>
      <c r="C146" s="66">
        <v>-7964</v>
      </c>
      <c r="D146" s="62">
        <v>3157</v>
      </c>
      <c r="E146" s="62" t="s">
        <v>566</v>
      </c>
      <c r="F146" s="62">
        <v>2525</v>
      </c>
      <c r="G146" s="62">
        <v>10</v>
      </c>
      <c r="H146" s="62"/>
      <c r="I146" s="62">
        <v>4</v>
      </c>
      <c r="J146" s="62">
        <v>0</v>
      </c>
      <c r="K146" s="62">
        <v>3326</v>
      </c>
      <c r="L146" s="62">
        <v>0.31</v>
      </c>
      <c r="M146" s="62">
        <v>0</v>
      </c>
      <c r="P146" s="58"/>
    </row>
    <row r="147" spans="1:16">
      <c r="A147" s="44" t="s">
        <v>223</v>
      </c>
      <c r="B147" s="64">
        <v>7118</v>
      </c>
      <c r="C147" s="61">
        <v>-7104</v>
      </c>
      <c r="D147" s="64">
        <v>5172</v>
      </c>
      <c r="E147" s="64" t="s">
        <v>566</v>
      </c>
      <c r="F147" s="64">
        <v>1376</v>
      </c>
      <c r="G147" s="64">
        <v>33</v>
      </c>
      <c r="H147" s="64">
        <v>37</v>
      </c>
      <c r="I147" s="64">
        <v>4</v>
      </c>
      <c r="J147" s="64">
        <v>0</v>
      </c>
      <c r="K147" s="64">
        <v>9963</v>
      </c>
      <c r="L147" s="64">
        <v>0.38</v>
      </c>
      <c r="M147" s="64">
        <v>4.7</v>
      </c>
      <c r="P147" s="58"/>
    </row>
    <row r="148" spans="1:16">
      <c r="A148" s="45" t="s">
        <v>282</v>
      </c>
      <c r="B148" s="62">
        <v>7029</v>
      </c>
      <c r="C148" s="66">
        <v>-7025</v>
      </c>
      <c r="D148" s="62">
        <v>3450</v>
      </c>
      <c r="E148" s="62" t="s">
        <v>566</v>
      </c>
      <c r="F148" s="62">
        <v>2037</v>
      </c>
      <c r="G148" s="62">
        <v>38</v>
      </c>
      <c r="H148" s="62">
        <v>31</v>
      </c>
      <c r="I148" s="62">
        <v>57</v>
      </c>
      <c r="J148" s="62">
        <v>0</v>
      </c>
      <c r="K148" s="62">
        <v>5198</v>
      </c>
      <c r="L148" s="62">
        <v>0.45</v>
      </c>
      <c r="M148" s="62">
        <v>5.5</v>
      </c>
      <c r="P148" s="58"/>
    </row>
    <row r="149" spans="1:16">
      <c r="A149" s="68" t="s">
        <v>121</v>
      </c>
      <c r="B149" s="69">
        <v>6542</v>
      </c>
      <c r="C149" s="61">
        <v>-6278</v>
      </c>
      <c r="D149" s="69">
        <v>6522</v>
      </c>
      <c r="E149" s="69" t="s">
        <v>566</v>
      </c>
      <c r="F149" s="69">
        <v>1003</v>
      </c>
      <c r="G149" s="69">
        <v>11</v>
      </c>
      <c r="H149" s="69">
        <v>11</v>
      </c>
      <c r="I149" s="69">
        <v>8</v>
      </c>
      <c r="J149" s="69">
        <v>0</v>
      </c>
      <c r="K149" s="69">
        <v>840</v>
      </c>
      <c r="L149" s="69">
        <v>1</v>
      </c>
      <c r="M149" s="69" t="s">
        <v>567</v>
      </c>
      <c r="P149" s="58"/>
    </row>
    <row r="150" spans="1:16">
      <c r="A150" s="45" t="s">
        <v>286</v>
      </c>
      <c r="B150" s="62">
        <v>5611</v>
      </c>
      <c r="C150" s="66">
        <v>-5435</v>
      </c>
      <c r="D150" s="62">
        <v>7352</v>
      </c>
      <c r="E150" s="62" t="s">
        <v>566</v>
      </c>
      <c r="F150" s="62">
        <v>763</v>
      </c>
      <c r="G150" s="62">
        <v>4</v>
      </c>
      <c r="H150" s="62">
        <v>15</v>
      </c>
      <c r="I150" s="62">
        <v>6</v>
      </c>
      <c r="J150" s="62">
        <v>0</v>
      </c>
      <c r="K150" s="62">
        <v>6292</v>
      </c>
      <c r="L150" s="62">
        <v>0.26</v>
      </c>
      <c r="M150" s="62">
        <v>4.7</v>
      </c>
      <c r="P150" s="58"/>
    </row>
    <row r="151" spans="1:16">
      <c r="A151" s="68" t="s">
        <v>260</v>
      </c>
      <c r="B151" s="69">
        <v>5602</v>
      </c>
      <c r="C151" s="61">
        <v>-5567</v>
      </c>
      <c r="D151" s="69">
        <v>3767</v>
      </c>
      <c r="E151" s="69" t="s">
        <v>566</v>
      </c>
      <c r="F151" s="69">
        <v>1487</v>
      </c>
      <c r="G151" s="69">
        <v>2</v>
      </c>
      <c r="H151" s="69">
        <v>8</v>
      </c>
      <c r="I151" s="69">
        <v>29</v>
      </c>
      <c r="J151" s="69">
        <v>0</v>
      </c>
      <c r="K151" s="69">
        <v>8334</v>
      </c>
      <c r="L151" s="69">
        <v>0.43</v>
      </c>
      <c r="M151" s="69">
        <v>7.7</v>
      </c>
      <c r="P151" s="58"/>
    </row>
    <row r="152" spans="1:16">
      <c r="A152" s="71" t="s">
        <v>254</v>
      </c>
      <c r="B152" s="72">
        <v>5375</v>
      </c>
      <c r="C152" s="66">
        <v>-5165</v>
      </c>
      <c r="D152" s="72">
        <v>3648</v>
      </c>
      <c r="E152" s="72" t="s">
        <v>566</v>
      </c>
      <c r="F152" s="72">
        <v>1473</v>
      </c>
      <c r="G152" s="72">
        <v>0</v>
      </c>
      <c r="H152" s="72">
        <v>1</v>
      </c>
      <c r="I152" s="72">
        <v>13</v>
      </c>
      <c r="J152" s="72">
        <v>0</v>
      </c>
      <c r="K152" s="72">
        <v>5220</v>
      </c>
      <c r="L152" s="72">
        <v>0.21</v>
      </c>
      <c r="M152" s="72">
        <v>4.7</v>
      </c>
      <c r="P152" s="58"/>
    </row>
    <row r="153" spans="1:16">
      <c r="A153" s="68" t="s">
        <v>230</v>
      </c>
      <c r="B153" s="69">
        <v>5294</v>
      </c>
      <c r="C153" s="61">
        <v>-5239</v>
      </c>
      <c r="D153" s="69">
        <v>3367</v>
      </c>
      <c r="E153" s="69" t="s">
        <v>566</v>
      </c>
      <c r="F153" s="69">
        <v>1572</v>
      </c>
      <c r="G153" s="69">
        <v>-24</v>
      </c>
      <c r="H153" s="69"/>
      <c r="I153" s="69">
        <v>-80</v>
      </c>
      <c r="J153" s="69">
        <v>0</v>
      </c>
      <c r="K153" s="69"/>
      <c r="L153" s="69">
        <v>0.35</v>
      </c>
      <c r="M153" s="69" t="s">
        <v>567</v>
      </c>
      <c r="P153" s="58"/>
    </row>
    <row r="154" spans="1:16">
      <c r="A154" s="71" t="s">
        <v>231</v>
      </c>
      <c r="B154" s="72">
        <v>4987</v>
      </c>
      <c r="C154" s="66">
        <v>-4880</v>
      </c>
      <c r="D154" s="72">
        <v>4071</v>
      </c>
      <c r="E154" s="72" t="s">
        <v>566</v>
      </c>
      <c r="F154" s="72">
        <v>1225</v>
      </c>
      <c r="G154" s="72">
        <v>13</v>
      </c>
      <c r="H154" s="72">
        <v>7</v>
      </c>
      <c r="I154" s="72">
        <v>-6</v>
      </c>
      <c r="J154" s="72">
        <v>0</v>
      </c>
      <c r="K154" s="72">
        <v>9874</v>
      </c>
      <c r="L154" s="72">
        <v>0.44</v>
      </c>
      <c r="M154" s="72">
        <v>4.7</v>
      </c>
      <c r="P154" s="58"/>
    </row>
    <row r="155" spans="1:16">
      <c r="A155" s="44" t="s">
        <v>200</v>
      </c>
      <c r="B155" s="64">
        <v>4706</v>
      </c>
      <c r="C155" s="61">
        <v>-2490</v>
      </c>
      <c r="D155" s="65">
        <v>1749</v>
      </c>
      <c r="E155" s="65" t="s">
        <v>566</v>
      </c>
      <c r="F155" s="65">
        <v>2691</v>
      </c>
      <c r="G155" s="64">
        <v>10</v>
      </c>
      <c r="H155" s="64">
        <v>2</v>
      </c>
      <c r="I155" s="64">
        <v>-9</v>
      </c>
      <c r="J155" s="64">
        <v>0</v>
      </c>
      <c r="K155" s="64">
        <v>6678</v>
      </c>
      <c r="L155" s="64">
        <v>0.14000000000000001</v>
      </c>
      <c r="M155" s="64">
        <v>0.2</v>
      </c>
      <c r="P155" s="58"/>
    </row>
    <row r="156" spans="1:16">
      <c r="A156" s="45" t="s">
        <v>106</v>
      </c>
      <c r="B156" s="62">
        <v>4390</v>
      </c>
      <c r="C156" s="66">
        <v>-4390</v>
      </c>
      <c r="D156" s="62">
        <v>0</v>
      </c>
      <c r="E156" s="62" t="s">
        <v>565</v>
      </c>
      <c r="F156" s="62"/>
      <c r="G156" s="62">
        <v>24</v>
      </c>
      <c r="H156" s="62"/>
      <c r="I156" s="62">
        <v>-52</v>
      </c>
      <c r="J156" s="62">
        <v>0</v>
      </c>
      <c r="K156" s="62"/>
      <c r="L156" s="62">
        <v>0.66</v>
      </c>
      <c r="M156" s="62">
        <v>0</v>
      </c>
      <c r="P156" s="58"/>
    </row>
    <row r="157" spans="1:16">
      <c r="A157" s="44" t="s">
        <v>275</v>
      </c>
      <c r="B157" s="64">
        <v>3995</v>
      </c>
      <c r="C157" s="61">
        <v>-3973</v>
      </c>
      <c r="D157" s="70">
        <v>1469</v>
      </c>
      <c r="E157" s="70" t="s">
        <v>566</v>
      </c>
      <c r="F157" s="70">
        <v>2720</v>
      </c>
      <c r="G157" s="64">
        <v>15</v>
      </c>
      <c r="H157" s="64">
        <v>5</v>
      </c>
      <c r="I157" s="64">
        <v>-11</v>
      </c>
      <c r="J157" s="64">
        <v>0</v>
      </c>
      <c r="K157" s="64">
        <v>6779</v>
      </c>
      <c r="L157" s="64">
        <v>0.23</v>
      </c>
      <c r="M157" s="64">
        <v>4.0999999999999996</v>
      </c>
      <c r="P157" s="58"/>
    </row>
    <row r="158" spans="1:16">
      <c r="A158" s="71" t="s">
        <v>572</v>
      </c>
      <c r="B158" s="72">
        <v>3867</v>
      </c>
      <c r="C158" s="66">
        <v>-3867</v>
      </c>
      <c r="D158" s="72">
        <v>2895</v>
      </c>
      <c r="E158" s="72" t="s">
        <v>566</v>
      </c>
      <c r="F158" s="72">
        <v>1336</v>
      </c>
      <c r="G158" s="72">
        <v>18</v>
      </c>
      <c r="H158" s="72">
        <v>6</v>
      </c>
      <c r="I158" s="72">
        <v>-21</v>
      </c>
      <c r="J158" s="72">
        <v>0</v>
      </c>
      <c r="K158" s="72">
        <v>2465</v>
      </c>
      <c r="L158" s="72">
        <v>0.45</v>
      </c>
      <c r="M158" s="72">
        <v>0</v>
      </c>
      <c r="P158" s="58"/>
    </row>
    <row r="159" spans="1:16">
      <c r="A159" s="68" t="s">
        <v>270</v>
      </c>
      <c r="B159" s="69">
        <v>3853</v>
      </c>
      <c r="C159" s="61">
        <v>-3853</v>
      </c>
      <c r="D159" s="69">
        <v>1666</v>
      </c>
      <c r="E159" s="69" t="s">
        <v>566</v>
      </c>
      <c r="F159" s="69">
        <v>2313</v>
      </c>
      <c r="G159" s="69">
        <v>-14</v>
      </c>
      <c r="H159" s="69">
        <v>-25</v>
      </c>
      <c r="I159" s="69">
        <v>-40</v>
      </c>
      <c r="J159" s="69">
        <v>0</v>
      </c>
      <c r="K159" s="69">
        <v>2990</v>
      </c>
      <c r="L159" s="69">
        <v>0.53</v>
      </c>
      <c r="M159" s="69" t="s">
        <v>567</v>
      </c>
      <c r="P159" s="58"/>
    </row>
    <row r="160" spans="1:16">
      <c r="A160" s="71" t="s">
        <v>573</v>
      </c>
      <c r="B160" s="72">
        <v>3811</v>
      </c>
      <c r="C160" s="66">
        <v>-463</v>
      </c>
      <c r="D160" s="72">
        <v>2506</v>
      </c>
      <c r="E160" s="72" t="s">
        <v>566</v>
      </c>
      <c r="F160" s="72">
        <v>1521</v>
      </c>
      <c r="G160" s="72">
        <v>4</v>
      </c>
      <c r="H160" s="72"/>
      <c r="I160" s="72">
        <v>2</v>
      </c>
      <c r="J160" s="72">
        <v>0</v>
      </c>
      <c r="K160" s="72"/>
      <c r="L160" s="72">
        <v>0.97</v>
      </c>
      <c r="M160" s="72" t="s">
        <v>567</v>
      </c>
      <c r="P160" s="58"/>
    </row>
    <row r="161" spans="1:16">
      <c r="A161" s="44" t="s">
        <v>243</v>
      </c>
      <c r="B161" s="64">
        <v>3783</v>
      </c>
      <c r="C161" s="61">
        <v>-3640</v>
      </c>
      <c r="D161" s="70">
        <v>0</v>
      </c>
      <c r="E161" s="70" t="s">
        <v>565</v>
      </c>
      <c r="F161" s="70"/>
      <c r="G161" s="64">
        <v>13</v>
      </c>
      <c r="H161" s="64"/>
      <c r="I161" s="64">
        <v>31</v>
      </c>
      <c r="J161" s="64">
        <v>0</v>
      </c>
      <c r="K161" s="64">
        <v>3254</v>
      </c>
      <c r="L161" s="64">
        <v>0.57999999999999996</v>
      </c>
      <c r="M161" s="64">
        <v>5.5</v>
      </c>
      <c r="P161" s="58"/>
    </row>
    <row r="162" spans="1:16">
      <c r="A162" s="45" t="s">
        <v>247</v>
      </c>
      <c r="B162" s="62">
        <v>3579</v>
      </c>
      <c r="C162" s="66">
        <v>-3557</v>
      </c>
      <c r="D162" s="62">
        <v>4862</v>
      </c>
      <c r="E162" s="62" t="s">
        <v>566</v>
      </c>
      <c r="F162" s="62">
        <v>736</v>
      </c>
      <c r="G162" s="62">
        <v>2</v>
      </c>
      <c r="H162" s="62">
        <v>3</v>
      </c>
      <c r="I162" s="62">
        <v>13</v>
      </c>
      <c r="J162" s="62">
        <v>0</v>
      </c>
      <c r="K162" s="62">
        <v>5987</v>
      </c>
      <c r="L162" s="62">
        <v>0.25</v>
      </c>
      <c r="M162" s="62">
        <v>5</v>
      </c>
      <c r="P162" s="58"/>
    </row>
    <row r="163" spans="1:16">
      <c r="A163" s="68" t="s">
        <v>128</v>
      </c>
      <c r="B163" s="69">
        <v>3498</v>
      </c>
      <c r="C163" s="61">
        <v>-3468</v>
      </c>
      <c r="D163" s="69">
        <v>1477</v>
      </c>
      <c r="E163" s="69" t="s">
        <v>566</v>
      </c>
      <c r="F163" s="69">
        <v>2368</v>
      </c>
      <c r="G163" s="69">
        <v>5</v>
      </c>
      <c r="H163" s="69">
        <v>4</v>
      </c>
      <c r="I163" s="69">
        <v>-7</v>
      </c>
      <c r="J163" s="69">
        <v>0</v>
      </c>
      <c r="K163" s="69">
        <v>4356</v>
      </c>
      <c r="L163" s="69">
        <v>0.31</v>
      </c>
      <c r="M163" s="69">
        <v>0</v>
      </c>
      <c r="P163" s="58"/>
    </row>
    <row r="164" spans="1:16">
      <c r="A164" s="45" t="s">
        <v>217</v>
      </c>
      <c r="B164" s="62">
        <v>2955</v>
      </c>
      <c r="C164" s="66">
        <v>-2950</v>
      </c>
      <c r="D164" s="62">
        <v>648</v>
      </c>
      <c r="E164" s="62" t="s">
        <v>566</v>
      </c>
      <c r="F164" s="62">
        <v>4560</v>
      </c>
      <c r="G164" s="62">
        <v>6</v>
      </c>
      <c r="H164" s="62">
        <v>-3</v>
      </c>
      <c r="I164" s="62">
        <v>4</v>
      </c>
      <c r="J164" s="62">
        <v>0</v>
      </c>
      <c r="K164" s="62">
        <v>2560</v>
      </c>
      <c r="L164" s="62">
        <v>0.19</v>
      </c>
      <c r="M164" s="62">
        <v>0</v>
      </c>
      <c r="P164" s="58"/>
    </row>
    <row r="165" spans="1:16">
      <c r="A165" s="44" t="s">
        <v>283</v>
      </c>
      <c r="B165" s="64">
        <v>2827</v>
      </c>
      <c r="C165" s="61">
        <v>-2827</v>
      </c>
      <c r="D165" s="64">
        <v>0</v>
      </c>
      <c r="E165" s="64" t="s">
        <v>565</v>
      </c>
      <c r="F165" s="64"/>
      <c r="G165" s="64">
        <v>5</v>
      </c>
      <c r="H165" s="64"/>
      <c r="I165" s="64">
        <v>-4</v>
      </c>
      <c r="J165" s="64">
        <v>0</v>
      </c>
      <c r="K165" s="64">
        <v>6278</v>
      </c>
      <c r="L165" s="64">
        <v>0.16</v>
      </c>
      <c r="M165" s="64">
        <v>4.7</v>
      </c>
      <c r="P165" s="58"/>
    </row>
    <row r="166" spans="1:16">
      <c r="A166" s="45" t="s">
        <v>294</v>
      </c>
      <c r="B166" s="62">
        <v>2663</v>
      </c>
      <c r="C166" s="66">
        <v>-2663</v>
      </c>
      <c r="D166" s="62">
        <v>2069</v>
      </c>
      <c r="E166" s="62" t="s">
        <v>566</v>
      </c>
      <c r="F166" s="62">
        <v>1287</v>
      </c>
      <c r="G166" s="62">
        <v>18</v>
      </c>
      <c r="H166" s="62">
        <v>13</v>
      </c>
      <c r="I166" s="62">
        <v>50</v>
      </c>
      <c r="J166" s="62">
        <v>0</v>
      </c>
      <c r="K166" s="62">
        <v>1583</v>
      </c>
      <c r="L166" s="62">
        <v>0.66</v>
      </c>
      <c r="M166" s="62">
        <v>9.8000000000000007</v>
      </c>
      <c r="P166" s="58"/>
    </row>
    <row r="167" spans="1:16">
      <c r="A167" s="44" t="s">
        <v>122</v>
      </c>
      <c r="B167" s="64">
        <v>2461</v>
      </c>
      <c r="C167" s="61">
        <v>-2413</v>
      </c>
      <c r="D167" s="64">
        <v>1599</v>
      </c>
      <c r="E167" s="64" t="s">
        <v>566</v>
      </c>
      <c r="F167" s="64">
        <v>1539</v>
      </c>
      <c r="G167" s="64">
        <v>15</v>
      </c>
      <c r="H167" s="64">
        <v>21</v>
      </c>
      <c r="I167" s="64">
        <v>-15</v>
      </c>
      <c r="J167" s="64">
        <v>0</v>
      </c>
      <c r="K167" s="64">
        <v>7693</v>
      </c>
      <c r="L167" s="64">
        <v>0.22</v>
      </c>
      <c r="M167" s="64">
        <v>9.8000000000000007</v>
      </c>
      <c r="P167" s="58"/>
    </row>
    <row r="168" spans="1:16">
      <c r="A168" s="45" t="s">
        <v>76</v>
      </c>
      <c r="B168" s="62">
        <v>2305</v>
      </c>
      <c r="C168" s="66">
        <v>-2305</v>
      </c>
      <c r="D168" s="62">
        <v>2266</v>
      </c>
      <c r="E168" s="62" t="s">
        <v>566</v>
      </c>
      <c r="F168" s="62">
        <v>1017</v>
      </c>
      <c r="G168" s="62">
        <v>41</v>
      </c>
      <c r="H168" s="62">
        <v>35</v>
      </c>
      <c r="I168" s="62">
        <v>95</v>
      </c>
      <c r="J168" s="62">
        <v>0</v>
      </c>
      <c r="K168" s="62">
        <v>10776</v>
      </c>
      <c r="L168" s="62">
        <v>0.48</v>
      </c>
      <c r="M168" s="62">
        <v>4.7</v>
      </c>
      <c r="P168" s="58"/>
    </row>
    <row r="169" spans="1:16">
      <c r="A169" s="44" t="s">
        <v>285</v>
      </c>
      <c r="B169" s="64">
        <v>2252</v>
      </c>
      <c r="C169" s="61">
        <v>-2229</v>
      </c>
      <c r="D169" s="64">
        <v>732</v>
      </c>
      <c r="E169" s="64" t="s">
        <v>566</v>
      </c>
      <c r="F169" s="64">
        <v>3077</v>
      </c>
      <c r="G169" s="64">
        <v>-4</v>
      </c>
      <c r="H169" s="64">
        <v>-13</v>
      </c>
      <c r="I169" s="64">
        <v>-6</v>
      </c>
      <c r="J169" s="64">
        <v>0</v>
      </c>
      <c r="K169" s="64">
        <v>3775</v>
      </c>
      <c r="L169" s="64">
        <v>0.39</v>
      </c>
      <c r="M169" s="64">
        <v>3.4</v>
      </c>
      <c r="P169" s="58"/>
    </row>
    <row r="170" spans="1:16">
      <c r="A170" s="71" t="s">
        <v>281</v>
      </c>
      <c r="B170" s="72">
        <v>2117</v>
      </c>
      <c r="C170" s="66">
        <v>-2079</v>
      </c>
      <c r="D170" s="72">
        <v>882</v>
      </c>
      <c r="E170" s="72" t="s">
        <v>566</v>
      </c>
      <c r="F170" s="72">
        <v>2400</v>
      </c>
      <c r="G170" s="72">
        <v>-5</v>
      </c>
      <c r="H170" s="72">
        <v>-5</v>
      </c>
      <c r="I170" s="72">
        <v>-38</v>
      </c>
      <c r="J170" s="72">
        <v>0</v>
      </c>
      <c r="K170" s="72">
        <v>3040</v>
      </c>
      <c r="L170" s="72">
        <v>0.46</v>
      </c>
      <c r="M170" s="72">
        <v>1.4</v>
      </c>
      <c r="P170" s="58"/>
    </row>
    <row r="171" spans="1:16">
      <c r="A171" s="68" t="s">
        <v>221</v>
      </c>
      <c r="B171" s="69">
        <v>1741</v>
      </c>
      <c r="C171" s="61">
        <v>-1741</v>
      </c>
      <c r="D171" s="69">
        <v>242</v>
      </c>
      <c r="E171" s="69" t="s">
        <v>566</v>
      </c>
      <c r="F171" s="69">
        <v>7194</v>
      </c>
      <c r="G171" s="69">
        <v>101</v>
      </c>
      <c r="H171" s="69"/>
      <c r="I171" s="69">
        <v>679</v>
      </c>
      <c r="J171" s="69">
        <v>0</v>
      </c>
      <c r="K171" s="69">
        <v>10173</v>
      </c>
      <c r="L171" s="69">
        <v>0.57999999999999996</v>
      </c>
      <c r="M171" s="69">
        <v>9.8000000000000007</v>
      </c>
      <c r="P171" s="58"/>
    </row>
    <row r="172" spans="1:16">
      <c r="A172" s="71" t="s">
        <v>574</v>
      </c>
      <c r="B172" s="72">
        <v>1243</v>
      </c>
      <c r="C172" s="66">
        <v>-1243</v>
      </c>
      <c r="D172" s="72">
        <v>179</v>
      </c>
      <c r="E172" s="72" t="s">
        <v>566</v>
      </c>
      <c r="F172" s="72">
        <v>6944</v>
      </c>
      <c r="G172" s="72">
        <v>31</v>
      </c>
      <c r="H172" s="72"/>
      <c r="I172" s="72">
        <v>44</v>
      </c>
      <c r="J172" s="72">
        <v>0</v>
      </c>
      <c r="K172" s="72"/>
      <c r="L172" s="72">
        <v>0.91</v>
      </c>
      <c r="M172" s="72" t="s">
        <v>567</v>
      </c>
      <c r="P172" s="58"/>
    </row>
    <row r="173" spans="1:16">
      <c r="A173" s="44" t="s">
        <v>258</v>
      </c>
      <c r="B173" s="64">
        <v>1228</v>
      </c>
      <c r="C173" s="61">
        <v>-1225</v>
      </c>
      <c r="D173" s="64">
        <v>321</v>
      </c>
      <c r="E173" s="64" t="s">
        <v>566</v>
      </c>
      <c r="F173" s="64">
        <v>3826</v>
      </c>
      <c r="G173" s="64">
        <v>25</v>
      </c>
      <c r="H173" s="64">
        <v>14</v>
      </c>
      <c r="I173" s="64">
        <v>24</v>
      </c>
      <c r="J173" s="64">
        <v>0</v>
      </c>
      <c r="K173" s="64">
        <v>4201</v>
      </c>
      <c r="L173" s="64">
        <v>0.21</v>
      </c>
      <c r="M173" s="64">
        <v>0.8</v>
      </c>
      <c r="P173" s="58"/>
    </row>
    <row r="174" spans="1:16">
      <c r="A174" s="45" t="s">
        <v>236</v>
      </c>
      <c r="B174" s="62">
        <v>1162</v>
      </c>
      <c r="C174" s="66">
        <v>-1162</v>
      </c>
      <c r="D174" s="62">
        <v>317</v>
      </c>
      <c r="E174" s="62" t="s">
        <v>566</v>
      </c>
      <c r="F174" s="62">
        <v>3666</v>
      </c>
      <c r="G174" s="62">
        <v>39</v>
      </c>
      <c r="H174" s="62">
        <v>61</v>
      </c>
      <c r="I174" s="62">
        <v>36</v>
      </c>
      <c r="J174" s="62">
        <v>0</v>
      </c>
      <c r="K174" s="62">
        <v>7180</v>
      </c>
      <c r="L174" s="62">
        <v>0.32</v>
      </c>
      <c r="M174" s="62">
        <v>4.0999999999999996</v>
      </c>
      <c r="P174" s="58"/>
    </row>
    <row r="175" spans="1:16">
      <c r="A175" s="68" t="s">
        <v>298</v>
      </c>
      <c r="B175" s="69">
        <v>1146</v>
      </c>
      <c r="C175" s="61">
        <v>-1057</v>
      </c>
      <c r="D175" s="69">
        <v>593</v>
      </c>
      <c r="E175" s="69" t="s">
        <v>566</v>
      </c>
      <c r="F175" s="69">
        <v>1933</v>
      </c>
      <c r="G175" s="69">
        <v>-5</v>
      </c>
      <c r="H175" s="69">
        <v>12</v>
      </c>
      <c r="I175" s="69">
        <v>-20</v>
      </c>
      <c r="J175" s="69">
        <v>0</v>
      </c>
      <c r="K175" s="69">
        <v>10204</v>
      </c>
      <c r="L175" s="69">
        <v>0.24</v>
      </c>
      <c r="M175" s="69" t="s">
        <v>567</v>
      </c>
      <c r="P175" s="58"/>
    </row>
    <row r="176" spans="1:16">
      <c r="A176" s="71" t="s">
        <v>86</v>
      </c>
      <c r="B176" s="72">
        <v>1083</v>
      </c>
      <c r="C176" s="66">
        <v>-862</v>
      </c>
      <c r="D176" s="72">
        <v>335</v>
      </c>
      <c r="E176" s="72" t="s">
        <v>566</v>
      </c>
      <c r="F176" s="72">
        <v>3233</v>
      </c>
      <c r="G176" s="72">
        <v>17</v>
      </c>
      <c r="H176" s="72">
        <v>6</v>
      </c>
      <c r="I176" s="72">
        <v>26</v>
      </c>
      <c r="J176" s="72">
        <v>0</v>
      </c>
      <c r="K176" s="72"/>
      <c r="L176" s="72">
        <v>0.45</v>
      </c>
      <c r="M176" s="72" t="s">
        <v>567</v>
      </c>
      <c r="P176" s="58"/>
    </row>
    <row r="177" spans="1:16">
      <c r="A177" s="44" t="s">
        <v>237</v>
      </c>
      <c r="B177" s="64">
        <v>1073</v>
      </c>
      <c r="C177" s="61">
        <v>-1073</v>
      </c>
      <c r="D177" s="64">
        <v>361</v>
      </c>
      <c r="E177" s="64" t="s">
        <v>566</v>
      </c>
      <c r="F177" s="64">
        <v>2972</v>
      </c>
      <c r="G177" s="64">
        <v>16</v>
      </c>
      <c r="H177" s="64">
        <v>13</v>
      </c>
      <c r="I177" s="64">
        <v>17</v>
      </c>
      <c r="J177" s="64">
        <v>0</v>
      </c>
      <c r="K177" s="64">
        <v>3474</v>
      </c>
      <c r="L177" s="64">
        <v>0.41</v>
      </c>
      <c r="M177" s="64">
        <v>5</v>
      </c>
      <c r="P177" s="58"/>
    </row>
    <row r="178" spans="1:16">
      <c r="A178" s="45" t="s">
        <v>532</v>
      </c>
      <c r="B178" s="62">
        <v>1027</v>
      </c>
      <c r="C178" s="66">
        <v>-1027</v>
      </c>
      <c r="D178" s="63">
        <v>109</v>
      </c>
      <c r="E178" s="63" t="s">
        <v>566</v>
      </c>
      <c r="F178" s="63">
        <v>9422</v>
      </c>
      <c r="G178" s="62">
        <v>51</v>
      </c>
      <c r="H178" s="62">
        <v>42</v>
      </c>
      <c r="I178" s="62">
        <v>157</v>
      </c>
      <c r="J178" s="62">
        <v>0</v>
      </c>
      <c r="K178" s="62">
        <v>2937</v>
      </c>
      <c r="L178" s="62">
        <v>0.72</v>
      </c>
      <c r="M178" s="62">
        <v>40</v>
      </c>
      <c r="P178" s="58"/>
    </row>
    <row r="179" spans="1:16">
      <c r="A179" s="68" t="s">
        <v>284</v>
      </c>
      <c r="B179" s="69">
        <v>992</v>
      </c>
      <c r="C179" s="61">
        <v>-992</v>
      </c>
      <c r="D179" s="69">
        <v>561</v>
      </c>
      <c r="E179" s="69" t="s">
        <v>566</v>
      </c>
      <c r="F179" s="69">
        <v>1768</v>
      </c>
      <c r="G179" s="69">
        <v>4</v>
      </c>
      <c r="H179" s="69">
        <v>15</v>
      </c>
      <c r="I179" s="69">
        <v>-26</v>
      </c>
      <c r="J179" s="69">
        <v>0</v>
      </c>
      <c r="K179" s="69">
        <v>4924</v>
      </c>
      <c r="L179" s="69">
        <v>0.32</v>
      </c>
      <c r="M179" s="69">
        <v>1.4</v>
      </c>
      <c r="P179" s="58"/>
    </row>
    <row r="180" spans="1:16">
      <c r="A180" s="45" t="s">
        <v>242</v>
      </c>
      <c r="B180" s="62">
        <v>992</v>
      </c>
      <c r="C180" s="66">
        <v>-989</v>
      </c>
      <c r="D180" s="62">
        <v>1279</v>
      </c>
      <c r="E180" s="62" t="s">
        <v>566</v>
      </c>
      <c r="F180" s="62">
        <v>776</v>
      </c>
      <c r="G180" s="62">
        <v>20</v>
      </c>
      <c r="H180" s="62">
        <v>27</v>
      </c>
      <c r="I180" s="62">
        <v>-53</v>
      </c>
      <c r="J180" s="62">
        <v>0</v>
      </c>
      <c r="K180" s="62">
        <v>8478</v>
      </c>
      <c r="L180" s="62">
        <v>0.5</v>
      </c>
      <c r="M180" s="62">
        <v>4.7</v>
      </c>
      <c r="P180" s="58"/>
    </row>
    <row r="181" spans="1:16">
      <c r="A181" s="44" t="s">
        <v>119</v>
      </c>
      <c r="B181" s="64">
        <v>947</v>
      </c>
      <c r="C181" s="61">
        <v>-941</v>
      </c>
      <c r="D181" s="64">
        <v>0</v>
      </c>
      <c r="E181" s="64" t="s">
        <v>565</v>
      </c>
      <c r="F181" s="64"/>
      <c r="G181" s="64">
        <v>20</v>
      </c>
      <c r="H181" s="64"/>
      <c r="I181" s="64">
        <v>13</v>
      </c>
      <c r="J181" s="64">
        <v>0</v>
      </c>
      <c r="K181" s="64">
        <v>5476</v>
      </c>
      <c r="L181" s="64">
        <v>0.51</v>
      </c>
      <c r="M181" s="64">
        <v>0</v>
      </c>
      <c r="P181" s="58"/>
    </row>
    <row r="182" spans="1:16">
      <c r="A182" s="45" t="s">
        <v>302</v>
      </c>
      <c r="B182" s="62">
        <v>938</v>
      </c>
      <c r="C182" s="66">
        <v>-938</v>
      </c>
      <c r="D182" s="62">
        <v>152</v>
      </c>
      <c r="E182" s="62" t="s">
        <v>566</v>
      </c>
      <c r="F182" s="62">
        <v>6171</v>
      </c>
      <c r="G182" s="62">
        <v>-18</v>
      </c>
      <c r="H182" s="62">
        <v>-36</v>
      </c>
      <c r="I182" s="62">
        <v>-74</v>
      </c>
      <c r="J182" s="62">
        <v>0</v>
      </c>
      <c r="K182" s="62">
        <v>12017</v>
      </c>
      <c r="L182" s="62">
        <v>0.35</v>
      </c>
      <c r="M182" s="62">
        <v>12</v>
      </c>
      <c r="P182" s="58"/>
    </row>
    <row r="183" spans="1:16">
      <c r="A183" s="44" t="s">
        <v>109</v>
      </c>
      <c r="B183" s="64">
        <v>798</v>
      </c>
      <c r="C183" s="61">
        <v>-798</v>
      </c>
      <c r="D183" s="64">
        <v>355</v>
      </c>
      <c r="E183" s="64" t="s">
        <v>566</v>
      </c>
      <c r="F183" s="64">
        <v>2248</v>
      </c>
      <c r="G183" s="64">
        <v>24</v>
      </c>
      <c r="H183" s="64">
        <v>22</v>
      </c>
      <c r="I183" s="64">
        <v>-38</v>
      </c>
      <c r="J183" s="64">
        <v>0</v>
      </c>
      <c r="K183" s="64">
        <v>2982</v>
      </c>
      <c r="L183" s="64">
        <v>0.57999999999999996</v>
      </c>
      <c r="M183" s="64">
        <v>5.5</v>
      </c>
      <c r="P183" s="58"/>
    </row>
    <row r="184" spans="1:16">
      <c r="A184" s="45" t="s">
        <v>274</v>
      </c>
      <c r="B184" s="62">
        <v>712</v>
      </c>
      <c r="C184" s="66">
        <v>-712</v>
      </c>
      <c r="D184" s="62">
        <v>250</v>
      </c>
      <c r="E184" s="62" t="s">
        <v>566</v>
      </c>
      <c r="F184" s="62">
        <v>2848</v>
      </c>
      <c r="G184" s="62">
        <v>25</v>
      </c>
      <c r="H184" s="62">
        <v>16</v>
      </c>
      <c r="I184" s="62">
        <v>-18</v>
      </c>
      <c r="J184" s="62">
        <v>0</v>
      </c>
      <c r="K184" s="62">
        <v>1935</v>
      </c>
      <c r="L184" s="62">
        <v>0.54</v>
      </c>
      <c r="M184" s="62">
        <v>4.4000000000000004</v>
      </c>
      <c r="P184" s="58"/>
    </row>
    <row r="185" spans="1:16">
      <c r="A185" s="44" t="s">
        <v>263</v>
      </c>
      <c r="B185" s="64">
        <v>679</v>
      </c>
      <c r="C185" s="61">
        <v>-679</v>
      </c>
      <c r="D185" s="64">
        <v>104</v>
      </c>
      <c r="E185" s="64" t="s">
        <v>566</v>
      </c>
      <c r="F185" s="64">
        <v>6529</v>
      </c>
      <c r="G185" s="64">
        <v>14</v>
      </c>
      <c r="H185" s="64">
        <v>14</v>
      </c>
      <c r="I185" s="64">
        <v>-10</v>
      </c>
      <c r="J185" s="64">
        <v>0</v>
      </c>
      <c r="K185" s="64">
        <v>4152</v>
      </c>
      <c r="L185" s="64">
        <v>0.37</v>
      </c>
      <c r="M185" s="64">
        <v>0</v>
      </c>
      <c r="P185" s="58"/>
    </row>
    <row r="186" spans="1:16">
      <c r="A186" s="45" t="s">
        <v>228</v>
      </c>
      <c r="B186" s="62">
        <v>669</v>
      </c>
      <c r="C186" s="66">
        <v>-663</v>
      </c>
      <c r="D186" s="62">
        <v>173</v>
      </c>
      <c r="E186" s="62" t="s">
        <v>566</v>
      </c>
      <c r="F186" s="62">
        <v>3867</v>
      </c>
      <c r="G186" s="62">
        <v>34</v>
      </c>
      <c r="H186" s="62">
        <v>30</v>
      </c>
      <c r="I186" s="62">
        <v>84</v>
      </c>
      <c r="J186" s="62">
        <v>0</v>
      </c>
      <c r="K186" s="62">
        <v>3055</v>
      </c>
      <c r="L186" s="62">
        <v>0.34</v>
      </c>
      <c r="M186" s="62">
        <v>0</v>
      </c>
      <c r="P186" s="58"/>
    </row>
    <row r="187" spans="1:16">
      <c r="A187" s="68" t="s">
        <v>276</v>
      </c>
      <c r="B187" s="69">
        <v>636</v>
      </c>
      <c r="C187" s="61">
        <v>-636</v>
      </c>
      <c r="D187" s="69">
        <v>177</v>
      </c>
      <c r="E187" s="69" t="s">
        <v>566</v>
      </c>
      <c r="F187" s="69">
        <v>3593</v>
      </c>
      <c r="G187" s="69">
        <v>17</v>
      </c>
      <c r="H187" s="69"/>
      <c r="I187" s="69">
        <v>22</v>
      </c>
      <c r="J187" s="69">
        <v>0</v>
      </c>
      <c r="K187" s="69">
        <v>7295</v>
      </c>
      <c r="L187" s="69">
        <v>0.34</v>
      </c>
      <c r="M187" s="69">
        <v>9.8000000000000007</v>
      </c>
      <c r="P187" s="58"/>
    </row>
    <row r="188" spans="1:16">
      <c r="A188" s="45" t="s">
        <v>534</v>
      </c>
      <c r="B188" s="62">
        <v>603</v>
      </c>
      <c r="C188" s="66">
        <v>-603</v>
      </c>
      <c r="D188" s="62">
        <v>343</v>
      </c>
      <c r="E188" s="62" t="s">
        <v>566</v>
      </c>
      <c r="F188" s="62">
        <v>1758</v>
      </c>
      <c r="G188" s="62">
        <v>93</v>
      </c>
      <c r="H188" s="62">
        <v>126</v>
      </c>
      <c r="I188" s="62">
        <v>42</v>
      </c>
      <c r="J188" s="62">
        <v>0</v>
      </c>
      <c r="K188" s="62">
        <v>7944</v>
      </c>
      <c r="L188" s="62">
        <v>0.39</v>
      </c>
      <c r="M188" s="62">
        <v>0</v>
      </c>
      <c r="P188" s="58"/>
    </row>
    <row r="189" spans="1:16">
      <c r="A189" s="68" t="s">
        <v>278</v>
      </c>
      <c r="B189" s="69">
        <v>536</v>
      </c>
      <c r="C189" s="61">
        <v>-536</v>
      </c>
      <c r="D189" s="69">
        <v>308</v>
      </c>
      <c r="E189" s="69" t="s">
        <v>566</v>
      </c>
      <c r="F189" s="69">
        <v>1740</v>
      </c>
      <c r="G189" s="69">
        <v>28</v>
      </c>
      <c r="H189" s="69"/>
      <c r="I189" s="69">
        <v>-71</v>
      </c>
      <c r="J189" s="69">
        <v>0</v>
      </c>
      <c r="K189" s="69">
        <v>11827</v>
      </c>
      <c r="L189" s="69">
        <v>0.83</v>
      </c>
      <c r="M189" s="69">
        <v>4.7</v>
      </c>
      <c r="P189" s="58"/>
    </row>
    <row r="190" spans="1:16">
      <c r="A190" s="45" t="s">
        <v>239</v>
      </c>
      <c r="B190" s="62">
        <v>522</v>
      </c>
      <c r="C190" s="66">
        <v>-522</v>
      </c>
      <c r="D190" s="62">
        <v>559</v>
      </c>
      <c r="E190" s="62" t="s">
        <v>566</v>
      </c>
      <c r="F190" s="62">
        <v>934</v>
      </c>
      <c r="G190" s="62">
        <v>78</v>
      </c>
      <c r="H190" s="62">
        <v>149</v>
      </c>
      <c r="I190" s="62">
        <v>-30</v>
      </c>
      <c r="J190" s="62">
        <v>0</v>
      </c>
      <c r="K190" s="62">
        <v>10324</v>
      </c>
      <c r="L190" s="62">
        <v>0.42</v>
      </c>
      <c r="M190" s="62">
        <v>9.8000000000000007</v>
      </c>
      <c r="P190" s="58"/>
    </row>
    <row r="191" spans="1:16">
      <c r="A191" s="68" t="s">
        <v>289</v>
      </c>
      <c r="B191" s="69">
        <v>487</v>
      </c>
      <c r="C191" s="61">
        <v>-481</v>
      </c>
      <c r="D191" s="69">
        <v>135</v>
      </c>
      <c r="E191" s="69" t="s">
        <v>566</v>
      </c>
      <c r="F191" s="69">
        <v>3607</v>
      </c>
      <c r="G191" s="69">
        <v>7</v>
      </c>
      <c r="H191" s="69">
        <v>1</v>
      </c>
      <c r="I191" s="69">
        <v>-11</v>
      </c>
      <c r="J191" s="69">
        <v>0</v>
      </c>
      <c r="K191" s="69">
        <v>3026</v>
      </c>
      <c r="L191" s="69">
        <v>0.89</v>
      </c>
      <c r="M191" s="69">
        <v>22</v>
      </c>
      <c r="P191" s="58"/>
    </row>
    <row r="192" spans="1:16">
      <c r="A192" s="45" t="s">
        <v>98</v>
      </c>
      <c r="B192" s="62">
        <v>471</v>
      </c>
      <c r="C192" s="66">
        <v>-445</v>
      </c>
      <c r="D192" s="67">
        <v>0</v>
      </c>
      <c r="E192" s="67" t="s">
        <v>565</v>
      </c>
      <c r="F192" s="67"/>
      <c r="G192" s="62">
        <v>-9</v>
      </c>
      <c r="H192" s="62"/>
      <c r="I192" s="62">
        <v>-45</v>
      </c>
      <c r="J192" s="62">
        <v>0</v>
      </c>
      <c r="K192" s="62">
        <v>4455</v>
      </c>
      <c r="L192" s="62">
        <v>0.24</v>
      </c>
      <c r="M192" s="62">
        <v>0</v>
      </c>
      <c r="P192" s="58"/>
    </row>
    <row r="193" spans="1:16">
      <c r="A193" s="44" t="s">
        <v>287</v>
      </c>
      <c r="B193" s="64">
        <v>386</v>
      </c>
      <c r="C193" s="61">
        <v>-386</v>
      </c>
      <c r="D193" s="64">
        <v>103</v>
      </c>
      <c r="E193" s="64" t="s">
        <v>566</v>
      </c>
      <c r="F193" s="64">
        <v>3748</v>
      </c>
      <c r="G193" s="64">
        <v>15</v>
      </c>
      <c r="H193" s="64">
        <v>24</v>
      </c>
      <c r="I193" s="64">
        <v>-3</v>
      </c>
      <c r="J193" s="64">
        <v>0</v>
      </c>
      <c r="K193" s="64">
        <v>4049</v>
      </c>
      <c r="L193" s="64">
        <v>0.66</v>
      </c>
      <c r="M193" s="64">
        <v>12</v>
      </c>
      <c r="P193" s="58"/>
    </row>
    <row r="194" spans="1:16">
      <c r="A194" s="71" t="s">
        <v>535</v>
      </c>
      <c r="B194" s="72">
        <v>370</v>
      </c>
      <c r="C194" s="66">
        <v>-370</v>
      </c>
      <c r="D194" s="72">
        <v>49</v>
      </c>
      <c r="E194" s="72" t="s">
        <v>566</v>
      </c>
      <c r="F194" s="72">
        <v>7551</v>
      </c>
      <c r="G194" s="72">
        <v>19</v>
      </c>
      <c r="H194" s="72">
        <v>5</v>
      </c>
      <c r="I194" s="72">
        <v>23</v>
      </c>
      <c r="J194" s="72">
        <v>0</v>
      </c>
      <c r="K194" s="72">
        <v>3661</v>
      </c>
      <c r="L194" s="72">
        <v>0.99</v>
      </c>
      <c r="M194" s="72">
        <v>0</v>
      </c>
      <c r="P194" s="58"/>
    </row>
    <row r="195" spans="1:16">
      <c r="A195" s="68" t="s">
        <v>575</v>
      </c>
      <c r="B195" s="69">
        <v>211</v>
      </c>
      <c r="C195" s="61">
        <v>-211</v>
      </c>
      <c r="D195" s="69">
        <v>14</v>
      </c>
      <c r="E195" s="69" t="s">
        <v>566</v>
      </c>
      <c r="F195" s="69">
        <v>15071</v>
      </c>
      <c r="G195" s="69">
        <v>26</v>
      </c>
      <c r="H195" s="69">
        <v>15</v>
      </c>
      <c r="I195" s="69">
        <v>-17</v>
      </c>
      <c r="J195" s="69">
        <v>0</v>
      </c>
      <c r="K195" s="69">
        <v>5451</v>
      </c>
      <c r="L195" s="69">
        <v>0.99</v>
      </c>
      <c r="M195" s="69">
        <v>4</v>
      </c>
      <c r="P195" s="58"/>
    </row>
    <row r="196" spans="1:16">
      <c r="A196" s="45" t="s">
        <v>218</v>
      </c>
      <c r="B196" s="62">
        <v>181</v>
      </c>
      <c r="C196" s="66">
        <v>-179</v>
      </c>
      <c r="D196" s="62">
        <v>14</v>
      </c>
      <c r="E196" s="62" t="s">
        <v>566</v>
      </c>
      <c r="F196" s="62">
        <v>12929</v>
      </c>
      <c r="G196" s="62">
        <v>34</v>
      </c>
      <c r="H196" s="62">
        <v>21</v>
      </c>
      <c r="I196" s="62">
        <v>75</v>
      </c>
      <c r="J196" s="62">
        <v>0</v>
      </c>
      <c r="K196" s="62">
        <v>4221</v>
      </c>
      <c r="L196" s="62">
        <v>0.47</v>
      </c>
      <c r="M196" s="62">
        <v>4.7</v>
      </c>
      <c r="P196" s="58"/>
    </row>
    <row r="197" spans="1:16">
      <c r="A197" s="44" t="s">
        <v>222</v>
      </c>
      <c r="B197" s="64">
        <v>172</v>
      </c>
      <c r="C197" s="61">
        <v>-172</v>
      </c>
      <c r="D197" s="64">
        <v>47</v>
      </c>
      <c r="E197" s="64" t="s">
        <v>566</v>
      </c>
      <c r="F197" s="64">
        <v>3660</v>
      </c>
      <c r="G197" s="64">
        <v>77</v>
      </c>
      <c r="H197" s="64">
        <v>63</v>
      </c>
      <c r="I197" s="64">
        <v>-44</v>
      </c>
      <c r="J197" s="64">
        <v>0</v>
      </c>
      <c r="K197" s="64">
        <v>4282</v>
      </c>
      <c r="L197" s="64">
        <v>0.6</v>
      </c>
      <c r="M197" s="64">
        <v>5.5</v>
      </c>
      <c r="P197" s="58"/>
    </row>
    <row r="198" spans="1:16">
      <c r="A198" s="71" t="s">
        <v>301</v>
      </c>
      <c r="B198" s="72">
        <v>170</v>
      </c>
      <c r="C198" s="66">
        <v>-170</v>
      </c>
      <c r="D198" s="72">
        <v>18</v>
      </c>
      <c r="E198" s="72" t="s">
        <v>566</v>
      </c>
      <c r="F198" s="72">
        <v>9444</v>
      </c>
      <c r="G198" s="72">
        <v>28</v>
      </c>
      <c r="H198" s="72">
        <v>5</v>
      </c>
      <c r="I198" s="72">
        <v>154</v>
      </c>
      <c r="J198" s="72">
        <v>0</v>
      </c>
      <c r="K198" s="72">
        <v>3389</v>
      </c>
      <c r="L198" s="72">
        <v>0.99</v>
      </c>
      <c r="M198" s="72" t="s">
        <v>567</v>
      </c>
      <c r="P198" s="58"/>
    </row>
    <row r="199" spans="1:16">
      <c r="A199" s="68" t="s">
        <v>533</v>
      </c>
      <c r="B199" s="69">
        <v>168</v>
      </c>
      <c r="C199" s="61">
        <v>-139</v>
      </c>
      <c r="D199" s="69">
        <v>56</v>
      </c>
      <c r="E199" s="69" t="s">
        <v>566</v>
      </c>
      <c r="F199" s="69">
        <v>3000</v>
      </c>
      <c r="G199" s="69">
        <v>5</v>
      </c>
      <c r="H199" s="69">
        <v>10</v>
      </c>
      <c r="I199" s="69">
        <v>-44</v>
      </c>
      <c r="J199" s="69">
        <v>0</v>
      </c>
      <c r="K199" s="69">
        <v>3071</v>
      </c>
      <c r="L199" s="69">
        <v>0.6</v>
      </c>
      <c r="M199" s="69">
        <v>0</v>
      </c>
      <c r="P199" s="58"/>
    </row>
    <row r="200" spans="1:16">
      <c r="A200" s="71" t="s">
        <v>206</v>
      </c>
      <c r="B200" s="72">
        <v>151</v>
      </c>
      <c r="C200" s="66">
        <v>-151</v>
      </c>
      <c r="D200" s="72">
        <v>231</v>
      </c>
      <c r="E200" s="72" t="s">
        <v>566</v>
      </c>
      <c r="F200" s="72">
        <v>654</v>
      </c>
      <c r="G200" s="72">
        <v>7</v>
      </c>
      <c r="H200" s="72">
        <v>61</v>
      </c>
      <c r="I200" s="72">
        <v>-76</v>
      </c>
      <c r="J200" s="72">
        <v>0</v>
      </c>
      <c r="K200" s="72"/>
      <c r="L200" s="72">
        <v>0.57999999999999996</v>
      </c>
      <c r="M200" s="72" t="s">
        <v>567</v>
      </c>
      <c r="P200" s="58"/>
    </row>
    <row r="201" spans="1:16">
      <c r="A201" s="44" t="s">
        <v>104</v>
      </c>
      <c r="B201" s="64">
        <v>143</v>
      </c>
      <c r="C201" s="61">
        <v>-143</v>
      </c>
      <c r="D201" s="64">
        <v>22</v>
      </c>
      <c r="E201" s="64" t="s">
        <v>566</v>
      </c>
      <c r="F201" s="64">
        <v>6500</v>
      </c>
      <c r="G201" s="64">
        <v>15</v>
      </c>
      <c r="H201" s="64">
        <v>17</v>
      </c>
      <c r="I201" s="64">
        <v>38</v>
      </c>
      <c r="J201" s="64">
        <v>0</v>
      </c>
      <c r="K201" s="64">
        <v>356</v>
      </c>
      <c r="L201" s="64">
        <v>0.97</v>
      </c>
      <c r="M201" s="64" t="s">
        <v>567</v>
      </c>
      <c r="P201" s="58"/>
    </row>
    <row r="202" spans="1:16">
      <c r="A202" s="71" t="s">
        <v>78</v>
      </c>
      <c r="B202" s="72">
        <v>137</v>
      </c>
      <c r="C202" s="66">
        <v>-137</v>
      </c>
      <c r="D202" s="72">
        <v>16</v>
      </c>
      <c r="E202" s="72" t="s">
        <v>566</v>
      </c>
      <c r="F202" s="72">
        <v>8563</v>
      </c>
      <c r="G202" s="72">
        <v>-18</v>
      </c>
      <c r="H202" s="72">
        <v>23</v>
      </c>
      <c r="I202" s="72">
        <v>-19</v>
      </c>
      <c r="J202" s="72">
        <v>0</v>
      </c>
      <c r="K202" s="72">
        <v>3716</v>
      </c>
      <c r="L202" s="72">
        <v>0.77</v>
      </c>
      <c r="M202" s="72" t="s">
        <v>567</v>
      </c>
      <c r="P202" s="58"/>
    </row>
    <row r="203" spans="1:16">
      <c r="A203" s="68" t="s">
        <v>292</v>
      </c>
      <c r="B203" s="69">
        <v>123</v>
      </c>
      <c r="C203" s="61">
        <v>-123</v>
      </c>
      <c r="D203" s="69">
        <v>0</v>
      </c>
      <c r="E203" s="69" t="s">
        <v>565</v>
      </c>
      <c r="F203" s="69"/>
      <c r="G203" s="69">
        <v>-22</v>
      </c>
      <c r="H203" s="69">
        <v>-24</v>
      </c>
      <c r="I203" s="69">
        <v>-33</v>
      </c>
      <c r="J203" s="69">
        <v>0</v>
      </c>
      <c r="K203" s="69">
        <v>1397</v>
      </c>
      <c r="L203" s="69">
        <v>0.4</v>
      </c>
      <c r="M203" s="69" t="s">
        <v>567</v>
      </c>
      <c r="P203" s="58"/>
    </row>
    <row r="204" spans="1:16">
      <c r="A204" s="71" t="s">
        <v>116</v>
      </c>
      <c r="B204" s="72">
        <v>120</v>
      </c>
      <c r="C204" s="66">
        <v>-120</v>
      </c>
      <c r="D204" s="72">
        <v>26</v>
      </c>
      <c r="E204" s="72" t="s">
        <v>566</v>
      </c>
      <c r="F204" s="72">
        <v>4615</v>
      </c>
      <c r="G204" s="72">
        <v>-1</v>
      </c>
      <c r="H204" s="72">
        <v>-15</v>
      </c>
      <c r="I204" s="72">
        <v>5</v>
      </c>
      <c r="J204" s="72">
        <v>0</v>
      </c>
      <c r="K204" s="72">
        <v>3953</v>
      </c>
      <c r="L204" s="72">
        <v>0.32</v>
      </c>
      <c r="M204" s="72">
        <v>0</v>
      </c>
      <c r="P204" s="58"/>
    </row>
    <row r="205" spans="1:16">
      <c r="A205" s="44" t="s">
        <v>295</v>
      </c>
      <c r="B205" s="64">
        <v>117</v>
      </c>
      <c r="C205" s="61">
        <v>-116</v>
      </c>
      <c r="D205" s="64">
        <v>16</v>
      </c>
      <c r="E205" s="64" t="s">
        <v>566</v>
      </c>
      <c r="F205" s="64">
        <v>7313</v>
      </c>
      <c r="G205" s="64">
        <v>-9</v>
      </c>
      <c r="H205" s="64">
        <v>-15</v>
      </c>
      <c r="I205" s="64">
        <v>-11</v>
      </c>
      <c r="J205" s="64">
        <v>0</v>
      </c>
      <c r="K205" s="64">
        <v>2067</v>
      </c>
      <c r="L205" s="64">
        <v>1</v>
      </c>
      <c r="M205" s="64">
        <v>25</v>
      </c>
      <c r="P205" s="58"/>
    </row>
    <row r="206" spans="1:16">
      <c r="A206" s="45" t="s">
        <v>269</v>
      </c>
      <c r="B206" s="62">
        <v>110</v>
      </c>
      <c r="C206" s="66">
        <v>-110</v>
      </c>
      <c r="D206" s="62">
        <v>124</v>
      </c>
      <c r="E206" s="62" t="s">
        <v>566</v>
      </c>
      <c r="F206" s="62">
        <v>887</v>
      </c>
      <c r="G206" s="62">
        <v>112</v>
      </c>
      <c r="H206" s="62">
        <v>181</v>
      </c>
      <c r="I206" s="62">
        <v>128</v>
      </c>
      <c r="J206" s="62">
        <v>0</v>
      </c>
      <c r="K206" s="62">
        <v>3586</v>
      </c>
      <c r="L206" s="62">
        <v>0.35</v>
      </c>
      <c r="M206" s="62">
        <v>2.5</v>
      </c>
      <c r="P206" s="58"/>
    </row>
    <row r="207" spans="1:16">
      <c r="A207" s="68" t="s">
        <v>262</v>
      </c>
      <c r="B207" s="69">
        <v>99</v>
      </c>
      <c r="C207" s="61">
        <v>-99</v>
      </c>
      <c r="D207" s="69">
        <v>33</v>
      </c>
      <c r="E207" s="69" t="s">
        <v>566</v>
      </c>
      <c r="F207" s="69">
        <v>3000</v>
      </c>
      <c r="G207" s="69">
        <v>-6</v>
      </c>
      <c r="H207" s="69"/>
      <c r="I207" s="69">
        <v>-62</v>
      </c>
      <c r="J207" s="69">
        <v>0</v>
      </c>
      <c r="K207" s="69">
        <v>4429</v>
      </c>
      <c r="L207" s="69">
        <v>0.48</v>
      </c>
      <c r="M207" s="69">
        <v>9.8000000000000007</v>
      </c>
      <c r="P207" s="58"/>
    </row>
    <row r="208" spans="1:16">
      <c r="A208" s="45" t="s">
        <v>233</v>
      </c>
      <c r="B208" s="62">
        <v>92</v>
      </c>
      <c r="C208" s="66">
        <v>-92</v>
      </c>
      <c r="D208" s="62">
        <v>35</v>
      </c>
      <c r="E208" s="62" t="s">
        <v>566</v>
      </c>
      <c r="F208" s="62">
        <v>2629</v>
      </c>
      <c r="G208" s="62">
        <v>20</v>
      </c>
      <c r="H208" s="62">
        <v>31</v>
      </c>
      <c r="I208" s="62">
        <v>229</v>
      </c>
      <c r="J208" s="62">
        <v>0</v>
      </c>
      <c r="K208" s="62">
        <v>5342</v>
      </c>
      <c r="L208" s="62">
        <v>0.38</v>
      </c>
      <c r="M208" s="62">
        <v>10</v>
      </c>
      <c r="P208" s="58"/>
    </row>
    <row r="209" spans="1:16">
      <c r="A209" s="68" t="s">
        <v>252</v>
      </c>
      <c r="B209" s="69">
        <v>88</v>
      </c>
      <c r="C209" s="69">
        <v>7</v>
      </c>
      <c r="D209" s="69">
        <v>9</v>
      </c>
      <c r="E209" s="69" t="s">
        <v>566</v>
      </c>
      <c r="F209" s="69">
        <v>9778</v>
      </c>
      <c r="G209" s="69">
        <v>28</v>
      </c>
      <c r="H209" s="69"/>
      <c r="I209" s="69">
        <v>105</v>
      </c>
      <c r="J209" s="69">
        <v>0</v>
      </c>
      <c r="K209" s="69">
        <v>11326</v>
      </c>
      <c r="L209" s="69">
        <v>0.44</v>
      </c>
      <c r="M209" s="69" t="s">
        <v>567</v>
      </c>
      <c r="P209" s="58"/>
    </row>
    <row r="210" spans="1:16">
      <c r="A210" s="71" t="s">
        <v>220</v>
      </c>
      <c r="B210" s="72">
        <v>84</v>
      </c>
      <c r="C210" s="72">
        <v>3833</v>
      </c>
      <c r="D210" s="72">
        <v>14</v>
      </c>
      <c r="E210" s="72" t="s">
        <v>566</v>
      </c>
      <c r="F210" s="72">
        <v>6000</v>
      </c>
      <c r="G210" s="72">
        <v>22</v>
      </c>
      <c r="H210" s="72">
        <v>-4</v>
      </c>
      <c r="I210" s="72">
        <v>34</v>
      </c>
      <c r="J210" s="72">
        <v>0</v>
      </c>
      <c r="K210" s="72">
        <v>3414</v>
      </c>
      <c r="L210" s="72">
        <v>0.87</v>
      </c>
      <c r="M210" s="72" t="s">
        <v>567</v>
      </c>
      <c r="P210" s="58"/>
    </row>
    <row r="211" spans="1:16">
      <c r="A211" s="68" t="s">
        <v>576</v>
      </c>
      <c r="B211" s="69">
        <v>84</v>
      </c>
      <c r="C211" s="61">
        <v>-77</v>
      </c>
      <c r="D211" s="69">
        <v>38</v>
      </c>
      <c r="E211" s="69" t="s">
        <v>566</v>
      </c>
      <c r="F211" s="69">
        <v>2211</v>
      </c>
      <c r="G211" s="69">
        <v>9</v>
      </c>
      <c r="H211" s="69">
        <v>44</v>
      </c>
      <c r="I211" s="69">
        <v>53</v>
      </c>
      <c r="J211" s="69">
        <v>0</v>
      </c>
      <c r="K211" s="69">
        <v>596</v>
      </c>
      <c r="L211" s="69">
        <v>0.87</v>
      </c>
      <c r="M211" s="69">
        <v>12</v>
      </c>
      <c r="P211" s="58"/>
    </row>
    <row r="212" spans="1:16">
      <c r="A212" s="45" t="s">
        <v>293</v>
      </c>
      <c r="B212" s="62">
        <v>37</v>
      </c>
      <c r="C212" s="66">
        <v>-37</v>
      </c>
      <c r="D212" s="62">
        <v>0</v>
      </c>
      <c r="E212" s="62" t="s">
        <v>565</v>
      </c>
      <c r="F212" s="62"/>
      <c r="G212" s="62">
        <v>21</v>
      </c>
      <c r="H212" s="62"/>
      <c r="I212" s="62">
        <v>1176</v>
      </c>
      <c r="J212" s="62">
        <v>0</v>
      </c>
      <c r="K212" s="62">
        <v>2264</v>
      </c>
      <c r="L212" s="62">
        <v>1</v>
      </c>
      <c r="M212" s="62">
        <v>15</v>
      </c>
      <c r="P212" s="58"/>
    </row>
    <row r="213" spans="1:16">
      <c r="A213" s="44" t="s">
        <v>531</v>
      </c>
      <c r="B213" s="64">
        <v>35</v>
      </c>
      <c r="C213" s="61">
        <v>-35</v>
      </c>
      <c r="D213" s="64">
        <v>87</v>
      </c>
      <c r="E213" s="64" t="s">
        <v>566</v>
      </c>
      <c r="F213" s="64">
        <v>402</v>
      </c>
      <c r="G213" s="64">
        <v>24</v>
      </c>
      <c r="H213" s="64">
        <v>-3</v>
      </c>
      <c r="I213" s="64">
        <v>-87</v>
      </c>
      <c r="J213" s="64">
        <v>0</v>
      </c>
      <c r="K213" s="64">
        <v>12410</v>
      </c>
      <c r="L213" s="64">
        <v>0.85</v>
      </c>
      <c r="M213" s="64">
        <v>4.7</v>
      </c>
      <c r="P213" s="58"/>
    </row>
    <row r="214" spans="1:16">
      <c r="A214" s="45" t="s">
        <v>97</v>
      </c>
      <c r="B214" s="62">
        <v>30</v>
      </c>
      <c r="C214" s="66">
        <v>-30</v>
      </c>
      <c r="D214" s="62">
        <v>22</v>
      </c>
      <c r="E214" s="62" t="s">
        <v>566</v>
      </c>
      <c r="F214" s="62">
        <v>1364</v>
      </c>
      <c r="G214" s="62">
        <v>-32</v>
      </c>
      <c r="H214" s="62">
        <v>-27</v>
      </c>
      <c r="I214" s="62">
        <v>-47</v>
      </c>
      <c r="J214" s="62">
        <v>0</v>
      </c>
      <c r="K214" s="62">
        <v>4413</v>
      </c>
      <c r="L214" s="62">
        <v>0.66</v>
      </c>
      <c r="M214" s="62">
        <v>8</v>
      </c>
      <c r="P214" s="58"/>
    </row>
    <row r="215" spans="1:16">
      <c r="A215" s="68" t="s">
        <v>577</v>
      </c>
      <c r="B215" s="69">
        <v>29</v>
      </c>
      <c r="C215" s="61">
        <v>-29</v>
      </c>
      <c r="D215" s="69">
        <v>12</v>
      </c>
      <c r="E215" s="69" t="s">
        <v>566</v>
      </c>
      <c r="F215" s="69">
        <v>2417</v>
      </c>
      <c r="G215" s="69">
        <v>50</v>
      </c>
      <c r="H215" s="69">
        <v>37</v>
      </c>
      <c r="I215" s="69">
        <v>3</v>
      </c>
      <c r="J215" s="69">
        <v>0</v>
      </c>
      <c r="K215" s="69"/>
      <c r="L215" s="69">
        <v>0.71</v>
      </c>
      <c r="M215" s="69" t="s">
        <v>567</v>
      </c>
      <c r="P215" s="58"/>
    </row>
    <row r="216" spans="1:16">
      <c r="A216" s="71" t="s">
        <v>578</v>
      </c>
      <c r="B216" s="72">
        <v>26</v>
      </c>
      <c r="C216" s="66">
        <v>-26</v>
      </c>
      <c r="D216" s="72">
        <v>3</v>
      </c>
      <c r="E216" s="72" t="s">
        <v>566</v>
      </c>
      <c r="F216" s="72">
        <v>8667</v>
      </c>
      <c r="G216" s="72">
        <v>17</v>
      </c>
      <c r="H216" s="72"/>
      <c r="I216" s="72">
        <v>86</v>
      </c>
      <c r="J216" s="72">
        <v>0</v>
      </c>
      <c r="K216" s="72">
        <v>4394</v>
      </c>
      <c r="L216" s="72">
        <v>1</v>
      </c>
      <c r="M216" s="72">
        <v>4.0999999999999996</v>
      </c>
      <c r="P216" s="58"/>
    </row>
    <row r="217" spans="1:16">
      <c r="A217" s="68" t="s">
        <v>267</v>
      </c>
      <c r="B217" s="69">
        <v>25</v>
      </c>
      <c r="C217" s="61">
        <v>-25</v>
      </c>
      <c r="D217" s="69">
        <v>2</v>
      </c>
      <c r="E217" s="69" t="s">
        <v>566</v>
      </c>
      <c r="F217" s="69">
        <v>12500</v>
      </c>
      <c r="G217" s="69">
        <v>-24</v>
      </c>
      <c r="H217" s="69"/>
      <c r="I217" s="69">
        <v>354</v>
      </c>
      <c r="J217" s="69">
        <v>0</v>
      </c>
      <c r="K217" s="69">
        <v>12802</v>
      </c>
      <c r="L217" s="69">
        <v>1</v>
      </c>
      <c r="M217" s="69">
        <v>0</v>
      </c>
      <c r="P217" s="58"/>
    </row>
    <row r="218" spans="1:16">
      <c r="A218" s="71" t="s">
        <v>111</v>
      </c>
      <c r="B218" s="72">
        <v>19</v>
      </c>
      <c r="C218" s="72">
        <v>545</v>
      </c>
      <c r="D218" s="72">
        <v>3</v>
      </c>
      <c r="E218" s="72" t="s">
        <v>566</v>
      </c>
      <c r="F218" s="72">
        <v>6333</v>
      </c>
      <c r="G218" s="72">
        <v>-8</v>
      </c>
      <c r="H218" s="72"/>
      <c r="I218" s="72">
        <v>-71</v>
      </c>
      <c r="J218" s="72">
        <v>0</v>
      </c>
      <c r="K218" s="72"/>
      <c r="L218" s="72">
        <v>0.48</v>
      </c>
      <c r="M218" s="72" t="s">
        <v>567</v>
      </c>
      <c r="P218" s="58"/>
    </row>
    <row r="219" spans="1:16">
      <c r="A219" s="68" t="s">
        <v>579</v>
      </c>
      <c r="B219" s="69">
        <v>17</v>
      </c>
      <c r="C219" s="61">
        <v>-16</v>
      </c>
      <c r="D219" s="69">
        <v>1</v>
      </c>
      <c r="E219" s="69" t="s">
        <v>566</v>
      </c>
      <c r="F219" s="69">
        <v>17000</v>
      </c>
      <c r="G219" s="69">
        <v>10</v>
      </c>
      <c r="H219" s="69"/>
      <c r="I219" s="69">
        <v>415</v>
      </c>
      <c r="J219" s="69">
        <v>0</v>
      </c>
      <c r="K219" s="69">
        <v>12746</v>
      </c>
      <c r="L219" s="69">
        <v>1</v>
      </c>
      <c r="M219" s="69" t="s">
        <v>567</v>
      </c>
      <c r="P219" s="58"/>
    </row>
    <row r="220" spans="1:16">
      <c r="A220" s="71" t="s">
        <v>580</v>
      </c>
      <c r="B220" s="72">
        <v>16</v>
      </c>
      <c r="C220" s="66">
        <v>-16</v>
      </c>
      <c r="D220" s="72">
        <v>0</v>
      </c>
      <c r="E220" s="72" t="s">
        <v>565</v>
      </c>
      <c r="F220" s="72"/>
      <c r="G220" s="72">
        <v>-15</v>
      </c>
      <c r="H220" s="72">
        <v>-14</v>
      </c>
      <c r="I220" s="72">
        <v>87</v>
      </c>
      <c r="J220" s="72">
        <v>0</v>
      </c>
      <c r="K220" s="72">
        <v>3958</v>
      </c>
      <c r="L220" s="72">
        <v>0.68</v>
      </c>
      <c r="M220" s="72">
        <v>0</v>
      </c>
      <c r="P220" s="58"/>
    </row>
    <row r="221" spans="1:16">
      <c r="A221" s="68" t="s">
        <v>581</v>
      </c>
      <c r="B221" s="69">
        <v>13</v>
      </c>
      <c r="C221" s="61">
        <v>-13</v>
      </c>
      <c r="D221" s="69">
        <v>1</v>
      </c>
      <c r="E221" s="69" t="s">
        <v>566</v>
      </c>
      <c r="F221" s="69">
        <v>13000</v>
      </c>
      <c r="G221" s="69"/>
      <c r="H221" s="69"/>
      <c r="I221" s="69">
        <v>101</v>
      </c>
      <c r="J221" s="69">
        <v>0</v>
      </c>
      <c r="K221" s="69">
        <v>3727</v>
      </c>
      <c r="L221" s="69">
        <v>0.85</v>
      </c>
      <c r="M221" s="69">
        <v>10</v>
      </c>
      <c r="P221" s="58"/>
    </row>
    <row r="222" spans="1:16">
      <c r="A222" s="71" t="s">
        <v>290</v>
      </c>
      <c r="B222" s="72">
        <v>9</v>
      </c>
      <c r="C222" s="66">
        <v>-9</v>
      </c>
      <c r="D222" s="72">
        <v>0</v>
      </c>
      <c r="E222" s="72" t="s">
        <v>566</v>
      </c>
      <c r="F222" s="72"/>
      <c r="G222" s="72">
        <v>69</v>
      </c>
      <c r="H222" s="72"/>
      <c r="I222" s="72">
        <v>294</v>
      </c>
      <c r="J222" s="72">
        <v>0</v>
      </c>
      <c r="K222" s="72"/>
      <c r="L222" s="72">
        <v>0.65</v>
      </c>
      <c r="M222" s="72" t="s">
        <v>567</v>
      </c>
      <c r="P222" s="58"/>
    </row>
    <row r="223" spans="1:16">
      <c r="A223" s="68" t="s">
        <v>224</v>
      </c>
      <c r="B223" s="69">
        <v>7</v>
      </c>
      <c r="C223" s="61">
        <v>-7</v>
      </c>
      <c r="D223" s="69">
        <v>0</v>
      </c>
      <c r="E223" s="69" t="s">
        <v>566</v>
      </c>
      <c r="F223" s="69"/>
      <c r="G223" s="69">
        <v>167</v>
      </c>
      <c r="H223" s="69"/>
      <c r="I223" s="69">
        <v>-28</v>
      </c>
      <c r="J223" s="69">
        <v>0</v>
      </c>
      <c r="K223" s="69">
        <v>4344</v>
      </c>
      <c r="L223" s="69">
        <v>1</v>
      </c>
      <c r="M223" s="69">
        <v>0</v>
      </c>
      <c r="P223" s="58"/>
    </row>
    <row r="224" spans="1:16">
      <c r="A224" s="45" t="s">
        <v>582</v>
      </c>
      <c r="B224" s="62">
        <v>6</v>
      </c>
      <c r="C224" s="66">
        <v>-6</v>
      </c>
      <c r="D224" s="62">
        <v>1</v>
      </c>
      <c r="E224" s="62" t="s">
        <v>566</v>
      </c>
      <c r="F224" s="62">
        <v>6000</v>
      </c>
      <c r="G224" s="62">
        <v>-19</v>
      </c>
      <c r="H224" s="62">
        <v>-16</v>
      </c>
      <c r="I224" s="62">
        <v>0</v>
      </c>
      <c r="J224" s="62">
        <v>0</v>
      </c>
      <c r="K224" s="62"/>
      <c r="L224" s="62">
        <v>0.72</v>
      </c>
      <c r="M224" s="62">
        <v>0</v>
      </c>
      <c r="P224" s="58"/>
    </row>
    <row r="225" spans="1:16">
      <c r="A225" s="68" t="s">
        <v>300</v>
      </c>
      <c r="B225" s="69">
        <v>5</v>
      </c>
      <c r="C225" s="61">
        <v>-5</v>
      </c>
      <c r="D225" s="69">
        <v>1</v>
      </c>
      <c r="E225" s="69" t="s">
        <v>566</v>
      </c>
      <c r="F225" s="69">
        <v>5000</v>
      </c>
      <c r="G225" s="69">
        <v>-65</v>
      </c>
      <c r="H225" s="69"/>
      <c r="I225" s="69">
        <v>12</v>
      </c>
      <c r="J225" s="69">
        <v>0</v>
      </c>
      <c r="K225" s="69">
        <v>7919</v>
      </c>
      <c r="L225" s="69">
        <v>1</v>
      </c>
      <c r="M225" s="69" t="s">
        <v>567</v>
      </c>
      <c r="P225" s="58"/>
    </row>
    <row r="226" spans="1:16">
      <c r="A226" s="71" t="s">
        <v>234</v>
      </c>
      <c r="B226" s="72">
        <v>2</v>
      </c>
      <c r="C226" s="66">
        <v>-2</v>
      </c>
      <c r="D226" s="72">
        <v>1</v>
      </c>
      <c r="E226" s="72" t="s">
        <v>566</v>
      </c>
      <c r="F226" s="72">
        <v>2000</v>
      </c>
      <c r="G226" s="72">
        <v>-54</v>
      </c>
      <c r="H226" s="72"/>
      <c r="I226" s="72">
        <v>-64</v>
      </c>
      <c r="J226" s="72">
        <v>0</v>
      </c>
      <c r="K226" s="72">
        <v>885</v>
      </c>
      <c r="L226" s="72">
        <v>1</v>
      </c>
      <c r="M226" s="72">
        <v>18.7</v>
      </c>
      <c r="P226" s="58"/>
    </row>
    <row r="227" spans="1:16">
      <c r="A227" s="68" t="s">
        <v>240</v>
      </c>
      <c r="B227" s="69">
        <v>2</v>
      </c>
      <c r="C227" s="61">
        <v>-2</v>
      </c>
      <c r="D227" s="69">
        <v>0</v>
      </c>
      <c r="E227" s="69" t="s">
        <v>566</v>
      </c>
      <c r="F227" s="69"/>
      <c r="G227" s="69"/>
      <c r="H227" s="69"/>
      <c r="I227" s="69"/>
      <c r="J227" s="69">
        <v>0</v>
      </c>
      <c r="K227" s="69">
        <v>3273</v>
      </c>
      <c r="L227" s="69">
        <v>0.5</v>
      </c>
      <c r="M227" s="69">
        <v>10</v>
      </c>
      <c r="P227" s="58"/>
    </row>
    <row r="228" spans="1:16">
      <c r="A228" s="71" t="s">
        <v>235</v>
      </c>
      <c r="B228" s="72">
        <v>2</v>
      </c>
      <c r="C228" s="66">
        <v>-2</v>
      </c>
      <c r="D228" s="72">
        <v>0</v>
      </c>
      <c r="E228" s="72" t="s">
        <v>566</v>
      </c>
      <c r="F228" s="72"/>
      <c r="G228" s="72">
        <v>-41</v>
      </c>
      <c r="H228" s="72"/>
      <c r="I228" s="72"/>
      <c r="J228" s="72">
        <v>0</v>
      </c>
      <c r="K228" s="72">
        <v>4831</v>
      </c>
      <c r="L228" s="72">
        <v>1</v>
      </c>
      <c r="M228" s="72">
        <v>0</v>
      </c>
      <c r="P228" s="58"/>
    </row>
    <row r="229" spans="1:16">
      <c r="A229" s="68" t="s">
        <v>583</v>
      </c>
      <c r="B229" s="69">
        <v>1</v>
      </c>
      <c r="C229" s="61">
        <v>-1</v>
      </c>
      <c r="D229" s="69">
        <v>0</v>
      </c>
      <c r="E229" s="69" t="s">
        <v>566</v>
      </c>
      <c r="F229" s="69"/>
      <c r="G229" s="69"/>
      <c r="H229" s="69"/>
      <c r="I229" s="69"/>
      <c r="J229" s="69">
        <v>0</v>
      </c>
      <c r="K229" s="69"/>
      <c r="L229" s="69">
        <v>1</v>
      </c>
      <c r="M229" s="69" t="s">
        <v>567</v>
      </c>
      <c r="P229" s="58"/>
    </row>
    <row r="230" spans="1:16">
      <c r="A230" s="71" t="s">
        <v>77</v>
      </c>
      <c r="B230" s="72">
        <v>1</v>
      </c>
      <c r="C230" s="66">
        <v>-1</v>
      </c>
      <c r="D230" s="72">
        <v>0</v>
      </c>
      <c r="E230" s="72" t="s">
        <v>566</v>
      </c>
      <c r="F230" s="72"/>
      <c r="G230" s="72">
        <v>-56</v>
      </c>
      <c r="H230" s="72"/>
      <c r="I230" s="72"/>
      <c r="J230" s="72">
        <v>0</v>
      </c>
      <c r="K230" s="72"/>
      <c r="L230" s="72">
        <v>1</v>
      </c>
      <c r="M230" s="72" t="s">
        <v>567</v>
      </c>
      <c r="P230" s="58"/>
    </row>
    <row r="231" spans="1:16">
      <c r="A231" s="68" t="s">
        <v>584</v>
      </c>
      <c r="B231" s="69">
        <v>1</v>
      </c>
      <c r="C231" s="61">
        <v>-1</v>
      </c>
      <c r="D231" s="69">
        <v>0</v>
      </c>
      <c r="E231" s="69" t="s">
        <v>566</v>
      </c>
      <c r="F231" s="69"/>
      <c r="G231" s="69">
        <v>-14</v>
      </c>
      <c r="H231" s="69"/>
      <c r="I231" s="69"/>
      <c r="J231" s="69">
        <v>0</v>
      </c>
      <c r="K231" s="69">
        <v>3872</v>
      </c>
      <c r="L231" s="69">
        <v>1</v>
      </c>
      <c r="M231" s="69" t="s">
        <v>567</v>
      </c>
      <c r="P231" s="58"/>
    </row>
    <row r="232" spans="1:16">
      <c r="A232" s="71" t="s">
        <v>585</v>
      </c>
      <c r="B232" s="72">
        <v>1</v>
      </c>
      <c r="C232" s="66">
        <v>-1</v>
      </c>
      <c r="D232" s="72">
        <v>0</v>
      </c>
      <c r="E232" s="72" t="s">
        <v>566</v>
      </c>
      <c r="F232" s="72"/>
      <c r="G232" s="72"/>
      <c r="H232" s="72"/>
      <c r="I232" s="72"/>
      <c r="J232" s="72">
        <v>0</v>
      </c>
      <c r="K232" s="72">
        <v>13076</v>
      </c>
      <c r="L232" s="72">
        <v>1</v>
      </c>
      <c r="M232" s="72" t="s">
        <v>567</v>
      </c>
      <c r="P232" s="58"/>
    </row>
    <row r="233" spans="1:16">
      <c r="A233" s="68" t="s">
        <v>586</v>
      </c>
      <c r="B233" s="69">
        <v>1</v>
      </c>
      <c r="C233" s="61">
        <v>-1</v>
      </c>
      <c r="D233" s="69">
        <v>1</v>
      </c>
      <c r="E233" s="69" t="s">
        <v>566</v>
      </c>
      <c r="F233" s="69">
        <v>1000</v>
      </c>
      <c r="G233" s="69">
        <v>-12</v>
      </c>
      <c r="H233" s="69"/>
      <c r="I233" s="69"/>
      <c r="J233" s="69">
        <v>0</v>
      </c>
      <c r="K233" s="69">
        <v>2697</v>
      </c>
      <c r="L233" s="69">
        <v>1</v>
      </c>
      <c r="M233" s="69" t="s">
        <v>567</v>
      </c>
      <c r="P233" s="58"/>
    </row>
    <row r="234" spans="1:16">
      <c r="A234" s="73" t="s">
        <v>587</v>
      </c>
      <c r="B234" s="74">
        <v>1</v>
      </c>
      <c r="C234" s="66">
        <v>-1</v>
      </c>
      <c r="D234" s="74">
        <v>0</v>
      </c>
      <c r="E234" s="74" t="s">
        <v>566</v>
      </c>
      <c r="F234" s="74"/>
      <c r="G234" s="74">
        <v>50</v>
      </c>
      <c r="H234" s="74"/>
      <c r="I234" s="74"/>
      <c r="J234" s="74">
        <v>0</v>
      </c>
      <c r="K234" s="74">
        <v>16303</v>
      </c>
      <c r="L234" s="74">
        <v>1</v>
      </c>
      <c r="M234" s="74">
        <v>4.9000000000000004</v>
      </c>
      <c r="N234" s="75"/>
      <c r="O234" s="75"/>
      <c r="P234" s="76"/>
    </row>
  </sheetData>
  <mergeCells count="4">
    <mergeCell ref="A1:F1"/>
    <mergeCell ref="A2:F2"/>
    <mergeCell ref="A11:A12"/>
    <mergeCell ref="B11:P11"/>
  </mergeCells>
  <hyperlinks>
    <hyperlink ref="A7" r:id="rId1" display="https://www.trademap.org/Docs/Metadata/Methodology_quantity_outliers_Y_EN.pdf" xr:uid="{0D669F85-C828-49AA-8889-2B3448B91948}"/>
    <hyperlink ref="A8" r:id="rId2" display="https://unstats.un.org/unsd/tradekb/Knowledgebase/Quantity-and-Weight-Data-in-UN-Comtrade" xr:uid="{1D4A89B8-00D5-4E99-8587-E486B3F5AB1C}"/>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6D6A-5110-4FD2-89D2-7A137AFB1626}">
  <dimension ref="B2:AA42"/>
  <sheetViews>
    <sheetView showGridLines="0" zoomScale="85" zoomScaleNormal="85" workbookViewId="0">
      <selection activeCell="I7" sqref="I7"/>
    </sheetView>
  </sheetViews>
  <sheetFormatPr defaultRowHeight="15"/>
  <cols>
    <col min="2" max="2" width="11.28515625" bestFit="1" customWidth="1"/>
    <col min="3" max="3" width="22.85546875" customWidth="1"/>
    <col min="5" max="5" width="8.7109375" customWidth="1"/>
    <col min="7" max="7" width="21.5703125" customWidth="1"/>
  </cols>
  <sheetData>
    <row r="2" spans="2:27" ht="24">
      <c r="B2" s="294" t="s">
        <v>950</v>
      </c>
    </row>
    <row r="3" spans="2:27" ht="24">
      <c r="B3" s="295"/>
    </row>
    <row r="4" spans="2:27" ht="24">
      <c r="B4" s="295"/>
      <c r="AA4" s="296" t="s">
        <v>951</v>
      </c>
    </row>
    <row r="5" spans="2:27" ht="24">
      <c r="B5" s="295"/>
    </row>
    <row r="9" spans="2:27" ht="18.75">
      <c r="AA9" s="296" t="s">
        <v>952</v>
      </c>
    </row>
    <row r="32" spans="2:4">
      <c r="B32" s="297">
        <v>1001603000</v>
      </c>
      <c r="C32" t="s">
        <v>953</v>
      </c>
      <c r="D32" s="50" t="s">
        <v>954</v>
      </c>
    </row>
    <row r="33" spans="2:8">
      <c r="B33" s="297">
        <v>1001604000</v>
      </c>
      <c r="C33" t="s">
        <v>955</v>
      </c>
      <c r="D33" s="50" t="s">
        <v>954</v>
      </c>
      <c r="G33" s="297">
        <v>1001602000</v>
      </c>
      <c r="H33" t="s">
        <v>956</v>
      </c>
    </row>
    <row r="34" spans="2:8">
      <c r="B34" s="298">
        <v>1001605000</v>
      </c>
      <c r="C34" s="79" t="s">
        <v>957</v>
      </c>
      <c r="D34" s="50" t="s">
        <v>954</v>
      </c>
      <c r="G34" s="297">
        <v>1001606000</v>
      </c>
      <c r="H34" t="s">
        <v>958</v>
      </c>
    </row>
    <row r="35" spans="2:8">
      <c r="B35" s="297">
        <v>1001601500</v>
      </c>
      <c r="C35" t="s">
        <v>959</v>
      </c>
      <c r="D35" s="50" t="s">
        <v>954</v>
      </c>
    </row>
    <row r="36" spans="2:8">
      <c r="B36" s="297">
        <v>1001607000</v>
      </c>
      <c r="C36" t="s">
        <v>960</v>
      </c>
      <c r="D36" s="50" t="s">
        <v>954</v>
      </c>
    </row>
    <row r="37" spans="2:8">
      <c r="B37" s="298">
        <v>1001601200</v>
      </c>
      <c r="C37" s="79" t="s">
        <v>961</v>
      </c>
      <c r="D37" s="50" t="s">
        <v>954</v>
      </c>
    </row>
    <row r="38" spans="2:8">
      <c r="B38" s="297">
        <v>1001601300</v>
      </c>
      <c r="C38" t="s">
        <v>962</v>
      </c>
      <c r="D38" s="50" t="s">
        <v>954</v>
      </c>
    </row>
    <row r="39" spans="2:8">
      <c r="B39" s="297">
        <v>1001601400</v>
      </c>
      <c r="C39" t="s">
        <v>963</v>
      </c>
      <c r="D39" s="50" t="s">
        <v>954</v>
      </c>
    </row>
    <row r="42" spans="2:8">
      <c r="B42" s="299" t="s">
        <v>964</v>
      </c>
      <c r="C42" s="300" t="s">
        <v>965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B90C-9E81-418F-B3CB-FB4ADC1F0B4F}">
  <sheetPr>
    <pageSetUpPr fitToPage="1"/>
  </sheetPr>
  <dimension ref="A1:E23"/>
  <sheetViews>
    <sheetView zoomScaleNormal="100" workbookViewId="0">
      <selection activeCell="B1" sqref="B1"/>
    </sheetView>
  </sheetViews>
  <sheetFormatPr defaultColWidth="9.140625" defaultRowHeight="15"/>
  <cols>
    <col min="1" max="1" width="14.5703125" style="2" bestFit="1" customWidth="1"/>
    <col min="2" max="2" width="38.42578125" style="2" bestFit="1" customWidth="1"/>
    <col min="3" max="3" width="99.140625" style="2" customWidth="1"/>
    <col min="4" max="16384" width="9.140625" style="2"/>
  </cols>
  <sheetData>
    <row r="1" spans="1:5">
      <c r="A1" s="1" t="s">
        <v>137</v>
      </c>
    </row>
    <row r="2" spans="1:5">
      <c r="A2" s="1" t="s">
        <v>138</v>
      </c>
    </row>
    <row r="3" spans="1:5">
      <c r="A3" s="1" t="s">
        <v>208</v>
      </c>
    </row>
    <row r="5" spans="1:5">
      <c r="A5" s="3" t="s">
        <v>189</v>
      </c>
      <c r="B5" s="7"/>
    </row>
    <row r="6" spans="1:5">
      <c r="A6" s="7"/>
      <c r="B6" s="7"/>
    </row>
    <row r="7" spans="1:5">
      <c r="A7" s="4" t="s">
        <v>158</v>
      </c>
      <c r="B7" s="4" t="s">
        <v>50</v>
      </c>
      <c r="C7" s="4" t="s">
        <v>189</v>
      </c>
    </row>
    <row r="8" spans="1:5">
      <c r="A8" s="5">
        <v>1</v>
      </c>
      <c r="B8" s="6" t="s">
        <v>170</v>
      </c>
      <c r="C8" s="6"/>
    </row>
    <row r="9" spans="1:5">
      <c r="A9" s="5">
        <v>2</v>
      </c>
      <c r="B9" s="6" t="s">
        <v>207</v>
      </c>
      <c r="C9" s="6" t="s">
        <v>193</v>
      </c>
      <c r="E9" s="48"/>
    </row>
    <row r="10" spans="1:5">
      <c r="A10" s="5">
        <v>3</v>
      </c>
      <c r="B10" s="6" t="s">
        <v>159</v>
      </c>
      <c r="C10" s="6" t="s">
        <v>148</v>
      </c>
      <c r="E10" s="48"/>
    </row>
    <row r="11" spans="1:5">
      <c r="A11" s="5">
        <v>4</v>
      </c>
      <c r="B11" s="6" t="s">
        <v>160</v>
      </c>
      <c r="C11" s="6" t="s">
        <v>149</v>
      </c>
      <c r="E11" s="48"/>
    </row>
    <row r="12" spans="1:5">
      <c r="A12" s="5" t="s">
        <v>161</v>
      </c>
      <c r="B12" s="6" t="s">
        <v>162</v>
      </c>
      <c r="C12" s="6" t="s">
        <v>146</v>
      </c>
      <c r="E12" s="48"/>
    </row>
    <row r="13" spans="1:5">
      <c r="A13" s="5" t="s">
        <v>163</v>
      </c>
      <c r="B13" s="6" t="s">
        <v>182</v>
      </c>
      <c r="C13" s="6"/>
      <c r="E13" s="48"/>
    </row>
    <row r="14" spans="1:5">
      <c r="A14" s="5" t="s">
        <v>164</v>
      </c>
      <c r="B14" s="6" t="s">
        <v>165</v>
      </c>
      <c r="C14" s="6" t="s">
        <v>142</v>
      </c>
      <c r="E14" s="48"/>
    </row>
    <row r="15" spans="1:5">
      <c r="A15" s="5" t="s">
        <v>166</v>
      </c>
      <c r="B15" s="6" t="s">
        <v>167</v>
      </c>
      <c r="C15" s="6"/>
      <c r="E15" s="48"/>
    </row>
    <row r="16" spans="1:5">
      <c r="A16" s="5" t="s">
        <v>171</v>
      </c>
      <c r="B16" s="6" t="s">
        <v>168</v>
      </c>
      <c r="C16" s="6" t="s">
        <v>190</v>
      </c>
      <c r="E16" s="48"/>
    </row>
    <row r="17" spans="1:5">
      <c r="A17" s="5" t="s">
        <v>172</v>
      </c>
      <c r="B17" s="6" t="s">
        <v>136</v>
      </c>
      <c r="C17" s="6"/>
      <c r="E17" s="48"/>
    </row>
    <row r="18" spans="1:5">
      <c r="A18" s="5" t="s">
        <v>177</v>
      </c>
      <c r="B18" s="6" t="s">
        <v>169</v>
      </c>
      <c r="C18" s="6"/>
      <c r="E18" s="48"/>
    </row>
    <row r="19" spans="1:5">
      <c r="A19" s="5" t="s">
        <v>178</v>
      </c>
      <c r="B19" s="6" t="s">
        <v>173</v>
      </c>
      <c r="C19" s="6" t="s">
        <v>191</v>
      </c>
      <c r="E19" s="48"/>
    </row>
    <row r="20" spans="1:5">
      <c r="A20" s="5" t="s">
        <v>179</v>
      </c>
      <c r="B20" s="6" t="s">
        <v>174</v>
      </c>
      <c r="C20" s="6"/>
      <c r="E20" s="48"/>
    </row>
    <row r="21" spans="1:5">
      <c r="A21" s="5" t="s">
        <v>180</v>
      </c>
      <c r="B21" s="6" t="s">
        <v>175</v>
      </c>
      <c r="C21" s="6" t="s">
        <v>192</v>
      </c>
      <c r="E21" s="48"/>
    </row>
    <row r="22" spans="1:5">
      <c r="A22" s="5" t="s">
        <v>181</v>
      </c>
      <c r="B22" s="6" t="s">
        <v>176</v>
      </c>
      <c r="C22" s="6"/>
      <c r="E22" s="48"/>
    </row>
    <row r="23" spans="1:5">
      <c r="C23" s="24"/>
    </row>
  </sheetData>
  <pageMargins left="0.7" right="0.7" top="0.75" bottom="0.75" header="0.3" footer="0.3"/>
  <pageSetup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65A4-CF47-44A4-A991-55EA0CD517B0}">
  <sheetPr>
    <pageSetUpPr fitToPage="1"/>
  </sheetPr>
  <dimension ref="A1:AV201"/>
  <sheetViews>
    <sheetView showGridLines="0" zoomScale="93" zoomScaleNormal="115" workbookViewId="0">
      <selection activeCell="C3" sqref="C3"/>
    </sheetView>
  </sheetViews>
  <sheetFormatPr defaultColWidth="9.140625" defaultRowHeight="13.5"/>
  <cols>
    <col min="1" max="1" width="14.5703125" style="46" customWidth="1"/>
    <col min="2" max="2" width="24.85546875" style="46" bestFit="1" customWidth="1"/>
    <col min="3" max="3" width="19" style="46" bestFit="1" customWidth="1"/>
    <col min="4" max="4" width="19.42578125" style="46" customWidth="1"/>
    <col min="5" max="14" width="11.5703125" style="46" bestFit="1" customWidth="1"/>
    <col min="15" max="15" width="12.5703125" style="46" bestFit="1" customWidth="1"/>
    <col min="16" max="17" width="24.85546875" style="46" bestFit="1" customWidth="1"/>
    <col min="18" max="19" width="23.7109375" style="46" bestFit="1" customWidth="1"/>
    <col min="20" max="20" width="10.28515625" style="46" bestFit="1" customWidth="1"/>
    <col min="21" max="21" width="11.140625" style="46" bestFit="1" customWidth="1"/>
    <col min="22" max="24" width="10.28515625" style="46" bestFit="1" customWidth="1"/>
    <col min="25" max="25" width="8.7109375" style="46" bestFit="1" customWidth="1"/>
    <col min="26" max="31" width="10.28515625" style="46" bestFit="1" customWidth="1"/>
    <col min="32" max="32" width="11.28515625" style="46" bestFit="1" customWidth="1"/>
    <col min="33" max="33" width="10.42578125" style="46" bestFit="1" customWidth="1"/>
    <col min="34" max="34" width="9.140625" style="46"/>
    <col min="35" max="35" width="8.85546875" style="46" bestFit="1" customWidth="1"/>
    <col min="36" max="36" width="8.7109375" style="46" bestFit="1" customWidth="1"/>
    <col min="37" max="37" width="5.28515625" style="46" bestFit="1" customWidth="1"/>
    <col min="38" max="38" width="9" style="46" bestFit="1" customWidth="1"/>
    <col min="39" max="39" width="10.42578125" style="46" bestFit="1" customWidth="1"/>
    <col min="40" max="40" width="9.140625" style="46"/>
    <col min="41" max="41" width="7.85546875" style="46" bestFit="1" customWidth="1"/>
    <col min="42" max="42" width="8.85546875" style="46" bestFit="1" customWidth="1"/>
    <col min="43" max="43" width="10.42578125" style="46" bestFit="1" customWidth="1"/>
    <col min="44" max="44" width="7.85546875" style="46" bestFit="1" customWidth="1"/>
    <col min="45" max="45" width="10.42578125" style="46" bestFit="1" customWidth="1"/>
    <col min="46" max="46" width="9" style="46" bestFit="1" customWidth="1"/>
    <col min="47" max="48" width="8.7109375" style="46" bestFit="1" customWidth="1"/>
    <col min="49" max="16384" width="9.140625" style="46"/>
  </cols>
  <sheetData>
    <row r="1" spans="1:32" ht="21">
      <c r="B1" s="130" t="s">
        <v>736</v>
      </c>
      <c r="E1" s="46">
        <f>'EX-1A SV Summary'!D8</f>
        <v>39159010</v>
      </c>
    </row>
    <row r="2" spans="1:32" ht="15" customHeight="1">
      <c r="B2" s="26" t="s">
        <v>737</v>
      </c>
    </row>
    <row r="3" spans="1:32">
      <c r="A3" s="97"/>
      <c r="B3" s="95" t="s">
        <v>738</v>
      </c>
      <c r="C3" s="96" t="s">
        <v>703</v>
      </c>
    </row>
    <row r="4" spans="1:32">
      <c r="A4" s="97"/>
      <c r="B4" s="95"/>
      <c r="C4" s="96"/>
      <c r="F4" s="261"/>
      <c r="G4" s="261"/>
      <c r="H4" s="262"/>
    </row>
    <row r="5" spans="1:32">
      <c r="A5" s="97"/>
      <c r="B5" s="124" t="s">
        <v>735</v>
      </c>
      <c r="C5" s="125" t="s">
        <v>23</v>
      </c>
    </row>
    <row r="6" spans="1:32">
      <c r="A6" s="97"/>
      <c r="B6" s="126"/>
      <c r="C6" s="127" t="s">
        <v>29</v>
      </c>
    </row>
    <row r="7" spans="1:32">
      <c r="A7" s="97"/>
      <c r="B7" s="126"/>
      <c r="C7" s="127" t="s">
        <v>31</v>
      </c>
    </row>
    <row r="8" spans="1:32">
      <c r="A8" s="97"/>
      <c r="B8" s="126"/>
      <c r="C8" s="127" t="s">
        <v>34</v>
      </c>
    </row>
    <row r="9" spans="1:32">
      <c r="A9" s="97"/>
      <c r="B9" s="128"/>
      <c r="C9" s="129" t="s">
        <v>38</v>
      </c>
    </row>
    <row r="10" spans="1:32">
      <c r="A10" s="97"/>
      <c r="B10" s="98"/>
    </row>
    <row r="11" spans="1:32">
      <c r="A11" s="99" t="s">
        <v>740</v>
      </c>
      <c r="B11" s="99" t="s">
        <v>45</v>
      </c>
      <c r="S11" s="100" t="s">
        <v>727</v>
      </c>
      <c r="T11" s="46" t="s">
        <v>510</v>
      </c>
    </row>
    <row r="12" spans="1:32">
      <c r="B12" s="29" t="s">
        <v>902</v>
      </c>
      <c r="S12" s="100" t="s">
        <v>628</v>
      </c>
      <c r="T12" s="46" t="s">
        <v>669</v>
      </c>
    </row>
    <row r="13" spans="1:32">
      <c r="B13" s="29"/>
      <c r="S13" s="100" t="s">
        <v>626</v>
      </c>
      <c r="T13" s="46" t="s">
        <v>57</v>
      </c>
    </row>
    <row r="14" spans="1:32">
      <c r="B14" s="105"/>
      <c r="C14" s="321">
        <v>2023</v>
      </c>
      <c r="D14" s="322"/>
      <c r="E14" s="322"/>
      <c r="F14" s="322"/>
      <c r="G14" s="322"/>
      <c r="H14" s="323"/>
      <c r="I14" s="321">
        <v>2024</v>
      </c>
      <c r="J14" s="322"/>
      <c r="K14" s="322"/>
      <c r="L14" s="322"/>
      <c r="M14" s="322"/>
      <c r="N14" s="323"/>
      <c r="O14" s="112" t="s">
        <v>732</v>
      </c>
      <c r="P14" s="320" t="s">
        <v>209</v>
      </c>
      <c r="Q14" s="320" t="s">
        <v>155</v>
      </c>
    </row>
    <row r="15" spans="1:32">
      <c r="B15" s="107" t="s">
        <v>739</v>
      </c>
      <c r="C15" s="113">
        <v>7</v>
      </c>
      <c r="D15" s="113">
        <v>8</v>
      </c>
      <c r="E15" s="113">
        <v>9</v>
      </c>
      <c r="F15" s="113">
        <v>10</v>
      </c>
      <c r="G15" s="113">
        <v>11</v>
      </c>
      <c r="H15" s="113">
        <v>12</v>
      </c>
      <c r="I15" s="113">
        <v>1</v>
      </c>
      <c r="J15" s="113">
        <v>2</v>
      </c>
      <c r="K15" s="113">
        <v>3</v>
      </c>
      <c r="L15" s="113">
        <v>4</v>
      </c>
      <c r="M15" s="113">
        <v>5</v>
      </c>
      <c r="N15" s="113">
        <v>6</v>
      </c>
      <c r="O15" s="113"/>
      <c r="P15" s="320"/>
      <c r="Q15" s="320"/>
      <c r="S15" s="100" t="s">
        <v>733</v>
      </c>
      <c r="T15" s="100" t="s">
        <v>621</v>
      </c>
      <c r="U15" s="100" t="s">
        <v>622</v>
      </c>
    </row>
    <row r="16" spans="1:32">
      <c r="B16" s="105" t="s">
        <v>23</v>
      </c>
      <c r="C16" s="106">
        <v>1798598.4140000001</v>
      </c>
      <c r="D16" s="106">
        <v>1150297.317</v>
      </c>
      <c r="E16" s="106">
        <v>1594909.625</v>
      </c>
      <c r="F16" s="106">
        <v>1886942.6329999999</v>
      </c>
      <c r="G16" s="106">
        <v>2965111.8530000001</v>
      </c>
      <c r="H16" s="106">
        <v>401290.56599999999</v>
      </c>
      <c r="I16" s="106">
        <v>2857655.8539999998</v>
      </c>
      <c r="J16" s="106">
        <v>2209982.9739999999</v>
      </c>
      <c r="K16" s="106">
        <v>3903209.6409999998</v>
      </c>
      <c r="L16" s="106">
        <v>3086149.889</v>
      </c>
      <c r="M16" s="106">
        <v>776351.348</v>
      </c>
      <c r="N16" s="106">
        <v>899867.07700000005</v>
      </c>
      <c r="O16" s="106">
        <v>23530367.191</v>
      </c>
      <c r="P16" s="105" t="s">
        <v>210</v>
      </c>
      <c r="Q16" s="105"/>
      <c r="T16" s="46">
        <v>2023</v>
      </c>
      <c r="Z16" s="46">
        <v>2024</v>
      </c>
      <c r="AF16" s="46" t="s">
        <v>732</v>
      </c>
    </row>
    <row r="17" spans="2:32" s="108" customFormat="1">
      <c r="B17" s="105" t="s">
        <v>51</v>
      </c>
      <c r="C17" s="106"/>
      <c r="D17" s="106">
        <v>112718.338</v>
      </c>
      <c r="E17" s="106">
        <v>186577.66699999999</v>
      </c>
      <c r="F17" s="106">
        <v>741812.50699999998</v>
      </c>
      <c r="G17" s="106">
        <v>2003614.7290000001</v>
      </c>
      <c r="H17" s="106">
        <v>116959.414</v>
      </c>
      <c r="I17" s="106">
        <v>1554447.402</v>
      </c>
      <c r="J17" s="106">
        <v>1309526.0560000001</v>
      </c>
      <c r="K17" s="106">
        <v>1709751.0530000001</v>
      </c>
      <c r="L17" s="106">
        <v>1305342.8160000001</v>
      </c>
      <c r="M17" s="106">
        <v>55817.315999999999</v>
      </c>
      <c r="N17" s="106">
        <v>85018.433000000005</v>
      </c>
      <c r="O17" s="106">
        <v>9181585.7310000006</v>
      </c>
      <c r="P17" s="105" t="s">
        <v>211</v>
      </c>
      <c r="Q17" s="105" t="s">
        <v>744</v>
      </c>
      <c r="S17" s="109" t="s">
        <v>631</v>
      </c>
      <c r="T17" s="108">
        <v>7</v>
      </c>
      <c r="U17" s="108">
        <v>8</v>
      </c>
      <c r="V17" s="108">
        <v>9</v>
      </c>
      <c r="W17" s="108">
        <v>10</v>
      </c>
      <c r="X17" s="108">
        <v>11</v>
      </c>
      <c r="Y17" s="108">
        <v>12</v>
      </c>
      <c r="Z17" s="108">
        <v>1</v>
      </c>
      <c r="AA17" s="108">
        <v>2</v>
      </c>
      <c r="AB17" s="108">
        <v>3</v>
      </c>
      <c r="AC17" s="108">
        <v>4</v>
      </c>
      <c r="AD17" s="108">
        <v>5</v>
      </c>
      <c r="AE17" s="108">
        <v>6</v>
      </c>
    </row>
    <row r="18" spans="2:32">
      <c r="B18" s="105" t="s">
        <v>569</v>
      </c>
      <c r="C18" s="106">
        <v>1213316.3319999999</v>
      </c>
      <c r="D18" s="106"/>
      <c r="E18" s="106">
        <v>790886.02399999998</v>
      </c>
      <c r="F18" s="106">
        <v>377588.065</v>
      </c>
      <c r="G18" s="106"/>
      <c r="H18" s="106"/>
      <c r="I18" s="106">
        <v>1083004.5060000001</v>
      </c>
      <c r="J18" s="106"/>
      <c r="K18" s="106">
        <v>1541964.325</v>
      </c>
      <c r="L18" s="106">
        <v>972510.51100000006</v>
      </c>
      <c r="M18" s="106"/>
      <c r="N18" s="106">
        <v>808887.85600000003</v>
      </c>
      <c r="O18" s="106">
        <v>6788157.6189999999</v>
      </c>
      <c r="P18" s="105" t="s">
        <v>211</v>
      </c>
      <c r="Q18" s="105" t="s">
        <v>744</v>
      </c>
      <c r="S18" s="46" t="s">
        <v>23</v>
      </c>
      <c r="T18" s="101">
        <v>1798598.4140000001</v>
      </c>
      <c r="U18" s="101">
        <v>1150297.317</v>
      </c>
      <c r="V18" s="101">
        <v>1594909.625</v>
      </c>
      <c r="W18" s="101">
        <v>1886942.6329999999</v>
      </c>
      <c r="X18" s="101">
        <v>2965111.8530000001</v>
      </c>
      <c r="Y18" s="101">
        <v>401290.56599999999</v>
      </c>
      <c r="Z18" s="101">
        <v>2857655.8539999998</v>
      </c>
      <c r="AA18" s="101">
        <v>2209982.9739999999</v>
      </c>
      <c r="AB18" s="101">
        <v>3903209.6409999998</v>
      </c>
      <c r="AC18" s="101">
        <v>3086149.889</v>
      </c>
      <c r="AD18" s="101">
        <v>776351.348</v>
      </c>
      <c r="AE18" s="101">
        <v>899867.07700000005</v>
      </c>
      <c r="AF18" s="101">
        <v>23530367.191</v>
      </c>
    </row>
    <row r="19" spans="2:32">
      <c r="B19" s="105" t="s">
        <v>63</v>
      </c>
      <c r="C19" s="106"/>
      <c r="D19" s="106">
        <v>252442.14600000001</v>
      </c>
      <c r="E19" s="106">
        <v>162114.01699999999</v>
      </c>
      <c r="F19" s="106">
        <v>194420.91500000001</v>
      </c>
      <c r="G19" s="106">
        <v>283785.424</v>
      </c>
      <c r="H19" s="106">
        <v>191233.022</v>
      </c>
      <c r="I19" s="106"/>
      <c r="J19" s="106">
        <v>271848.64</v>
      </c>
      <c r="K19" s="106">
        <v>248505.579</v>
      </c>
      <c r="L19" s="106">
        <v>297114.45400000003</v>
      </c>
      <c r="M19" s="106">
        <v>187705.03200000001</v>
      </c>
      <c r="N19" s="106"/>
      <c r="O19" s="106">
        <v>2089169.2289999998</v>
      </c>
      <c r="P19" s="105" t="s">
        <v>211</v>
      </c>
      <c r="Q19" s="105" t="s">
        <v>744</v>
      </c>
      <c r="S19" s="46" t="s">
        <v>51</v>
      </c>
      <c r="T19" s="101"/>
      <c r="U19" s="101">
        <v>112718.338</v>
      </c>
      <c r="V19" s="101">
        <v>186577.66699999999</v>
      </c>
      <c r="W19" s="101">
        <v>741812.50699999998</v>
      </c>
      <c r="X19" s="101">
        <v>2003614.7290000001</v>
      </c>
      <c r="Y19" s="101">
        <v>116959.414</v>
      </c>
      <c r="Z19" s="101">
        <v>1554447.402</v>
      </c>
      <c r="AA19" s="101">
        <v>1309526.0560000001</v>
      </c>
      <c r="AB19" s="101">
        <v>1709751.0530000001</v>
      </c>
      <c r="AC19" s="101">
        <v>1305342.8160000001</v>
      </c>
      <c r="AD19" s="101">
        <v>55817.315999999999</v>
      </c>
      <c r="AE19" s="101">
        <v>85018.433000000005</v>
      </c>
      <c r="AF19" s="101">
        <v>9181585.7310000006</v>
      </c>
    </row>
    <row r="20" spans="2:32">
      <c r="B20" s="105" t="s">
        <v>232</v>
      </c>
      <c r="C20" s="106"/>
      <c r="D20" s="106">
        <v>555376.429</v>
      </c>
      <c r="E20" s="106"/>
      <c r="F20" s="106"/>
      <c r="G20" s="106">
        <v>174744.247</v>
      </c>
      <c r="H20" s="106"/>
      <c r="I20" s="106"/>
      <c r="J20" s="106">
        <v>434372.614</v>
      </c>
      <c r="K20" s="106"/>
      <c r="L20" s="106"/>
      <c r="M20" s="106">
        <v>461061.17099999997</v>
      </c>
      <c r="N20" s="106"/>
      <c r="O20" s="106">
        <v>1625554.4610000001</v>
      </c>
      <c r="P20" s="105" t="s">
        <v>211</v>
      </c>
      <c r="Q20" s="105" t="s">
        <v>744</v>
      </c>
      <c r="S20" s="46" t="s">
        <v>569</v>
      </c>
      <c r="T20" s="101">
        <v>1213316.3319999999</v>
      </c>
      <c r="U20" s="101"/>
      <c r="V20" s="101">
        <v>790886.02399999998</v>
      </c>
      <c r="W20" s="101">
        <v>377588.065</v>
      </c>
      <c r="X20" s="101"/>
      <c r="Y20" s="101"/>
      <c r="Z20" s="101">
        <v>1083004.5060000001</v>
      </c>
      <c r="AA20" s="101"/>
      <c r="AB20" s="101">
        <v>1541964.325</v>
      </c>
      <c r="AC20" s="101">
        <v>972510.51100000006</v>
      </c>
      <c r="AD20" s="101"/>
      <c r="AE20" s="101">
        <v>808887.85600000003</v>
      </c>
      <c r="AF20" s="101">
        <v>6788157.6189999999</v>
      </c>
    </row>
    <row r="21" spans="2:32">
      <c r="B21" s="105" t="s">
        <v>25</v>
      </c>
      <c r="C21" s="106"/>
      <c r="D21" s="106"/>
      <c r="E21" s="106">
        <v>198360.68900000001</v>
      </c>
      <c r="F21" s="106">
        <v>16039.217000000001</v>
      </c>
      <c r="G21" s="106">
        <v>463874.94500000001</v>
      </c>
      <c r="H21" s="106">
        <v>9991.4349999999995</v>
      </c>
      <c r="I21" s="106"/>
      <c r="J21" s="106"/>
      <c r="K21" s="106">
        <v>117126.13099999999</v>
      </c>
      <c r="L21" s="106"/>
      <c r="M21" s="106"/>
      <c r="N21" s="106"/>
      <c r="O21" s="106">
        <v>805392.41700000013</v>
      </c>
      <c r="P21" s="105" t="s">
        <v>211</v>
      </c>
      <c r="Q21" s="105" t="s">
        <v>744</v>
      </c>
      <c r="S21" s="46" t="s">
        <v>63</v>
      </c>
      <c r="T21" s="101"/>
      <c r="U21" s="101">
        <v>252442.14600000001</v>
      </c>
      <c r="V21" s="101">
        <v>162114.01699999999</v>
      </c>
      <c r="W21" s="101">
        <v>194420.91500000001</v>
      </c>
      <c r="X21" s="101">
        <v>283785.424</v>
      </c>
      <c r="Y21" s="101">
        <v>191233.022</v>
      </c>
      <c r="Z21" s="101"/>
      <c r="AA21" s="101">
        <v>271848.64</v>
      </c>
      <c r="AB21" s="101">
        <v>248505.579</v>
      </c>
      <c r="AC21" s="101">
        <v>297114.45400000003</v>
      </c>
      <c r="AD21" s="101">
        <v>187705.03200000001</v>
      </c>
      <c r="AE21" s="101"/>
      <c r="AF21" s="101">
        <v>2089169.2289999998</v>
      </c>
    </row>
    <row r="22" spans="2:32">
      <c r="B22" s="105" t="s">
        <v>71</v>
      </c>
      <c r="C22" s="106">
        <v>410741.674</v>
      </c>
      <c r="D22" s="106"/>
      <c r="E22" s="106"/>
      <c r="F22" s="106">
        <v>16060.965</v>
      </c>
      <c r="G22" s="106"/>
      <c r="H22" s="106"/>
      <c r="I22" s="106"/>
      <c r="J22" s="106">
        <v>154701.26</v>
      </c>
      <c r="K22" s="106">
        <v>55098.784</v>
      </c>
      <c r="L22" s="106"/>
      <c r="M22" s="106">
        <v>58671.56</v>
      </c>
      <c r="N22" s="106">
        <v>5960.7889999999998</v>
      </c>
      <c r="O22" s="106">
        <v>701235.03200000001</v>
      </c>
      <c r="P22" s="105" t="s">
        <v>211</v>
      </c>
      <c r="Q22" s="105" t="s">
        <v>744</v>
      </c>
      <c r="S22" s="46" t="s">
        <v>232</v>
      </c>
      <c r="T22" s="101"/>
      <c r="U22" s="101">
        <v>555376.429</v>
      </c>
      <c r="V22" s="101"/>
      <c r="W22" s="101"/>
      <c r="X22" s="101">
        <v>174744.247</v>
      </c>
      <c r="Y22" s="101"/>
      <c r="Z22" s="101"/>
      <c r="AA22" s="101">
        <v>434372.614</v>
      </c>
      <c r="AB22" s="101"/>
      <c r="AC22" s="101"/>
      <c r="AD22" s="101">
        <v>461061.17099999997</v>
      </c>
      <c r="AE22" s="101"/>
      <c r="AF22" s="101">
        <v>1625554.4610000001</v>
      </c>
    </row>
    <row r="23" spans="2:32">
      <c r="B23" s="105" t="s">
        <v>64</v>
      </c>
      <c r="C23" s="106"/>
      <c r="D23" s="106"/>
      <c r="E23" s="106">
        <v>120527.33900000001</v>
      </c>
      <c r="F23" s="106">
        <v>286475.90000000002</v>
      </c>
      <c r="G23" s="106"/>
      <c r="H23" s="106"/>
      <c r="I23" s="106">
        <v>105431.31299999999</v>
      </c>
      <c r="J23" s="106"/>
      <c r="K23" s="106"/>
      <c r="L23" s="106"/>
      <c r="M23" s="106">
        <v>13096.269</v>
      </c>
      <c r="N23" s="106"/>
      <c r="O23" s="106">
        <v>525530.821</v>
      </c>
      <c r="P23" s="105" t="s">
        <v>211</v>
      </c>
      <c r="Q23" s="105" t="s">
        <v>744</v>
      </c>
      <c r="S23" s="46" t="s">
        <v>25</v>
      </c>
      <c r="T23" s="101"/>
      <c r="U23" s="101"/>
      <c r="V23" s="101">
        <v>198360.68900000001</v>
      </c>
      <c r="W23" s="101">
        <v>16039.217000000001</v>
      </c>
      <c r="X23" s="101">
        <v>463874.94500000001</v>
      </c>
      <c r="Y23" s="101">
        <v>9991.4349999999995</v>
      </c>
      <c r="Z23" s="101"/>
      <c r="AA23" s="101"/>
      <c r="AB23" s="101">
        <v>117126.13099999999</v>
      </c>
      <c r="AC23" s="101"/>
      <c r="AD23" s="101"/>
      <c r="AE23" s="101"/>
      <c r="AF23" s="101">
        <v>805392.41700000013</v>
      </c>
    </row>
    <row r="24" spans="2:32">
      <c r="B24" s="105" t="s">
        <v>60</v>
      </c>
      <c r="C24" s="106">
        <v>91298.79</v>
      </c>
      <c r="D24" s="106"/>
      <c r="E24" s="106"/>
      <c r="F24" s="106">
        <v>231700.508</v>
      </c>
      <c r="G24" s="106"/>
      <c r="H24" s="106"/>
      <c r="I24" s="106"/>
      <c r="J24" s="106"/>
      <c r="K24" s="106"/>
      <c r="L24" s="106">
        <v>201119.935</v>
      </c>
      <c r="M24" s="106"/>
      <c r="N24" s="106"/>
      <c r="O24" s="106">
        <v>524119.23300000001</v>
      </c>
      <c r="P24" s="105" t="s">
        <v>211</v>
      </c>
      <c r="Q24" s="105" t="s">
        <v>744</v>
      </c>
      <c r="S24" s="46" t="s">
        <v>71</v>
      </c>
      <c r="T24" s="101">
        <v>410741.674</v>
      </c>
      <c r="U24" s="101"/>
      <c r="V24" s="101"/>
      <c r="W24" s="101">
        <v>16060.965</v>
      </c>
      <c r="X24" s="101"/>
      <c r="Y24" s="101"/>
      <c r="Z24" s="101"/>
      <c r="AA24" s="101">
        <v>154701.26</v>
      </c>
      <c r="AB24" s="101">
        <v>55098.784</v>
      </c>
      <c r="AC24" s="101"/>
      <c r="AD24" s="101">
        <v>58671.56</v>
      </c>
      <c r="AE24" s="101">
        <v>5960.7889999999998</v>
      </c>
      <c r="AF24" s="101">
        <v>701235.03200000001</v>
      </c>
    </row>
    <row r="25" spans="2:32">
      <c r="B25" s="105" t="s">
        <v>30</v>
      </c>
      <c r="C25" s="106"/>
      <c r="D25" s="106"/>
      <c r="E25" s="106"/>
      <c r="F25" s="106"/>
      <c r="G25" s="106">
        <v>38390.017</v>
      </c>
      <c r="H25" s="106">
        <v>22186.674999999999</v>
      </c>
      <c r="I25" s="106">
        <v>73351.926999999996</v>
      </c>
      <c r="J25" s="106"/>
      <c r="K25" s="106">
        <v>206114.12299999999</v>
      </c>
      <c r="L25" s="106"/>
      <c r="M25" s="106"/>
      <c r="N25" s="106"/>
      <c r="O25" s="106">
        <v>340042.74199999997</v>
      </c>
      <c r="P25" s="105" t="s">
        <v>211</v>
      </c>
      <c r="Q25" s="105" t="s">
        <v>744</v>
      </c>
      <c r="S25" s="46" t="s">
        <v>64</v>
      </c>
      <c r="T25" s="101"/>
      <c r="U25" s="101"/>
      <c r="V25" s="101">
        <v>120527.33900000001</v>
      </c>
      <c r="W25" s="101">
        <v>286475.90000000002</v>
      </c>
      <c r="X25" s="101"/>
      <c r="Y25" s="101"/>
      <c r="Z25" s="101">
        <v>105431.31299999999</v>
      </c>
      <c r="AA25" s="101"/>
      <c r="AB25" s="101"/>
      <c r="AC25" s="101"/>
      <c r="AD25" s="101">
        <v>13096.269</v>
      </c>
      <c r="AE25" s="101"/>
      <c r="AF25" s="101">
        <v>525530.821</v>
      </c>
    </row>
    <row r="26" spans="2:32">
      <c r="B26" s="105" t="s">
        <v>225</v>
      </c>
      <c r="C26" s="106"/>
      <c r="D26" s="106"/>
      <c r="E26" s="106"/>
      <c r="F26" s="106"/>
      <c r="G26" s="106"/>
      <c r="H26" s="106"/>
      <c r="I26" s="106"/>
      <c r="J26" s="106"/>
      <c r="K26" s="106"/>
      <c r="L26" s="106">
        <v>285950.77500000002</v>
      </c>
      <c r="M26" s="106"/>
      <c r="N26" s="106"/>
      <c r="O26" s="106">
        <v>285950.77500000002</v>
      </c>
      <c r="P26" s="105" t="s">
        <v>211</v>
      </c>
      <c r="Q26" s="105" t="s">
        <v>744</v>
      </c>
      <c r="S26" s="46" t="s">
        <v>60</v>
      </c>
      <c r="T26" s="101">
        <v>91298.79</v>
      </c>
      <c r="U26" s="101"/>
      <c r="V26" s="101"/>
      <c r="W26" s="101">
        <v>231700.508</v>
      </c>
      <c r="X26" s="101"/>
      <c r="Y26" s="101"/>
      <c r="Z26" s="101"/>
      <c r="AA26" s="101"/>
      <c r="AB26" s="101"/>
      <c r="AC26" s="101">
        <v>201119.935</v>
      </c>
      <c r="AD26" s="101"/>
      <c r="AE26" s="101"/>
      <c r="AF26" s="101">
        <v>524119.23300000001</v>
      </c>
    </row>
    <row r="27" spans="2:32">
      <c r="B27" s="105" t="s">
        <v>29</v>
      </c>
      <c r="C27" s="106">
        <v>27166.987000000001</v>
      </c>
      <c r="D27" s="106"/>
      <c r="E27" s="106">
        <v>136443.88800000001</v>
      </c>
      <c r="F27" s="106"/>
      <c r="G27" s="106"/>
      <c r="H27" s="106">
        <v>60920.02</v>
      </c>
      <c r="I27" s="106"/>
      <c r="J27" s="106"/>
      <c r="K27" s="106"/>
      <c r="L27" s="106"/>
      <c r="M27" s="106"/>
      <c r="N27" s="106"/>
      <c r="O27" s="106">
        <v>224530.89499999999</v>
      </c>
      <c r="P27" s="105" t="s">
        <v>210</v>
      </c>
      <c r="Q27" s="105"/>
      <c r="S27" s="46" t="s">
        <v>30</v>
      </c>
      <c r="T27" s="101"/>
      <c r="U27" s="101"/>
      <c r="V27" s="101"/>
      <c r="W27" s="101"/>
      <c r="X27" s="101">
        <v>38390.017</v>
      </c>
      <c r="Y27" s="101">
        <v>22186.674999999999</v>
      </c>
      <c r="Z27" s="101">
        <v>73351.926999999996</v>
      </c>
      <c r="AA27" s="101"/>
      <c r="AB27" s="101">
        <v>206114.12299999999</v>
      </c>
      <c r="AC27" s="101"/>
      <c r="AD27" s="101"/>
      <c r="AE27" s="101"/>
      <c r="AF27" s="101">
        <v>340042.74199999997</v>
      </c>
    </row>
    <row r="28" spans="2:32">
      <c r="B28" s="105" t="s">
        <v>52</v>
      </c>
      <c r="C28" s="106"/>
      <c r="D28" s="106">
        <v>138642.024</v>
      </c>
      <c r="E28" s="106"/>
      <c r="F28" s="106"/>
      <c r="G28" s="106"/>
      <c r="H28" s="106"/>
      <c r="I28" s="106"/>
      <c r="J28" s="106"/>
      <c r="K28" s="106"/>
      <c r="L28" s="106"/>
      <c r="M28" s="106"/>
      <c r="N28" s="106"/>
      <c r="O28" s="106">
        <v>138642.024</v>
      </c>
      <c r="P28" s="105" t="s">
        <v>211</v>
      </c>
      <c r="Q28" s="105" t="s">
        <v>744</v>
      </c>
      <c r="S28" s="46" t="s">
        <v>225</v>
      </c>
      <c r="T28" s="101"/>
      <c r="U28" s="101"/>
      <c r="V28" s="101"/>
      <c r="W28" s="101"/>
      <c r="X28" s="101"/>
      <c r="Y28" s="101"/>
      <c r="Z28" s="101"/>
      <c r="AA28" s="101"/>
      <c r="AB28" s="101"/>
      <c r="AC28" s="101">
        <v>285950.77500000002</v>
      </c>
      <c r="AD28" s="101"/>
      <c r="AE28" s="101"/>
      <c r="AF28" s="101">
        <v>285950.77500000002</v>
      </c>
    </row>
    <row r="29" spans="2:32">
      <c r="B29" s="105" t="s">
        <v>709</v>
      </c>
      <c r="C29" s="106"/>
      <c r="D29" s="106">
        <v>91118.38</v>
      </c>
      <c r="E29" s="106"/>
      <c r="F29" s="106"/>
      <c r="G29" s="106"/>
      <c r="H29" s="106"/>
      <c r="I29" s="106"/>
      <c r="J29" s="106"/>
      <c r="K29" s="106"/>
      <c r="L29" s="106"/>
      <c r="M29" s="106"/>
      <c r="N29" s="106"/>
      <c r="O29" s="106">
        <v>91118.38</v>
      </c>
      <c r="P29" s="105" t="s">
        <v>211</v>
      </c>
      <c r="Q29" s="105" t="s">
        <v>744</v>
      </c>
      <c r="S29" s="46" t="s">
        <v>29</v>
      </c>
      <c r="T29" s="101">
        <v>27166.987000000001</v>
      </c>
      <c r="U29" s="101"/>
      <c r="V29" s="101">
        <v>136443.88800000001</v>
      </c>
      <c r="W29" s="101"/>
      <c r="X29" s="101"/>
      <c r="Y29" s="101">
        <v>60920.02</v>
      </c>
      <c r="Z29" s="101"/>
      <c r="AA29" s="101"/>
      <c r="AB29" s="101"/>
      <c r="AC29" s="101"/>
      <c r="AD29" s="101"/>
      <c r="AE29" s="101"/>
      <c r="AF29" s="101">
        <v>224530.89499999999</v>
      </c>
    </row>
    <row r="30" spans="2:32">
      <c r="B30" s="105" t="s">
        <v>65</v>
      </c>
      <c r="C30" s="106">
        <v>56074.631999999998</v>
      </c>
      <c r="D30" s="106"/>
      <c r="E30" s="106"/>
      <c r="F30" s="106">
        <v>22844.554</v>
      </c>
      <c r="G30" s="106"/>
      <c r="H30" s="106"/>
      <c r="I30" s="106"/>
      <c r="J30" s="106"/>
      <c r="K30" s="106"/>
      <c r="L30" s="106"/>
      <c r="M30" s="106"/>
      <c r="N30" s="106"/>
      <c r="O30" s="106">
        <v>78919.186000000002</v>
      </c>
      <c r="P30" s="105" t="s">
        <v>211</v>
      </c>
      <c r="Q30" s="105" t="s">
        <v>744</v>
      </c>
      <c r="S30" s="46" t="s">
        <v>52</v>
      </c>
      <c r="T30" s="101"/>
      <c r="U30" s="101">
        <v>138642.024</v>
      </c>
      <c r="V30" s="101"/>
      <c r="W30" s="101"/>
      <c r="X30" s="101"/>
      <c r="Y30" s="101"/>
      <c r="Z30" s="101"/>
      <c r="AA30" s="101"/>
      <c r="AB30" s="101"/>
      <c r="AC30" s="101"/>
      <c r="AD30" s="101"/>
      <c r="AE30" s="101"/>
      <c r="AF30" s="101">
        <v>138642.024</v>
      </c>
    </row>
    <row r="31" spans="2:32">
      <c r="B31" s="105" t="s">
        <v>683</v>
      </c>
      <c r="C31" s="106"/>
      <c r="D31" s="106"/>
      <c r="E31" s="106"/>
      <c r="F31" s="106"/>
      <c r="G31" s="106"/>
      <c r="H31" s="106"/>
      <c r="I31" s="106">
        <v>41420.707000000002</v>
      </c>
      <c r="J31" s="106"/>
      <c r="K31" s="106"/>
      <c r="L31" s="106"/>
      <c r="M31" s="106"/>
      <c r="N31" s="106"/>
      <c r="O31" s="106">
        <v>41420.707000000002</v>
      </c>
      <c r="P31" s="105" t="s">
        <v>211</v>
      </c>
      <c r="Q31" s="105" t="s">
        <v>744</v>
      </c>
      <c r="S31" s="46" t="s">
        <v>709</v>
      </c>
      <c r="T31" s="101"/>
      <c r="U31" s="101">
        <v>91118.38</v>
      </c>
      <c r="V31" s="101"/>
      <c r="W31" s="101"/>
      <c r="X31" s="101"/>
      <c r="Y31" s="101"/>
      <c r="Z31" s="101"/>
      <c r="AA31" s="101"/>
      <c r="AB31" s="101"/>
      <c r="AC31" s="101"/>
      <c r="AD31" s="101"/>
      <c r="AE31" s="101"/>
      <c r="AF31" s="101">
        <v>91118.38</v>
      </c>
    </row>
    <row r="32" spans="2:32">
      <c r="B32" s="105" t="s">
        <v>69</v>
      </c>
      <c r="C32" s="106"/>
      <c r="D32" s="106"/>
      <c r="E32" s="106"/>
      <c r="F32" s="106"/>
      <c r="G32" s="106"/>
      <c r="H32" s="106"/>
      <c r="I32" s="106"/>
      <c r="J32" s="106">
        <v>39534.404000000002</v>
      </c>
      <c r="K32" s="106"/>
      <c r="L32" s="106"/>
      <c r="M32" s="106"/>
      <c r="N32" s="106"/>
      <c r="O32" s="106">
        <v>39534.404000000002</v>
      </c>
      <c r="P32" s="105" t="s">
        <v>211</v>
      </c>
      <c r="Q32" s="105" t="s">
        <v>744</v>
      </c>
      <c r="S32" s="46" t="s">
        <v>65</v>
      </c>
      <c r="T32" s="101">
        <v>56074.631999999998</v>
      </c>
      <c r="U32" s="101"/>
      <c r="V32" s="101"/>
      <c r="W32" s="101">
        <v>22844.554</v>
      </c>
      <c r="X32" s="101"/>
      <c r="Y32" s="101"/>
      <c r="Z32" s="101"/>
      <c r="AA32" s="101"/>
      <c r="AB32" s="101"/>
      <c r="AC32" s="101"/>
      <c r="AD32" s="101"/>
      <c r="AE32" s="101"/>
      <c r="AF32" s="101">
        <v>78919.186000000002</v>
      </c>
    </row>
    <row r="33" spans="1:32">
      <c r="B33" s="105" t="s">
        <v>85</v>
      </c>
      <c r="C33" s="106"/>
      <c r="D33" s="106"/>
      <c r="E33" s="106"/>
      <c r="F33" s="106"/>
      <c r="G33" s="106"/>
      <c r="H33" s="106"/>
      <c r="I33" s="106"/>
      <c r="J33" s="106"/>
      <c r="K33" s="106">
        <v>24649.646000000001</v>
      </c>
      <c r="L33" s="106"/>
      <c r="M33" s="106"/>
      <c r="N33" s="106"/>
      <c r="O33" s="106">
        <v>24649.646000000001</v>
      </c>
      <c r="P33" s="105" t="s">
        <v>211</v>
      </c>
      <c r="Q33" s="105" t="s">
        <v>744</v>
      </c>
      <c r="S33" s="46" t="s">
        <v>683</v>
      </c>
      <c r="T33" s="101"/>
      <c r="U33" s="101"/>
      <c r="V33" s="101"/>
      <c r="W33" s="101"/>
      <c r="X33" s="101"/>
      <c r="Y33" s="101"/>
      <c r="Z33" s="101">
        <v>41420.707000000002</v>
      </c>
      <c r="AA33" s="101"/>
      <c r="AB33" s="101"/>
      <c r="AC33" s="101"/>
      <c r="AD33" s="101"/>
      <c r="AE33" s="101"/>
      <c r="AF33" s="101">
        <v>41420.707000000002</v>
      </c>
    </row>
    <row r="34" spans="1:32">
      <c r="B34" s="105" t="s">
        <v>74</v>
      </c>
      <c r="C34" s="106"/>
      <c r="D34" s="106"/>
      <c r="E34" s="106"/>
      <c r="F34" s="106"/>
      <c r="G34" s="106"/>
      <c r="H34" s="106"/>
      <c r="I34" s="106"/>
      <c r="J34" s="106"/>
      <c r="K34" s="106"/>
      <c r="L34" s="106">
        <v>24111.398000000001</v>
      </c>
      <c r="M34" s="106"/>
      <c r="N34" s="106"/>
      <c r="O34" s="106">
        <v>24111.398000000001</v>
      </c>
      <c r="P34" s="105" t="s">
        <v>211</v>
      </c>
      <c r="Q34" s="105" t="s">
        <v>744</v>
      </c>
      <c r="S34" s="46" t="s">
        <v>69</v>
      </c>
      <c r="T34" s="101"/>
      <c r="U34" s="101"/>
      <c r="V34" s="101"/>
      <c r="W34" s="101"/>
      <c r="X34" s="101"/>
      <c r="Y34" s="101"/>
      <c r="Z34" s="101"/>
      <c r="AA34" s="101">
        <v>39534.404000000002</v>
      </c>
      <c r="AB34" s="101"/>
      <c r="AC34" s="101"/>
      <c r="AD34" s="101"/>
      <c r="AE34" s="101"/>
      <c r="AF34" s="101">
        <v>39534.404000000002</v>
      </c>
    </row>
    <row r="35" spans="1:32">
      <c r="B35" s="105" t="s">
        <v>713</v>
      </c>
      <c r="C35" s="106"/>
      <c r="D35" s="106"/>
      <c r="E35" s="106"/>
      <c r="F35" s="106"/>
      <c r="G35" s="106">
        <v>702.49</v>
      </c>
      <c r="H35" s="106"/>
      <c r="I35" s="106"/>
      <c r="J35" s="106"/>
      <c r="K35" s="106"/>
      <c r="L35" s="106"/>
      <c r="M35" s="106"/>
      <c r="N35" s="106"/>
      <c r="O35" s="106">
        <v>702.49</v>
      </c>
      <c r="P35" s="105" t="s">
        <v>211</v>
      </c>
      <c r="Q35" s="105" t="s">
        <v>744</v>
      </c>
      <c r="S35" s="46" t="s">
        <v>85</v>
      </c>
      <c r="T35" s="101"/>
      <c r="U35" s="101"/>
      <c r="V35" s="101"/>
      <c r="W35" s="101"/>
      <c r="X35" s="101"/>
      <c r="Y35" s="101"/>
      <c r="Z35" s="101"/>
      <c r="AA35" s="101"/>
      <c r="AB35" s="101">
        <v>24649.646000000001</v>
      </c>
      <c r="AC35" s="101"/>
      <c r="AD35" s="101"/>
      <c r="AE35" s="101"/>
      <c r="AF35" s="101">
        <v>24649.646000000001</v>
      </c>
    </row>
    <row r="36" spans="1:32">
      <c r="B36" s="107" t="s">
        <v>732</v>
      </c>
      <c r="C36" s="110">
        <v>3597196.8289999999</v>
      </c>
      <c r="D36" s="110">
        <v>2300594.6339999996</v>
      </c>
      <c r="E36" s="110">
        <v>3189819.2489999998</v>
      </c>
      <c r="F36" s="110">
        <v>3773885.264</v>
      </c>
      <c r="G36" s="110">
        <v>5930223.7050000001</v>
      </c>
      <c r="H36" s="110">
        <v>802581.13199999998</v>
      </c>
      <c r="I36" s="110">
        <v>5715311.7089999998</v>
      </c>
      <c r="J36" s="110">
        <v>4419965.9480000008</v>
      </c>
      <c r="K36" s="110">
        <v>7806419.2820000006</v>
      </c>
      <c r="L36" s="110">
        <v>6172299.7779999999</v>
      </c>
      <c r="M36" s="110">
        <v>1552702.696</v>
      </c>
      <c r="N36" s="110">
        <v>1799734.1550000003</v>
      </c>
      <c r="O36" s="110">
        <v>47060734.381000005</v>
      </c>
      <c r="P36" s="105"/>
      <c r="Q36" s="105"/>
      <c r="S36" s="46" t="s">
        <v>74</v>
      </c>
      <c r="T36" s="101"/>
      <c r="U36" s="101"/>
      <c r="V36" s="101"/>
      <c r="W36" s="101"/>
      <c r="X36" s="101"/>
      <c r="Y36" s="101"/>
      <c r="Z36" s="101"/>
      <c r="AA36" s="101"/>
      <c r="AB36" s="101"/>
      <c r="AC36" s="101">
        <v>24111.398000000001</v>
      </c>
      <c r="AD36" s="101"/>
      <c r="AE36" s="101"/>
      <c r="AF36" s="101">
        <v>24111.398000000001</v>
      </c>
    </row>
    <row r="37" spans="1:32">
      <c r="S37" s="46" t="s">
        <v>713</v>
      </c>
      <c r="T37" s="101"/>
      <c r="U37" s="101"/>
      <c r="V37" s="101"/>
      <c r="W37" s="101"/>
      <c r="X37" s="101">
        <v>702.49</v>
      </c>
      <c r="Y37" s="101"/>
      <c r="Z37" s="101"/>
      <c r="AA37" s="101"/>
      <c r="AB37" s="101"/>
      <c r="AC37" s="101"/>
      <c r="AD37" s="101"/>
      <c r="AE37" s="101"/>
      <c r="AF37" s="101">
        <v>702.49</v>
      </c>
    </row>
    <row r="38" spans="1:32" s="108" customFormat="1">
      <c r="S38" s="108" t="s">
        <v>732</v>
      </c>
      <c r="T38" s="111">
        <v>3597196.8289999999</v>
      </c>
      <c r="U38" s="111">
        <v>2300594.6339999996</v>
      </c>
      <c r="V38" s="111">
        <v>3189819.2489999998</v>
      </c>
      <c r="W38" s="111">
        <v>3773885.264</v>
      </c>
      <c r="X38" s="111">
        <v>5930223.7050000001</v>
      </c>
      <c r="Y38" s="111">
        <v>802581.13199999998</v>
      </c>
      <c r="Z38" s="111">
        <v>5715311.7089999998</v>
      </c>
      <c r="AA38" s="111">
        <v>4419965.9480000008</v>
      </c>
      <c r="AB38" s="111">
        <v>7806419.2820000006</v>
      </c>
      <c r="AC38" s="111">
        <v>6172299.7779999999</v>
      </c>
      <c r="AD38" s="111">
        <v>1552702.696</v>
      </c>
      <c r="AE38" s="111">
        <v>1799734.1550000003</v>
      </c>
      <c r="AF38" s="111">
        <v>47060734.381000005</v>
      </c>
    </row>
    <row r="39" spans="1:32">
      <c r="A39" s="99" t="s">
        <v>741</v>
      </c>
      <c r="B39" s="99" t="s">
        <v>46</v>
      </c>
    </row>
    <row r="40" spans="1:32">
      <c r="B40" s="29" t="s">
        <v>47</v>
      </c>
      <c r="S40" s="100" t="s">
        <v>727</v>
      </c>
      <c r="T40" s="46" t="s">
        <v>510</v>
      </c>
    </row>
    <row r="41" spans="1:32">
      <c r="B41" s="27"/>
      <c r="S41" s="100" t="s">
        <v>628</v>
      </c>
      <c r="T41" s="46" t="s">
        <v>669</v>
      </c>
    </row>
    <row r="42" spans="1:32">
      <c r="B42" s="105"/>
      <c r="C42" s="321">
        <v>2023</v>
      </c>
      <c r="D42" s="322"/>
      <c r="E42" s="322"/>
      <c r="F42" s="322"/>
      <c r="G42" s="322"/>
      <c r="H42" s="323"/>
      <c r="I42" s="321">
        <v>2024</v>
      </c>
      <c r="J42" s="322"/>
      <c r="K42" s="322"/>
      <c r="L42" s="322"/>
      <c r="M42" s="322"/>
      <c r="N42" s="323"/>
      <c r="O42" s="112" t="s">
        <v>732</v>
      </c>
      <c r="P42" s="320" t="s">
        <v>209</v>
      </c>
      <c r="Q42" s="320" t="s">
        <v>155</v>
      </c>
      <c r="S42" s="100" t="s">
        <v>626</v>
      </c>
      <c r="T42" s="46" t="s">
        <v>57</v>
      </c>
    </row>
    <row r="43" spans="1:32">
      <c r="B43" s="107" t="s">
        <v>739</v>
      </c>
      <c r="C43" s="113">
        <v>7</v>
      </c>
      <c r="D43" s="113">
        <v>8</v>
      </c>
      <c r="E43" s="113">
        <v>9</v>
      </c>
      <c r="F43" s="113">
        <v>10</v>
      </c>
      <c r="G43" s="113">
        <v>11</v>
      </c>
      <c r="H43" s="113">
        <v>12</v>
      </c>
      <c r="I43" s="113">
        <v>1</v>
      </c>
      <c r="J43" s="113">
        <v>2</v>
      </c>
      <c r="K43" s="113">
        <v>3</v>
      </c>
      <c r="L43" s="113">
        <v>4</v>
      </c>
      <c r="M43" s="113">
        <v>5</v>
      </c>
      <c r="N43" s="113">
        <v>6</v>
      </c>
      <c r="O43" s="113"/>
      <c r="P43" s="320"/>
      <c r="Q43" s="320"/>
    </row>
    <row r="44" spans="1:32">
      <c r="B44" s="119" t="s">
        <v>23</v>
      </c>
      <c r="C44" s="106">
        <v>992417.38699999999</v>
      </c>
      <c r="D44" s="106">
        <v>634702.58200000005</v>
      </c>
      <c r="E44" s="106">
        <v>880027.48600000003</v>
      </c>
      <c r="F44" s="106">
        <v>1041163.309</v>
      </c>
      <c r="G44" s="106">
        <v>1636067.58</v>
      </c>
      <c r="H44" s="106">
        <v>221421.15299999999</v>
      </c>
      <c r="I44" s="106">
        <v>1576776.301</v>
      </c>
      <c r="J44" s="106">
        <v>1219408.129</v>
      </c>
      <c r="K44" s="106">
        <v>2153684.2689999999</v>
      </c>
      <c r="L44" s="106">
        <v>1702853.057</v>
      </c>
      <c r="M44" s="106">
        <v>428369.429</v>
      </c>
      <c r="N44" s="106">
        <v>496522.02799999999</v>
      </c>
      <c r="O44" s="106">
        <v>12983412.710000001</v>
      </c>
      <c r="P44" s="105" t="str">
        <f>VLOOKUP(B44,$B$16:$P$35,15,0)</f>
        <v>Exclude</v>
      </c>
      <c r="Q44" s="105"/>
      <c r="S44" s="100" t="s">
        <v>734</v>
      </c>
      <c r="T44" s="100" t="s">
        <v>621</v>
      </c>
      <c r="U44" s="100" t="s">
        <v>622</v>
      </c>
    </row>
    <row r="45" spans="1:32">
      <c r="B45" s="119" t="s">
        <v>51</v>
      </c>
      <c r="C45" s="106"/>
      <c r="D45" s="106">
        <v>62194.894999999997</v>
      </c>
      <c r="E45" s="106">
        <v>102948.451</v>
      </c>
      <c r="F45" s="106">
        <v>409311.842</v>
      </c>
      <c r="G45" s="106">
        <v>1105539.7790000001</v>
      </c>
      <c r="H45" s="106">
        <v>64535.004000000001</v>
      </c>
      <c r="I45" s="106">
        <v>857701.53899999999</v>
      </c>
      <c r="J45" s="106">
        <v>722560.64300000004</v>
      </c>
      <c r="K45" s="106">
        <v>943393.84400000004</v>
      </c>
      <c r="L45" s="106">
        <v>720252.44499999995</v>
      </c>
      <c r="M45" s="106">
        <v>30798.468000000001</v>
      </c>
      <c r="N45" s="106">
        <v>46910.845000000001</v>
      </c>
      <c r="O45" s="106">
        <v>5066147.7550000008</v>
      </c>
      <c r="P45" s="105" t="str">
        <f t="shared" ref="P45:P63" si="0">VLOOKUP(B45,$B$16:$P$35,15,0)</f>
        <v>Include</v>
      </c>
      <c r="Q45" s="105" t="s">
        <v>743</v>
      </c>
      <c r="T45" s="46">
        <v>2023</v>
      </c>
      <c r="Z45" s="46">
        <v>2024</v>
      </c>
      <c r="AF45" s="46" t="s">
        <v>732</v>
      </c>
    </row>
    <row r="46" spans="1:32">
      <c r="B46" s="119" t="s">
        <v>569</v>
      </c>
      <c r="C46" s="106">
        <v>669474.75</v>
      </c>
      <c r="D46" s="106"/>
      <c r="E46" s="106">
        <v>436389.266</v>
      </c>
      <c r="F46" s="106">
        <v>208342.76199999999</v>
      </c>
      <c r="G46" s="106"/>
      <c r="H46" s="106"/>
      <c r="I46" s="106">
        <v>597572.25</v>
      </c>
      <c r="J46" s="106"/>
      <c r="K46" s="106">
        <v>850813.71900000004</v>
      </c>
      <c r="L46" s="106">
        <v>536604.68799999997</v>
      </c>
      <c r="M46" s="106"/>
      <c r="N46" s="106">
        <v>446322.18400000001</v>
      </c>
      <c r="O46" s="106">
        <v>3745519.6189999999</v>
      </c>
      <c r="P46" s="105" t="str">
        <f t="shared" si="0"/>
        <v>Include</v>
      </c>
      <c r="Q46" s="105" t="s">
        <v>743</v>
      </c>
      <c r="S46" s="100" t="s">
        <v>631</v>
      </c>
      <c r="T46" s="46">
        <v>7</v>
      </c>
      <c r="U46" s="46">
        <v>8</v>
      </c>
      <c r="V46" s="46">
        <v>9</v>
      </c>
      <c r="W46" s="46">
        <v>10</v>
      </c>
      <c r="X46" s="46">
        <v>11</v>
      </c>
      <c r="Y46" s="46">
        <v>12</v>
      </c>
      <c r="Z46" s="46">
        <v>1</v>
      </c>
      <c r="AA46" s="46">
        <v>2</v>
      </c>
      <c r="AB46" s="46">
        <v>3</v>
      </c>
      <c r="AC46" s="46">
        <v>4</v>
      </c>
      <c r="AD46" s="46">
        <v>5</v>
      </c>
      <c r="AE46" s="46">
        <v>6</v>
      </c>
    </row>
    <row r="47" spans="1:32">
      <c r="B47" s="119" t="s">
        <v>63</v>
      </c>
      <c r="C47" s="106"/>
      <c r="D47" s="106">
        <v>139290.66800000001</v>
      </c>
      <c r="E47" s="106">
        <v>89450.077999999994</v>
      </c>
      <c r="F47" s="106">
        <v>107276.141</v>
      </c>
      <c r="G47" s="106">
        <v>156585.03099999999</v>
      </c>
      <c r="H47" s="106">
        <v>105517.148</v>
      </c>
      <c r="I47" s="106"/>
      <c r="J47" s="106">
        <v>149998.641</v>
      </c>
      <c r="K47" s="106">
        <v>137118.57800000001</v>
      </c>
      <c r="L47" s="106">
        <v>163939.625</v>
      </c>
      <c r="M47" s="106">
        <v>103570.5</v>
      </c>
      <c r="N47" s="106"/>
      <c r="O47" s="106">
        <v>1152746.4099999999</v>
      </c>
      <c r="P47" s="105" t="str">
        <f t="shared" si="0"/>
        <v>Include</v>
      </c>
      <c r="Q47" s="105" t="s">
        <v>743</v>
      </c>
      <c r="S47" s="46" t="s">
        <v>23</v>
      </c>
      <c r="T47" s="101">
        <v>992417.38699999999</v>
      </c>
      <c r="U47" s="101">
        <v>634702.58200000005</v>
      </c>
      <c r="V47" s="101">
        <v>880027.48600000003</v>
      </c>
      <c r="W47" s="101">
        <v>1041163.309</v>
      </c>
      <c r="X47" s="101">
        <v>1636067.58</v>
      </c>
      <c r="Y47" s="101">
        <v>221421.15299999999</v>
      </c>
      <c r="Z47" s="101">
        <v>1576776.301</v>
      </c>
      <c r="AA47" s="101">
        <v>1219408.129</v>
      </c>
      <c r="AB47" s="101">
        <v>2153684.2689999999</v>
      </c>
      <c r="AC47" s="101">
        <v>1702853.057</v>
      </c>
      <c r="AD47" s="101">
        <v>428369.429</v>
      </c>
      <c r="AE47" s="101">
        <v>496522.02799999999</v>
      </c>
      <c r="AF47" s="101">
        <v>12983412.710000001</v>
      </c>
    </row>
    <row r="48" spans="1:32">
      <c r="B48" s="119" t="s">
        <v>232</v>
      </c>
      <c r="C48" s="106"/>
      <c r="D48" s="106">
        <v>306441.516</v>
      </c>
      <c r="E48" s="106"/>
      <c r="F48" s="106"/>
      <c r="G48" s="106">
        <v>96419.093999999997</v>
      </c>
      <c r="H48" s="106"/>
      <c r="I48" s="106"/>
      <c r="J48" s="106">
        <v>239674.92199999999</v>
      </c>
      <c r="K48" s="106"/>
      <c r="L48" s="106"/>
      <c r="M48" s="106">
        <v>254400.93799999999</v>
      </c>
      <c r="N48" s="106"/>
      <c r="O48" s="106">
        <v>896936.47</v>
      </c>
      <c r="P48" s="105" t="str">
        <f t="shared" si="0"/>
        <v>Include</v>
      </c>
      <c r="Q48" s="105" t="s">
        <v>743</v>
      </c>
      <c r="S48" s="46" t="s">
        <v>51</v>
      </c>
      <c r="T48" s="101"/>
      <c r="U48" s="101">
        <v>62194.894999999997</v>
      </c>
      <c r="V48" s="101">
        <v>102948.451</v>
      </c>
      <c r="W48" s="101">
        <v>409311.842</v>
      </c>
      <c r="X48" s="101">
        <v>1105539.7790000001</v>
      </c>
      <c r="Y48" s="101">
        <v>64535.004000000001</v>
      </c>
      <c r="Z48" s="101">
        <v>857701.53899999999</v>
      </c>
      <c r="AA48" s="101">
        <v>722560.64300000004</v>
      </c>
      <c r="AB48" s="101">
        <v>943393.84400000004</v>
      </c>
      <c r="AC48" s="101">
        <v>720252.44499999995</v>
      </c>
      <c r="AD48" s="101">
        <v>30798.468000000001</v>
      </c>
      <c r="AE48" s="101">
        <v>46910.845000000001</v>
      </c>
      <c r="AF48" s="101">
        <v>5066147.7550000008</v>
      </c>
    </row>
    <row r="49" spans="2:32">
      <c r="B49" s="119" t="s">
        <v>25</v>
      </c>
      <c r="C49" s="106"/>
      <c r="D49" s="106"/>
      <c r="E49" s="106">
        <v>109450</v>
      </c>
      <c r="F49" s="106">
        <v>8850.0010000000002</v>
      </c>
      <c r="G49" s="106">
        <v>255953.50099999999</v>
      </c>
      <c r="H49" s="106">
        <v>5513.0010000000002</v>
      </c>
      <c r="I49" s="106"/>
      <c r="J49" s="106"/>
      <c r="K49" s="106">
        <v>64626.993999999999</v>
      </c>
      <c r="L49" s="106"/>
      <c r="M49" s="106"/>
      <c r="N49" s="106"/>
      <c r="O49" s="106">
        <v>444393.49699999997</v>
      </c>
      <c r="P49" s="105" t="str">
        <f t="shared" si="0"/>
        <v>Include</v>
      </c>
      <c r="Q49" s="105" t="s">
        <v>743</v>
      </c>
      <c r="S49" s="46" t="s">
        <v>569</v>
      </c>
      <c r="T49" s="101">
        <v>669474.75</v>
      </c>
      <c r="U49" s="101"/>
      <c r="V49" s="101">
        <v>436389.266</v>
      </c>
      <c r="W49" s="101">
        <v>208342.76199999999</v>
      </c>
      <c r="X49" s="101"/>
      <c r="Y49" s="101"/>
      <c r="Z49" s="101">
        <v>597572.25</v>
      </c>
      <c r="AA49" s="101"/>
      <c r="AB49" s="101">
        <v>850813.71900000004</v>
      </c>
      <c r="AC49" s="101">
        <v>536604.68799999997</v>
      </c>
      <c r="AD49" s="101"/>
      <c r="AE49" s="101">
        <v>446322.18400000001</v>
      </c>
      <c r="AF49" s="101">
        <v>3745519.6189999999</v>
      </c>
    </row>
    <row r="50" spans="2:32">
      <c r="B50" s="119" t="s">
        <v>71</v>
      </c>
      <c r="C50" s="106">
        <v>226636.016</v>
      </c>
      <c r="D50" s="106"/>
      <c r="E50" s="106"/>
      <c r="F50" s="106">
        <v>8862.0010000000002</v>
      </c>
      <c r="G50" s="106"/>
      <c r="H50" s="106"/>
      <c r="I50" s="106"/>
      <c r="J50" s="106">
        <v>85359.922000000006</v>
      </c>
      <c r="K50" s="106">
        <v>30402.001</v>
      </c>
      <c r="L50" s="106"/>
      <c r="M50" s="106">
        <v>32373.361000000001</v>
      </c>
      <c r="N50" s="106">
        <v>3289</v>
      </c>
      <c r="O50" s="106">
        <v>386922.30099999998</v>
      </c>
      <c r="P50" s="105" t="str">
        <f t="shared" si="0"/>
        <v>Include</v>
      </c>
      <c r="Q50" s="105" t="s">
        <v>743</v>
      </c>
      <c r="S50" s="46" t="s">
        <v>63</v>
      </c>
      <c r="T50" s="101"/>
      <c r="U50" s="101">
        <v>139290.66800000001</v>
      </c>
      <c r="V50" s="101">
        <v>89450.077999999994</v>
      </c>
      <c r="W50" s="101">
        <v>107276.141</v>
      </c>
      <c r="X50" s="101">
        <v>156585.03099999999</v>
      </c>
      <c r="Y50" s="101">
        <v>105517.148</v>
      </c>
      <c r="Z50" s="101"/>
      <c r="AA50" s="101">
        <v>149998.641</v>
      </c>
      <c r="AB50" s="101">
        <v>137118.57800000001</v>
      </c>
      <c r="AC50" s="101">
        <v>163939.625</v>
      </c>
      <c r="AD50" s="101">
        <v>103570.5</v>
      </c>
      <c r="AE50" s="101"/>
      <c r="AF50" s="101">
        <v>1152746.4099999999</v>
      </c>
    </row>
    <row r="51" spans="2:32">
      <c r="B51" s="119" t="s">
        <v>64</v>
      </c>
      <c r="C51" s="106"/>
      <c r="D51" s="106"/>
      <c r="E51" s="106">
        <v>66503.687999999995</v>
      </c>
      <c r="F51" s="106">
        <v>158069.56299999999</v>
      </c>
      <c r="G51" s="106"/>
      <c r="H51" s="106"/>
      <c r="I51" s="106">
        <v>58174.112999999998</v>
      </c>
      <c r="J51" s="106"/>
      <c r="K51" s="106"/>
      <c r="L51" s="106"/>
      <c r="M51" s="106">
        <v>7226.1629999999996</v>
      </c>
      <c r="N51" s="106"/>
      <c r="O51" s="106">
        <v>289973.527</v>
      </c>
      <c r="P51" s="105" t="str">
        <f t="shared" si="0"/>
        <v>Include</v>
      </c>
      <c r="Q51" s="105" t="s">
        <v>743</v>
      </c>
      <c r="S51" s="46" t="s">
        <v>232</v>
      </c>
      <c r="T51" s="101"/>
      <c r="U51" s="101">
        <v>306441.516</v>
      </c>
      <c r="V51" s="101"/>
      <c r="W51" s="101"/>
      <c r="X51" s="101">
        <v>96419.093999999997</v>
      </c>
      <c r="Y51" s="101"/>
      <c r="Z51" s="101"/>
      <c r="AA51" s="101">
        <v>239674.92199999999</v>
      </c>
      <c r="AB51" s="101"/>
      <c r="AC51" s="101"/>
      <c r="AD51" s="101">
        <v>254400.93799999999</v>
      </c>
      <c r="AE51" s="101"/>
      <c r="AF51" s="101">
        <v>896936.47</v>
      </c>
    </row>
    <row r="52" spans="2:32">
      <c r="B52" s="119" t="s">
        <v>60</v>
      </c>
      <c r="C52" s="106">
        <v>50376.173999999999</v>
      </c>
      <c r="D52" s="106"/>
      <c r="E52" s="106"/>
      <c r="F52" s="106">
        <v>127846</v>
      </c>
      <c r="G52" s="106"/>
      <c r="H52" s="106"/>
      <c r="I52" s="106"/>
      <c r="J52" s="106"/>
      <c r="K52" s="106"/>
      <c r="L52" s="106">
        <v>110972.477</v>
      </c>
      <c r="M52" s="106"/>
      <c r="N52" s="106"/>
      <c r="O52" s="106">
        <v>289194.65100000001</v>
      </c>
      <c r="P52" s="105" t="str">
        <f t="shared" si="0"/>
        <v>Include</v>
      </c>
      <c r="Q52" s="105" t="s">
        <v>743</v>
      </c>
      <c r="S52" s="46" t="s">
        <v>25</v>
      </c>
      <c r="T52" s="101"/>
      <c r="U52" s="101"/>
      <c r="V52" s="101">
        <v>109450</v>
      </c>
      <c r="W52" s="101">
        <v>8850.0010000000002</v>
      </c>
      <c r="X52" s="101">
        <v>255953.50099999999</v>
      </c>
      <c r="Y52" s="101">
        <v>5513.0010000000002</v>
      </c>
      <c r="Z52" s="101"/>
      <c r="AA52" s="101"/>
      <c r="AB52" s="101">
        <v>64626.993999999999</v>
      </c>
      <c r="AC52" s="101"/>
      <c r="AD52" s="101"/>
      <c r="AE52" s="101"/>
      <c r="AF52" s="101">
        <v>444393.49699999997</v>
      </c>
    </row>
    <row r="53" spans="2:32">
      <c r="B53" s="119" t="s">
        <v>30</v>
      </c>
      <c r="C53" s="106"/>
      <c r="D53" s="106"/>
      <c r="E53" s="106"/>
      <c r="F53" s="106"/>
      <c r="G53" s="106">
        <v>21182.561000000002</v>
      </c>
      <c r="H53" s="106">
        <v>12242</v>
      </c>
      <c r="I53" s="106">
        <v>40473.586000000003</v>
      </c>
      <c r="J53" s="106"/>
      <c r="K53" s="106">
        <v>113728.133</v>
      </c>
      <c r="L53" s="106"/>
      <c r="M53" s="106"/>
      <c r="N53" s="106"/>
      <c r="O53" s="106">
        <v>187626.28</v>
      </c>
      <c r="P53" s="105" t="str">
        <f t="shared" si="0"/>
        <v>Include</v>
      </c>
      <c r="Q53" s="105" t="s">
        <v>743</v>
      </c>
      <c r="S53" s="46" t="s">
        <v>71</v>
      </c>
      <c r="T53" s="101">
        <v>226636.016</v>
      </c>
      <c r="U53" s="101"/>
      <c r="V53" s="101"/>
      <c r="W53" s="101">
        <v>8862.0010000000002</v>
      </c>
      <c r="X53" s="101"/>
      <c r="Y53" s="101"/>
      <c r="Z53" s="101"/>
      <c r="AA53" s="101">
        <v>85359.922000000006</v>
      </c>
      <c r="AB53" s="101">
        <v>30402.001</v>
      </c>
      <c r="AC53" s="101"/>
      <c r="AD53" s="101">
        <v>32373.361000000001</v>
      </c>
      <c r="AE53" s="101">
        <v>3289</v>
      </c>
      <c r="AF53" s="101">
        <v>386922.30099999998</v>
      </c>
    </row>
    <row r="54" spans="2:32">
      <c r="B54" s="119" t="s">
        <v>225</v>
      </c>
      <c r="C54" s="106"/>
      <c r="D54" s="106"/>
      <c r="E54" s="106"/>
      <c r="F54" s="106"/>
      <c r="G54" s="106"/>
      <c r="H54" s="106"/>
      <c r="I54" s="106"/>
      <c r="J54" s="106"/>
      <c r="K54" s="106"/>
      <c r="L54" s="106">
        <v>157779.81299999999</v>
      </c>
      <c r="M54" s="106"/>
      <c r="N54" s="106"/>
      <c r="O54" s="106">
        <v>157779.81299999999</v>
      </c>
      <c r="P54" s="105" t="str">
        <f t="shared" si="0"/>
        <v>Include</v>
      </c>
      <c r="Q54" s="105" t="s">
        <v>743</v>
      </c>
      <c r="S54" s="46" t="s">
        <v>64</v>
      </c>
      <c r="T54" s="101"/>
      <c r="U54" s="101"/>
      <c r="V54" s="101">
        <v>66503.687999999995</v>
      </c>
      <c r="W54" s="101">
        <v>158069.56299999999</v>
      </c>
      <c r="X54" s="101"/>
      <c r="Y54" s="101"/>
      <c r="Z54" s="101">
        <v>58174.112999999998</v>
      </c>
      <c r="AA54" s="101"/>
      <c r="AB54" s="101"/>
      <c r="AC54" s="101"/>
      <c r="AD54" s="101">
        <v>7226.1629999999996</v>
      </c>
      <c r="AE54" s="101"/>
      <c r="AF54" s="101">
        <v>289973.527</v>
      </c>
    </row>
    <row r="55" spans="2:32">
      <c r="B55" s="119" t="s">
        <v>29</v>
      </c>
      <c r="C55" s="106">
        <v>14990</v>
      </c>
      <c r="D55" s="106"/>
      <c r="E55" s="106">
        <v>75286.004000000001</v>
      </c>
      <c r="F55" s="106"/>
      <c r="G55" s="106"/>
      <c r="H55" s="106">
        <v>33614</v>
      </c>
      <c r="I55" s="106"/>
      <c r="J55" s="106"/>
      <c r="K55" s="106"/>
      <c r="L55" s="106"/>
      <c r="M55" s="106"/>
      <c r="N55" s="106"/>
      <c r="O55" s="106">
        <v>123890.004</v>
      </c>
      <c r="P55" s="105" t="str">
        <f t="shared" si="0"/>
        <v>Exclude</v>
      </c>
      <c r="Q55" s="105"/>
      <c r="S55" s="46" t="s">
        <v>60</v>
      </c>
      <c r="T55" s="101">
        <v>50376.173999999999</v>
      </c>
      <c r="U55" s="101"/>
      <c r="V55" s="101"/>
      <c r="W55" s="101">
        <v>127846</v>
      </c>
      <c r="X55" s="101"/>
      <c r="Y55" s="101"/>
      <c r="Z55" s="101"/>
      <c r="AA55" s="101"/>
      <c r="AB55" s="101"/>
      <c r="AC55" s="101">
        <v>110972.477</v>
      </c>
      <c r="AD55" s="101"/>
      <c r="AE55" s="101"/>
      <c r="AF55" s="101">
        <v>289194.65100000001</v>
      </c>
    </row>
    <row r="56" spans="2:32">
      <c r="B56" s="119" t="s">
        <v>52</v>
      </c>
      <c r="C56" s="106"/>
      <c r="D56" s="106">
        <v>76498.875</v>
      </c>
      <c r="E56" s="106"/>
      <c r="F56" s="106"/>
      <c r="G56" s="106"/>
      <c r="H56" s="106"/>
      <c r="I56" s="106"/>
      <c r="J56" s="106"/>
      <c r="K56" s="106"/>
      <c r="L56" s="106"/>
      <c r="M56" s="106"/>
      <c r="N56" s="106"/>
      <c r="O56" s="106">
        <v>76498.875</v>
      </c>
      <c r="P56" s="105" t="str">
        <f t="shared" si="0"/>
        <v>Include</v>
      </c>
      <c r="Q56" s="105" t="s">
        <v>743</v>
      </c>
      <c r="S56" s="46" t="s">
        <v>30</v>
      </c>
      <c r="T56" s="101"/>
      <c r="U56" s="101"/>
      <c r="V56" s="101"/>
      <c r="W56" s="101"/>
      <c r="X56" s="101">
        <v>21182.561000000002</v>
      </c>
      <c r="Y56" s="101">
        <v>12242</v>
      </c>
      <c r="Z56" s="101">
        <v>40473.586000000003</v>
      </c>
      <c r="AA56" s="101"/>
      <c r="AB56" s="101">
        <v>113728.133</v>
      </c>
      <c r="AC56" s="101"/>
      <c r="AD56" s="101"/>
      <c r="AE56" s="101"/>
      <c r="AF56" s="101">
        <v>187626.28</v>
      </c>
    </row>
    <row r="57" spans="2:32">
      <c r="B57" s="119" t="s">
        <v>709</v>
      </c>
      <c r="C57" s="106"/>
      <c r="D57" s="106">
        <v>50276.629000000001</v>
      </c>
      <c r="E57" s="106"/>
      <c r="F57" s="106"/>
      <c r="G57" s="106"/>
      <c r="H57" s="106"/>
      <c r="I57" s="106"/>
      <c r="J57" s="106"/>
      <c r="K57" s="106"/>
      <c r="L57" s="106"/>
      <c r="M57" s="106"/>
      <c r="N57" s="106"/>
      <c r="O57" s="106">
        <v>50276.629000000001</v>
      </c>
      <c r="P57" s="105" t="str">
        <f t="shared" si="0"/>
        <v>Include</v>
      </c>
      <c r="Q57" s="105" t="s">
        <v>743</v>
      </c>
      <c r="S57" s="46" t="s">
        <v>225</v>
      </c>
      <c r="T57" s="101"/>
      <c r="U57" s="101"/>
      <c r="V57" s="101"/>
      <c r="W57" s="101"/>
      <c r="X57" s="101"/>
      <c r="Y57" s="101"/>
      <c r="Z57" s="101"/>
      <c r="AA57" s="101"/>
      <c r="AB57" s="101"/>
      <c r="AC57" s="101">
        <v>157779.81299999999</v>
      </c>
      <c r="AD57" s="101"/>
      <c r="AE57" s="101"/>
      <c r="AF57" s="101">
        <v>157779.81299999999</v>
      </c>
    </row>
    <row r="58" spans="2:32">
      <c r="B58" s="119" t="s">
        <v>65</v>
      </c>
      <c r="C58" s="106">
        <v>30940.447</v>
      </c>
      <c r="D58" s="106"/>
      <c r="E58" s="106"/>
      <c r="F58" s="106">
        <v>12605</v>
      </c>
      <c r="G58" s="106"/>
      <c r="H58" s="106"/>
      <c r="I58" s="106"/>
      <c r="J58" s="106"/>
      <c r="K58" s="106"/>
      <c r="L58" s="106"/>
      <c r="M58" s="106"/>
      <c r="N58" s="106"/>
      <c r="O58" s="106">
        <v>43545.447</v>
      </c>
      <c r="P58" s="105" t="str">
        <f t="shared" si="0"/>
        <v>Include</v>
      </c>
      <c r="Q58" s="105" t="s">
        <v>743</v>
      </c>
      <c r="S58" s="46" t="s">
        <v>29</v>
      </c>
      <c r="T58" s="101">
        <v>14990</v>
      </c>
      <c r="U58" s="101"/>
      <c r="V58" s="101">
        <v>75286.004000000001</v>
      </c>
      <c r="W58" s="101"/>
      <c r="X58" s="101"/>
      <c r="Y58" s="101">
        <v>33614</v>
      </c>
      <c r="Z58" s="101"/>
      <c r="AA58" s="101"/>
      <c r="AB58" s="101"/>
      <c r="AC58" s="101"/>
      <c r="AD58" s="101"/>
      <c r="AE58" s="101"/>
      <c r="AF58" s="101">
        <v>123890.004</v>
      </c>
    </row>
    <row r="59" spans="2:32">
      <c r="B59" s="119" t="s">
        <v>683</v>
      </c>
      <c r="C59" s="106"/>
      <c r="D59" s="106"/>
      <c r="E59" s="106"/>
      <c r="F59" s="106"/>
      <c r="G59" s="106"/>
      <c r="H59" s="106"/>
      <c r="I59" s="106">
        <v>22854.812999999998</v>
      </c>
      <c r="J59" s="106"/>
      <c r="K59" s="106"/>
      <c r="L59" s="106"/>
      <c r="M59" s="106"/>
      <c r="N59" s="106"/>
      <c r="O59" s="106">
        <v>22854.812999999998</v>
      </c>
      <c r="P59" s="105" t="str">
        <f t="shared" si="0"/>
        <v>Include</v>
      </c>
      <c r="Q59" s="105" t="s">
        <v>743</v>
      </c>
      <c r="S59" s="46" t="s">
        <v>52</v>
      </c>
      <c r="T59" s="101"/>
      <c r="U59" s="101">
        <v>76498.875</v>
      </c>
      <c r="V59" s="101"/>
      <c r="W59" s="101"/>
      <c r="X59" s="101"/>
      <c r="Y59" s="101"/>
      <c r="Z59" s="101"/>
      <c r="AA59" s="101"/>
      <c r="AB59" s="101"/>
      <c r="AC59" s="101"/>
      <c r="AD59" s="101"/>
      <c r="AE59" s="101"/>
      <c r="AF59" s="101">
        <v>76498.875</v>
      </c>
    </row>
    <row r="60" spans="2:32">
      <c r="B60" s="119" t="s">
        <v>69</v>
      </c>
      <c r="C60" s="106"/>
      <c r="D60" s="106"/>
      <c r="E60" s="106"/>
      <c r="F60" s="106"/>
      <c r="G60" s="106"/>
      <c r="H60" s="106"/>
      <c r="I60" s="106"/>
      <c r="J60" s="106">
        <v>21814.002</v>
      </c>
      <c r="K60" s="106"/>
      <c r="L60" s="106"/>
      <c r="M60" s="106"/>
      <c r="N60" s="106"/>
      <c r="O60" s="106">
        <v>21814.002</v>
      </c>
      <c r="P60" s="105" t="str">
        <f t="shared" si="0"/>
        <v>Include</v>
      </c>
      <c r="Q60" s="105" t="s">
        <v>743</v>
      </c>
      <c r="S60" s="46" t="s">
        <v>709</v>
      </c>
      <c r="T60" s="101"/>
      <c r="U60" s="101">
        <v>50276.629000000001</v>
      </c>
      <c r="V60" s="101"/>
      <c r="W60" s="101"/>
      <c r="X60" s="101"/>
      <c r="Y60" s="101"/>
      <c r="Z60" s="101"/>
      <c r="AA60" s="101"/>
      <c r="AB60" s="101"/>
      <c r="AC60" s="101"/>
      <c r="AD60" s="101"/>
      <c r="AE60" s="101"/>
      <c r="AF60" s="101">
        <v>50276.629000000001</v>
      </c>
    </row>
    <row r="61" spans="2:32">
      <c r="B61" s="119" t="s">
        <v>85</v>
      </c>
      <c r="C61" s="106"/>
      <c r="D61" s="106"/>
      <c r="E61" s="106"/>
      <c r="F61" s="106"/>
      <c r="G61" s="106"/>
      <c r="H61" s="106"/>
      <c r="I61" s="106"/>
      <c r="J61" s="106"/>
      <c r="K61" s="106">
        <v>13601</v>
      </c>
      <c r="L61" s="106"/>
      <c r="M61" s="106"/>
      <c r="N61" s="106"/>
      <c r="O61" s="106">
        <v>13601</v>
      </c>
      <c r="P61" s="105" t="str">
        <f t="shared" si="0"/>
        <v>Include</v>
      </c>
      <c r="Q61" s="105" t="s">
        <v>743</v>
      </c>
      <c r="S61" s="46" t="s">
        <v>65</v>
      </c>
      <c r="T61" s="101">
        <v>30940.447</v>
      </c>
      <c r="U61" s="101"/>
      <c r="V61" s="101"/>
      <c r="W61" s="101">
        <v>12605</v>
      </c>
      <c r="X61" s="101"/>
      <c r="Y61" s="101"/>
      <c r="Z61" s="101"/>
      <c r="AA61" s="101"/>
      <c r="AB61" s="101"/>
      <c r="AC61" s="101"/>
      <c r="AD61" s="101"/>
      <c r="AE61" s="101"/>
      <c r="AF61" s="101">
        <v>43545.447</v>
      </c>
    </row>
    <row r="62" spans="2:32">
      <c r="B62" s="119" t="s">
        <v>74</v>
      </c>
      <c r="C62" s="106"/>
      <c r="D62" s="106"/>
      <c r="E62" s="106"/>
      <c r="F62" s="106"/>
      <c r="G62" s="106"/>
      <c r="H62" s="106"/>
      <c r="I62" s="106"/>
      <c r="J62" s="106"/>
      <c r="K62" s="106"/>
      <c r="L62" s="106">
        <v>13304.01</v>
      </c>
      <c r="M62" s="106"/>
      <c r="N62" s="106"/>
      <c r="O62" s="106">
        <v>13304.01</v>
      </c>
      <c r="P62" s="105" t="str">
        <f t="shared" si="0"/>
        <v>Include</v>
      </c>
      <c r="Q62" s="105" t="s">
        <v>743</v>
      </c>
      <c r="S62" s="46" t="s">
        <v>683</v>
      </c>
      <c r="T62" s="101"/>
      <c r="U62" s="101"/>
      <c r="V62" s="101"/>
      <c r="W62" s="101"/>
      <c r="X62" s="101"/>
      <c r="Y62" s="101"/>
      <c r="Z62" s="101">
        <v>22854.812999999998</v>
      </c>
      <c r="AA62" s="101"/>
      <c r="AB62" s="101"/>
      <c r="AC62" s="101"/>
      <c r="AD62" s="101"/>
      <c r="AE62" s="101"/>
      <c r="AF62" s="101">
        <v>22854.812999999998</v>
      </c>
    </row>
    <row r="63" spans="2:32">
      <c r="B63" s="119" t="s">
        <v>713</v>
      </c>
      <c r="C63" s="106"/>
      <c r="D63" s="106"/>
      <c r="E63" s="106"/>
      <c r="F63" s="106"/>
      <c r="G63" s="106">
        <v>387.61500000000001</v>
      </c>
      <c r="H63" s="106"/>
      <c r="I63" s="106"/>
      <c r="J63" s="106"/>
      <c r="K63" s="106"/>
      <c r="L63" s="106"/>
      <c r="M63" s="106"/>
      <c r="N63" s="106"/>
      <c r="O63" s="106">
        <v>387.61500000000001</v>
      </c>
      <c r="P63" s="105" t="str">
        <f t="shared" si="0"/>
        <v>Include</v>
      </c>
      <c r="Q63" s="105" t="s">
        <v>743</v>
      </c>
      <c r="S63" s="46" t="s">
        <v>69</v>
      </c>
      <c r="T63" s="101"/>
      <c r="U63" s="101"/>
      <c r="V63" s="101"/>
      <c r="W63" s="101"/>
      <c r="X63" s="101"/>
      <c r="Y63" s="101"/>
      <c r="Z63" s="101"/>
      <c r="AA63" s="101">
        <v>21814.002</v>
      </c>
      <c r="AB63" s="101"/>
      <c r="AC63" s="101"/>
      <c r="AD63" s="101"/>
      <c r="AE63" s="101"/>
      <c r="AF63" s="101">
        <v>21814.002</v>
      </c>
    </row>
    <row r="64" spans="2:32">
      <c r="B64" s="120" t="s">
        <v>732</v>
      </c>
      <c r="C64" s="110">
        <v>1984834.774</v>
      </c>
      <c r="D64" s="110">
        <v>1269405.165</v>
      </c>
      <c r="E64" s="110">
        <v>1760054.973</v>
      </c>
      <c r="F64" s="110">
        <v>2082326.6189999999</v>
      </c>
      <c r="G64" s="110">
        <v>3272135.1610000003</v>
      </c>
      <c r="H64" s="110">
        <v>442842.30599999998</v>
      </c>
      <c r="I64" s="110">
        <v>3153552.602</v>
      </c>
      <c r="J64" s="110">
        <v>2438816.2590000001</v>
      </c>
      <c r="K64" s="110">
        <v>4307368.5380000006</v>
      </c>
      <c r="L64" s="110">
        <v>3405706.1150000002</v>
      </c>
      <c r="M64" s="110">
        <v>856738.85899999994</v>
      </c>
      <c r="N64" s="110">
        <v>993044.05700000003</v>
      </c>
      <c r="O64" s="110">
        <v>25966825.427999999</v>
      </c>
      <c r="P64" s="105"/>
      <c r="Q64" s="105"/>
      <c r="S64" s="46" t="s">
        <v>85</v>
      </c>
      <c r="T64" s="101"/>
      <c r="U64" s="101"/>
      <c r="V64" s="101"/>
      <c r="W64" s="101"/>
      <c r="X64" s="101"/>
      <c r="Y64" s="101"/>
      <c r="Z64" s="101"/>
      <c r="AA64" s="101"/>
      <c r="AB64" s="101">
        <v>13601</v>
      </c>
      <c r="AC64" s="101"/>
      <c r="AD64" s="101"/>
      <c r="AE64" s="101"/>
      <c r="AF64" s="101">
        <v>13601</v>
      </c>
    </row>
    <row r="65" spans="1:48">
      <c r="B65" s="116"/>
      <c r="C65" s="116"/>
      <c r="D65" s="116"/>
      <c r="E65" s="116"/>
      <c r="F65" s="116"/>
      <c r="G65" s="116"/>
      <c r="H65" s="116"/>
      <c r="I65" s="116"/>
      <c r="J65" s="116"/>
      <c r="K65" s="116"/>
      <c r="L65" s="116"/>
      <c r="M65" s="116"/>
      <c r="N65" s="116"/>
      <c r="O65" s="116"/>
      <c r="P65" s="116"/>
      <c r="Q65" s="116"/>
      <c r="S65" s="46" t="s">
        <v>74</v>
      </c>
      <c r="T65" s="101"/>
      <c r="U65" s="101"/>
      <c r="V65" s="101"/>
      <c r="W65" s="101"/>
      <c r="X65" s="101"/>
      <c r="Y65" s="101"/>
      <c r="Z65" s="101"/>
      <c r="AA65" s="101"/>
      <c r="AB65" s="101"/>
      <c r="AC65" s="101">
        <v>13304.01</v>
      </c>
      <c r="AD65" s="101"/>
      <c r="AE65" s="101"/>
      <c r="AF65" s="101">
        <v>13304.01</v>
      </c>
    </row>
    <row r="66" spans="1:48">
      <c r="B66" s="117"/>
      <c r="C66" s="118"/>
      <c r="D66" s="118"/>
      <c r="E66" s="118"/>
      <c r="F66" s="118"/>
      <c r="G66" s="118"/>
      <c r="H66" s="118"/>
      <c r="I66" s="118"/>
      <c r="J66" s="118"/>
      <c r="K66" s="118"/>
      <c r="L66" s="118"/>
      <c r="M66" s="118"/>
      <c r="N66" s="118"/>
      <c r="O66" s="118"/>
      <c r="P66" s="118"/>
      <c r="Q66" s="118"/>
      <c r="S66" s="46" t="s">
        <v>713</v>
      </c>
      <c r="T66" s="101"/>
      <c r="U66" s="101"/>
      <c r="V66" s="101"/>
      <c r="W66" s="101"/>
      <c r="X66" s="101">
        <v>387.61500000000001</v>
      </c>
      <c r="Y66" s="101"/>
      <c r="Z66" s="101"/>
      <c r="AA66" s="101"/>
      <c r="AB66" s="101"/>
      <c r="AC66" s="101"/>
      <c r="AD66" s="101"/>
      <c r="AE66" s="101"/>
      <c r="AF66" s="101">
        <v>387.61500000000001</v>
      </c>
    </row>
    <row r="67" spans="1:48">
      <c r="B67" s="117"/>
      <c r="C67" s="118"/>
      <c r="D67" s="118"/>
      <c r="E67" s="118"/>
      <c r="F67" s="118"/>
      <c r="G67" s="118"/>
      <c r="H67" s="118"/>
      <c r="I67" s="118"/>
      <c r="J67" s="118"/>
      <c r="K67" s="118"/>
      <c r="L67" s="118"/>
      <c r="M67" s="118"/>
      <c r="N67" s="118"/>
      <c r="O67" s="118"/>
      <c r="P67" s="118"/>
      <c r="Q67" s="118"/>
      <c r="S67" s="46" t="s">
        <v>732</v>
      </c>
      <c r="T67" s="101">
        <v>1984834.774</v>
      </c>
      <c r="U67" s="101">
        <v>1269405.165</v>
      </c>
      <c r="V67" s="101">
        <v>1760054.973</v>
      </c>
      <c r="W67" s="101">
        <v>2082326.6189999999</v>
      </c>
      <c r="X67" s="101">
        <v>3272135.1610000003</v>
      </c>
      <c r="Y67" s="101">
        <v>442842.30599999998</v>
      </c>
      <c r="Z67" s="101">
        <v>3153552.602</v>
      </c>
      <c r="AA67" s="101">
        <v>2438816.2590000001</v>
      </c>
      <c r="AB67" s="101">
        <v>4307368.5380000006</v>
      </c>
      <c r="AC67" s="101">
        <v>3405706.1150000002</v>
      </c>
      <c r="AD67" s="101">
        <v>856738.85899999994</v>
      </c>
      <c r="AE67" s="101">
        <v>993044.05700000003</v>
      </c>
      <c r="AF67" s="101">
        <v>25966825.427999999</v>
      </c>
    </row>
    <row r="68" spans="1:48" ht="27">
      <c r="B68" s="102" t="s">
        <v>203</v>
      </c>
      <c r="C68" s="102" t="s">
        <v>48</v>
      </c>
      <c r="D68" s="102" t="s">
        <v>204</v>
      </c>
    </row>
    <row r="69" spans="1:48">
      <c r="B69" s="103">
        <f>SUMIFS(O:O,P:P,"Include",Q:Q,"QTY")*1000</f>
        <v>23305836294.999992</v>
      </c>
      <c r="C69" s="103">
        <f>SUMIFS(O:O,P:P,"Include",Q:Q,"VAL")*1000</f>
        <v>12859522714.000002</v>
      </c>
      <c r="D69" s="104">
        <f>C69/B69</f>
        <v>0.55177263545607536</v>
      </c>
    </row>
    <row r="70" spans="1:48">
      <c r="B70" s="122"/>
      <c r="C70" s="122"/>
      <c r="D70" s="123"/>
    </row>
    <row r="72" spans="1:48" s="121" customFormat="1" ht="2.25" customHeight="1"/>
    <row r="74" spans="1:48" ht="27">
      <c r="B74" s="115" t="s">
        <v>742</v>
      </c>
      <c r="L74" s="102" t="s">
        <v>730</v>
      </c>
      <c r="O74" s="102" t="s">
        <v>731</v>
      </c>
      <c r="AG74" s="102" t="s">
        <v>729</v>
      </c>
      <c r="AS74" s="102" t="s">
        <v>728</v>
      </c>
    </row>
    <row r="75" spans="1:48" ht="40.5">
      <c r="A75" s="102" t="s">
        <v>727</v>
      </c>
      <c r="B75" s="102" t="s">
        <v>618</v>
      </c>
      <c r="C75" s="102" t="s">
        <v>619</v>
      </c>
      <c r="D75" s="102" t="s">
        <v>620</v>
      </c>
      <c r="E75" s="102" t="s">
        <v>621</v>
      </c>
      <c r="F75" s="102" t="s">
        <v>622</v>
      </c>
      <c r="G75" s="102" t="s">
        <v>623</v>
      </c>
      <c r="H75" s="102" t="s">
        <v>624</v>
      </c>
      <c r="I75" s="102" t="s">
        <v>625</v>
      </c>
      <c r="J75" s="102" t="s">
        <v>626</v>
      </c>
      <c r="K75" s="102" t="s">
        <v>627</v>
      </c>
      <c r="L75" s="102" t="s">
        <v>628</v>
      </c>
      <c r="M75" s="102" t="s">
        <v>629</v>
      </c>
      <c r="N75" s="102" t="s">
        <v>630</v>
      </c>
      <c r="O75" s="102" t="s">
        <v>631</v>
      </c>
      <c r="P75" s="102" t="s">
        <v>632</v>
      </c>
      <c r="Q75" s="102" t="s">
        <v>633</v>
      </c>
      <c r="R75" s="102" t="s">
        <v>634</v>
      </c>
      <c r="S75" s="102" t="s">
        <v>635</v>
      </c>
      <c r="T75" s="102" t="s">
        <v>636</v>
      </c>
      <c r="U75" s="102" t="s">
        <v>637</v>
      </c>
      <c r="V75" s="102" t="s">
        <v>638</v>
      </c>
      <c r="W75" s="102" t="s">
        <v>639</v>
      </c>
      <c r="X75" s="102" t="s">
        <v>640</v>
      </c>
      <c r="Y75" s="102" t="s">
        <v>641</v>
      </c>
      <c r="Z75" s="102" t="s">
        <v>642</v>
      </c>
      <c r="AA75" s="102" t="s">
        <v>643</v>
      </c>
      <c r="AB75" s="102" t="s">
        <v>644</v>
      </c>
      <c r="AC75" s="102" t="s">
        <v>645</v>
      </c>
      <c r="AD75" s="102" t="s">
        <v>646</v>
      </c>
      <c r="AE75" s="102" t="s">
        <v>647</v>
      </c>
      <c r="AF75" s="102" t="s">
        <v>648</v>
      </c>
      <c r="AG75" s="102" t="s">
        <v>649</v>
      </c>
      <c r="AH75" s="102" t="s">
        <v>650</v>
      </c>
      <c r="AI75" s="102" t="s">
        <v>651</v>
      </c>
      <c r="AJ75" s="102" t="s">
        <v>652</v>
      </c>
      <c r="AK75" s="102" t="s">
        <v>653</v>
      </c>
      <c r="AL75" s="102" t="s">
        <v>654</v>
      </c>
      <c r="AM75" s="102" t="s">
        <v>655</v>
      </c>
      <c r="AN75" s="102" t="s">
        <v>656</v>
      </c>
      <c r="AO75" s="102" t="s">
        <v>657</v>
      </c>
      <c r="AP75" s="102" t="s">
        <v>658</v>
      </c>
      <c r="AQ75" s="102" t="s">
        <v>659</v>
      </c>
      <c r="AR75" s="102" t="s">
        <v>660</v>
      </c>
      <c r="AS75" s="102" t="s">
        <v>661</v>
      </c>
      <c r="AT75" s="102" t="s">
        <v>662</v>
      </c>
      <c r="AU75" s="102" t="s">
        <v>663</v>
      </c>
      <c r="AV75" s="102" t="s">
        <v>664</v>
      </c>
    </row>
    <row r="76" spans="1:48">
      <c r="A76" s="105" t="s">
        <v>510</v>
      </c>
      <c r="B76" s="105" t="s">
        <v>665</v>
      </c>
      <c r="C76" s="105" t="s">
        <v>666</v>
      </c>
      <c r="D76" s="105">
        <v>20240101</v>
      </c>
      <c r="E76" s="105">
        <v>2024</v>
      </c>
      <c r="F76" s="105">
        <v>1</v>
      </c>
      <c r="G76" s="105" t="s">
        <v>667</v>
      </c>
      <c r="H76" s="105">
        <v>818</v>
      </c>
      <c r="I76" s="105" t="s">
        <v>668</v>
      </c>
      <c r="J76" s="105" t="s">
        <v>57</v>
      </c>
      <c r="K76" s="105" t="s">
        <v>666</v>
      </c>
      <c r="L76" s="105" t="s">
        <v>669</v>
      </c>
      <c r="M76" s="105">
        <v>0</v>
      </c>
      <c r="N76" s="105" t="s">
        <v>670</v>
      </c>
      <c r="O76" s="105" t="s">
        <v>23</v>
      </c>
      <c r="P76" s="105">
        <v>0</v>
      </c>
      <c r="Q76" s="105" t="s">
        <v>670</v>
      </c>
      <c r="R76" s="105" t="s">
        <v>23</v>
      </c>
      <c r="S76" s="105" t="s">
        <v>671</v>
      </c>
      <c r="T76" s="105" t="s">
        <v>672</v>
      </c>
      <c r="U76" s="105" t="b">
        <v>1</v>
      </c>
      <c r="V76" s="105" t="s">
        <v>673</v>
      </c>
      <c r="W76" s="105" t="s">
        <v>674</v>
      </c>
      <c r="X76" s="105">
        <v>6</v>
      </c>
      <c r="Y76" s="105" t="b">
        <v>1</v>
      </c>
      <c r="Z76" s="105" t="s">
        <v>675</v>
      </c>
      <c r="AA76" s="105" t="s">
        <v>676</v>
      </c>
      <c r="AB76" s="105" t="s">
        <v>677</v>
      </c>
      <c r="AC76" s="105">
        <v>0</v>
      </c>
      <c r="AD76" s="105" t="s">
        <v>678</v>
      </c>
      <c r="AE76" s="105">
        <v>8</v>
      </c>
      <c r="AF76" s="105" t="s">
        <v>679</v>
      </c>
      <c r="AG76" s="105">
        <v>2857655.8539999998</v>
      </c>
      <c r="AH76" s="105" t="b">
        <v>1</v>
      </c>
      <c r="AI76" s="105">
        <v>-1</v>
      </c>
      <c r="AJ76" s="105" t="s">
        <v>680</v>
      </c>
      <c r="AK76" s="105">
        <v>0</v>
      </c>
      <c r="AL76" s="105" t="b">
        <v>0</v>
      </c>
      <c r="AM76" s="105">
        <v>2857655.8539999998</v>
      </c>
      <c r="AN76" s="105" t="b">
        <v>1</v>
      </c>
      <c r="AO76" s="105">
        <v>0</v>
      </c>
      <c r="AP76" s="105" t="b">
        <v>0</v>
      </c>
      <c r="AQ76" s="105">
        <v>1576776.301</v>
      </c>
      <c r="AR76" s="105"/>
      <c r="AS76" s="105">
        <v>1576776.301</v>
      </c>
      <c r="AT76" s="105">
        <v>6</v>
      </c>
      <c r="AU76" s="105" t="b">
        <v>0</v>
      </c>
      <c r="AV76" s="105" t="b">
        <v>1</v>
      </c>
    </row>
    <row r="77" spans="1:48">
      <c r="A77" s="105" t="s">
        <v>510</v>
      </c>
      <c r="B77" s="105" t="s">
        <v>665</v>
      </c>
      <c r="C77" s="105" t="s">
        <v>666</v>
      </c>
      <c r="D77" s="105">
        <v>20240101</v>
      </c>
      <c r="E77" s="105">
        <v>2024</v>
      </c>
      <c r="F77" s="105">
        <v>1</v>
      </c>
      <c r="G77" s="105" t="s">
        <v>667</v>
      </c>
      <c r="H77" s="105">
        <v>818</v>
      </c>
      <c r="I77" s="105" t="s">
        <v>668</v>
      </c>
      <c r="J77" s="105" t="s">
        <v>57</v>
      </c>
      <c r="K77" s="105" t="s">
        <v>666</v>
      </c>
      <c r="L77" s="105" t="s">
        <v>669</v>
      </c>
      <c r="M77" s="105">
        <v>276</v>
      </c>
      <c r="N77" s="105" t="s">
        <v>681</v>
      </c>
      <c r="O77" s="105" t="s">
        <v>30</v>
      </c>
      <c r="P77" s="105">
        <v>0</v>
      </c>
      <c r="Q77" s="105" t="s">
        <v>670</v>
      </c>
      <c r="R77" s="105" t="s">
        <v>23</v>
      </c>
      <c r="S77" s="105" t="s">
        <v>671</v>
      </c>
      <c r="T77" s="105" t="s">
        <v>672</v>
      </c>
      <c r="U77" s="105" t="b">
        <v>1</v>
      </c>
      <c r="V77" s="105" t="s">
        <v>673</v>
      </c>
      <c r="W77" s="105" t="s">
        <v>674</v>
      </c>
      <c r="X77" s="105">
        <v>6</v>
      </c>
      <c r="Y77" s="105" t="b">
        <v>1</v>
      </c>
      <c r="Z77" s="105" t="s">
        <v>675</v>
      </c>
      <c r="AA77" s="105" t="s">
        <v>676</v>
      </c>
      <c r="AB77" s="105" t="s">
        <v>677</v>
      </c>
      <c r="AC77" s="105">
        <v>0</v>
      </c>
      <c r="AD77" s="105" t="s">
        <v>678</v>
      </c>
      <c r="AE77" s="105">
        <v>8</v>
      </c>
      <c r="AF77" s="105" t="s">
        <v>679</v>
      </c>
      <c r="AG77" s="105">
        <v>73351.926999999996</v>
      </c>
      <c r="AH77" s="105" t="b">
        <v>1</v>
      </c>
      <c r="AI77" s="105">
        <v>-1</v>
      </c>
      <c r="AJ77" s="105" t="s">
        <v>680</v>
      </c>
      <c r="AK77" s="105">
        <v>0</v>
      </c>
      <c r="AL77" s="105" t="b">
        <v>0</v>
      </c>
      <c r="AM77" s="105">
        <v>73351.926999999996</v>
      </c>
      <c r="AN77" s="105" t="b">
        <v>1</v>
      </c>
      <c r="AO77" s="105">
        <v>0</v>
      </c>
      <c r="AP77" s="105" t="b">
        <v>0</v>
      </c>
      <c r="AQ77" s="105">
        <v>40473.586000000003</v>
      </c>
      <c r="AR77" s="105"/>
      <c r="AS77" s="105">
        <v>40473.586000000003</v>
      </c>
      <c r="AT77" s="105">
        <v>6</v>
      </c>
      <c r="AU77" s="105" t="b">
        <v>1</v>
      </c>
      <c r="AV77" s="105" t="b">
        <v>0</v>
      </c>
    </row>
    <row r="78" spans="1:48">
      <c r="A78" s="105" t="s">
        <v>510</v>
      </c>
      <c r="B78" s="105" t="s">
        <v>665</v>
      </c>
      <c r="C78" s="105" t="s">
        <v>666</v>
      </c>
      <c r="D78" s="105">
        <v>20240101</v>
      </c>
      <c r="E78" s="105">
        <v>2024</v>
      </c>
      <c r="F78" s="105">
        <v>1</v>
      </c>
      <c r="G78" s="105" t="s">
        <v>667</v>
      </c>
      <c r="H78" s="105">
        <v>818</v>
      </c>
      <c r="I78" s="105" t="s">
        <v>668</v>
      </c>
      <c r="J78" s="105" t="s">
        <v>57</v>
      </c>
      <c r="K78" s="105" t="s">
        <v>666</v>
      </c>
      <c r="L78" s="105" t="s">
        <v>669</v>
      </c>
      <c r="M78" s="105">
        <v>568</v>
      </c>
      <c r="N78" s="105" t="s">
        <v>682</v>
      </c>
      <c r="O78" s="105" t="s">
        <v>683</v>
      </c>
      <c r="P78" s="105">
        <v>0</v>
      </c>
      <c r="Q78" s="105" t="s">
        <v>670</v>
      </c>
      <c r="R78" s="105" t="s">
        <v>23</v>
      </c>
      <c r="S78" s="105" t="s">
        <v>671</v>
      </c>
      <c r="T78" s="105" t="s">
        <v>672</v>
      </c>
      <c r="U78" s="105" t="b">
        <v>1</v>
      </c>
      <c r="V78" s="105" t="s">
        <v>673</v>
      </c>
      <c r="W78" s="105" t="s">
        <v>674</v>
      </c>
      <c r="X78" s="105">
        <v>6</v>
      </c>
      <c r="Y78" s="105" t="b">
        <v>1</v>
      </c>
      <c r="Z78" s="105" t="s">
        <v>675</v>
      </c>
      <c r="AA78" s="105" t="s">
        <v>676</v>
      </c>
      <c r="AB78" s="105" t="s">
        <v>677</v>
      </c>
      <c r="AC78" s="105">
        <v>0</v>
      </c>
      <c r="AD78" s="105" t="s">
        <v>678</v>
      </c>
      <c r="AE78" s="105">
        <v>8</v>
      </c>
      <c r="AF78" s="105" t="s">
        <v>679</v>
      </c>
      <c r="AG78" s="105">
        <v>41420.707000000002</v>
      </c>
      <c r="AH78" s="105" t="b">
        <v>1</v>
      </c>
      <c r="AI78" s="105">
        <v>-1</v>
      </c>
      <c r="AJ78" s="105" t="s">
        <v>680</v>
      </c>
      <c r="AK78" s="105">
        <v>0</v>
      </c>
      <c r="AL78" s="105" t="b">
        <v>0</v>
      </c>
      <c r="AM78" s="105">
        <v>41420.707000000002</v>
      </c>
      <c r="AN78" s="105" t="b">
        <v>1</v>
      </c>
      <c r="AO78" s="105">
        <v>0</v>
      </c>
      <c r="AP78" s="105" t="b">
        <v>0</v>
      </c>
      <c r="AQ78" s="105">
        <v>22854.812999999998</v>
      </c>
      <c r="AR78" s="105"/>
      <c r="AS78" s="105">
        <v>22854.812999999998</v>
      </c>
      <c r="AT78" s="105">
        <v>6</v>
      </c>
      <c r="AU78" s="105" t="b">
        <v>1</v>
      </c>
      <c r="AV78" s="105" t="b">
        <v>0</v>
      </c>
    </row>
    <row r="79" spans="1:48">
      <c r="A79" s="105" t="s">
        <v>510</v>
      </c>
      <c r="B79" s="105" t="s">
        <v>665</v>
      </c>
      <c r="C79" s="105" t="s">
        <v>666</v>
      </c>
      <c r="D79" s="105">
        <v>20240101</v>
      </c>
      <c r="E79" s="105">
        <v>2024</v>
      </c>
      <c r="F79" s="105">
        <v>1</v>
      </c>
      <c r="G79" s="105" t="s">
        <v>667</v>
      </c>
      <c r="H79" s="105">
        <v>818</v>
      </c>
      <c r="I79" s="105" t="s">
        <v>668</v>
      </c>
      <c r="J79" s="105" t="s">
        <v>57</v>
      </c>
      <c r="K79" s="105" t="s">
        <v>666</v>
      </c>
      <c r="L79" s="105" t="s">
        <v>669</v>
      </c>
      <c r="M79" s="105">
        <v>724</v>
      </c>
      <c r="N79" s="105" t="s">
        <v>684</v>
      </c>
      <c r="O79" s="105" t="s">
        <v>51</v>
      </c>
      <c r="P79" s="105">
        <v>0</v>
      </c>
      <c r="Q79" s="105" t="s">
        <v>670</v>
      </c>
      <c r="R79" s="105" t="s">
        <v>23</v>
      </c>
      <c r="S79" s="105" t="s">
        <v>671</v>
      </c>
      <c r="T79" s="105" t="s">
        <v>672</v>
      </c>
      <c r="U79" s="105" t="b">
        <v>1</v>
      </c>
      <c r="V79" s="105" t="s">
        <v>673</v>
      </c>
      <c r="W79" s="105" t="s">
        <v>674</v>
      </c>
      <c r="X79" s="105">
        <v>6</v>
      </c>
      <c r="Y79" s="105" t="b">
        <v>1</v>
      </c>
      <c r="Z79" s="105" t="s">
        <v>675</v>
      </c>
      <c r="AA79" s="105" t="s">
        <v>676</v>
      </c>
      <c r="AB79" s="105" t="s">
        <v>677</v>
      </c>
      <c r="AC79" s="105">
        <v>0</v>
      </c>
      <c r="AD79" s="105" t="s">
        <v>678</v>
      </c>
      <c r="AE79" s="105">
        <v>8</v>
      </c>
      <c r="AF79" s="105" t="s">
        <v>679</v>
      </c>
      <c r="AG79" s="105">
        <v>1554447.402</v>
      </c>
      <c r="AH79" s="105" t="b">
        <v>1</v>
      </c>
      <c r="AI79" s="105">
        <v>-1</v>
      </c>
      <c r="AJ79" s="105" t="s">
        <v>680</v>
      </c>
      <c r="AK79" s="105">
        <v>0</v>
      </c>
      <c r="AL79" s="105" t="b">
        <v>0</v>
      </c>
      <c r="AM79" s="105">
        <v>1554447.402</v>
      </c>
      <c r="AN79" s="105" t="b">
        <v>1</v>
      </c>
      <c r="AO79" s="105">
        <v>0</v>
      </c>
      <c r="AP79" s="105" t="b">
        <v>0</v>
      </c>
      <c r="AQ79" s="105">
        <v>857701.53899999999</v>
      </c>
      <c r="AR79" s="105"/>
      <c r="AS79" s="105">
        <v>857701.53899999999</v>
      </c>
      <c r="AT79" s="105">
        <v>6</v>
      </c>
      <c r="AU79" s="105" t="b">
        <v>1</v>
      </c>
      <c r="AV79" s="105" t="b">
        <v>0</v>
      </c>
    </row>
    <row r="80" spans="1:48">
      <c r="A80" s="105" t="s">
        <v>510</v>
      </c>
      <c r="B80" s="105" t="s">
        <v>665</v>
      </c>
      <c r="C80" s="105" t="s">
        <v>666</v>
      </c>
      <c r="D80" s="105">
        <v>20240101</v>
      </c>
      <c r="E80" s="105">
        <v>2024</v>
      </c>
      <c r="F80" s="105">
        <v>1</v>
      </c>
      <c r="G80" s="105" t="s">
        <v>667</v>
      </c>
      <c r="H80" s="105">
        <v>818</v>
      </c>
      <c r="I80" s="105" t="s">
        <v>668</v>
      </c>
      <c r="J80" s="105" t="s">
        <v>57</v>
      </c>
      <c r="K80" s="105" t="s">
        <v>666</v>
      </c>
      <c r="L80" s="105" t="s">
        <v>669</v>
      </c>
      <c r="M80" s="105">
        <v>826</v>
      </c>
      <c r="N80" s="105" t="s">
        <v>685</v>
      </c>
      <c r="O80" s="105" t="s">
        <v>64</v>
      </c>
      <c r="P80" s="105">
        <v>0</v>
      </c>
      <c r="Q80" s="105" t="s">
        <v>670</v>
      </c>
      <c r="R80" s="105" t="s">
        <v>23</v>
      </c>
      <c r="S80" s="105" t="s">
        <v>671</v>
      </c>
      <c r="T80" s="105" t="s">
        <v>672</v>
      </c>
      <c r="U80" s="105" t="b">
        <v>1</v>
      </c>
      <c r="V80" s="105" t="s">
        <v>673</v>
      </c>
      <c r="W80" s="105" t="s">
        <v>674</v>
      </c>
      <c r="X80" s="105">
        <v>6</v>
      </c>
      <c r="Y80" s="105" t="b">
        <v>1</v>
      </c>
      <c r="Z80" s="105" t="s">
        <v>675</v>
      </c>
      <c r="AA80" s="105" t="s">
        <v>676</v>
      </c>
      <c r="AB80" s="105" t="s">
        <v>677</v>
      </c>
      <c r="AC80" s="105">
        <v>0</v>
      </c>
      <c r="AD80" s="105" t="s">
        <v>678</v>
      </c>
      <c r="AE80" s="105">
        <v>8</v>
      </c>
      <c r="AF80" s="105" t="s">
        <v>679</v>
      </c>
      <c r="AG80" s="105">
        <v>105431.31299999999</v>
      </c>
      <c r="AH80" s="105" t="b">
        <v>1</v>
      </c>
      <c r="AI80" s="105">
        <v>-1</v>
      </c>
      <c r="AJ80" s="105" t="s">
        <v>680</v>
      </c>
      <c r="AK80" s="105">
        <v>0</v>
      </c>
      <c r="AL80" s="105" t="b">
        <v>0</v>
      </c>
      <c r="AM80" s="105">
        <v>105431.31299999999</v>
      </c>
      <c r="AN80" s="105" t="b">
        <v>1</v>
      </c>
      <c r="AO80" s="105">
        <v>0</v>
      </c>
      <c r="AP80" s="105" t="b">
        <v>0</v>
      </c>
      <c r="AQ80" s="105">
        <v>58174.112999999998</v>
      </c>
      <c r="AR80" s="105"/>
      <c r="AS80" s="105">
        <v>58174.112999999998</v>
      </c>
      <c r="AT80" s="105">
        <v>6</v>
      </c>
      <c r="AU80" s="105" t="b">
        <v>1</v>
      </c>
      <c r="AV80" s="105" t="b">
        <v>0</v>
      </c>
    </row>
    <row r="81" spans="1:48">
      <c r="A81" s="105" t="s">
        <v>510</v>
      </c>
      <c r="B81" s="105" t="s">
        <v>665</v>
      </c>
      <c r="C81" s="105" t="s">
        <v>666</v>
      </c>
      <c r="D81" s="105">
        <v>20240101</v>
      </c>
      <c r="E81" s="105">
        <v>2024</v>
      </c>
      <c r="F81" s="105">
        <v>1</v>
      </c>
      <c r="G81" s="105" t="s">
        <v>667</v>
      </c>
      <c r="H81" s="105">
        <v>818</v>
      </c>
      <c r="I81" s="105" t="s">
        <v>668</v>
      </c>
      <c r="J81" s="105" t="s">
        <v>57</v>
      </c>
      <c r="K81" s="105" t="s">
        <v>666</v>
      </c>
      <c r="L81" s="105" t="s">
        <v>669</v>
      </c>
      <c r="M81" s="105">
        <v>887</v>
      </c>
      <c r="N81" s="105" t="s">
        <v>686</v>
      </c>
      <c r="O81" s="105" t="s">
        <v>569</v>
      </c>
      <c r="P81" s="105">
        <v>0</v>
      </c>
      <c r="Q81" s="105" t="s">
        <v>670</v>
      </c>
      <c r="R81" s="105" t="s">
        <v>23</v>
      </c>
      <c r="S81" s="105" t="s">
        <v>671</v>
      </c>
      <c r="T81" s="105" t="s">
        <v>672</v>
      </c>
      <c r="U81" s="105" t="b">
        <v>1</v>
      </c>
      <c r="V81" s="105" t="s">
        <v>673</v>
      </c>
      <c r="W81" s="105" t="s">
        <v>674</v>
      </c>
      <c r="X81" s="105">
        <v>6</v>
      </c>
      <c r="Y81" s="105" t="b">
        <v>1</v>
      </c>
      <c r="Z81" s="105" t="s">
        <v>675</v>
      </c>
      <c r="AA81" s="105" t="s">
        <v>676</v>
      </c>
      <c r="AB81" s="105" t="s">
        <v>677</v>
      </c>
      <c r="AC81" s="105">
        <v>0</v>
      </c>
      <c r="AD81" s="105" t="s">
        <v>678</v>
      </c>
      <c r="AE81" s="105">
        <v>8</v>
      </c>
      <c r="AF81" s="105" t="s">
        <v>679</v>
      </c>
      <c r="AG81" s="105">
        <v>1083004.5060000001</v>
      </c>
      <c r="AH81" s="105" t="b">
        <v>1</v>
      </c>
      <c r="AI81" s="105">
        <v>-1</v>
      </c>
      <c r="AJ81" s="105" t="s">
        <v>680</v>
      </c>
      <c r="AK81" s="105">
        <v>0</v>
      </c>
      <c r="AL81" s="105" t="b">
        <v>0</v>
      </c>
      <c r="AM81" s="105">
        <v>1083004.5060000001</v>
      </c>
      <c r="AN81" s="105" t="b">
        <v>1</v>
      </c>
      <c r="AO81" s="105">
        <v>0</v>
      </c>
      <c r="AP81" s="105" t="b">
        <v>0</v>
      </c>
      <c r="AQ81" s="105">
        <v>597572.25</v>
      </c>
      <c r="AR81" s="105"/>
      <c r="AS81" s="105">
        <v>597572.25</v>
      </c>
      <c r="AT81" s="105">
        <v>6</v>
      </c>
      <c r="AU81" s="105" t="b">
        <v>1</v>
      </c>
      <c r="AV81" s="105" t="b">
        <v>0</v>
      </c>
    </row>
    <row r="82" spans="1:48">
      <c r="A82" s="105" t="s">
        <v>510</v>
      </c>
      <c r="B82" s="105" t="s">
        <v>665</v>
      </c>
      <c r="C82" s="105" t="s">
        <v>666</v>
      </c>
      <c r="D82" s="105">
        <v>20240201</v>
      </c>
      <c r="E82" s="105">
        <v>2024</v>
      </c>
      <c r="F82" s="105">
        <v>2</v>
      </c>
      <c r="G82" s="105" t="s">
        <v>687</v>
      </c>
      <c r="H82" s="105">
        <v>818</v>
      </c>
      <c r="I82" s="105" t="s">
        <v>668</v>
      </c>
      <c r="J82" s="105" t="s">
        <v>57</v>
      </c>
      <c r="K82" s="105" t="s">
        <v>666</v>
      </c>
      <c r="L82" s="105" t="s">
        <v>669</v>
      </c>
      <c r="M82" s="105">
        <v>0</v>
      </c>
      <c r="N82" s="105" t="s">
        <v>670</v>
      </c>
      <c r="O82" s="105" t="s">
        <v>23</v>
      </c>
      <c r="P82" s="105">
        <v>0</v>
      </c>
      <c r="Q82" s="105" t="s">
        <v>670</v>
      </c>
      <c r="R82" s="105" t="s">
        <v>23</v>
      </c>
      <c r="S82" s="105" t="s">
        <v>671</v>
      </c>
      <c r="T82" s="105" t="s">
        <v>672</v>
      </c>
      <c r="U82" s="105" t="b">
        <v>1</v>
      </c>
      <c r="V82" s="105" t="s">
        <v>673</v>
      </c>
      <c r="W82" s="105" t="s">
        <v>674</v>
      </c>
      <c r="X82" s="105">
        <v>6</v>
      </c>
      <c r="Y82" s="105" t="b">
        <v>1</v>
      </c>
      <c r="Z82" s="105" t="s">
        <v>675</v>
      </c>
      <c r="AA82" s="105" t="s">
        <v>676</v>
      </c>
      <c r="AB82" s="105" t="s">
        <v>677</v>
      </c>
      <c r="AC82" s="105">
        <v>0</v>
      </c>
      <c r="AD82" s="105" t="s">
        <v>678</v>
      </c>
      <c r="AE82" s="105">
        <v>8</v>
      </c>
      <c r="AF82" s="105" t="s">
        <v>679</v>
      </c>
      <c r="AG82" s="105">
        <v>2209982.9739999999</v>
      </c>
      <c r="AH82" s="105" t="b">
        <v>1</v>
      </c>
      <c r="AI82" s="105">
        <v>-1</v>
      </c>
      <c r="AJ82" s="105" t="s">
        <v>680</v>
      </c>
      <c r="AK82" s="105">
        <v>0</v>
      </c>
      <c r="AL82" s="105" t="b">
        <v>0</v>
      </c>
      <c r="AM82" s="105">
        <v>2209982.9739999999</v>
      </c>
      <c r="AN82" s="105" t="b">
        <v>1</v>
      </c>
      <c r="AO82" s="105">
        <v>0</v>
      </c>
      <c r="AP82" s="105" t="b">
        <v>0</v>
      </c>
      <c r="AQ82" s="105">
        <v>1219408.129</v>
      </c>
      <c r="AR82" s="105"/>
      <c r="AS82" s="105">
        <v>1219408.129</v>
      </c>
      <c r="AT82" s="105">
        <v>6</v>
      </c>
      <c r="AU82" s="105" t="b">
        <v>0</v>
      </c>
      <c r="AV82" s="105" t="b">
        <v>1</v>
      </c>
    </row>
    <row r="83" spans="1:48">
      <c r="A83" s="105" t="s">
        <v>510</v>
      </c>
      <c r="B83" s="105" t="s">
        <v>665</v>
      </c>
      <c r="C83" s="105" t="s">
        <v>666</v>
      </c>
      <c r="D83" s="105">
        <v>20240201</v>
      </c>
      <c r="E83" s="105">
        <v>2024</v>
      </c>
      <c r="F83" s="105">
        <v>2</v>
      </c>
      <c r="G83" s="105" t="s">
        <v>687</v>
      </c>
      <c r="H83" s="105">
        <v>818</v>
      </c>
      <c r="I83" s="105" t="s">
        <v>668</v>
      </c>
      <c r="J83" s="105" t="s">
        <v>57</v>
      </c>
      <c r="K83" s="105" t="s">
        <v>666</v>
      </c>
      <c r="L83" s="105" t="s">
        <v>669</v>
      </c>
      <c r="M83" s="105">
        <v>251</v>
      </c>
      <c r="N83" s="105" t="s">
        <v>688</v>
      </c>
      <c r="O83" s="105" t="s">
        <v>69</v>
      </c>
      <c r="P83" s="105">
        <v>0</v>
      </c>
      <c r="Q83" s="105" t="s">
        <v>670</v>
      </c>
      <c r="R83" s="105" t="s">
        <v>23</v>
      </c>
      <c r="S83" s="105" t="s">
        <v>671</v>
      </c>
      <c r="T83" s="105" t="s">
        <v>672</v>
      </c>
      <c r="U83" s="105" t="b">
        <v>1</v>
      </c>
      <c r="V83" s="105" t="s">
        <v>673</v>
      </c>
      <c r="W83" s="105" t="s">
        <v>674</v>
      </c>
      <c r="X83" s="105">
        <v>6</v>
      </c>
      <c r="Y83" s="105" t="b">
        <v>1</v>
      </c>
      <c r="Z83" s="105" t="s">
        <v>675</v>
      </c>
      <c r="AA83" s="105" t="s">
        <v>676</v>
      </c>
      <c r="AB83" s="105" t="s">
        <v>677</v>
      </c>
      <c r="AC83" s="105">
        <v>0</v>
      </c>
      <c r="AD83" s="105" t="s">
        <v>678</v>
      </c>
      <c r="AE83" s="105">
        <v>8</v>
      </c>
      <c r="AF83" s="105" t="s">
        <v>679</v>
      </c>
      <c r="AG83" s="105">
        <v>39534.404000000002</v>
      </c>
      <c r="AH83" s="105" t="b">
        <v>1</v>
      </c>
      <c r="AI83" s="105">
        <v>-1</v>
      </c>
      <c r="AJ83" s="105" t="s">
        <v>680</v>
      </c>
      <c r="AK83" s="105">
        <v>0</v>
      </c>
      <c r="AL83" s="105" t="b">
        <v>0</v>
      </c>
      <c r="AM83" s="105">
        <v>39534.404000000002</v>
      </c>
      <c r="AN83" s="105" t="b">
        <v>1</v>
      </c>
      <c r="AO83" s="105">
        <v>0</v>
      </c>
      <c r="AP83" s="105" t="b">
        <v>0</v>
      </c>
      <c r="AQ83" s="105">
        <v>21814.002</v>
      </c>
      <c r="AR83" s="105"/>
      <c r="AS83" s="105">
        <v>21814.002</v>
      </c>
      <c r="AT83" s="105">
        <v>6</v>
      </c>
      <c r="AU83" s="105" t="b">
        <v>1</v>
      </c>
      <c r="AV83" s="105" t="b">
        <v>0</v>
      </c>
    </row>
    <row r="84" spans="1:48">
      <c r="A84" s="105" t="s">
        <v>510</v>
      </c>
      <c r="B84" s="105" t="s">
        <v>665</v>
      </c>
      <c r="C84" s="105" t="s">
        <v>666</v>
      </c>
      <c r="D84" s="105">
        <v>20240201</v>
      </c>
      <c r="E84" s="105">
        <v>2024</v>
      </c>
      <c r="F84" s="105">
        <v>2</v>
      </c>
      <c r="G84" s="105" t="s">
        <v>687</v>
      </c>
      <c r="H84" s="105">
        <v>818</v>
      </c>
      <c r="I84" s="105" t="s">
        <v>668</v>
      </c>
      <c r="J84" s="105" t="s">
        <v>57</v>
      </c>
      <c r="K84" s="105" t="s">
        <v>666</v>
      </c>
      <c r="L84" s="105" t="s">
        <v>669</v>
      </c>
      <c r="M84" s="105">
        <v>380</v>
      </c>
      <c r="N84" s="105" t="s">
        <v>689</v>
      </c>
      <c r="O84" s="105" t="s">
        <v>71</v>
      </c>
      <c r="P84" s="105">
        <v>0</v>
      </c>
      <c r="Q84" s="105" t="s">
        <v>670</v>
      </c>
      <c r="R84" s="105" t="s">
        <v>23</v>
      </c>
      <c r="S84" s="105" t="s">
        <v>671</v>
      </c>
      <c r="T84" s="105" t="s">
        <v>672</v>
      </c>
      <c r="U84" s="105" t="b">
        <v>1</v>
      </c>
      <c r="V84" s="105" t="s">
        <v>673</v>
      </c>
      <c r="W84" s="105" t="s">
        <v>674</v>
      </c>
      <c r="X84" s="105">
        <v>6</v>
      </c>
      <c r="Y84" s="105" t="b">
        <v>1</v>
      </c>
      <c r="Z84" s="105" t="s">
        <v>675</v>
      </c>
      <c r="AA84" s="105" t="s">
        <v>676</v>
      </c>
      <c r="AB84" s="105" t="s">
        <v>677</v>
      </c>
      <c r="AC84" s="105">
        <v>0</v>
      </c>
      <c r="AD84" s="105" t="s">
        <v>678</v>
      </c>
      <c r="AE84" s="105">
        <v>8</v>
      </c>
      <c r="AF84" s="105" t="s">
        <v>679</v>
      </c>
      <c r="AG84" s="105">
        <v>154701.26</v>
      </c>
      <c r="AH84" s="105" t="b">
        <v>1</v>
      </c>
      <c r="AI84" s="105">
        <v>-1</v>
      </c>
      <c r="AJ84" s="105" t="s">
        <v>680</v>
      </c>
      <c r="AK84" s="105">
        <v>0</v>
      </c>
      <c r="AL84" s="105" t="b">
        <v>0</v>
      </c>
      <c r="AM84" s="105">
        <v>154701.26</v>
      </c>
      <c r="AN84" s="105" t="b">
        <v>1</v>
      </c>
      <c r="AO84" s="105">
        <v>0</v>
      </c>
      <c r="AP84" s="105" t="b">
        <v>0</v>
      </c>
      <c r="AQ84" s="105">
        <v>85359.922000000006</v>
      </c>
      <c r="AR84" s="105"/>
      <c r="AS84" s="105">
        <v>85359.922000000006</v>
      </c>
      <c r="AT84" s="105">
        <v>6</v>
      </c>
      <c r="AU84" s="105" t="b">
        <v>1</v>
      </c>
      <c r="AV84" s="105" t="b">
        <v>0</v>
      </c>
    </row>
    <row r="85" spans="1:48">
      <c r="A85" s="105" t="s">
        <v>510</v>
      </c>
      <c r="B85" s="105" t="s">
        <v>665</v>
      </c>
      <c r="C85" s="105" t="s">
        <v>666</v>
      </c>
      <c r="D85" s="105">
        <v>20240201</v>
      </c>
      <c r="E85" s="105">
        <v>2024</v>
      </c>
      <c r="F85" s="105">
        <v>2</v>
      </c>
      <c r="G85" s="105" t="s">
        <v>687</v>
      </c>
      <c r="H85" s="105">
        <v>818</v>
      </c>
      <c r="I85" s="105" t="s">
        <v>668</v>
      </c>
      <c r="J85" s="105" t="s">
        <v>57</v>
      </c>
      <c r="K85" s="105" t="s">
        <v>666</v>
      </c>
      <c r="L85" s="105" t="s">
        <v>669</v>
      </c>
      <c r="M85" s="105">
        <v>686</v>
      </c>
      <c r="N85" s="105" t="s">
        <v>690</v>
      </c>
      <c r="O85" s="105" t="s">
        <v>232</v>
      </c>
      <c r="P85" s="105">
        <v>0</v>
      </c>
      <c r="Q85" s="105" t="s">
        <v>670</v>
      </c>
      <c r="R85" s="105" t="s">
        <v>23</v>
      </c>
      <c r="S85" s="105" t="s">
        <v>671</v>
      </c>
      <c r="T85" s="105" t="s">
        <v>672</v>
      </c>
      <c r="U85" s="105" t="b">
        <v>1</v>
      </c>
      <c r="V85" s="105" t="s">
        <v>673</v>
      </c>
      <c r="W85" s="105" t="s">
        <v>674</v>
      </c>
      <c r="X85" s="105">
        <v>6</v>
      </c>
      <c r="Y85" s="105" t="b">
        <v>1</v>
      </c>
      <c r="Z85" s="105" t="s">
        <v>675</v>
      </c>
      <c r="AA85" s="105" t="s">
        <v>676</v>
      </c>
      <c r="AB85" s="105" t="s">
        <v>677</v>
      </c>
      <c r="AC85" s="105">
        <v>0</v>
      </c>
      <c r="AD85" s="105" t="s">
        <v>678</v>
      </c>
      <c r="AE85" s="105">
        <v>8</v>
      </c>
      <c r="AF85" s="105" t="s">
        <v>679</v>
      </c>
      <c r="AG85" s="105">
        <v>434372.614</v>
      </c>
      <c r="AH85" s="105" t="b">
        <v>1</v>
      </c>
      <c r="AI85" s="105">
        <v>-1</v>
      </c>
      <c r="AJ85" s="105" t="s">
        <v>680</v>
      </c>
      <c r="AK85" s="105">
        <v>0</v>
      </c>
      <c r="AL85" s="105" t="b">
        <v>0</v>
      </c>
      <c r="AM85" s="105">
        <v>434372.614</v>
      </c>
      <c r="AN85" s="105" t="b">
        <v>1</v>
      </c>
      <c r="AO85" s="105">
        <v>0</v>
      </c>
      <c r="AP85" s="105" t="b">
        <v>0</v>
      </c>
      <c r="AQ85" s="105">
        <v>239674.92199999999</v>
      </c>
      <c r="AR85" s="105"/>
      <c r="AS85" s="105">
        <v>239674.92199999999</v>
      </c>
      <c r="AT85" s="105">
        <v>6</v>
      </c>
      <c r="AU85" s="105" t="b">
        <v>1</v>
      </c>
      <c r="AV85" s="105" t="b">
        <v>0</v>
      </c>
    </row>
    <row r="86" spans="1:48">
      <c r="A86" s="105" t="s">
        <v>510</v>
      </c>
      <c r="B86" s="105" t="s">
        <v>665</v>
      </c>
      <c r="C86" s="105" t="s">
        <v>666</v>
      </c>
      <c r="D86" s="105">
        <v>20240201</v>
      </c>
      <c r="E86" s="105">
        <v>2024</v>
      </c>
      <c r="F86" s="105">
        <v>2</v>
      </c>
      <c r="G86" s="105" t="s">
        <v>687</v>
      </c>
      <c r="H86" s="105">
        <v>818</v>
      </c>
      <c r="I86" s="105" t="s">
        <v>668</v>
      </c>
      <c r="J86" s="105" t="s">
        <v>57</v>
      </c>
      <c r="K86" s="105" t="s">
        <v>666</v>
      </c>
      <c r="L86" s="105" t="s">
        <v>669</v>
      </c>
      <c r="M86" s="105">
        <v>724</v>
      </c>
      <c r="N86" s="105" t="s">
        <v>684</v>
      </c>
      <c r="O86" s="105" t="s">
        <v>51</v>
      </c>
      <c r="P86" s="105">
        <v>0</v>
      </c>
      <c r="Q86" s="105" t="s">
        <v>670</v>
      </c>
      <c r="R86" s="105" t="s">
        <v>23</v>
      </c>
      <c r="S86" s="105" t="s">
        <v>671</v>
      </c>
      <c r="T86" s="105" t="s">
        <v>672</v>
      </c>
      <c r="U86" s="105" t="b">
        <v>1</v>
      </c>
      <c r="V86" s="105" t="s">
        <v>673</v>
      </c>
      <c r="W86" s="105" t="s">
        <v>674</v>
      </c>
      <c r="X86" s="105">
        <v>6</v>
      </c>
      <c r="Y86" s="105" t="b">
        <v>1</v>
      </c>
      <c r="Z86" s="105" t="s">
        <v>675</v>
      </c>
      <c r="AA86" s="105" t="s">
        <v>676</v>
      </c>
      <c r="AB86" s="105" t="s">
        <v>677</v>
      </c>
      <c r="AC86" s="105">
        <v>0</v>
      </c>
      <c r="AD86" s="105" t="s">
        <v>678</v>
      </c>
      <c r="AE86" s="105">
        <v>8</v>
      </c>
      <c r="AF86" s="105" t="s">
        <v>679</v>
      </c>
      <c r="AG86" s="105">
        <v>1309526.0560000001</v>
      </c>
      <c r="AH86" s="105" t="b">
        <v>1</v>
      </c>
      <c r="AI86" s="105">
        <v>-1</v>
      </c>
      <c r="AJ86" s="105" t="s">
        <v>680</v>
      </c>
      <c r="AK86" s="105">
        <v>0</v>
      </c>
      <c r="AL86" s="105" t="b">
        <v>0</v>
      </c>
      <c r="AM86" s="105">
        <v>1309526.0560000001</v>
      </c>
      <c r="AN86" s="105" t="b">
        <v>1</v>
      </c>
      <c r="AO86" s="105">
        <v>0</v>
      </c>
      <c r="AP86" s="105" t="b">
        <v>0</v>
      </c>
      <c r="AQ86" s="105">
        <v>722560.64300000004</v>
      </c>
      <c r="AR86" s="105"/>
      <c r="AS86" s="105">
        <v>722560.64300000004</v>
      </c>
      <c r="AT86" s="105">
        <v>6</v>
      </c>
      <c r="AU86" s="105" t="b">
        <v>1</v>
      </c>
      <c r="AV86" s="105" t="b">
        <v>0</v>
      </c>
    </row>
    <row r="87" spans="1:48">
      <c r="A87" s="105" t="s">
        <v>510</v>
      </c>
      <c r="B87" s="105" t="s">
        <v>665</v>
      </c>
      <c r="C87" s="105" t="s">
        <v>666</v>
      </c>
      <c r="D87" s="105">
        <v>20240201</v>
      </c>
      <c r="E87" s="105">
        <v>2024</v>
      </c>
      <c r="F87" s="105">
        <v>2</v>
      </c>
      <c r="G87" s="105" t="s">
        <v>687</v>
      </c>
      <c r="H87" s="105">
        <v>818</v>
      </c>
      <c r="I87" s="105" t="s">
        <v>668</v>
      </c>
      <c r="J87" s="105" t="s">
        <v>57</v>
      </c>
      <c r="K87" s="105" t="s">
        <v>666</v>
      </c>
      <c r="L87" s="105" t="s">
        <v>669</v>
      </c>
      <c r="M87" s="105">
        <v>792</v>
      </c>
      <c r="N87" s="105" t="s">
        <v>691</v>
      </c>
      <c r="O87" s="105" t="s">
        <v>63</v>
      </c>
      <c r="P87" s="105">
        <v>0</v>
      </c>
      <c r="Q87" s="105" t="s">
        <v>670</v>
      </c>
      <c r="R87" s="105" t="s">
        <v>23</v>
      </c>
      <c r="S87" s="105" t="s">
        <v>671</v>
      </c>
      <c r="T87" s="105" t="s">
        <v>672</v>
      </c>
      <c r="U87" s="105" t="b">
        <v>1</v>
      </c>
      <c r="V87" s="105" t="s">
        <v>673</v>
      </c>
      <c r="W87" s="105" t="s">
        <v>674</v>
      </c>
      <c r="X87" s="105">
        <v>6</v>
      </c>
      <c r="Y87" s="105" t="b">
        <v>1</v>
      </c>
      <c r="Z87" s="105" t="s">
        <v>675</v>
      </c>
      <c r="AA87" s="105" t="s">
        <v>676</v>
      </c>
      <c r="AB87" s="105" t="s">
        <v>677</v>
      </c>
      <c r="AC87" s="105">
        <v>0</v>
      </c>
      <c r="AD87" s="105" t="s">
        <v>678</v>
      </c>
      <c r="AE87" s="105">
        <v>8</v>
      </c>
      <c r="AF87" s="105" t="s">
        <v>679</v>
      </c>
      <c r="AG87" s="105">
        <v>271848.64</v>
      </c>
      <c r="AH87" s="105" t="b">
        <v>1</v>
      </c>
      <c r="AI87" s="105">
        <v>-1</v>
      </c>
      <c r="AJ87" s="105" t="s">
        <v>680</v>
      </c>
      <c r="AK87" s="105">
        <v>0</v>
      </c>
      <c r="AL87" s="105" t="b">
        <v>0</v>
      </c>
      <c r="AM87" s="105">
        <v>271848.64</v>
      </c>
      <c r="AN87" s="105" t="b">
        <v>1</v>
      </c>
      <c r="AO87" s="105">
        <v>0</v>
      </c>
      <c r="AP87" s="105" t="b">
        <v>0</v>
      </c>
      <c r="AQ87" s="105">
        <v>149998.641</v>
      </c>
      <c r="AR87" s="105"/>
      <c r="AS87" s="105">
        <v>149998.641</v>
      </c>
      <c r="AT87" s="105">
        <v>6</v>
      </c>
      <c r="AU87" s="105" t="b">
        <v>1</v>
      </c>
      <c r="AV87" s="105" t="b">
        <v>0</v>
      </c>
    </row>
    <row r="88" spans="1:48">
      <c r="A88" s="105" t="s">
        <v>510</v>
      </c>
      <c r="B88" s="105" t="s">
        <v>665</v>
      </c>
      <c r="C88" s="105" t="s">
        <v>666</v>
      </c>
      <c r="D88" s="105">
        <v>20240301</v>
      </c>
      <c r="E88" s="105">
        <v>2024</v>
      </c>
      <c r="F88" s="105">
        <v>3</v>
      </c>
      <c r="G88" s="105" t="s">
        <v>692</v>
      </c>
      <c r="H88" s="105">
        <v>818</v>
      </c>
      <c r="I88" s="105" t="s">
        <v>668</v>
      </c>
      <c r="J88" s="105" t="s">
        <v>57</v>
      </c>
      <c r="K88" s="105" t="s">
        <v>666</v>
      </c>
      <c r="L88" s="105" t="s">
        <v>669</v>
      </c>
      <c r="M88" s="105">
        <v>0</v>
      </c>
      <c r="N88" s="105" t="s">
        <v>670</v>
      </c>
      <c r="O88" s="105" t="s">
        <v>23</v>
      </c>
      <c r="P88" s="105">
        <v>0</v>
      </c>
      <c r="Q88" s="105" t="s">
        <v>670</v>
      </c>
      <c r="R88" s="105" t="s">
        <v>23</v>
      </c>
      <c r="S88" s="105" t="s">
        <v>671</v>
      </c>
      <c r="T88" s="105" t="s">
        <v>672</v>
      </c>
      <c r="U88" s="105" t="b">
        <v>1</v>
      </c>
      <c r="V88" s="105" t="s">
        <v>673</v>
      </c>
      <c r="W88" s="105" t="s">
        <v>674</v>
      </c>
      <c r="X88" s="105">
        <v>6</v>
      </c>
      <c r="Y88" s="105" t="b">
        <v>1</v>
      </c>
      <c r="Z88" s="105" t="s">
        <v>675</v>
      </c>
      <c r="AA88" s="105" t="s">
        <v>676</v>
      </c>
      <c r="AB88" s="105" t="s">
        <v>677</v>
      </c>
      <c r="AC88" s="105">
        <v>0</v>
      </c>
      <c r="AD88" s="105" t="s">
        <v>678</v>
      </c>
      <c r="AE88" s="105">
        <v>8</v>
      </c>
      <c r="AF88" s="105" t="s">
        <v>679</v>
      </c>
      <c r="AG88" s="105">
        <v>3903209.6409999998</v>
      </c>
      <c r="AH88" s="105" t="b">
        <v>1</v>
      </c>
      <c r="AI88" s="105">
        <v>-1</v>
      </c>
      <c r="AJ88" s="105" t="s">
        <v>680</v>
      </c>
      <c r="AK88" s="105">
        <v>0</v>
      </c>
      <c r="AL88" s="105" t="b">
        <v>0</v>
      </c>
      <c r="AM88" s="105">
        <v>3903209.6409999998</v>
      </c>
      <c r="AN88" s="105" t="b">
        <v>1</v>
      </c>
      <c r="AO88" s="105">
        <v>0</v>
      </c>
      <c r="AP88" s="105" t="b">
        <v>0</v>
      </c>
      <c r="AQ88" s="105">
        <v>2153684.2689999999</v>
      </c>
      <c r="AR88" s="105"/>
      <c r="AS88" s="105">
        <v>2153684.2689999999</v>
      </c>
      <c r="AT88" s="105">
        <v>6</v>
      </c>
      <c r="AU88" s="105" t="b">
        <v>0</v>
      </c>
      <c r="AV88" s="105" t="b">
        <v>1</v>
      </c>
    </row>
    <row r="89" spans="1:48">
      <c r="A89" s="105" t="s">
        <v>510</v>
      </c>
      <c r="B89" s="105" t="s">
        <v>665</v>
      </c>
      <c r="C89" s="105" t="s">
        <v>666</v>
      </c>
      <c r="D89" s="105">
        <v>20240301</v>
      </c>
      <c r="E89" s="105">
        <v>2024</v>
      </c>
      <c r="F89" s="105">
        <v>3</v>
      </c>
      <c r="G89" s="105" t="s">
        <v>692</v>
      </c>
      <c r="H89" s="105">
        <v>818</v>
      </c>
      <c r="I89" s="105" t="s">
        <v>668</v>
      </c>
      <c r="J89" s="105" t="s">
        <v>57</v>
      </c>
      <c r="K89" s="105" t="s">
        <v>666</v>
      </c>
      <c r="L89" s="105" t="s">
        <v>669</v>
      </c>
      <c r="M89" s="105">
        <v>276</v>
      </c>
      <c r="N89" s="105" t="s">
        <v>681</v>
      </c>
      <c r="O89" s="105" t="s">
        <v>30</v>
      </c>
      <c r="P89" s="105">
        <v>0</v>
      </c>
      <c r="Q89" s="105" t="s">
        <v>670</v>
      </c>
      <c r="R89" s="105" t="s">
        <v>23</v>
      </c>
      <c r="S89" s="105" t="s">
        <v>671</v>
      </c>
      <c r="T89" s="105" t="s">
        <v>672</v>
      </c>
      <c r="U89" s="105" t="b">
        <v>1</v>
      </c>
      <c r="V89" s="105" t="s">
        <v>673</v>
      </c>
      <c r="W89" s="105" t="s">
        <v>674</v>
      </c>
      <c r="X89" s="105">
        <v>6</v>
      </c>
      <c r="Y89" s="105" t="b">
        <v>1</v>
      </c>
      <c r="Z89" s="105" t="s">
        <v>675</v>
      </c>
      <c r="AA89" s="105" t="s">
        <v>676</v>
      </c>
      <c r="AB89" s="105" t="s">
        <v>677</v>
      </c>
      <c r="AC89" s="105">
        <v>0</v>
      </c>
      <c r="AD89" s="105" t="s">
        <v>678</v>
      </c>
      <c r="AE89" s="105">
        <v>8</v>
      </c>
      <c r="AF89" s="105" t="s">
        <v>679</v>
      </c>
      <c r="AG89" s="105">
        <v>206114.12299999999</v>
      </c>
      <c r="AH89" s="105" t="b">
        <v>1</v>
      </c>
      <c r="AI89" s="105">
        <v>-1</v>
      </c>
      <c r="AJ89" s="105" t="s">
        <v>680</v>
      </c>
      <c r="AK89" s="105">
        <v>0</v>
      </c>
      <c r="AL89" s="105" t="b">
        <v>0</v>
      </c>
      <c r="AM89" s="105">
        <v>206114.12299999999</v>
      </c>
      <c r="AN89" s="105" t="b">
        <v>1</v>
      </c>
      <c r="AO89" s="105">
        <v>0</v>
      </c>
      <c r="AP89" s="105" t="b">
        <v>0</v>
      </c>
      <c r="AQ89" s="105">
        <v>113728.133</v>
      </c>
      <c r="AR89" s="105"/>
      <c r="AS89" s="105">
        <v>113728.133</v>
      </c>
      <c r="AT89" s="105">
        <v>6</v>
      </c>
      <c r="AU89" s="105" t="b">
        <v>1</v>
      </c>
      <c r="AV89" s="105" t="b">
        <v>0</v>
      </c>
    </row>
    <row r="90" spans="1:48">
      <c r="A90" s="105" t="s">
        <v>510</v>
      </c>
      <c r="B90" s="105" t="s">
        <v>665</v>
      </c>
      <c r="C90" s="105" t="s">
        <v>666</v>
      </c>
      <c r="D90" s="105">
        <v>20240301</v>
      </c>
      <c r="E90" s="105">
        <v>2024</v>
      </c>
      <c r="F90" s="105">
        <v>3</v>
      </c>
      <c r="G90" s="105" t="s">
        <v>692</v>
      </c>
      <c r="H90" s="105">
        <v>818</v>
      </c>
      <c r="I90" s="105" t="s">
        <v>668</v>
      </c>
      <c r="J90" s="105" t="s">
        <v>57</v>
      </c>
      <c r="K90" s="105" t="s">
        <v>666</v>
      </c>
      <c r="L90" s="105" t="s">
        <v>669</v>
      </c>
      <c r="M90" s="105">
        <v>380</v>
      </c>
      <c r="N90" s="105" t="s">
        <v>689</v>
      </c>
      <c r="O90" s="105" t="s">
        <v>71</v>
      </c>
      <c r="P90" s="105">
        <v>0</v>
      </c>
      <c r="Q90" s="105" t="s">
        <v>670</v>
      </c>
      <c r="R90" s="105" t="s">
        <v>23</v>
      </c>
      <c r="S90" s="105" t="s">
        <v>671</v>
      </c>
      <c r="T90" s="105" t="s">
        <v>672</v>
      </c>
      <c r="U90" s="105" t="b">
        <v>1</v>
      </c>
      <c r="V90" s="105" t="s">
        <v>673</v>
      </c>
      <c r="W90" s="105" t="s">
        <v>674</v>
      </c>
      <c r="X90" s="105">
        <v>6</v>
      </c>
      <c r="Y90" s="105" t="b">
        <v>1</v>
      </c>
      <c r="Z90" s="105" t="s">
        <v>675</v>
      </c>
      <c r="AA90" s="105" t="s">
        <v>676</v>
      </c>
      <c r="AB90" s="105" t="s">
        <v>677</v>
      </c>
      <c r="AC90" s="105">
        <v>0</v>
      </c>
      <c r="AD90" s="105" t="s">
        <v>678</v>
      </c>
      <c r="AE90" s="105">
        <v>8</v>
      </c>
      <c r="AF90" s="105" t="s">
        <v>679</v>
      </c>
      <c r="AG90" s="105">
        <v>55098.784</v>
      </c>
      <c r="AH90" s="105" t="b">
        <v>1</v>
      </c>
      <c r="AI90" s="105">
        <v>-1</v>
      </c>
      <c r="AJ90" s="105" t="s">
        <v>680</v>
      </c>
      <c r="AK90" s="105">
        <v>0</v>
      </c>
      <c r="AL90" s="105" t="b">
        <v>0</v>
      </c>
      <c r="AM90" s="105">
        <v>55098.784</v>
      </c>
      <c r="AN90" s="105" t="b">
        <v>1</v>
      </c>
      <c r="AO90" s="105">
        <v>0</v>
      </c>
      <c r="AP90" s="105" t="b">
        <v>0</v>
      </c>
      <c r="AQ90" s="105">
        <v>30402.001</v>
      </c>
      <c r="AR90" s="105"/>
      <c r="AS90" s="105">
        <v>30402.001</v>
      </c>
      <c r="AT90" s="105">
        <v>6</v>
      </c>
      <c r="AU90" s="105" t="b">
        <v>1</v>
      </c>
      <c r="AV90" s="105" t="b">
        <v>0</v>
      </c>
    </row>
    <row r="91" spans="1:48">
      <c r="A91" s="105" t="s">
        <v>510</v>
      </c>
      <c r="B91" s="105" t="s">
        <v>665</v>
      </c>
      <c r="C91" s="105" t="s">
        <v>666</v>
      </c>
      <c r="D91" s="105">
        <v>20240301</v>
      </c>
      <c r="E91" s="105">
        <v>2024</v>
      </c>
      <c r="F91" s="105">
        <v>3</v>
      </c>
      <c r="G91" s="105" t="s">
        <v>692</v>
      </c>
      <c r="H91" s="105">
        <v>818</v>
      </c>
      <c r="I91" s="105" t="s">
        <v>668</v>
      </c>
      <c r="J91" s="105" t="s">
        <v>57</v>
      </c>
      <c r="K91" s="105" t="s">
        <v>666</v>
      </c>
      <c r="L91" s="105" t="s">
        <v>669</v>
      </c>
      <c r="M91" s="105">
        <v>620</v>
      </c>
      <c r="N91" s="105" t="s">
        <v>693</v>
      </c>
      <c r="O91" s="105" t="s">
        <v>85</v>
      </c>
      <c r="P91" s="105">
        <v>0</v>
      </c>
      <c r="Q91" s="105" t="s">
        <v>670</v>
      </c>
      <c r="R91" s="105" t="s">
        <v>23</v>
      </c>
      <c r="S91" s="105" t="s">
        <v>671</v>
      </c>
      <c r="T91" s="105" t="s">
        <v>672</v>
      </c>
      <c r="U91" s="105" t="b">
        <v>1</v>
      </c>
      <c r="V91" s="105" t="s">
        <v>673</v>
      </c>
      <c r="W91" s="105" t="s">
        <v>674</v>
      </c>
      <c r="X91" s="105">
        <v>6</v>
      </c>
      <c r="Y91" s="105" t="b">
        <v>1</v>
      </c>
      <c r="Z91" s="105" t="s">
        <v>675</v>
      </c>
      <c r="AA91" s="105" t="s">
        <v>676</v>
      </c>
      <c r="AB91" s="105" t="s">
        <v>677</v>
      </c>
      <c r="AC91" s="105">
        <v>0</v>
      </c>
      <c r="AD91" s="105" t="s">
        <v>678</v>
      </c>
      <c r="AE91" s="105">
        <v>8</v>
      </c>
      <c r="AF91" s="105" t="s">
        <v>679</v>
      </c>
      <c r="AG91" s="105">
        <v>24649.646000000001</v>
      </c>
      <c r="AH91" s="105" t="b">
        <v>1</v>
      </c>
      <c r="AI91" s="105">
        <v>-1</v>
      </c>
      <c r="AJ91" s="105" t="s">
        <v>680</v>
      </c>
      <c r="AK91" s="105">
        <v>0</v>
      </c>
      <c r="AL91" s="105" t="b">
        <v>0</v>
      </c>
      <c r="AM91" s="105">
        <v>24649.646000000001</v>
      </c>
      <c r="AN91" s="105" t="b">
        <v>1</v>
      </c>
      <c r="AO91" s="105">
        <v>0</v>
      </c>
      <c r="AP91" s="105" t="b">
        <v>0</v>
      </c>
      <c r="AQ91" s="105">
        <v>13601</v>
      </c>
      <c r="AR91" s="105"/>
      <c r="AS91" s="105">
        <v>13601</v>
      </c>
      <c r="AT91" s="105">
        <v>6</v>
      </c>
      <c r="AU91" s="105" t="b">
        <v>1</v>
      </c>
      <c r="AV91" s="105" t="b">
        <v>0</v>
      </c>
    </row>
    <row r="92" spans="1:48">
      <c r="A92" s="105" t="s">
        <v>510</v>
      </c>
      <c r="B92" s="105" t="s">
        <v>665</v>
      </c>
      <c r="C92" s="105" t="s">
        <v>666</v>
      </c>
      <c r="D92" s="105">
        <v>20240301</v>
      </c>
      <c r="E92" s="105">
        <v>2024</v>
      </c>
      <c r="F92" s="105">
        <v>3</v>
      </c>
      <c r="G92" s="105" t="s">
        <v>692</v>
      </c>
      <c r="H92" s="105">
        <v>818</v>
      </c>
      <c r="I92" s="105" t="s">
        <v>668</v>
      </c>
      <c r="J92" s="105" t="s">
        <v>57</v>
      </c>
      <c r="K92" s="105" t="s">
        <v>666</v>
      </c>
      <c r="L92" s="105" t="s">
        <v>669</v>
      </c>
      <c r="M92" s="105">
        <v>724</v>
      </c>
      <c r="N92" s="105" t="s">
        <v>684</v>
      </c>
      <c r="O92" s="105" t="s">
        <v>51</v>
      </c>
      <c r="P92" s="105">
        <v>0</v>
      </c>
      <c r="Q92" s="105" t="s">
        <v>670</v>
      </c>
      <c r="R92" s="105" t="s">
        <v>23</v>
      </c>
      <c r="S92" s="105" t="s">
        <v>671</v>
      </c>
      <c r="T92" s="105" t="s">
        <v>672</v>
      </c>
      <c r="U92" s="105" t="b">
        <v>1</v>
      </c>
      <c r="V92" s="105" t="s">
        <v>673</v>
      </c>
      <c r="W92" s="105" t="s">
        <v>674</v>
      </c>
      <c r="X92" s="105">
        <v>6</v>
      </c>
      <c r="Y92" s="105" t="b">
        <v>1</v>
      </c>
      <c r="Z92" s="105" t="s">
        <v>675</v>
      </c>
      <c r="AA92" s="105" t="s">
        <v>676</v>
      </c>
      <c r="AB92" s="105" t="s">
        <v>677</v>
      </c>
      <c r="AC92" s="105">
        <v>0</v>
      </c>
      <c r="AD92" s="105" t="s">
        <v>678</v>
      </c>
      <c r="AE92" s="105">
        <v>8</v>
      </c>
      <c r="AF92" s="105" t="s">
        <v>679</v>
      </c>
      <c r="AG92" s="105">
        <v>1709751.0530000001</v>
      </c>
      <c r="AH92" s="105" t="b">
        <v>1</v>
      </c>
      <c r="AI92" s="105">
        <v>-1</v>
      </c>
      <c r="AJ92" s="105" t="s">
        <v>680</v>
      </c>
      <c r="AK92" s="105">
        <v>0</v>
      </c>
      <c r="AL92" s="105" t="b">
        <v>0</v>
      </c>
      <c r="AM92" s="105">
        <v>1709751.0530000001</v>
      </c>
      <c r="AN92" s="105" t="b">
        <v>1</v>
      </c>
      <c r="AO92" s="105">
        <v>0</v>
      </c>
      <c r="AP92" s="105" t="b">
        <v>0</v>
      </c>
      <c r="AQ92" s="105">
        <v>943393.84400000004</v>
      </c>
      <c r="AR92" s="105"/>
      <c r="AS92" s="105">
        <v>943393.84400000004</v>
      </c>
      <c r="AT92" s="105">
        <v>6</v>
      </c>
      <c r="AU92" s="105" t="b">
        <v>1</v>
      </c>
      <c r="AV92" s="105" t="b">
        <v>0</v>
      </c>
    </row>
    <row r="93" spans="1:48">
      <c r="A93" s="105" t="s">
        <v>510</v>
      </c>
      <c r="B93" s="105" t="s">
        <v>665</v>
      </c>
      <c r="C93" s="105" t="s">
        <v>666</v>
      </c>
      <c r="D93" s="105">
        <v>20240301</v>
      </c>
      <c r="E93" s="105">
        <v>2024</v>
      </c>
      <c r="F93" s="105">
        <v>3</v>
      </c>
      <c r="G93" s="105" t="s">
        <v>692</v>
      </c>
      <c r="H93" s="105">
        <v>818</v>
      </c>
      <c r="I93" s="105" t="s">
        <v>668</v>
      </c>
      <c r="J93" s="105" t="s">
        <v>57</v>
      </c>
      <c r="K93" s="105" t="s">
        <v>666</v>
      </c>
      <c r="L93" s="105" t="s">
        <v>669</v>
      </c>
      <c r="M93" s="105">
        <v>784</v>
      </c>
      <c r="N93" s="105" t="s">
        <v>694</v>
      </c>
      <c r="O93" s="105" t="s">
        <v>25</v>
      </c>
      <c r="P93" s="105">
        <v>0</v>
      </c>
      <c r="Q93" s="105" t="s">
        <v>670</v>
      </c>
      <c r="R93" s="105" t="s">
        <v>23</v>
      </c>
      <c r="S93" s="105" t="s">
        <v>671</v>
      </c>
      <c r="T93" s="105" t="s">
        <v>672</v>
      </c>
      <c r="U93" s="105" t="b">
        <v>1</v>
      </c>
      <c r="V93" s="105" t="s">
        <v>673</v>
      </c>
      <c r="W93" s="105" t="s">
        <v>674</v>
      </c>
      <c r="X93" s="105">
        <v>6</v>
      </c>
      <c r="Y93" s="105" t="b">
        <v>1</v>
      </c>
      <c r="Z93" s="105" t="s">
        <v>675</v>
      </c>
      <c r="AA93" s="105" t="s">
        <v>676</v>
      </c>
      <c r="AB93" s="105" t="s">
        <v>677</v>
      </c>
      <c r="AC93" s="105">
        <v>0</v>
      </c>
      <c r="AD93" s="105" t="s">
        <v>678</v>
      </c>
      <c r="AE93" s="105">
        <v>8</v>
      </c>
      <c r="AF93" s="105" t="s">
        <v>679</v>
      </c>
      <c r="AG93" s="105">
        <v>117126.13099999999</v>
      </c>
      <c r="AH93" s="105" t="b">
        <v>1</v>
      </c>
      <c r="AI93" s="105">
        <v>-1</v>
      </c>
      <c r="AJ93" s="105" t="s">
        <v>680</v>
      </c>
      <c r="AK93" s="105">
        <v>0</v>
      </c>
      <c r="AL93" s="105" t="b">
        <v>0</v>
      </c>
      <c r="AM93" s="105">
        <v>117126.13099999999</v>
      </c>
      <c r="AN93" s="105" t="b">
        <v>1</v>
      </c>
      <c r="AO93" s="105">
        <v>0</v>
      </c>
      <c r="AP93" s="105" t="b">
        <v>0</v>
      </c>
      <c r="AQ93" s="105">
        <v>64626.993999999999</v>
      </c>
      <c r="AR93" s="105"/>
      <c r="AS93" s="105">
        <v>64626.993999999999</v>
      </c>
      <c r="AT93" s="105">
        <v>6</v>
      </c>
      <c r="AU93" s="105" t="b">
        <v>1</v>
      </c>
      <c r="AV93" s="105" t="b">
        <v>0</v>
      </c>
    </row>
    <row r="94" spans="1:48">
      <c r="A94" s="105" t="s">
        <v>510</v>
      </c>
      <c r="B94" s="105" t="s">
        <v>665</v>
      </c>
      <c r="C94" s="105" t="s">
        <v>666</v>
      </c>
      <c r="D94" s="105">
        <v>20240301</v>
      </c>
      <c r="E94" s="105">
        <v>2024</v>
      </c>
      <c r="F94" s="105">
        <v>3</v>
      </c>
      <c r="G94" s="105" t="s">
        <v>692</v>
      </c>
      <c r="H94" s="105">
        <v>818</v>
      </c>
      <c r="I94" s="105" t="s">
        <v>668</v>
      </c>
      <c r="J94" s="105" t="s">
        <v>57</v>
      </c>
      <c r="K94" s="105" t="s">
        <v>666</v>
      </c>
      <c r="L94" s="105" t="s">
        <v>669</v>
      </c>
      <c r="M94" s="105">
        <v>792</v>
      </c>
      <c r="N94" s="105" t="s">
        <v>691</v>
      </c>
      <c r="O94" s="105" t="s">
        <v>63</v>
      </c>
      <c r="P94" s="105">
        <v>0</v>
      </c>
      <c r="Q94" s="105" t="s">
        <v>670</v>
      </c>
      <c r="R94" s="105" t="s">
        <v>23</v>
      </c>
      <c r="S94" s="105" t="s">
        <v>671</v>
      </c>
      <c r="T94" s="105" t="s">
        <v>672</v>
      </c>
      <c r="U94" s="105" t="b">
        <v>1</v>
      </c>
      <c r="V94" s="105" t="s">
        <v>673</v>
      </c>
      <c r="W94" s="105" t="s">
        <v>674</v>
      </c>
      <c r="X94" s="105">
        <v>6</v>
      </c>
      <c r="Y94" s="105" t="b">
        <v>1</v>
      </c>
      <c r="Z94" s="105" t="s">
        <v>675</v>
      </c>
      <c r="AA94" s="105" t="s">
        <v>676</v>
      </c>
      <c r="AB94" s="105" t="s">
        <v>677</v>
      </c>
      <c r="AC94" s="105">
        <v>0</v>
      </c>
      <c r="AD94" s="105" t="s">
        <v>678</v>
      </c>
      <c r="AE94" s="105">
        <v>8</v>
      </c>
      <c r="AF94" s="105" t="s">
        <v>679</v>
      </c>
      <c r="AG94" s="105">
        <v>248505.579</v>
      </c>
      <c r="AH94" s="105" t="b">
        <v>1</v>
      </c>
      <c r="AI94" s="105">
        <v>-1</v>
      </c>
      <c r="AJ94" s="105" t="s">
        <v>680</v>
      </c>
      <c r="AK94" s="105">
        <v>0</v>
      </c>
      <c r="AL94" s="105" t="b">
        <v>0</v>
      </c>
      <c r="AM94" s="105">
        <v>248505.579</v>
      </c>
      <c r="AN94" s="105" t="b">
        <v>1</v>
      </c>
      <c r="AO94" s="105">
        <v>0</v>
      </c>
      <c r="AP94" s="105" t="b">
        <v>0</v>
      </c>
      <c r="AQ94" s="105">
        <v>137118.57800000001</v>
      </c>
      <c r="AR94" s="105"/>
      <c r="AS94" s="105">
        <v>137118.57800000001</v>
      </c>
      <c r="AT94" s="105">
        <v>6</v>
      </c>
      <c r="AU94" s="105" t="b">
        <v>1</v>
      </c>
      <c r="AV94" s="105" t="b">
        <v>0</v>
      </c>
    </row>
    <row r="95" spans="1:48">
      <c r="A95" s="105" t="s">
        <v>510</v>
      </c>
      <c r="B95" s="105" t="s">
        <v>665</v>
      </c>
      <c r="C95" s="105" t="s">
        <v>666</v>
      </c>
      <c r="D95" s="105">
        <v>20240301</v>
      </c>
      <c r="E95" s="105">
        <v>2024</v>
      </c>
      <c r="F95" s="105">
        <v>3</v>
      </c>
      <c r="G95" s="105" t="s">
        <v>692</v>
      </c>
      <c r="H95" s="105">
        <v>818</v>
      </c>
      <c r="I95" s="105" t="s">
        <v>668</v>
      </c>
      <c r="J95" s="105" t="s">
        <v>57</v>
      </c>
      <c r="K95" s="105" t="s">
        <v>666</v>
      </c>
      <c r="L95" s="105" t="s">
        <v>669</v>
      </c>
      <c r="M95" s="105">
        <v>887</v>
      </c>
      <c r="N95" s="105" t="s">
        <v>686</v>
      </c>
      <c r="O95" s="105" t="s">
        <v>569</v>
      </c>
      <c r="P95" s="105">
        <v>0</v>
      </c>
      <c r="Q95" s="105" t="s">
        <v>670</v>
      </c>
      <c r="R95" s="105" t="s">
        <v>23</v>
      </c>
      <c r="S95" s="105" t="s">
        <v>671</v>
      </c>
      <c r="T95" s="105" t="s">
        <v>672</v>
      </c>
      <c r="U95" s="105" t="b">
        <v>1</v>
      </c>
      <c r="V95" s="105" t="s">
        <v>673</v>
      </c>
      <c r="W95" s="105" t="s">
        <v>674</v>
      </c>
      <c r="X95" s="105">
        <v>6</v>
      </c>
      <c r="Y95" s="105" t="b">
        <v>1</v>
      </c>
      <c r="Z95" s="105" t="s">
        <v>675</v>
      </c>
      <c r="AA95" s="105" t="s">
        <v>676</v>
      </c>
      <c r="AB95" s="105" t="s">
        <v>677</v>
      </c>
      <c r="AC95" s="105">
        <v>0</v>
      </c>
      <c r="AD95" s="105" t="s">
        <v>678</v>
      </c>
      <c r="AE95" s="105">
        <v>8</v>
      </c>
      <c r="AF95" s="105" t="s">
        <v>679</v>
      </c>
      <c r="AG95" s="105">
        <v>1541964.325</v>
      </c>
      <c r="AH95" s="105" t="b">
        <v>1</v>
      </c>
      <c r="AI95" s="105">
        <v>-1</v>
      </c>
      <c r="AJ95" s="105" t="s">
        <v>680</v>
      </c>
      <c r="AK95" s="105">
        <v>0</v>
      </c>
      <c r="AL95" s="105" t="b">
        <v>0</v>
      </c>
      <c r="AM95" s="105">
        <v>1541964.325</v>
      </c>
      <c r="AN95" s="105" t="b">
        <v>1</v>
      </c>
      <c r="AO95" s="105">
        <v>0</v>
      </c>
      <c r="AP95" s="105" t="b">
        <v>0</v>
      </c>
      <c r="AQ95" s="105">
        <v>850813.71900000004</v>
      </c>
      <c r="AR95" s="105"/>
      <c r="AS95" s="105">
        <v>850813.71900000004</v>
      </c>
      <c r="AT95" s="105">
        <v>6</v>
      </c>
      <c r="AU95" s="105" t="b">
        <v>1</v>
      </c>
      <c r="AV95" s="105" t="b">
        <v>0</v>
      </c>
    </row>
    <row r="96" spans="1:48">
      <c r="A96" s="105" t="s">
        <v>510</v>
      </c>
      <c r="B96" s="105" t="s">
        <v>665</v>
      </c>
      <c r="C96" s="105" t="s">
        <v>666</v>
      </c>
      <c r="D96" s="105">
        <v>20240401</v>
      </c>
      <c r="E96" s="105">
        <v>2024</v>
      </c>
      <c r="F96" s="105">
        <v>4</v>
      </c>
      <c r="G96" s="105" t="s">
        <v>695</v>
      </c>
      <c r="H96" s="105">
        <v>818</v>
      </c>
      <c r="I96" s="105" t="s">
        <v>668</v>
      </c>
      <c r="J96" s="105" t="s">
        <v>57</v>
      </c>
      <c r="K96" s="105" t="s">
        <v>666</v>
      </c>
      <c r="L96" s="105" t="s">
        <v>669</v>
      </c>
      <c r="M96" s="105">
        <v>0</v>
      </c>
      <c r="N96" s="105" t="s">
        <v>670</v>
      </c>
      <c r="O96" s="105" t="s">
        <v>23</v>
      </c>
      <c r="P96" s="105">
        <v>0</v>
      </c>
      <c r="Q96" s="105" t="s">
        <v>670</v>
      </c>
      <c r="R96" s="105" t="s">
        <v>23</v>
      </c>
      <c r="S96" s="105" t="s">
        <v>671</v>
      </c>
      <c r="T96" s="105" t="s">
        <v>672</v>
      </c>
      <c r="U96" s="105" t="b">
        <v>1</v>
      </c>
      <c r="V96" s="105" t="s">
        <v>673</v>
      </c>
      <c r="W96" s="105" t="s">
        <v>674</v>
      </c>
      <c r="X96" s="105">
        <v>6</v>
      </c>
      <c r="Y96" s="105" t="b">
        <v>1</v>
      </c>
      <c r="Z96" s="105" t="s">
        <v>675</v>
      </c>
      <c r="AA96" s="105" t="s">
        <v>676</v>
      </c>
      <c r="AB96" s="105" t="s">
        <v>677</v>
      </c>
      <c r="AC96" s="105">
        <v>0</v>
      </c>
      <c r="AD96" s="105" t="s">
        <v>678</v>
      </c>
      <c r="AE96" s="105">
        <v>8</v>
      </c>
      <c r="AF96" s="105" t="s">
        <v>679</v>
      </c>
      <c r="AG96" s="105">
        <v>3086149.889</v>
      </c>
      <c r="AH96" s="105" t="b">
        <v>1</v>
      </c>
      <c r="AI96" s="105">
        <v>-1</v>
      </c>
      <c r="AJ96" s="105" t="s">
        <v>680</v>
      </c>
      <c r="AK96" s="105">
        <v>0</v>
      </c>
      <c r="AL96" s="105" t="b">
        <v>0</v>
      </c>
      <c r="AM96" s="105">
        <v>3086149.889</v>
      </c>
      <c r="AN96" s="105" t="b">
        <v>1</v>
      </c>
      <c r="AO96" s="105">
        <v>0</v>
      </c>
      <c r="AP96" s="105" t="b">
        <v>0</v>
      </c>
      <c r="AQ96" s="105">
        <v>1702853.057</v>
      </c>
      <c r="AR96" s="105"/>
      <c r="AS96" s="105">
        <v>1702853.057</v>
      </c>
      <c r="AT96" s="105">
        <v>6</v>
      </c>
      <c r="AU96" s="105" t="b">
        <v>0</v>
      </c>
      <c r="AV96" s="105" t="b">
        <v>1</v>
      </c>
    </row>
    <row r="97" spans="1:48">
      <c r="A97" s="105" t="s">
        <v>510</v>
      </c>
      <c r="B97" s="105" t="s">
        <v>665</v>
      </c>
      <c r="C97" s="105" t="s">
        <v>666</v>
      </c>
      <c r="D97" s="105">
        <v>20240401</v>
      </c>
      <c r="E97" s="105">
        <v>2024</v>
      </c>
      <c r="F97" s="105">
        <v>4</v>
      </c>
      <c r="G97" s="105" t="s">
        <v>695</v>
      </c>
      <c r="H97" s="105">
        <v>818</v>
      </c>
      <c r="I97" s="105" t="s">
        <v>668</v>
      </c>
      <c r="J97" s="105" t="s">
        <v>57</v>
      </c>
      <c r="K97" s="105" t="s">
        <v>666</v>
      </c>
      <c r="L97" s="105" t="s">
        <v>669</v>
      </c>
      <c r="M97" s="105">
        <v>56</v>
      </c>
      <c r="N97" s="105" t="s">
        <v>696</v>
      </c>
      <c r="O97" s="105" t="s">
        <v>74</v>
      </c>
      <c r="P97" s="105">
        <v>0</v>
      </c>
      <c r="Q97" s="105" t="s">
        <v>670</v>
      </c>
      <c r="R97" s="105" t="s">
        <v>23</v>
      </c>
      <c r="S97" s="105" t="s">
        <v>671</v>
      </c>
      <c r="T97" s="105" t="s">
        <v>672</v>
      </c>
      <c r="U97" s="105" t="b">
        <v>1</v>
      </c>
      <c r="V97" s="105" t="s">
        <v>673</v>
      </c>
      <c r="W97" s="105" t="s">
        <v>674</v>
      </c>
      <c r="X97" s="105">
        <v>6</v>
      </c>
      <c r="Y97" s="105" t="b">
        <v>1</v>
      </c>
      <c r="Z97" s="105" t="s">
        <v>675</v>
      </c>
      <c r="AA97" s="105" t="s">
        <v>676</v>
      </c>
      <c r="AB97" s="105" t="s">
        <v>677</v>
      </c>
      <c r="AC97" s="105">
        <v>0</v>
      </c>
      <c r="AD97" s="105" t="s">
        <v>678</v>
      </c>
      <c r="AE97" s="105">
        <v>8</v>
      </c>
      <c r="AF97" s="105" t="s">
        <v>679</v>
      </c>
      <c r="AG97" s="105">
        <v>24111.398000000001</v>
      </c>
      <c r="AH97" s="105" t="b">
        <v>1</v>
      </c>
      <c r="AI97" s="105">
        <v>-1</v>
      </c>
      <c r="AJ97" s="105" t="s">
        <v>680</v>
      </c>
      <c r="AK97" s="105">
        <v>0</v>
      </c>
      <c r="AL97" s="105" t="b">
        <v>0</v>
      </c>
      <c r="AM97" s="105">
        <v>24111.398000000001</v>
      </c>
      <c r="AN97" s="105" t="b">
        <v>1</v>
      </c>
      <c r="AO97" s="105">
        <v>0</v>
      </c>
      <c r="AP97" s="105" t="b">
        <v>0</v>
      </c>
      <c r="AQ97" s="105">
        <v>13304.01</v>
      </c>
      <c r="AR97" s="105"/>
      <c r="AS97" s="105">
        <v>13304.01</v>
      </c>
      <c r="AT97" s="105">
        <v>6</v>
      </c>
      <c r="AU97" s="105" t="b">
        <v>1</v>
      </c>
      <c r="AV97" s="105" t="b">
        <v>0</v>
      </c>
    </row>
    <row r="98" spans="1:48">
      <c r="A98" s="105" t="s">
        <v>510</v>
      </c>
      <c r="B98" s="105" t="s">
        <v>665</v>
      </c>
      <c r="C98" s="105" t="s">
        <v>666</v>
      </c>
      <c r="D98" s="105">
        <v>20240401</v>
      </c>
      <c r="E98" s="105">
        <v>2024</v>
      </c>
      <c r="F98" s="105">
        <v>4</v>
      </c>
      <c r="G98" s="105" t="s">
        <v>695</v>
      </c>
      <c r="H98" s="105">
        <v>818</v>
      </c>
      <c r="I98" s="105" t="s">
        <v>668</v>
      </c>
      <c r="J98" s="105" t="s">
        <v>57</v>
      </c>
      <c r="K98" s="105" t="s">
        <v>666</v>
      </c>
      <c r="L98" s="105" t="s">
        <v>669</v>
      </c>
      <c r="M98" s="105">
        <v>422</v>
      </c>
      <c r="N98" s="105" t="s">
        <v>697</v>
      </c>
      <c r="O98" s="105" t="s">
        <v>225</v>
      </c>
      <c r="P98" s="105">
        <v>0</v>
      </c>
      <c r="Q98" s="105" t="s">
        <v>670</v>
      </c>
      <c r="R98" s="105" t="s">
        <v>23</v>
      </c>
      <c r="S98" s="105" t="s">
        <v>671</v>
      </c>
      <c r="T98" s="105" t="s">
        <v>672</v>
      </c>
      <c r="U98" s="105" t="b">
        <v>1</v>
      </c>
      <c r="V98" s="105" t="s">
        <v>673</v>
      </c>
      <c r="W98" s="105" t="s">
        <v>674</v>
      </c>
      <c r="X98" s="105">
        <v>6</v>
      </c>
      <c r="Y98" s="105" t="b">
        <v>1</v>
      </c>
      <c r="Z98" s="105" t="s">
        <v>675</v>
      </c>
      <c r="AA98" s="105" t="s">
        <v>676</v>
      </c>
      <c r="AB98" s="105" t="s">
        <v>677</v>
      </c>
      <c r="AC98" s="105">
        <v>0</v>
      </c>
      <c r="AD98" s="105" t="s">
        <v>678</v>
      </c>
      <c r="AE98" s="105">
        <v>8</v>
      </c>
      <c r="AF98" s="105" t="s">
        <v>679</v>
      </c>
      <c r="AG98" s="105">
        <v>285950.77500000002</v>
      </c>
      <c r="AH98" s="105" t="b">
        <v>1</v>
      </c>
      <c r="AI98" s="105">
        <v>-1</v>
      </c>
      <c r="AJ98" s="105" t="s">
        <v>680</v>
      </c>
      <c r="AK98" s="105">
        <v>0</v>
      </c>
      <c r="AL98" s="105" t="b">
        <v>0</v>
      </c>
      <c r="AM98" s="105">
        <v>285950.77500000002</v>
      </c>
      <c r="AN98" s="105" t="b">
        <v>1</v>
      </c>
      <c r="AO98" s="105">
        <v>0</v>
      </c>
      <c r="AP98" s="105" t="b">
        <v>0</v>
      </c>
      <c r="AQ98" s="105">
        <v>157779.81299999999</v>
      </c>
      <c r="AR98" s="105"/>
      <c r="AS98" s="105">
        <v>157779.81299999999</v>
      </c>
      <c r="AT98" s="105">
        <v>6</v>
      </c>
      <c r="AU98" s="105" t="b">
        <v>1</v>
      </c>
      <c r="AV98" s="105" t="b">
        <v>0</v>
      </c>
    </row>
    <row r="99" spans="1:48">
      <c r="A99" s="105" t="s">
        <v>510</v>
      </c>
      <c r="B99" s="105" t="s">
        <v>665</v>
      </c>
      <c r="C99" s="105" t="s">
        <v>666</v>
      </c>
      <c r="D99" s="105">
        <v>20240401</v>
      </c>
      <c r="E99" s="105">
        <v>2024</v>
      </c>
      <c r="F99" s="105">
        <v>4</v>
      </c>
      <c r="G99" s="105" t="s">
        <v>695</v>
      </c>
      <c r="H99" s="105">
        <v>818</v>
      </c>
      <c r="I99" s="105" t="s">
        <v>668</v>
      </c>
      <c r="J99" s="105" t="s">
        <v>57</v>
      </c>
      <c r="K99" s="105" t="s">
        <v>666</v>
      </c>
      <c r="L99" s="105" t="s">
        <v>669</v>
      </c>
      <c r="M99" s="105">
        <v>528</v>
      </c>
      <c r="N99" s="105" t="s">
        <v>698</v>
      </c>
      <c r="O99" s="105" t="s">
        <v>60</v>
      </c>
      <c r="P99" s="105">
        <v>0</v>
      </c>
      <c r="Q99" s="105" t="s">
        <v>670</v>
      </c>
      <c r="R99" s="105" t="s">
        <v>23</v>
      </c>
      <c r="S99" s="105" t="s">
        <v>671</v>
      </c>
      <c r="T99" s="105" t="s">
        <v>672</v>
      </c>
      <c r="U99" s="105" t="b">
        <v>1</v>
      </c>
      <c r="V99" s="105" t="s">
        <v>673</v>
      </c>
      <c r="W99" s="105" t="s">
        <v>674</v>
      </c>
      <c r="X99" s="105">
        <v>6</v>
      </c>
      <c r="Y99" s="105" t="b">
        <v>1</v>
      </c>
      <c r="Z99" s="105" t="s">
        <v>675</v>
      </c>
      <c r="AA99" s="105" t="s">
        <v>676</v>
      </c>
      <c r="AB99" s="105" t="s">
        <v>677</v>
      </c>
      <c r="AC99" s="105">
        <v>0</v>
      </c>
      <c r="AD99" s="105" t="s">
        <v>678</v>
      </c>
      <c r="AE99" s="105">
        <v>8</v>
      </c>
      <c r="AF99" s="105" t="s">
        <v>679</v>
      </c>
      <c r="AG99" s="105">
        <v>201119.935</v>
      </c>
      <c r="AH99" s="105" t="b">
        <v>1</v>
      </c>
      <c r="AI99" s="105">
        <v>-1</v>
      </c>
      <c r="AJ99" s="105" t="s">
        <v>680</v>
      </c>
      <c r="AK99" s="105">
        <v>0</v>
      </c>
      <c r="AL99" s="105" t="b">
        <v>0</v>
      </c>
      <c r="AM99" s="105">
        <v>201119.935</v>
      </c>
      <c r="AN99" s="105" t="b">
        <v>1</v>
      </c>
      <c r="AO99" s="105">
        <v>0</v>
      </c>
      <c r="AP99" s="105" t="b">
        <v>0</v>
      </c>
      <c r="AQ99" s="105">
        <v>110972.477</v>
      </c>
      <c r="AR99" s="105"/>
      <c r="AS99" s="105">
        <v>110972.477</v>
      </c>
      <c r="AT99" s="105">
        <v>6</v>
      </c>
      <c r="AU99" s="105" t="b">
        <v>1</v>
      </c>
      <c r="AV99" s="105" t="b">
        <v>0</v>
      </c>
    </row>
    <row r="100" spans="1:48">
      <c r="A100" s="105" t="s">
        <v>510</v>
      </c>
      <c r="B100" s="105" t="s">
        <v>665</v>
      </c>
      <c r="C100" s="105" t="s">
        <v>666</v>
      </c>
      <c r="D100" s="105">
        <v>20240401</v>
      </c>
      <c r="E100" s="105">
        <v>2024</v>
      </c>
      <c r="F100" s="105">
        <v>4</v>
      </c>
      <c r="G100" s="105" t="s">
        <v>695</v>
      </c>
      <c r="H100" s="105">
        <v>818</v>
      </c>
      <c r="I100" s="105" t="s">
        <v>668</v>
      </c>
      <c r="J100" s="105" t="s">
        <v>57</v>
      </c>
      <c r="K100" s="105" t="s">
        <v>666</v>
      </c>
      <c r="L100" s="105" t="s">
        <v>669</v>
      </c>
      <c r="M100" s="105">
        <v>724</v>
      </c>
      <c r="N100" s="105" t="s">
        <v>684</v>
      </c>
      <c r="O100" s="105" t="s">
        <v>51</v>
      </c>
      <c r="P100" s="105">
        <v>0</v>
      </c>
      <c r="Q100" s="105" t="s">
        <v>670</v>
      </c>
      <c r="R100" s="105" t="s">
        <v>23</v>
      </c>
      <c r="S100" s="105" t="s">
        <v>671</v>
      </c>
      <c r="T100" s="105" t="s">
        <v>672</v>
      </c>
      <c r="U100" s="105" t="b">
        <v>1</v>
      </c>
      <c r="V100" s="105" t="s">
        <v>673</v>
      </c>
      <c r="W100" s="105" t="s">
        <v>674</v>
      </c>
      <c r="X100" s="105">
        <v>6</v>
      </c>
      <c r="Y100" s="105" t="b">
        <v>1</v>
      </c>
      <c r="Z100" s="105" t="s">
        <v>675</v>
      </c>
      <c r="AA100" s="105" t="s">
        <v>676</v>
      </c>
      <c r="AB100" s="105" t="s">
        <v>677</v>
      </c>
      <c r="AC100" s="105">
        <v>0</v>
      </c>
      <c r="AD100" s="105" t="s">
        <v>678</v>
      </c>
      <c r="AE100" s="105">
        <v>8</v>
      </c>
      <c r="AF100" s="105" t="s">
        <v>679</v>
      </c>
      <c r="AG100" s="105">
        <v>1305342.8160000001</v>
      </c>
      <c r="AH100" s="105" t="b">
        <v>1</v>
      </c>
      <c r="AI100" s="105">
        <v>-1</v>
      </c>
      <c r="AJ100" s="105" t="s">
        <v>680</v>
      </c>
      <c r="AK100" s="105">
        <v>0</v>
      </c>
      <c r="AL100" s="105" t="b">
        <v>0</v>
      </c>
      <c r="AM100" s="105">
        <v>1305342.8160000001</v>
      </c>
      <c r="AN100" s="105" t="b">
        <v>1</v>
      </c>
      <c r="AO100" s="105">
        <v>0</v>
      </c>
      <c r="AP100" s="105" t="b">
        <v>0</v>
      </c>
      <c r="AQ100" s="105">
        <v>720252.44499999995</v>
      </c>
      <c r="AR100" s="105"/>
      <c r="AS100" s="105">
        <v>720252.44499999995</v>
      </c>
      <c r="AT100" s="105">
        <v>6</v>
      </c>
      <c r="AU100" s="105" t="b">
        <v>1</v>
      </c>
      <c r="AV100" s="105" t="b">
        <v>0</v>
      </c>
    </row>
    <row r="101" spans="1:48">
      <c r="A101" s="105" t="s">
        <v>510</v>
      </c>
      <c r="B101" s="105" t="s">
        <v>665</v>
      </c>
      <c r="C101" s="105" t="s">
        <v>666</v>
      </c>
      <c r="D101" s="105">
        <v>20240401</v>
      </c>
      <c r="E101" s="105">
        <v>2024</v>
      </c>
      <c r="F101" s="105">
        <v>4</v>
      </c>
      <c r="G101" s="105" t="s">
        <v>695</v>
      </c>
      <c r="H101" s="105">
        <v>818</v>
      </c>
      <c r="I101" s="105" t="s">
        <v>668</v>
      </c>
      <c r="J101" s="105" t="s">
        <v>57</v>
      </c>
      <c r="K101" s="105" t="s">
        <v>666</v>
      </c>
      <c r="L101" s="105" t="s">
        <v>669</v>
      </c>
      <c r="M101" s="105">
        <v>792</v>
      </c>
      <c r="N101" s="105" t="s">
        <v>691</v>
      </c>
      <c r="O101" s="105" t="s">
        <v>63</v>
      </c>
      <c r="P101" s="105">
        <v>0</v>
      </c>
      <c r="Q101" s="105" t="s">
        <v>670</v>
      </c>
      <c r="R101" s="105" t="s">
        <v>23</v>
      </c>
      <c r="S101" s="105" t="s">
        <v>671</v>
      </c>
      <c r="T101" s="105" t="s">
        <v>672</v>
      </c>
      <c r="U101" s="105" t="b">
        <v>1</v>
      </c>
      <c r="V101" s="105" t="s">
        <v>673</v>
      </c>
      <c r="W101" s="105" t="s">
        <v>674</v>
      </c>
      <c r="X101" s="105">
        <v>6</v>
      </c>
      <c r="Y101" s="105" t="b">
        <v>1</v>
      </c>
      <c r="Z101" s="105" t="s">
        <v>675</v>
      </c>
      <c r="AA101" s="105" t="s">
        <v>676</v>
      </c>
      <c r="AB101" s="105" t="s">
        <v>677</v>
      </c>
      <c r="AC101" s="105">
        <v>0</v>
      </c>
      <c r="AD101" s="105" t="s">
        <v>678</v>
      </c>
      <c r="AE101" s="105">
        <v>8</v>
      </c>
      <c r="AF101" s="105" t="s">
        <v>679</v>
      </c>
      <c r="AG101" s="105">
        <v>297114.45400000003</v>
      </c>
      <c r="AH101" s="105" t="b">
        <v>1</v>
      </c>
      <c r="AI101" s="105">
        <v>-1</v>
      </c>
      <c r="AJ101" s="105" t="s">
        <v>680</v>
      </c>
      <c r="AK101" s="105">
        <v>0</v>
      </c>
      <c r="AL101" s="105" t="b">
        <v>0</v>
      </c>
      <c r="AM101" s="105">
        <v>297114.45400000003</v>
      </c>
      <c r="AN101" s="105" t="b">
        <v>1</v>
      </c>
      <c r="AO101" s="105">
        <v>0</v>
      </c>
      <c r="AP101" s="105" t="b">
        <v>0</v>
      </c>
      <c r="AQ101" s="105">
        <v>163939.625</v>
      </c>
      <c r="AR101" s="105"/>
      <c r="AS101" s="105">
        <v>163939.625</v>
      </c>
      <c r="AT101" s="105">
        <v>6</v>
      </c>
      <c r="AU101" s="105" t="b">
        <v>1</v>
      </c>
      <c r="AV101" s="105" t="b">
        <v>0</v>
      </c>
    </row>
    <row r="102" spans="1:48">
      <c r="A102" s="105" t="s">
        <v>510</v>
      </c>
      <c r="B102" s="105" t="s">
        <v>665</v>
      </c>
      <c r="C102" s="105" t="s">
        <v>666</v>
      </c>
      <c r="D102" s="105">
        <v>20240401</v>
      </c>
      <c r="E102" s="105">
        <v>2024</v>
      </c>
      <c r="F102" s="105">
        <v>4</v>
      </c>
      <c r="G102" s="105" t="s">
        <v>695</v>
      </c>
      <c r="H102" s="105">
        <v>818</v>
      </c>
      <c r="I102" s="105" t="s">
        <v>668</v>
      </c>
      <c r="J102" s="105" t="s">
        <v>57</v>
      </c>
      <c r="K102" s="105" t="s">
        <v>666</v>
      </c>
      <c r="L102" s="105" t="s">
        <v>669</v>
      </c>
      <c r="M102" s="105">
        <v>887</v>
      </c>
      <c r="N102" s="105" t="s">
        <v>686</v>
      </c>
      <c r="O102" s="105" t="s">
        <v>569</v>
      </c>
      <c r="P102" s="105">
        <v>0</v>
      </c>
      <c r="Q102" s="105" t="s">
        <v>670</v>
      </c>
      <c r="R102" s="105" t="s">
        <v>23</v>
      </c>
      <c r="S102" s="105" t="s">
        <v>671</v>
      </c>
      <c r="T102" s="105" t="s">
        <v>672</v>
      </c>
      <c r="U102" s="105" t="b">
        <v>1</v>
      </c>
      <c r="V102" s="105" t="s">
        <v>673</v>
      </c>
      <c r="W102" s="105" t="s">
        <v>674</v>
      </c>
      <c r="X102" s="105">
        <v>6</v>
      </c>
      <c r="Y102" s="105" t="b">
        <v>1</v>
      </c>
      <c r="Z102" s="105" t="s">
        <v>675</v>
      </c>
      <c r="AA102" s="105" t="s">
        <v>676</v>
      </c>
      <c r="AB102" s="105" t="s">
        <v>677</v>
      </c>
      <c r="AC102" s="105">
        <v>0</v>
      </c>
      <c r="AD102" s="105" t="s">
        <v>678</v>
      </c>
      <c r="AE102" s="105">
        <v>8</v>
      </c>
      <c r="AF102" s="105" t="s">
        <v>679</v>
      </c>
      <c r="AG102" s="105">
        <v>972510.51100000006</v>
      </c>
      <c r="AH102" s="105" t="b">
        <v>1</v>
      </c>
      <c r="AI102" s="105">
        <v>-1</v>
      </c>
      <c r="AJ102" s="105" t="s">
        <v>680</v>
      </c>
      <c r="AK102" s="105">
        <v>0</v>
      </c>
      <c r="AL102" s="105" t="b">
        <v>0</v>
      </c>
      <c r="AM102" s="105">
        <v>972510.51100000006</v>
      </c>
      <c r="AN102" s="105" t="b">
        <v>1</v>
      </c>
      <c r="AO102" s="105">
        <v>0</v>
      </c>
      <c r="AP102" s="105" t="b">
        <v>0</v>
      </c>
      <c r="AQ102" s="105">
        <v>536604.68799999997</v>
      </c>
      <c r="AR102" s="105"/>
      <c r="AS102" s="105">
        <v>536604.68799999997</v>
      </c>
      <c r="AT102" s="105">
        <v>6</v>
      </c>
      <c r="AU102" s="105" t="b">
        <v>1</v>
      </c>
      <c r="AV102" s="105" t="b">
        <v>0</v>
      </c>
    </row>
    <row r="103" spans="1:48">
      <c r="A103" s="105" t="s">
        <v>510</v>
      </c>
      <c r="B103" s="105" t="s">
        <v>665</v>
      </c>
      <c r="C103" s="105" t="s">
        <v>666</v>
      </c>
      <c r="D103" s="105">
        <v>20240501</v>
      </c>
      <c r="E103" s="105">
        <v>2024</v>
      </c>
      <c r="F103" s="105">
        <v>5</v>
      </c>
      <c r="G103" s="105" t="s">
        <v>699</v>
      </c>
      <c r="H103" s="105">
        <v>818</v>
      </c>
      <c r="I103" s="105" t="s">
        <v>668</v>
      </c>
      <c r="J103" s="105" t="s">
        <v>57</v>
      </c>
      <c r="K103" s="105" t="s">
        <v>666</v>
      </c>
      <c r="L103" s="105" t="s">
        <v>669</v>
      </c>
      <c r="M103" s="105">
        <v>0</v>
      </c>
      <c r="N103" s="105" t="s">
        <v>670</v>
      </c>
      <c r="O103" s="105" t="s">
        <v>23</v>
      </c>
      <c r="P103" s="105">
        <v>0</v>
      </c>
      <c r="Q103" s="105" t="s">
        <v>670</v>
      </c>
      <c r="R103" s="105" t="s">
        <v>23</v>
      </c>
      <c r="S103" s="105" t="s">
        <v>671</v>
      </c>
      <c r="T103" s="105" t="s">
        <v>672</v>
      </c>
      <c r="U103" s="105" t="b">
        <v>1</v>
      </c>
      <c r="V103" s="105" t="s">
        <v>673</v>
      </c>
      <c r="W103" s="105" t="s">
        <v>674</v>
      </c>
      <c r="X103" s="105">
        <v>6</v>
      </c>
      <c r="Y103" s="105" t="b">
        <v>1</v>
      </c>
      <c r="Z103" s="105" t="s">
        <v>675</v>
      </c>
      <c r="AA103" s="105" t="s">
        <v>676</v>
      </c>
      <c r="AB103" s="105" t="s">
        <v>677</v>
      </c>
      <c r="AC103" s="105">
        <v>0</v>
      </c>
      <c r="AD103" s="105" t="s">
        <v>678</v>
      </c>
      <c r="AE103" s="105">
        <v>8</v>
      </c>
      <c r="AF103" s="105" t="s">
        <v>679</v>
      </c>
      <c r="AG103" s="105">
        <v>776351.348</v>
      </c>
      <c r="AH103" s="105" t="b">
        <v>1</v>
      </c>
      <c r="AI103" s="105">
        <v>-1</v>
      </c>
      <c r="AJ103" s="105" t="s">
        <v>680</v>
      </c>
      <c r="AK103" s="105">
        <v>0</v>
      </c>
      <c r="AL103" s="105" t="b">
        <v>0</v>
      </c>
      <c r="AM103" s="105">
        <v>776351.348</v>
      </c>
      <c r="AN103" s="105" t="b">
        <v>1</v>
      </c>
      <c r="AO103" s="105">
        <v>0</v>
      </c>
      <c r="AP103" s="105" t="b">
        <v>0</v>
      </c>
      <c r="AQ103" s="105">
        <v>428369.429</v>
      </c>
      <c r="AR103" s="105"/>
      <c r="AS103" s="105">
        <v>428369.429</v>
      </c>
      <c r="AT103" s="105">
        <v>6</v>
      </c>
      <c r="AU103" s="105" t="b">
        <v>0</v>
      </c>
      <c r="AV103" s="105" t="b">
        <v>1</v>
      </c>
    </row>
    <row r="104" spans="1:48">
      <c r="A104" s="105" t="s">
        <v>510</v>
      </c>
      <c r="B104" s="105" t="s">
        <v>665</v>
      </c>
      <c r="C104" s="105" t="s">
        <v>666</v>
      </c>
      <c r="D104" s="105">
        <v>20240501</v>
      </c>
      <c r="E104" s="105">
        <v>2024</v>
      </c>
      <c r="F104" s="105">
        <v>5</v>
      </c>
      <c r="G104" s="105" t="s">
        <v>699</v>
      </c>
      <c r="H104" s="105">
        <v>818</v>
      </c>
      <c r="I104" s="105" t="s">
        <v>668</v>
      </c>
      <c r="J104" s="105" t="s">
        <v>57</v>
      </c>
      <c r="K104" s="105" t="s">
        <v>666</v>
      </c>
      <c r="L104" s="105" t="s">
        <v>669</v>
      </c>
      <c r="M104" s="105">
        <v>380</v>
      </c>
      <c r="N104" s="105" t="s">
        <v>689</v>
      </c>
      <c r="O104" s="105" t="s">
        <v>71</v>
      </c>
      <c r="P104" s="105">
        <v>0</v>
      </c>
      <c r="Q104" s="105" t="s">
        <v>670</v>
      </c>
      <c r="R104" s="105" t="s">
        <v>23</v>
      </c>
      <c r="S104" s="105" t="s">
        <v>671</v>
      </c>
      <c r="T104" s="105" t="s">
        <v>672</v>
      </c>
      <c r="U104" s="105" t="b">
        <v>1</v>
      </c>
      <c r="V104" s="105" t="s">
        <v>673</v>
      </c>
      <c r="W104" s="105" t="s">
        <v>674</v>
      </c>
      <c r="X104" s="105">
        <v>6</v>
      </c>
      <c r="Y104" s="105" t="b">
        <v>1</v>
      </c>
      <c r="Z104" s="105" t="s">
        <v>675</v>
      </c>
      <c r="AA104" s="105" t="s">
        <v>676</v>
      </c>
      <c r="AB104" s="105" t="s">
        <v>677</v>
      </c>
      <c r="AC104" s="105">
        <v>0</v>
      </c>
      <c r="AD104" s="105" t="s">
        <v>678</v>
      </c>
      <c r="AE104" s="105">
        <v>8</v>
      </c>
      <c r="AF104" s="105" t="s">
        <v>679</v>
      </c>
      <c r="AG104" s="105">
        <v>58671.56</v>
      </c>
      <c r="AH104" s="105" t="b">
        <v>1</v>
      </c>
      <c r="AI104" s="105">
        <v>-1</v>
      </c>
      <c r="AJ104" s="105" t="s">
        <v>680</v>
      </c>
      <c r="AK104" s="105">
        <v>0</v>
      </c>
      <c r="AL104" s="105" t="b">
        <v>0</v>
      </c>
      <c r="AM104" s="105">
        <v>58671.56</v>
      </c>
      <c r="AN104" s="105" t="b">
        <v>1</v>
      </c>
      <c r="AO104" s="105">
        <v>0</v>
      </c>
      <c r="AP104" s="105" t="b">
        <v>0</v>
      </c>
      <c r="AQ104" s="105">
        <v>32373.361000000001</v>
      </c>
      <c r="AR104" s="105"/>
      <c r="AS104" s="105">
        <v>32373.361000000001</v>
      </c>
      <c r="AT104" s="105">
        <v>6</v>
      </c>
      <c r="AU104" s="105" t="b">
        <v>1</v>
      </c>
      <c r="AV104" s="105" t="b">
        <v>0</v>
      </c>
    </row>
    <row r="105" spans="1:48">
      <c r="A105" s="105" t="s">
        <v>510</v>
      </c>
      <c r="B105" s="105" t="s">
        <v>665</v>
      </c>
      <c r="C105" s="105" t="s">
        <v>666</v>
      </c>
      <c r="D105" s="105">
        <v>20240501</v>
      </c>
      <c r="E105" s="105">
        <v>2024</v>
      </c>
      <c r="F105" s="105">
        <v>5</v>
      </c>
      <c r="G105" s="105" t="s">
        <v>699</v>
      </c>
      <c r="H105" s="105">
        <v>818</v>
      </c>
      <c r="I105" s="105" t="s">
        <v>668</v>
      </c>
      <c r="J105" s="105" t="s">
        <v>57</v>
      </c>
      <c r="K105" s="105" t="s">
        <v>666</v>
      </c>
      <c r="L105" s="105" t="s">
        <v>669</v>
      </c>
      <c r="M105" s="105">
        <v>686</v>
      </c>
      <c r="N105" s="105" t="s">
        <v>690</v>
      </c>
      <c r="O105" s="105" t="s">
        <v>232</v>
      </c>
      <c r="P105" s="105">
        <v>0</v>
      </c>
      <c r="Q105" s="105" t="s">
        <v>670</v>
      </c>
      <c r="R105" s="105" t="s">
        <v>23</v>
      </c>
      <c r="S105" s="105" t="s">
        <v>671</v>
      </c>
      <c r="T105" s="105" t="s">
        <v>672</v>
      </c>
      <c r="U105" s="105" t="b">
        <v>1</v>
      </c>
      <c r="V105" s="105" t="s">
        <v>673</v>
      </c>
      <c r="W105" s="105" t="s">
        <v>674</v>
      </c>
      <c r="X105" s="105">
        <v>6</v>
      </c>
      <c r="Y105" s="105" t="b">
        <v>1</v>
      </c>
      <c r="Z105" s="105" t="s">
        <v>675</v>
      </c>
      <c r="AA105" s="105" t="s">
        <v>676</v>
      </c>
      <c r="AB105" s="105" t="s">
        <v>677</v>
      </c>
      <c r="AC105" s="105">
        <v>0</v>
      </c>
      <c r="AD105" s="105" t="s">
        <v>678</v>
      </c>
      <c r="AE105" s="105">
        <v>8</v>
      </c>
      <c r="AF105" s="105" t="s">
        <v>679</v>
      </c>
      <c r="AG105" s="105">
        <v>461061.17099999997</v>
      </c>
      <c r="AH105" s="105" t="b">
        <v>1</v>
      </c>
      <c r="AI105" s="105">
        <v>-1</v>
      </c>
      <c r="AJ105" s="105" t="s">
        <v>680</v>
      </c>
      <c r="AK105" s="105">
        <v>0</v>
      </c>
      <c r="AL105" s="105" t="b">
        <v>0</v>
      </c>
      <c r="AM105" s="105">
        <v>461061.17099999997</v>
      </c>
      <c r="AN105" s="105" t="b">
        <v>1</v>
      </c>
      <c r="AO105" s="105">
        <v>0</v>
      </c>
      <c r="AP105" s="105" t="b">
        <v>0</v>
      </c>
      <c r="AQ105" s="105">
        <v>254400.93799999999</v>
      </c>
      <c r="AR105" s="105"/>
      <c r="AS105" s="105">
        <v>254400.93799999999</v>
      </c>
      <c r="AT105" s="105">
        <v>6</v>
      </c>
      <c r="AU105" s="105" t="b">
        <v>1</v>
      </c>
      <c r="AV105" s="105" t="b">
        <v>0</v>
      </c>
    </row>
    <row r="106" spans="1:48">
      <c r="A106" s="105" t="s">
        <v>510</v>
      </c>
      <c r="B106" s="105" t="s">
        <v>665</v>
      </c>
      <c r="C106" s="105" t="s">
        <v>666</v>
      </c>
      <c r="D106" s="105">
        <v>20240501</v>
      </c>
      <c r="E106" s="105">
        <v>2024</v>
      </c>
      <c r="F106" s="105">
        <v>5</v>
      </c>
      <c r="G106" s="105" t="s">
        <v>699</v>
      </c>
      <c r="H106" s="105">
        <v>818</v>
      </c>
      <c r="I106" s="105" t="s">
        <v>668</v>
      </c>
      <c r="J106" s="105" t="s">
        <v>57</v>
      </c>
      <c r="K106" s="105" t="s">
        <v>666</v>
      </c>
      <c r="L106" s="105" t="s">
        <v>669</v>
      </c>
      <c r="M106" s="105">
        <v>724</v>
      </c>
      <c r="N106" s="105" t="s">
        <v>684</v>
      </c>
      <c r="O106" s="105" t="s">
        <v>51</v>
      </c>
      <c r="P106" s="105">
        <v>0</v>
      </c>
      <c r="Q106" s="105" t="s">
        <v>670</v>
      </c>
      <c r="R106" s="105" t="s">
        <v>23</v>
      </c>
      <c r="S106" s="105" t="s">
        <v>671</v>
      </c>
      <c r="T106" s="105" t="s">
        <v>672</v>
      </c>
      <c r="U106" s="105" t="b">
        <v>1</v>
      </c>
      <c r="V106" s="105" t="s">
        <v>673</v>
      </c>
      <c r="W106" s="105" t="s">
        <v>674</v>
      </c>
      <c r="X106" s="105">
        <v>6</v>
      </c>
      <c r="Y106" s="105" t="b">
        <v>1</v>
      </c>
      <c r="Z106" s="105" t="s">
        <v>675</v>
      </c>
      <c r="AA106" s="105" t="s">
        <v>676</v>
      </c>
      <c r="AB106" s="105" t="s">
        <v>677</v>
      </c>
      <c r="AC106" s="105">
        <v>0</v>
      </c>
      <c r="AD106" s="105" t="s">
        <v>678</v>
      </c>
      <c r="AE106" s="105">
        <v>8</v>
      </c>
      <c r="AF106" s="105" t="s">
        <v>679</v>
      </c>
      <c r="AG106" s="105">
        <v>55817.315999999999</v>
      </c>
      <c r="AH106" s="105" t="b">
        <v>1</v>
      </c>
      <c r="AI106" s="105">
        <v>-1</v>
      </c>
      <c r="AJ106" s="105" t="s">
        <v>680</v>
      </c>
      <c r="AK106" s="105">
        <v>0</v>
      </c>
      <c r="AL106" s="105" t="b">
        <v>0</v>
      </c>
      <c r="AM106" s="105">
        <v>55817.315999999999</v>
      </c>
      <c r="AN106" s="105" t="b">
        <v>1</v>
      </c>
      <c r="AO106" s="105">
        <v>0</v>
      </c>
      <c r="AP106" s="105" t="b">
        <v>0</v>
      </c>
      <c r="AQ106" s="105">
        <v>30798.468000000001</v>
      </c>
      <c r="AR106" s="105"/>
      <c r="AS106" s="105">
        <v>30798.468000000001</v>
      </c>
      <c r="AT106" s="105">
        <v>6</v>
      </c>
      <c r="AU106" s="105" t="b">
        <v>1</v>
      </c>
      <c r="AV106" s="105" t="b">
        <v>0</v>
      </c>
    </row>
    <row r="107" spans="1:48">
      <c r="A107" s="105" t="s">
        <v>510</v>
      </c>
      <c r="B107" s="105" t="s">
        <v>665</v>
      </c>
      <c r="C107" s="105" t="s">
        <v>666</v>
      </c>
      <c r="D107" s="105">
        <v>20240501</v>
      </c>
      <c r="E107" s="105">
        <v>2024</v>
      </c>
      <c r="F107" s="105">
        <v>5</v>
      </c>
      <c r="G107" s="105" t="s">
        <v>699</v>
      </c>
      <c r="H107" s="105">
        <v>818</v>
      </c>
      <c r="I107" s="105" t="s">
        <v>668</v>
      </c>
      <c r="J107" s="105" t="s">
        <v>57</v>
      </c>
      <c r="K107" s="105" t="s">
        <v>666</v>
      </c>
      <c r="L107" s="105" t="s">
        <v>669</v>
      </c>
      <c r="M107" s="105">
        <v>792</v>
      </c>
      <c r="N107" s="105" t="s">
        <v>691</v>
      </c>
      <c r="O107" s="105" t="s">
        <v>63</v>
      </c>
      <c r="P107" s="105">
        <v>0</v>
      </c>
      <c r="Q107" s="105" t="s">
        <v>670</v>
      </c>
      <c r="R107" s="105" t="s">
        <v>23</v>
      </c>
      <c r="S107" s="105" t="s">
        <v>671</v>
      </c>
      <c r="T107" s="105" t="s">
        <v>672</v>
      </c>
      <c r="U107" s="105" t="b">
        <v>1</v>
      </c>
      <c r="V107" s="105" t="s">
        <v>673</v>
      </c>
      <c r="W107" s="105" t="s">
        <v>674</v>
      </c>
      <c r="X107" s="105">
        <v>6</v>
      </c>
      <c r="Y107" s="105" t="b">
        <v>1</v>
      </c>
      <c r="Z107" s="105" t="s">
        <v>675</v>
      </c>
      <c r="AA107" s="105" t="s">
        <v>676</v>
      </c>
      <c r="AB107" s="105" t="s">
        <v>677</v>
      </c>
      <c r="AC107" s="105">
        <v>0</v>
      </c>
      <c r="AD107" s="105" t="s">
        <v>678</v>
      </c>
      <c r="AE107" s="105">
        <v>8</v>
      </c>
      <c r="AF107" s="105" t="s">
        <v>679</v>
      </c>
      <c r="AG107" s="105">
        <v>187705.03200000001</v>
      </c>
      <c r="AH107" s="105" t="b">
        <v>1</v>
      </c>
      <c r="AI107" s="105">
        <v>-1</v>
      </c>
      <c r="AJ107" s="105" t="s">
        <v>680</v>
      </c>
      <c r="AK107" s="105">
        <v>0</v>
      </c>
      <c r="AL107" s="105" t="b">
        <v>0</v>
      </c>
      <c r="AM107" s="105">
        <v>187705.03200000001</v>
      </c>
      <c r="AN107" s="105" t="b">
        <v>1</v>
      </c>
      <c r="AO107" s="105">
        <v>0</v>
      </c>
      <c r="AP107" s="105" t="b">
        <v>0</v>
      </c>
      <c r="AQ107" s="105">
        <v>103570.5</v>
      </c>
      <c r="AR107" s="105"/>
      <c r="AS107" s="105">
        <v>103570.5</v>
      </c>
      <c r="AT107" s="105">
        <v>6</v>
      </c>
      <c r="AU107" s="105" t="b">
        <v>1</v>
      </c>
      <c r="AV107" s="105" t="b">
        <v>0</v>
      </c>
    </row>
    <row r="108" spans="1:48">
      <c r="A108" s="105" t="s">
        <v>510</v>
      </c>
      <c r="B108" s="105" t="s">
        <v>665</v>
      </c>
      <c r="C108" s="105" t="s">
        <v>666</v>
      </c>
      <c r="D108" s="105">
        <v>20240501</v>
      </c>
      <c r="E108" s="105">
        <v>2024</v>
      </c>
      <c r="F108" s="105">
        <v>5</v>
      </c>
      <c r="G108" s="105" t="s">
        <v>699</v>
      </c>
      <c r="H108" s="105">
        <v>818</v>
      </c>
      <c r="I108" s="105" t="s">
        <v>668</v>
      </c>
      <c r="J108" s="105" t="s">
        <v>57</v>
      </c>
      <c r="K108" s="105" t="s">
        <v>666</v>
      </c>
      <c r="L108" s="105" t="s">
        <v>669</v>
      </c>
      <c r="M108" s="105">
        <v>826</v>
      </c>
      <c r="N108" s="105" t="s">
        <v>685</v>
      </c>
      <c r="O108" s="105" t="s">
        <v>64</v>
      </c>
      <c r="P108" s="105">
        <v>0</v>
      </c>
      <c r="Q108" s="105" t="s">
        <v>670</v>
      </c>
      <c r="R108" s="105" t="s">
        <v>23</v>
      </c>
      <c r="S108" s="105" t="s">
        <v>671</v>
      </c>
      <c r="T108" s="105" t="s">
        <v>672</v>
      </c>
      <c r="U108" s="105" t="b">
        <v>1</v>
      </c>
      <c r="V108" s="105" t="s">
        <v>673</v>
      </c>
      <c r="W108" s="105" t="s">
        <v>674</v>
      </c>
      <c r="X108" s="105">
        <v>6</v>
      </c>
      <c r="Y108" s="105" t="b">
        <v>1</v>
      </c>
      <c r="Z108" s="105" t="s">
        <v>675</v>
      </c>
      <c r="AA108" s="105" t="s">
        <v>676</v>
      </c>
      <c r="AB108" s="105" t="s">
        <v>677</v>
      </c>
      <c r="AC108" s="105">
        <v>0</v>
      </c>
      <c r="AD108" s="105" t="s">
        <v>678</v>
      </c>
      <c r="AE108" s="105">
        <v>8</v>
      </c>
      <c r="AF108" s="105" t="s">
        <v>679</v>
      </c>
      <c r="AG108" s="105">
        <v>13096.269</v>
      </c>
      <c r="AH108" s="105" t="b">
        <v>1</v>
      </c>
      <c r="AI108" s="105">
        <v>-1</v>
      </c>
      <c r="AJ108" s="105" t="s">
        <v>680</v>
      </c>
      <c r="AK108" s="105">
        <v>0</v>
      </c>
      <c r="AL108" s="105" t="b">
        <v>0</v>
      </c>
      <c r="AM108" s="105">
        <v>13096.269</v>
      </c>
      <c r="AN108" s="105" t="b">
        <v>1</v>
      </c>
      <c r="AO108" s="105">
        <v>0</v>
      </c>
      <c r="AP108" s="105" t="b">
        <v>0</v>
      </c>
      <c r="AQ108" s="105">
        <v>7226.1629999999996</v>
      </c>
      <c r="AR108" s="105"/>
      <c r="AS108" s="105">
        <v>7226.1629999999996</v>
      </c>
      <c r="AT108" s="105">
        <v>6</v>
      </c>
      <c r="AU108" s="105" t="b">
        <v>1</v>
      </c>
      <c r="AV108" s="105" t="b">
        <v>0</v>
      </c>
    </row>
    <row r="109" spans="1:48">
      <c r="A109" s="105" t="s">
        <v>510</v>
      </c>
      <c r="B109" s="105" t="s">
        <v>665</v>
      </c>
      <c r="C109" s="105" t="s">
        <v>666</v>
      </c>
      <c r="D109" s="105">
        <v>20240601</v>
      </c>
      <c r="E109" s="105">
        <v>2024</v>
      </c>
      <c r="F109" s="105">
        <v>6</v>
      </c>
      <c r="G109" s="105" t="s">
        <v>700</v>
      </c>
      <c r="H109" s="105">
        <v>818</v>
      </c>
      <c r="I109" s="105" t="s">
        <v>668</v>
      </c>
      <c r="J109" s="105" t="s">
        <v>57</v>
      </c>
      <c r="K109" s="105" t="s">
        <v>666</v>
      </c>
      <c r="L109" s="105" t="s">
        <v>669</v>
      </c>
      <c r="M109" s="105">
        <v>0</v>
      </c>
      <c r="N109" s="105" t="s">
        <v>670</v>
      </c>
      <c r="O109" s="105" t="s">
        <v>23</v>
      </c>
      <c r="P109" s="105">
        <v>0</v>
      </c>
      <c r="Q109" s="105" t="s">
        <v>670</v>
      </c>
      <c r="R109" s="105" t="s">
        <v>23</v>
      </c>
      <c r="S109" s="105" t="s">
        <v>671</v>
      </c>
      <c r="T109" s="105" t="s">
        <v>672</v>
      </c>
      <c r="U109" s="105" t="b">
        <v>1</v>
      </c>
      <c r="V109" s="105" t="s">
        <v>673</v>
      </c>
      <c r="W109" s="105" t="s">
        <v>674</v>
      </c>
      <c r="X109" s="105">
        <v>6</v>
      </c>
      <c r="Y109" s="105" t="b">
        <v>1</v>
      </c>
      <c r="Z109" s="105" t="s">
        <v>675</v>
      </c>
      <c r="AA109" s="105" t="s">
        <v>676</v>
      </c>
      <c r="AB109" s="105" t="s">
        <v>677</v>
      </c>
      <c r="AC109" s="105">
        <v>0</v>
      </c>
      <c r="AD109" s="105" t="s">
        <v>678</v>
      </c>
      <c r="AE109" s="105">
        <v>8</v>
      </c>
      <c r="AF109" s="105" t="s">
        <v>679</v>
      </c>
      <c r="AG109" s="105">
        <v>899867.07700000005</v>
      </c>
      <c r="AH109" s="105" t="b">
        <v>1</v>
      </c>
      <c r="AI109" s="105">
        <v>-1</v>
      </c>
      <c r="AJ109" s="105" t="s">
        <v>680</v>
      </c>
      <c r="AK109" s="105">
        <v>0</v>
      </c>
      <c r="AL109" s="105" t="b">
        <v>0</v>
      </c>
      <c r="AM109" s="105">
        <v>899867.07700000005</v>
      </c>
      <c r="AN109" s="105" t="b">
        <v>1</v>
      </c>
      <c r="AO109" s="105">
        <v>0</v>
      </c>
      <c r="AP109" s="105" t="b">
        <v>0</v>
      </c>
      <c r="AQ109" s="105">
        <v>496522.02799999999</v>
      </c>
      <c r="AR109" s="105"/>
      <c r="AS109" s="105">
        <v>496522.02799999999</v>
      </c>
      <c r="AT109" s="105">
        <v>6</v>
      </c>
      <c r="AU109" s="105" t="b">
        <v>0</v>
      </c>
      <c r="AV109" s="105" t="b">
        <v>1</v>
      </c>
    </row>
    <row r="110" spans="1:48">
      <c r="A110" s="105" t="s">
        <v>510</v>
      </c>
      <c r="B110" s="105" t="s">
        <v>665</v>
      </c>
      <c r="C110" s="105" t="s">
        <v>666</v>
      </c>
      <c r="D110" s="105">
        <v>20240601</v>
      </c>
      <c r="E110" s="105">
        <v>2024</v>
      </c>
      <c r="F110" s="105">
        <v>6</v>
      </c>
      <c r="G110" s="105" t="s">
        <v>700</v>
      </c>
      <c r="H110" s="105">
        <v>818</v>
      </c>
      <c r="I110" s="105" t="s">
        <v>668</v>
      </c>
      <c r="J110" s="105" t="s">
        <v>57</v>
      </c>
      <c r="K110" s="105" t="s">
        <v>666</v>
      </c>
      <c r="L110" s="105" t="s">
        <v>669</v>
      </c>
      <c r="M110" s="105">
        <v>380</v>
      </c>
      <c r="N110" s="105" t="s">
        <v>689</v>
      </c>
      <c r="O110" s="105" t="s">
        <v>71</v>
      </c>
      <c r="P110" s="105">
        <v>0</v>
      </c>
      <c r="Q110" s="105" t="s">
        <v>670</v>
      </c>
      <c r="R110" s="105" t="s">
        <v>23</v>
      </c>
      <c r="S110" s="105" t="s">
        <v>671</v>
      </c>
      <c r="T110" s="105" t="s">
        <v>672</v>
      </c>
      <c r="U110" s="105" t="b">
        <v>1</v>
      </c>
      <c r="V110" s="105" t="s">
        <v>673</v>
      </c>
      <c r="W110" s="105" t="s">
        <v>674</v>
      </c>
      <c r="X110" s="105">
        <v>6</v>
      </c>
      <c r="Y110" s="105" t="b">
        <v>1</v>
      </c>
      <c r="Z110" s="105" t="s">
        <v>675</v>
      </c>
      <c r="AA110" s="105" t="s">
        <v>676</v>
      </c>
      <c r="AB110" s="105" t="s">
        <v>677</v>
      </c>
      <c r="AC110" s="105">
        <v>0</v>
      </c>
      <c r="AD110" s="105" t="s">
        <v>678</v>
      </c>
      <c r="AE110" s="105">
        <v>8</v>
      </c>
      <c r="AF110" s="105" t="s">
        <v>679</v>
      </c>
      <c r="AG110" s="105">
        <v>5960.7889999999998</v>
      </c>
      <c r="AH110" s="105" t="b">
        <v>1</v>
      </c>
      <c r="AI110" s="105">
        <v>-1</v>
      </c>
      <c r="AJ110" s="105" t="s">
        <v>680</v>
      </c>
      <c r="AK110" s="105">
        <v>0</v>
      </c>
      <c r="AL110" s="105" t="b">
        <v>0</v>
      </c>
      <c r="AM110" s="105">
        <v>5960.7889999999998</v>
      </c>
      <c r="AN110" s="105" t="b">
        <v>1</v>
      </c>
      <c r="AO110" s="105">
        <v>0</v>
      </c>
      <c r="AP110" s="105" t="b">
        <v>0</v>
      </c>
      <c r="AQ110" s="105">
        <v>3289</v>
      </c>
      <c r="AR110" s="105"/>
      <c r="AS110" s="105">
        <v>3289</v>
      </c>
      <c r="AT110" s="105">
        <v>6</v>
      </c>
      <c r="AU110" s="105" t="b">
        <v>1</v>
      </c>
      <c r="AV110" s="105" t="b">
        <v>0</v>
      </c>
    </row>
    <row r="111" spans="1:48">
      <c r="A111" s="105" t="s">
        <v>510</v>
      </c>
      <c r="B111" s="105" t="s">
        <v>665</v>
      </c>
      <c r="C111" s="105" t="s">
        <v>666</v>
      </c>
      <c r="D111" s="105">
        <v>20240601</v>
      </c>
      <c r="E111" s="105">
        <v>2024</v>
      </c>
      <c r="F111" s="105">
        <v>6</v>
      </c>
      <c r="G111" s="105" t="s">
        <v>700</v>
      </c>
      <c r="H111" s="105">
        <v>818</v>
      </c>
      <c r="I111" s="105" t="s">
        <v>668</v>
      </c>
      <c r="J111" s="105" t="s">
        <v>57</v>
      </c>
      <c r="K111" s="105" t="s">
        <v>666</v>
      </c>
      <c r="L111" s="105" t="s">
        <v>669</v>
      </c>
      <c r="M111" s="105">
        <v>724</v>
      </c>
      <c r="N111" s="105" t="s">
        <v>684</v>
      </c>
      <c r="O111" s="105" t="s">
        <v>51</v>
      </c>
      <c r="P111" s="105">
        <v>0</v>
      </c>
      <c r="Q111" s="105" t="s">
        <v>670</v>
      </c>
      <c r="R111" s="105" t="s">
        <v>23</v>
      </c>
      <c r="S111" s="105" t="s">
        <v>671</v>
      </c>
      <c r="T111" s="105" t="s">
        <v>672</v>
      </c>
      <c r="U111" s="105" t="b">
        <v>1</v>
      </c>
      <c r="V111" s="105" t="s">
        <v>673</v>
      </c>
      <c r="W111" s="105" t="s">
        <v>674</v>
      </c>
      <c r="X111" s="105">
        <v>6</v>
      </c>
      <c r="Y111" s="105" t="b">
        <v>1</v>
      </c>
      <c r="Z111" s="105" t="s">
        <v>675</v>
      </c>
      <c r="AA111" s="105" t="s">
        <v>676</v>
      </c>
      <c r="AB111" s="105" t="s">
        <v>677</v>
      </c>
      <c r="AC111" s="105">
        <v>0</v>
      </c>
      <c r="AD111" s="105" t="s">
        <v>678</v>
      </c>
      <c r="AE111" s="105">
        <v>8</v>
      </c>
      <c r="AF111" s="105" t="s">
        <v>679</v>
      </c>
      <c r="AG111" s="105">
        <v>85018.433000000005</v>
      </c>
      <c r="AH111" s="105" t="b">
        <v>1</v>
      </c>
      <c r="AI111" s="105">
        <v>-1</v>
      </c>
      <c r="AJ111" s="105" t="s">
        <v>680</v>
      </c>
      <c r="AK111" s="105">
        <v>0</v>
      </c>
      <c r="AL111" s="105" t="b">
        <v>0</v>
      </c>
      <c r="AM111" s="105">
        <v>85018.433000000005</v>
      </c>
      <c r="AN111" s="105" t="b">
        <v>1</v>
      </c>
      <c r="AO111" s="105">
        <v>0</v>
      </c>
      <c r="AP111" s="105" t="b">
        <v>0</v>
      </c>
      <c r="AQ111" s="105">
        <v>46910.845000000001</v>
      </c>
      <c r="AR111" s="105"/>
      <c r="AS111" s="105">
        <v>46910.845000000001</v>
      </c>
      <c r="AT111" s="105">
        <v>6</v>
      </c>
      <c r="AU111" s="105" t="b">
        <v>1</v>
      </c>
      <c r="AV111" s="105" t="b">
        <v>0</v>
      </c>
    </row>
    <row r="112" spans="1:48">
      <c r="A112" s="105" t="s">
        <v>510</v>
      </c>
      <c r="B112" s="105" t="s">
        <v>665</v>
      </c>
      <c r="C112" s="105" t="s">
        <v>666</v>
      </c>
      <c r="D112" s="105">
        <v>20240601</v>
      </c>
      <c r="E112" s="105">
        <v>2024</v>
      </c>
      <c r="F112" s="105">
        <v>6</v>
      </c>
      <c r="G112" s="105" t="s">
        <v>700</v>
      </c>
      <c r="H112" s="105">
        <v>818</v>
      </c>
      <c r="I112" s="105" t="s">
        <v>668</v>
      </c>
      <c r="J112" s="105" t="s">
        <v>57</v>
      </c>
      <c r="K112" s="105" t="s">
        <v>666</v>
      </c>
      <c r="L112" s="105" t="s">
        <v>669</v>
      </c>
      <c r="M112" s="105">
        <v>887</v>
      </c>
      <c r="N112" s="105" t="s">
        <v>686</v>
      </c>
      <c r="O112" s="105" t="s">
        <v>569</v>
      </c>
      <c r="P112" s="105">
        <v>0</v>
      </c>
      <c r="Q112" s="105" t="s">
        <v>670</v>
      </c>
      <c r="R112" s="105" t="s">
        <v>23</v>
      </c>
      <c r="S112" s="105" t="s">
        <v>671</v>
      </c>
      <c r="T112" s="105" t="s">
        <v>672</v>
      </c>
      <c r="U112" s="105" t="b">
        <v>1</v>
      </c>
      <c r="V112" s="105" t="s">
        <v>673</v>
      </c>
      <c r="W112" s="105" t="s">
        <v>674</v>
      </c>
      <c r="X112" s="105">
        <v>6</v>
      </c>
      <c r="Y112" s="105" t="b">
        <v>1</v>
      </c>
      <c r="Z112" s="105" t="s">
        <v>675</v>
      </c>
      <c r="AA112" s="105" t="s">
        <v>676</v>
      </c>
      <c r="AB112" s="105" t="s">
        <v>677</v>
      </c>
      <c r="AC112" s="105">
        <v>0</v>
      </c>
      <c r="AD112" s="105" t="s">
        <v>678</v>
      </c>
      <c r="AE112" s="105">
        <v>8</v>
      </c>
      <c r="AF112" s="105" t="s">
        <v>679</v>
      </c>
      <c r="AG112" s="105">
        <v>808887.85600000003</v>
      </c>
      <c r="AH112" s="105" t="b">
        <v>1</v>
      </c>
      <c r="AI112" s="105">
        <v>-1</v>
      </c>
      <c r="AJ112" s="105" t="s">
        <v>680</v>
      </c>
      <c r="AK112" s="105">
        <v>0</v>
      </c>
      <c r="AL112" s="105" t="b">
        <v>0</v>
      </c>
      <c r="AM112" s="105">
        <v>808887.85600000003</v>
      </c>
      <c r="AN112" s="105" t="b">
        <v>1</v>
      </c>
      <c r="AO112" s="105">
        <v>0</v>
      </c>
      <c r="AP112" s="105" t="b">
        <v>0</v>
      </c>
      <c r="AQ112" s="105">
        <v>446322.18400000001</v>
      </c>
      <c r="AR112" s="105"/>
      <c r="AS112" s="105">
        <v>446322.18400000001</v>
      </c>
      <c r="AT112" s="105">
        <v>6</v>
      </c>
      <c r="AU112" s="105" t="b">
        <v>1</v>
      </c>
      <c r="AV112" s="105" t="b">
        <v>0</v>
      </c>
    </row>
    <row r="113" spans="1:48">
      <c r="A113" s="105" t="s">
        <v>510</v>
      </c>
      <c r="B113" s="105" t="s">
        <v>665</v>
      </c>
      <c r="C113" s="105" t="s">
        <v>666</v>
      </c>
      <c r="D113" s="105">
        <v>20240601</v>
      </c>
      <c r="E113" s="105">
        <v>2024</v>
      </c>
      <c r="F113" s="105">
        <v>6</v>
      </c>
      <c r="G113" s="105" t="s">
        <v>700</v>
      </c>
      <c r="H113" s="105">
        <v>818</v>
      </c>
      <c r="I113" s="105" t="s">
        <v>668</v>
      </c>
      <c r="J113" s="105" t="s">
        <v>57</v>
      </c>
      <c r="K113" s="105" t="s">
        <v>701</v>
      </c>
      <c r="L113" s="105" t="s">
        <v>702</v>
      </c>
      <c r="M113" s="105">
        <v>0</v>
      </c>
      <c r="N113" s="105" t="s">
        <v>670</v>
      </c>
      <c r="O113" s="105" t="s">
        <v>23</v>
      </c>
      <c r="P113" s="105">
        <v>0</v>
      </c>
      <c r="Q113" s="105" t="s">
        <v>670</v>
      </c>
      <c r="R113" s="105" t="s">
        <v>23</v>
      </c>
      <c r="S113" s="105" t="s">
        <v>671</v>
      </c>
      <c r="T113" s="105" t="s">
        <v>672</v>
      </c>
      <c r="U113" s="105" t="b">
        <v>1</v>
      </c>
      <c r="V113" s="105" t="s">
        <v>673</v>
      </c>
      <c r="W113" s="105" t="s">
        <v>674</v>
      </c>
      <c r="X113" s="105">
        <v>6</v>
      </c>
      <c r="Y113" s="105" t="b">
        <v>1</v>
      </c>
      <c r="Z113" s="105" t="s">
        <v>675</v>
      </c>
      <c r="AA113" s="105" t="s">
        <v>676</v>
      </c>
      <c r="AB113" s="105" t="s">
        <v>677</v>
      </c>
      <c r="AC113" s="105">
        <v>0</v>
      </c>
      <c r="AD113" s="105" t="s">
        <v>678</v>
      </c>
      <c r="AE113" s="105">
        <v>-1</v>
      </c>
      <c r="AF113" s="105" t="s">
        <v>680</v>
      </c>
      <c r="AG113" s="105">
        <v>0</v>
      </c>
      <c r="AH113" s="105" t="b">
        <v>0</v>
      </c>
      <c r="AI113" s="105">
        <v>-1</v>
      </c>
      <c r="AJ113" s="105" t="s">
        <v>680</v>
      </c>
      <c r="AK113" s="105">
        <v>0</v>
      </c>
      <c r="AL113" s="105" t="b">
        <v>0</v>
      </c>
      <c r="AM113" s="105"/>
      <c r="AN113" s="105" t="b">
        <v>0</v>
      </c>
      <c r="AO113" s="105">
        <v>0</v>
      </c>
      <c r="AP113" s="105" t="b">
        <v>0</v>
      </c>
      <c r="AQ113" s="105"/>
      <c r="AR113" s="105">
        <v>20564.75</v>
      </c>
      <c r="AS113" s="105">
        <v>20564.75</v>
      </c>
      <c r="AT113" s="105">
        <v>0</v>
      </c>
      <c r="AU113" s="105" t="b">
        <v>0</v>
      </c>
      <c r="AV113" s="105" t="b">
        <v>1</v>
      </c>
    </row>
    <row r="114" spans="1:48">
      <c r="A114" s="105" t="s">
        <v>510</v>
      </c>
      <c r="B114" s="105" t="s">
        <v>665</v>
      </c>
      <c r="C114" s="105" t="s">
        <v>666</v>
      </c>
      <c r="D114" s="105">
        <v>20240601</v>
      </c>
      <c r="E114" s="105">
        <v>2024</v>
      </c>
      <c r="F114" s="105">
        <v>6</v>
      </c>
      <c r="G114" s="105" t="s">
        <v>700</v>
      </c>
      <c r="H114" s="105">
        <v>818</v>
      </c>
      <c r="I114" s="105" t="s">
        <v>668</v>
      </c>
      <c r="J114" s="105" t="s">
        <v>57</v>
      </c>
      <c r="K114" s="105" t="s">
        <v>701</v>
      </c>
      <c r="L114" s="105" t="s">
        <v>702</v>
      </c>
      <c r="M114" s="105">
        <v>380</v>
      </c>
      <c r="N114" s="105" t="s">
        <v>689</v>
      </c>
      <c r="O114" s="105" t="s">
        <v>71</v>
      </c>
      <c r="P114" s="105">
        <v>0</v>
      </c>
      <c r="Q114" s="105" t="s">
        <v>670</v>
      </c>
      <c r="R114" s="105" t="s">
        <v>23</v>
      </c>
      <c r="S114" s="105" t="s">
        <v>671</v>
      </c>
      <c r="T114" s="105" t="s">
        <v>672</v>
      </c>
      <c r="U114" s="105" t="b">
        <v>1</v>
      </c>
      <c r="V114" s="105" t="s">
        <v>673</v>
      </c>
      <c r="W114" s="105" t="s">
        <v>674</v>
      </c>
      <c r="X114" s="105">
        <v>6</v>
      </c>
      <c r="Y114" s="105" t="b">
        <v>1</v>
      </c>
      <c r="Z114" s="105" t="s">
        <v>675</v>
      </c>
      <c r="AA114" s="105" t="s">
        <v>676</v>
      </c>
      <c r="AB114" s="105" t="s">
        <v>677</v>
      </c>
      <c r="AC114" s="105">
        <v>0</v>
      </c>
      <c r="AD114" s="105" t="s">
        <v>678</v>
      </c>
      <c r="AE114" s="105">
        <v>-1</v>
      </c>
      <c r="AF114" s="105" t="s">
        <v>680</v>
      </c>
      <c r="AG114" s="105">
        <v>0</v>
      </c>
      <c r="AH114" s="105" t="b">
        <v>0</v>
      </c>
      <c r="AI114" s="105">
        <v>-1</v>
      </c>
      <c r="AJ114" s="105" t="s">
        <v>680</v>
      </c>
      <c r="AK114" s="105">
        <v>0</v>
      </c>
      <c r="AL114" s="105" t="b">
        <v>0</v>
      </c>
      <c r="AM114" s="105"/>
      <c r="AN114" s="105" t="b">
        <v>0</v>
      </c>
      <c r="AO114" s="105">
        <v>0</v>
      </c>
      <c r="AP114" s="105" t="b">
        <v>0</v>
      </c>
      <c r="AQ114" s="105"/>
      <c r="AR114" s="105">
        <v>20564.75</v>
      </c>
      <c r="AS114" s="105">
        <v>20564.75</v>
      </c>
      <c r="AT114" s="105">
        <v>0</v>
      </c>
      <c r="AU114" s="105" t="b">
        <v>1</v>
      </c>
      <c r="AV114" s="105" t="b">
        <v>0</v>
      </c>
    </row>
    <row r="115" spans="1:48">
      <c r="A115" s="105"/>
      <c r="B115" s="105" t="s">
        <v>665</v>
      </c>
      <c r="C115" s="105" t="s">
        <v>666</v>
      </c>
      <c r="D115" s="105">
        <v>20230101</v>
      </c>
      <c r="E115" s="105">
        <v>2023</v>
      </c>
      <c r="F115" s="105">
        <v>1</v>
      </c>
      <c r="G115" s="105" t="s">
        <v>704</v>
      </c>
      <c r="H115" s="105">
        <v>818</v>
      </c>
      <c r="I115" s="105" t="s">
        <v>668</v>
      </c>
      <c r="J115" s="105" t="s">
        <v>57</v>
      </c>
      <c r="K115" s="105" t="s">
        <v>666</v>
      </c>
      <c r="L115" s="105" t="s">
        <v>669</v>
      </c>
      <c r="M115" s="105">
        <v>0</v>
      </c>
      <c r="N115" s="105" t="s">
        <v>670</v>
      </c>
      <c r="O115" s="105" t="s">
        <v>23</v>
      </c>
      <c r="P115" s="105">
        <v>0</v>
      </c>
      <c r="Q115" s="105" t="s">
        <v>670</v>
      </c>
      <c r="R115" s="105" t="s">
        <v>23</v>
      </c>
      <c r="S115" s="105" t="s">
        <v>671</v>
      </c>
      <c r="T115" s="105" t="s">
        <v>672</v>
      </c>
      <c r="U115" s="105" t="b">
        <v>1</v>
      </c>
      <c r="V115" s="105" t="s">
        <v>673</v>
      </c>
      <c r="W115" s="105" t="s">
        <v>674</v>
      </c>
      <c r="X115" s="105">
        <v>6</v>
      </c>
      <c r="Y115" s="105" t="b">
        <v>1</v>
      </c>
      <c r="Z115" s="105" t="s">
        <v>675</v>
      </c>
      <c r="AA115" s="105" t="s">
        <v>676</v>
      </c>
      <c r="AB115" s="105" t="s">
        <v>677</v>
      </c>
      <c r="AC115" s="105">
        <v>0</v>
      </c>
      <c r="AD115" s="105" t="s">
        <v>678</v>
      </c>
      <c r="AE115" s="105">
        <v>8</v>
      </c>
      <c r="AF115" s="105" t="s">
        <v>679</v>
      </c>
      <c r="AG115" s="105">
        <v>4611465.3030000003</v>
      </c>
      <c r="AH115" s="105" t="b">
        <v>1</v>
      </c>
      <c r="AI115" s="105">
        <v>-1</v>
      </c>
      <c r="AJ115" s="105" t="s">
        <v>680</v>
      </c>
      <c r="AK115" s="105">
        <v>0</v>
      </c>
      <c r="AL115" s="105" t="b">
        <v>0</v>
      </c>
      <c r="AM115" s="105">
        <v>4611465.3030000003</v>
      </c>
      <c r="AN115" s="105" t="b">
        <v>1</v>
      </c>
      <c r="AO115" s="105">
        <v>0</v>
      </c>
      <c r="AP115" s="105" t="b">
        <v>0</v>
      </c>
      <c r="AQ115" s="105">
        <v>2544480.3620000002</v>
      </c>
      <c r="AR115" s="105"/>
      <c r="AS115" s="105">
        <v>2544480.3620000002</v>
      </c>
      <c r="AT115" s="105">
        <v>6</v>
      </c>
      <c r="AU115" s="105" t="b">
        <v>0</v>
      </c>
      <c r="AV115" s="105" t="b">
        <v>1</v>
      </c>
    </row>
    <row r="116" spans="1:48">
      <c r="A116" s="105"/>
      <c r="B116" s="105" t="s">
        <v>665</v>
      </c>
      <c r="C116" s="105" t="s">
        <v>666</v>
      </c>
      <c r="D116" s="105">
        <v>20230101</v>
      </c>
      <c r="E116" s="105">
        <v>2023</v>
      </c>
      <c r="F116" s="105">
        <v>1</v>
      </c>
      <c r="G116" s="105" t="s">
        <v>704</v>
      </c>
      <c r="H116" s="105">
        <v>818</v>
      </c>
      <c r="I116" s="105" t="s">
        <v>668</v>
      </c>
      <c r="J116" s="105" t="s">
        <v>57</v>
      </c>
      <c r="K116" s="105" t="s">
        <v>666</v>
      </c>
      <c r="L116" s="105" t="s">
        <v>669</v>
      </c>
      <c r="M116" s="105">
        <v>100</v>
      </c>
      <c r="N116" s="105" t="s">
        <v>705</v>
      </c>
      <c r="O116" s="105" t="s">
        <v>81</v>
      </c>
      <c r="P116" s="105">
        <v>0</v>
      </c>
      <c r="Q116" s="105" t="s">
        <v>670</v>
      </c>
      <c r="R116" s="105" t="s">
        <v>23</v>
      </c>
      <c r="S116" s="105" t="s">
        <v>671</v>
      </c>
      <c r="T116" s="105" t="s">
        <v>672</v>
      </c>
      <c r="U116" s="105" t="b">
        <v>1</v>
      </c>
      <c r="V116" s="105" t="s">
        <v>673</v>
      </c>
      <c r="W116" s="105" t="s">
        <v>674</v>
      </c>
      <c r="X116" s="105">
        <v>6</v>
      </c>
      <c r="Y116" s="105" t="b">
        <v>1</v>
      </c>
      <c r="Z116" s="105" t="s">
        <v>675</v>
      </c>
      <c r="AA116" s="105" t="s">
        <v>676</v>
      </c>
      <c r="AB116" s="105" t="s">
        <v>677</v>
      </c>
      <c r="AC116" s="105">
        <v>0</v>
      </c>
      <c r="AD116" s="105" t="s">
        <v>678</v>
      </c>
      <c r="AE116" s="105">
        <v>8</v>
      </c>
      <c r="AF116" s="105" t="s">
        <v>679</v>
      </c>
      <c r="AG116" s="105">
        <v>63395.925000000003</v>
      </c>
      <c r="AH116" s="105" t="b">
        <v>1</v>
      </c>
      <c r="AI116" s="105">
        <v>-1</v>
      </c>
      <c r="AJ116" s="105" t="s">
        <v>680</v>
      </c>
      <c r="AK116" s="105">
        <v>0</v>
      </c>
      <c r="AL116" s="105" t="b">
        <v>0</v>
      </c>
      <c r="AM116" s="105">
        <v>63395.925000000003</v>
      </c>
      <c r="AN116" s="105" t="b">
        <v>1</v>
      </c>
      <c r="AO116" s="105">
        <v>0</v>
      </c>
      <c r="AP116" s="105" t="b">
        <v>0</v>
      </c>
      <c r="AQ116" s="105">
        <v>34980.137000000002</v>
      </c>
      <c r="AR116" s="105"/>
      <c r="AS116" s="105">
        <v>34980.137000000002</v>
      </c>
      <c r="AT116" s="105">
        <v>6</v>
      </c>
      <c r="AU116" s="105" t="b">
        <v>1</v>
      </c>
      <c r="AV116" s="105" t="b">
        <v>0</v>
      </c>
    </row>
    <row r="117" spans="1:48">
      <c r="A117" s="105"/>
      <c r="B117" s="105" t="s">
        <v>665</v>
      </c>
      <c r="C117" s="105" t="s">
        <v>666</v>
      </c>
      <c r="D117" s="105">
        <v>20230101</v>
      </c>
      <c r="E117" s="105">
        <v>2023</v>
      </c>
      <c r="F117" s="105">
        <v>1</v>
      </c>
      <c r="G117" s="105" t="s">
        <v>704</v>
      </c>
      <c r="H117" s="105">
        <v>818</v>
      </c>
      <c r="I117" s="105" t="s">
        <v>668</v>
      </c>
      <c r="J117" s="105" t="s">
        <v>57</v>
      </c>
      <c r="K117" s="105" t="s">
        <v>666</v>
      </c>
      <c r="L117" s="105" t="s">
        <v>669</v>
      </c>
      <c r="M117" s="105">
        <v>380</v>
      </c>
      <c r="N117" s="105" t="s">
        <v>689</v>
      </c>
      <c r="O117" s="105" t="s">
        <v>71</v>
      </c>
      <c r="P117" s="105">
        <v>0</v>
      </c>
      <c r="Q117" s="105" t="s">
        <v>670</v>
      </c>
      <c r="R117" s="105" t="s">
        <v>23</v>
      </c>
      <c r="S117" s="105" t="s">
        <v>671</v>
      </c>
      <c r="T117" s="105" t="s">
        <v>672</v>
      </c>
      <c r="U117" s="105" t="b">
        <v>1</v>
      </c>
      <c r="V117" s="105" t="s">
        <v>673</v>
      </c>
      <c r="W117" s="105" t="s">
        <v>674</v>
      </c>
      <c r="X117" s="105">
        <v>6</v>
      </c>
      <c r="Y117" s="105" t="b">
        <v>1</v>
      </c>
      <c r="Z117" s="105" t="s">
        <v>675</v>
      </c>
      <c r="AA117" s="105" t="s">
        <v>676</v>
      </c>
      <c r="AB117" s="105" t="s">
        <v>677</v>
      </c>
      <c r="AC117" s="105">
        <v>0</v>
      </c>
      <c r="AD117" s="105" t="s">
        <v>678</v>
      </c>
      <c r="AE117" s="105">
        <v>8</v>
      </c>
      <c r="AF117" s="105" t="s">
        <v>679</v>
      </c>
      <c r="AG117" s="105">
        <v>158985.91699999999</v>
      </c>
      <c r="AH117" s="105" t="b">
        <v>1</v>
      </c>
      <c r="AI117" s="105">
        <v>-1</v>
      </c>
      <c r="AJ117" s="105" t="s">
        <v>680</v>
      </c>
      <c r="AK117" s="105">
        <v>0</v>
      </c>
      <c r="AL117" s="105" t="b">
        <v>0</v>
      </c>
      <c r="AM117" s="105">
        <v>158985.91699999999</v>
      </c>
      <c r="AN117" s="105" t="b">
        <v>1</v>
      </c>
      <c r="AO117" s="105">
        <v>0</v>
      </c>
      <c r="AP117" s="105" t="b">
        <v>0</v>
      </c>
      <c r="AQ117" s="105">
        <v>87724.077999999994</v>
      </c>
      <c r="AR117" s="105"/>
      <c r="AS117" s="105">
        <v>87724.077999999994</v>
      </c>
      <c r="AT117" s="105">
        <v>6</v>
      </c>
      <c r="AU117" s="105" t="b">
        <v>1</v>
      </c>
      <c r="AV117" s="105" t="b">
        <v>0</v>
      </c>
    </row>
    <row r="118" spans="1:48">
      <c r="A118" s="105"/>
      <c r="B118" s="105" t="s">
        <v>665</v>
      </c>
      <c r="C118" s="105" t="s">
        <v>666</v>
      </c>
      <c r="D118" s="105">
        <v>20230101</v>
      </c>
      <c r="E118" s="105">
        <v>2023</v>
      </c>
      <c r="F118" s="105">
        <v>1</v>
      </c>
      <c r="G118" s="105" t="s">
        <v>704</v>
      </c>
      <c r="H118" s="105">
        <v>818</v>
      </c>
      <c r="I118" s="105" t="s">
        <v>668</v>
      </c>
      <c r="J118" s="105" t="s">
        <v>57</v>
      </c>
      <c r="K118" s="105" t="s">
        <v>666</v>
      </c>
      <c r="L118" s="105" t="s">
        <v>669</v>
      </c>
      <c r="M118" s="105">
        <v>566</v>
      </c>
      <c r="N118" s="105" t="s">
        <v>706</v>
      </c>
      <c r="O118" s="105" t="s">
        <v>52</v>
      </c>
      <c r="P118" s="105">
        <v>0</v>
      </c>
      <c r="Q118" s="105" t="s">
        <v>670</v>
      </c>
      <c r="R118" s="105" t="s">
        <v>23</v>
      </c>
      <c r="S118" s="105" t="s">
        <v>671</v>
      </c>
      <c r="T118" s="105" t="s">
        <v>672</v>
      </c>
      <c r="U118" s="105" t="b">
        <v>1</v>
      </c>
      <c r="V118" s="105" t="s">
        <v>673</v>
      </c>
      <c r="W118" s="105" t="s">
        <v>674</v>
      </c>
      <c r="X118" s="105">
        <v>6</v>
      </c>
      <c r="Y118" s="105" t="b">
        <v>1</v>
      </c>
      <c r="Z118" s="105" t="s">
        <v>675</v>
      </c>
      <c r="AA118" s="105" t="s">
        <v>676</v>
      </c>
      <c r="AB118" s="105" t="s">
        <v>677</v>
      </c>
      <c r="AC118" s="105">
        <v>0</v>
      </c>
      <c r="AD118" s="105" t="s">
        <v>678</v>
      </c>
      <c r="AE118" s="105">
        <v>8</v>
      </c>
      <c r="AF118" s="105" t="s">
        <v>679</v>
      </c>
      <c r="AG118" s="105">
        <v>562531.81900000002</v>
      </c>
      <c r="AH118" s="105" t="b">
        <v>1</v>
      </c>
      <c r="AI118" s="105">
        <v>-1</v>
      </c>
      <c r="AJ118" s="105" t="s">
        <v>680</v>
      </c>
      <c r="AK118" s="105">
        <v>0</v>
      </c>
      <c r="AL118" s="105" t="b">
        <v>0</v>
      </c>
      <c r="AM118" s="105">
        <v>562531.81900000002</v>
      </c>
      <c r="AN118" s="105" t="b">
        <v>1</v>
      </c>
      <c r="AO118" s="105">
        <v>0</v>
      </c>
      <c r="AP118" s="105" t="b">
        <v>0</v>
      </c>
      <c r="AQ118" s="105">
        <v>310389.66399999999</v>
      </c>
      <c r="AR118" s="105"/>
      <c r="AS118" s="105">
        <v>310389.66399999999</v>
      </c>
      <c r="AT118" s="105">
        <v>6</v>
      </c>
      <c r="AU118" s="105" t="b">
        <v>1</v>
      </c>
      <c r="AV118" s="105" t="b">
        <v>0</v>
      </c>
    </row>
    <row r="119" spans="1:48">
      <c r="A119" s="105"/>
      <c r="B119" s="105" t="s">
        <v>665</v>
      </c>
      <c r="C119" s="105" t="s">
        <v>666</v>
      </c>
      <c r="D119" s="105">
        <v>20230101</v>
      </c>
      <c r="E119" s="105">
        <v>2023</v>
      </c>
      <c r="F119" s="105">
        <v>1</v>
      </c>
      <c r="G119" s="105" t="s">
        <v>704</v>
      </c>
      <c r="H119" s="105">
        <v>818</v>
      </c>
      <c r="I119" s="105" t="s">
        <v>668</v>
      </c>
      <c r="J119" s="105" t="s">
        <v>57</v>
      </c>
      <c r="K119" s="105" t="s">
        <v>666</v>
      </c>
      <c r="L119" s="105" t="s">
        <v>669</v>
      </c>
      <c r="M119" s="105">
        <v>724</v>
      </c>
      <c r="N119" s="105" t="s">
        <v>684</v>
      </c>
      <c r="O119" s="105" t="s">
        <v>51</v>
      </c>
      <c r="P119" s="105">
        <v>0</v>
      </c>
      <c r="Q119" s="105" t="s">
        <v>670</v>
      </c>
      <c r="R119" s="105" t="s">
        <v>23</v>
      </c>
      <c r="S119" s="105" t="s">
        <v>671</v>
      </c>
      <c r="T119" s="105" t="s">
        <v>672</v>
      </c>
      <c r="U119" s="105" t="b">
        <v>1</v>
      </c>
      <c r="V119" s="105" t="s">
        <v>673</v>
      </c>
      <c r="W119" s="105" t="s">
        <v>674</v>
      </c>
      <c r="X119" s="105">
        <v>6</v>
      </c>
      <c r="Y119" s="105" t="b">
        <v>1</v>
      </c>
      <c r="Z119" s="105" t="s">
        <v>675</v>
      </c>
      <c r="AA119" s="105" t="s">
        <v>676</v>
      </c>
      <c r="AB119" s="105" t="s">
        <v>677</v>
      </c>
      <c r="AC119" s="105">
        <v>0</v>
      </c>
      <c r="AD119" s="105" t="s">
        <v>678</v>
      </c>
      <c r="AE119" s="105">
        <v>8</v>
      </c>
      <c r="AF119" s="105" t="s">
        <v>679</v>
      </c>
      <c r="AG119" s="105">
        <v>1095865.4129999999</v>
      </c>
      <c r="AH119" s="105" t="b">
        <v>1</v>
      </c>
      <c r="AI119" s="105">
        <v>-1</v>
      </c>
      <c r="AJ119" s="105" t="s">
        <v>680</v>
      </c>
      <c r="AK119" s="105">
        <v>0</v>
      </c>
      <c r="AL119" s="105" t="b">
        <v>0</v>
      </c>
      <c r="AM119" s="105">
        <v>1095865.4129999999</v>
      </c>
      <c r="AN119" s="105" t="b">
        <v>1</v>
      </c>
      <c r="AO119" s="105">
        <v>0</v>
      </c>
      <c r="AP119" s="105" t="b">
        <v>0</v>
      </c>
      <c r="AQ119" s="105">
        <v>604668.54700000002</v>
      </c>
      <c r="AR119" s="105"/>
      <c r="AS119" s="105">
        <v>604668.54700000002</v>
      </c>
      <c r="AT119" s="105">
        <v>6</v>
      </c>
      <c r="AU119" s="105" t="b">
        <v>1</v>
      </c>
      <c r="AV119" s="105" t="b">
        <v>0</v>
      </c>
    </row>
    <row r="120" spans="1:48">
      <c r="A120" s="105"/>
      <c r="B120" s="105" t="s">
        <v>665</v>
      </c>
      <c r="C120" s="105" t="s">
        <v>666</v>
      </c>
      <c r="D120" s="105">
        <v>20230101</v>
      </c>
      <c r="E120" s="105">
        <v>2023</v>
      </c>
      <c r="F120" s="105">
        <v>1</v>
      </c>
      <c r="G120" s="105" t="s">
        <v>704</v>
      </c>
      <c r="H120" s="105">
        <v>818</v>
      </c>
      <c r="I120" s="105" t="s">
        <v>668</v>
      </c>
      <c r="J120" s="105" t="s">
        <v>57</v>
      </c>
      <c r="K120" s="105" t="s">
        <v>666</v>
      </c>
      <c r="L120" s="105" t="s">
        <v>669</v>
      </c>
      <c r="M120" s="105">
        <v>729</v>
      </c>
      <c r="N120" s="105" t="s">
        <v>707</v>
      </c>
      <c r="O120" s="105" t="s">
        <v>230</v>
      </c>
      <c r="P120" s="105">
        <v>0</v>
      </c>
      <c r="Q120" s="105" t="s">
        <v>670</v>
      </c>
      <c r="R120" s="105" t="s">
        <v>23</v>
      </c>
      <c r="S120" s="105" t="s">
        <v>671</v>
      </c>
      <c r="T120" s="105" t="s">
        <v>672</v>
      </c>
      <c r="U120" s="105" t="b">
        <v>1</v>
      </c>
      <c r="V120" s="105" t="s">
        <v>673</v>
      </c>
      <c r="W120" s="105" t="s">
        <v>674</v>
      </c>
      <c r="X120" s="105">
        <v>6</v>
      </c>
      <c r="Y120" s="105" t="b">
        <v>1</v>
      </c>
      <c r="Z120" s="105" t="s">
        <v>675</v>
      </c>
      <c r="AA120" s="105" t="s">
        <v>676</v>
      </c>
      <c r="AB120" s="105" t="s">
        <v>677</v>
      </c>
      <c r="AC120" s="105">
        <v>0</v>
      </c>
      <c r="AD120" s="105" t="s">
        <v>678</v>
      </c>
      <c r="AE120" s="105">
        <v>8</v>
      </c>
      <c r="AF120" s="105" t="s">
        <v>679</v>
      </c>
      <c r="AG120" s="105">
        <v>246083.98</v>
      </c>
      <c r="AH120" s="105" t="b">
        <v>1</v>
      </c>
      <c r="AI120" s="105">
        <v>-1</v>
      </c>
      <c r="AJ120" s="105" t="s">
        <v>680</v>
      </c>
      <c r="AK120" s="105">
        <v>0</v>
      </c>
      <c r="AL120" s="105" t="b">
        <v>0</v>
      </c>
      <c r="AM120" s="105">
        <v>246083.98</v>
      </c>
      <c r="AN120" s="105" t="b">
        <v>1</v>
      </c>
      <c r="AO120" s="105">
        <v>0</v>
      </c>
      <c r="AP120" s="105" t="b">
        <v>0</v>
      </c>
      <c r="AQ120" s="105">
        <v>135782.40599999999</v>
      </c>
      <c r="AR120" s="105"/>
      <c r="AS120" s="105">
        <v>135782.40599999999</v>
      </c>
      <c r="AT120" s="105">
        <v>6</v>
      </c>
      <c r="AU120" s="105" t="b">
        <v>1</v>
      </c>
      <c r="AV120" s="105" t="b">
        <v>0</v>
      </c>
    </row>
    <row r="121" spans="1:48">
      <c r="A121" s="105"/>
      <c r="B121" s="105" t="s">
        <v>665</v>
      </c>
      <c r="C121" s="105" t="s">
        <v>666</v>
      </c>
      <c r="D121" s="105">
        <v>20230101</v>
      </c>
      <c r="E121" s="105">
        <v>2023</v>
      </c>
      <c r="F121" s="105">
        <v>1</v>
      </c>
      <c r="G121" s="105" t="s">
        <v>704</v>
      </c>
      <c r="H121" s="105">
        <v>818</v>
      </c>
      <c r="I121" s="105" t="s">
        <v>668</v>
      </c>
      <c r="J121" s="105" t="s">
        <v>57</v>
      </c>
      <c r="K121" s="105" t="s">
        <v>666</v>
      </c>
      <c r="L121" s="105" t="s">
        <v>669</v>
      </c>
      <c r="M121" s="105">
        <v>784</v>
      </c>
      <c r="N121" s="105" t="s">
        <v>694</v>
      </c>
      <c r="O121" s="105" t="s">
        <v>25</v>
      </c>
      <c r="P121" s="105">
        <v>0</v>
      </c>
      <c r="Q121" s="105" t="s">
        <v>670</v>
      </c>
      <c r="R121" s="105" t="s">
        <v>23</v>
      </c>
      <c r="S121" s="105" t="s">
        <v>671</v>
      </c>
      <c r="T121" s="105" t="s">
        <v>672</v>
      </c>
      <c r="U121" s="105" t="b">
        <v>1</v>
      </c>
      <c r="V121" s="105" t="s">
        <v>673</v>
      </c>
      <c r="W121" s="105" t="s">
        <v>674</v>
      </c>
      <c r="X121" s="105">
        <v>6</v>
      </c>
      <c r="Y121" s="105" t="b">
        <v>1</v>
      </c>
      <c r="Z121" s="105" t="s">
        <v>675</v>
      </c>
      <c r="AA121" s="105" t="s">
        <v>676</v>
      </c>
      <c r="AB121" s="105" t="s">
        <v>677</v>
      </c>
      <c r="AC121" s="105">
        <v>0</v>
      </c>
      <c r="AD121" s="105" t="s">
        <v>678</v>
      </c>
      <c r="AE121" s="105">
        <v>8</v>
      </c>
      <c r="AF121" s="105" t="s">
        <v>679</v>
      </c>
      <c r="AG121" s="105">
        <v>569487.34199999995</v>
      </c>
      <c r="AH121" s="105" t="b">
        <v>1</v>
      </c>
      <c r="AI121" s="105">
        <v>-1</v>
      </c>
      <c r="AJ121" s="105" t="s">
        <v>680</v>
      </c>
      <c r="AK121" s="105">
        <v>0</v>
      </c>
      <c r="AL121" s="105" t="b">
        <v>0</v>
      </c>
      <c r="AM121" s="105">
        <v>569487.34199999995</v>
      </c>
      <c r="AN121" s="105" t="b">
        <v>1</v>
      </c>
      <c r="AO121" s="105">
        <v>0</v>
      </c>
      <c r="AP121" s="105" t="b">
        <v>0</v>
      </c>
      <c r="AQ121" s="105">
        <v>314227.53100000002</v>
      </c>
      <c r="AR121" s="105"/>
      <c r="AS121" s="105">
        <v>314227.53100000002</v>
      </c>
      <c r="AT121" s="105">
        <v>6</v>
      </c>
      <c r="AU121" s="105" t="b">
        <v>1</v>
      </c>
      <c r="AV121" s="105" t="b">
        <v>0</v>
      </c>
    </row>
    <row r="122" spans="1:48">
      <c r="A122" s="105"/>
      <c r="B122" s="105" t="s">
        <v>665</v>
      </c>
      <c r="C122" s="105" t="s">
        <v>666</v>
      </c>
      <c r="D122" s="105">
        <v>20230101</v>
      </c>
      <c r="E122" s="105">
        <v>2023</v>
      </c>
      <c r="F122" s="105">
        <v>1</v>
      </c>
      <c r="G122" s="105" t="s">
        <v>704</v>
      </c>
      <c r="H122" s="105">
        <v>818</v>
      </c>
      <c r="I122" s="105" t="s">
        <v>668</v>
      </c>
      <c r="J122" s="105" t="s">
        <v>57</v>
      </c>
      <c r="K122" s="105" t="s">
        <v>666</v>
      </c>
      <c r="L122" s="105" t="s">
        <v>669</v>
      </c>
      <c r="M122" s="105">
        <v>792</v>
      </c>
      <c r="N122" s="105" t="s">
        <v>691</v>
      </c>
      <c r="O122" s="105" t="s">
        <v>63</v>
      </c>
      <c r="P122" s="105">
        <v>0</v>
      </c>
      <c r="Q122" s="105" t="s">
        <v>670</v>
      </c>
      <c r="R122" s="105" t="s">
        <v>23</v>
      </c>
      <c r="S122" s="105" t="s">
        <v>671</v>
      </c>
      <c r="T122" s="105" t="s">
        <v>672</v>
      </c>
      <c r="U122" s="105" t="b">
        <v>1</v>
      </c>
      <c r="V122" s="105" t="s">
        <v>673</v>
      </c>
      <c r="W122" s="105" t="s">
        <v>674</v>
      </c>
      <c r="X122" s="105">
        <v>6</v>
      </c>
      <c r="Y122" s="105" t="b">
        <v>1</v>
      </c>
      <c r="Z122" s="105" t="s">
        <v>675</v>
      </c>
      <c r="AA122" s="105" t="s">
        <v>676</v>
      </c>
      <c r="AB122" s="105" t="s">
        <v>677</v>
      </c>
      <c r="AC122" s="105">
        <v>0</v>
      </c>
      <c r="AD122" s="105" t="s">
        <v>678</v>
      </c>
      <c r="AE122" s="105">
        <v>8</v>
      </c>
      <c r="AF122" s="105" t="s">
        <v>679</v>
      </c>
      <c r="AG122" s="105">
        <v>281347.20299999998</v>
      </c>
      <c r="AH122" s="105" t="b">
        <v>1</v>
      </c>
      <c r="AI122" s="105">
        <v>-1</v>
      </c>
      <c r="AJ122" s="105" t="s">
        <v>680</v>
      </c>
      <c r="AK122" s="105">
        <v>0</v>
      </c>
      <c r="AL122" s="105" t="b">
        <v>0</v>
      </c>
      <c r="AM122" s="105">
        <v>281347.20299999998</v>
      </c>
      <c r="AN122" s="105" t="b">
        <v>1</v>
      </c>
      <c r="AO122" s="105">
        <v>0</v>
      </c>
      <c r="AP122" s="105" t="b">
        <v>0</v>
      </c>
      <c r="AQ122" s="105">
        <v>155239.68799999999</v>
      </c>
      <c r="AR122" s="105"/>
      <c r="AS122" s="105">
        <v>155239.68799999999</v>
      </c>
      <c r="AT122" s="105">
        <v>6</v>
      </c>
      <c r="AU122" s="105" t="b">
        <v>1</v>
      </c>
      <c r="AV122" s="105" t="b">
        <v>0</v>
      </c>
    </row>
    <row r="123" spans="1:48">
      <c r="A123" s="105"/>
      <c r="B123" s="105" t="s">
        <v>665</v>
      </c>
      <c r="C123" s="105" t="s">
        <v>666</v>
      </c>
      <c r="D123" s="105">
        <v>20230101</v>
      </c>
      <c r="E123" s="105">
        <v>2023</v>
      </c>
      <c r="F123" s="105">
        <v>1</v>
      </c>
      <c r="G123" s="105" t="s">
        <v>704</v>
      </c>
      <c r="H123" s="105">
        <v>818</v>
      </c>
      <c r="I123" s="105" t="s">
        <v>668</v>
      </c>
      <c r="J123" s="105" t="s">
        <v>57</v>
      </c>
      <c r="K123" s="105" t="s">
        <v>666</v>
      </c>
      <c r="L123" s="105" t="s">
        <v>669</v>
      </c>
      <c r="M123" s="105">
        <v>834</v>
      </c>
      <c r="N123" s="105" t="s">
        <v>708</v>
      </c>
      <c r="O123" s="105" t="s">
        <v>709</v>
      </c>
      <c r="P123" s="105">
        <v>0</v>
      </c>
      <c r="Q123" s="105" t="s">
        <v>670</v>
      </c>
      <c r="R123" s="105" t="s">
        <v>23</v>
      </c>
      <c r="S123" s="105" t="s">
        <v>671</v>
      </c>
      <c r="T123" s="105" t="s">
        <v>672</v>
      </c>
      <c r="U123" s="105" t="b">
        <v>1</v>
      </c>
      <c r="V123" s="105" t="s">
        <v>673</v>
      </c>
      <c r="W123" s="105" t="s">
        <v>674</v>
      </c>
      <c r="X123" s="105">
        <v>6</v>
      </c>
      <c r="Y123" s="105" t="b">
        <v>1</v>
      </c>
      <c r="Z123" s="105" t="s">
        <v>675</v>
      </c>
      <c r="AA123" s="105" t="s">
        <v>676</v>
      </c>
      <c r="AB123" s="105" t="s">
        <v>677</v>
      </c>
      <c r="AC123" s="105">
        <v>0</v>
      </c>
      <c r="AD123" s="105" t="s">
        <v>678</v>
      </c>
      <c r="AE123" s="105">
        <v>8</v>
      </c>
      <c r="AF123" s="105" t="s">
        <v>679</v>
      </c>
      <c r="AG123" s="105">
        <v>212849.432</v>
      </c>
      <c r="AH123" s="105" t="b">
        <v>1</v>
      </c>
      <c r="AI123" s="105">
        <v>-1</v>
      </c>
      <c r="AJ123" s="105" t="s">
        <v>680</v>
      </c>
      <c r="AK123" s="105">
        <v>0</v>
      </c>
      <c r="AL123" s="105" t="b">
        <v>0</v>
      </c>
      <c r="AM123" s="105">
        <v>212849.432</v>
      </c>
      <c r="AN123" s="105" t="b">
        <v>1</v>
      </c>
      <c r="AO123" s="105">
        <v>0</v>
      </c>
      <c r="AP123" s="105" t="b">
        <v>0</v>
      </c>
      <c r="AQ123" s="105">
        <v>117444.492</v>
      </c>
      <c r="AR123" s="105"/>
      <c r="AS123" s="105">
        <v>117444.492</v>
      </c>
      <c r="AT123" s="105">
        <v>6</v>
      </c>
      <c r="AU123" s="105" t="b">
        <v>1</v>
      </c>
      <c r="AV123" s="105" t="b">
        <v>0</v>
      </c>
    </row>
    <row r="124" spans="1:48">
      <c r="A124" s="105"/>
      <c r="B124" s="105" t="s">
        <v>665</v>
      </c>
      <c r="C124" s="105" t="s">
        <v>666</v>
      </c>
      <c r="D124" s="105">
        <v>20230101</v>
      </c>
      <c r="E124" s="105">
        <v>2023</v>
      </c>
      <c r="F124" s="105">
        <v>1</v>
      </c>
      <c r="G124" s="105" t="s">
        <v>704</v>
      </c>
      <c r="H124" s="105">
        <v>818</v>
      </c>
      <c r="I124" s="105" t="s">
        <v>668</v>
      </c>
      <c r="J124" s="105" t="s">
        <v>57</v>
      </c>
      <c r="K124" s="105" t="s">
        <v>666</v>
      </c>
      <c r="L124" s="105" t="s">
        <v>669</v>
      </c>
      <c r="M124" s="105">
        <v>887</v>
      </c>
      <c r="N124" s="105" t="s">
        <v>686</v>
      </c>
      <c r="O124" s="105" t="s">
        <v>569</v>
      </c>
      <c r="P124" s="105">
        <v>0</v>
      </c>
      <c r="Q124" s="105" t="s">
        <v>670</v>
      </c>
      <c r="R124" s="105" t="s">
        <v>23</v>
      </c>
      <c r="S124" s="105" t="s">
        <v>671</v>
      </c>
      <c r="T124" s="105" t="s">
        <v>672</v>
      </c>
      <c r="U124" s="105" t="b">
        <v>1</v>
      </c>
      <c r="V124" s="105" t="s">
        <v>673</v>
      </c>
      <c r="W124" s="105" t="s">
        <v>674</v>
      </c>
      <c r="X124" s="105">
        <v>6</v>
      </c>
      <c r="Y124" s="105" t="b">
        <v>1</v>
      </c>
      <c r="Z124" s="105" t="s">
        <v>675</v>
      </c>
      <c r="AA124" s="105" t="s">
        <v>676</v>
      </c>
      <c r="AB124" s="105" t="s">
        <v>677</v>
      </c>
      <c r="AC124" s="105">
        <v>0</v>
      </c>
      <c r="AD124" s="105" t="s">
        <v>678</v>
      </c>
      <c r="AE124" s="105">
        <v>8</v>
      </c>
      <c r="AF124" s="105" t="s">
        <v>679</v>
      </c>
      <c r="AG124" s="105">
        <v>1420918.2720000001</v>
      </c>
      <c r="AH124" s="105" t="b">
        <v>1</v>
      </c>
      <c r="AI124" s="105">
        <v>-1</v>
      </c>
      <c r="AJ124" s="105" t="s">
        <v>680</v>
      </c>
      <c r="AK124" s="105">
        <v>0</v>
      </c>
      <c r="AL124" s="105" t="b">
        <v>0</v>
      </c>
      <c r="AM124" s="105">
        <v>1420918.2720000001</v>
      </c>
      <c r="AN124" s="105" t="b">
        <v>1</v>
      </c>
      <c r="AO124" s="105">
        <v>0</v>
      </c>
      <c r="AP124" s="105" t="b">
        <v>0</v>
      </c>
      <c r="AQ124" s="105">
        <v>784023.81900000002</v>
      </c>
      <c r="AR124" s="105"/>
      <c r="AS124" s="105">
        <v>784023.81900000002</v>
      </c>
      <c r="AT124" s="105">
        <v>6</v>
      </c>
      <c r="AU124" s="105" t="b">
        <v>1</v>
      </c>
      <c r="AV124" s="105" t="b">
        <v>0</v>
      </c>
    </row>
    <row r="125" spans="1:48">
      <c r="A125" s="105"/>
      <c r="B125" s="105" t="s">
        <v>665</v>
      </c>
      <c r="C125" s="105" t="s">
        <v>666</v>
      </c>
      <c r="D125" s="105">
        <v>20230201</v>
      </c>
      <c r="E125" s="105">
        <v>2023</v>
      </c>
      <c r="F125" s="105">
        <v>2</v>
      </c>
      <c r="G125" s="105" t="s">
        <v>710</v>
      </c>
      <c r="H125" s="105">
        <v>818</v>
      </c>
      <c r="I125" s="105" t="s">
        <v>668</v>
      </c>
      <c r="J125" s="105" t="s">
        <v>57</v>
      </c>
      <c r="K125" s="105" t="s">
        <v>666</v>
      </c>
      <c r="L125" s="105" t="s">
        <v>669</v>
      </c>
      <c r="M125" s="105">
        <v>0</v>
      </c>
      <c r="N125" s="105" t="s">
        <v>670</v>
      </c>
      <c r="O125" s="105" t="s">
        <v>23</v>
      </c>
      <c r="P125" s="105">
        <v>0</v>
      </c>
      <c r="Q125" s="105" t="s">
        <v>670</v>
      </c>
      <c r="R125" s="105" t="s">
        <v>23</v>
      </c>
      <c r="S125" s="105" t="s">
        <v>671</v>
      </c>
      <c r="T125" s="105" t="s">
        <v>672</v>
      </c>
      <c r="U125" s="105" t="b">
        <v>1</v>
      </c>
      <c r="V125" s="105" t="s">
        <v>673</v>
      </c>
      <c r="W125" s="105" t="s">
        <v>674</v>
      </c>
      <c r="X125" s="105">
        <v>6</v>
      </c>
      <c r="Y125" s="105" t="b">
        <v>1</v>
      </c>
      <c r="Z125" s="105" t="s">
        <v>675</v>
      </c>
      <c r="AA125" s="105" t="s">
        <v>676</v>
      </c>
      <c r="AB125" s="105" t="s">
        <v>677</v>
      </c>
      <c r="AC125" s="105">
        <v>0</v>
      </c>
      <c r="AD125" s="105" t="s">
        <v>678</v>
      </c>
      <c r="AE125" s="105">
        <v>8</v>
      </c>
      <c r="AF125" s="105" t="s">
        <v>679</v>
      </c>
      <c r="AG125" s="105">
        <v>2988664.048</v>
      </c>
      <c r="AH125" s="105" t="b">
        <v>1</v>
      </c>
      <c r="AI125" s="105">
        <v>-1</v>
      </c>
      <c r="AJ125" s="105" t="s">
        <v>680</v>
      </c>
      <c r="AK125" s="105">
        <v>0</v>
      </c>
      <c r="AL125" s="105" t="b">
        <v>0</v>
      </c>
      <c r="AM125" s="105">
        <v>2988664.048</v>
      </c>
      <c r="AN125" s="105" t="b">
        <v>1</v>
      </c>
      <c r="AO125" s="105">
        <v>0</v>
      </c>
      <c r="AP125" s="105" t="b">
        <v>0</v>
      </c>
      <c r="AQ125" s="105">
        <v>1649063.037</v>
      </c>
      <c r="AR125" s="105"/>
      <c r="AS125" s="105">
        <v>1649063.037</v>
      </c>
      <c r="AT125" s="105">
        <v>6</v>
      </c>
      <c r="AU125" s="105" t="b">
        <v>0</v>
      </c>
      <c r="AV125" s="105" t="b">
        <v>1</v>
      </c>
    </row>
    <row r="126" spans="1:48">
      <c r="A126" s="105"/>
      <c r="B126" s="105" t="s">
        <v>665</v>
      </c>
      <c r="C126" s="105" t="s">
        <v>666</v>
      </c>
      <c r="D126" s="105">
        <v>20230201</v>
      </c>
      <c r="E126" s="105">
        <v>2023</v>
      </c>
      <c r="F126" s="105">
        <v>2</v>
      </c>
      <c r="G126" s="105" t="s">
        <v>710</v>
      </c>
      <c r="H126" s="105">
        <v>818</v>
      </c>
      <c r="I126" s="105" t="s">
        <v>668</v>
      </c>
      <c r="J126" s="105" t="s">
        <v>57</v>
      </c>
      <c r="K126" s="105" t="s">
        <v>666</v>
      </c>
      <c r="L126" s="105" t="s">
        <v>669</v>
      </c>
      <c r="M126" s="105">
        <v>156</v>
      </c>
      <c r="N126" s="105" t="s">
        <v>711</v>
      </c>
      <c r="O126" s="105" t="s">
        <v>29</v>
      </c>
      <c r="P126" s="105">
        <v>0</v>
      </c>
      <c r="Q126" s="105" t="s">
        <v>670</v>
      </c>
      <c r="R126" s="105" t="s">
        <v>23</v>
      </c>
      <c r="S126" s="105" t="s">
        <v>671</v>
      </c>
      <c r="T126" s="105" t="s">
        <v>672</v>
      </c>
      <c r="U126" s="105" t="b">
        <v>1</v>
      </c>
      <c r="V126" s="105" t="s">
        <v>673</v>
      </c>
      <c r="W126" s="105" t="s">
        <v>674</v>
      </c>
      <c r="X126" s="105">
        <v>6</v>
      </c>
      <c r="Y126" s="105" t="b">
        <v>1</v>
      </c>
      <c r="Z126" s="105" t="s">
        <v>675</v>
      </c>
      <c r="AA126" s="105" t="s">
        <v>676</v>
      </c>
      <c r="AB126" s="105" t="s">
        <v>677</v>
      </c>
      <c r="AC126" s="105">
        <v>0</v>
      </c>
      <c r="AD126" s="105" t="s">
        <v>678</v>
      </c>
      <c r="AE126" s="105">
        <v>8</v>
      </c>
      <c r="AF126" s="105" t="s">
        <v>679</v>
      </c>
      <c r="AG126" s="105">
        <v>196637.15299999999</v>
      </c>
      <c r="AH126" s="105" t="b">
        <v>1</v>
      </c>
      <c r="AI126" s="105">
        <v>-1</v>
      </c>
      <c r="AJ126" s="105" t="s">
        <v>680</v>
      </c>
      <c r="AK126" s="105">
        <v>0</v>
      </c>
      <c r="AL126" s="105" t="b">
        <v>0</v>
      </c>
      <c r="AM126" s="105">
        <v>196637.15299999999</v>
      </c>
      <c r="AN126" s="105" t="b">
        <v>1</v>
      </c>
      <c r="AO126" s="105">
        <v>0</v>
      </c>
      <c r="AP126" s="105" t="b">
        <v>0</v>
      </c>
      <c r="AQ126" s="105">
        <v>108499</v>
      </c>
      <c r="AR126" s="105"/>
      <c r="AS126" s="105">
        <v>108499</v>
      </c>
      <c r="AT126" s="105">
        <v>6</v>
      </c>
      <c r="AU126" s="105" t="b">
        <v>1</v>
      </c>
      <c r="AV126" s="105" t="b">
        <v>0</v>
      </c>
    </row>
    <row r="127" spans="1:48">
      <c r="A127" s="105"/>
      <c r="B127" s="105" t="s">
        <v>665</v>
      </c>
      <c r="C127" s="105" t="s">
        <v>666</v>
      </c>
      <c r="D127" s="105">
        <v>20230201</v>
      </c>
      <c r="E127" s="105">
        <v>2023</v>
      </c>
      <c r="F127" s="105">
        <v>2</v>
      </c>
      <c r="G127" s="105" t="s">
        <v>710</v>
      </c>
      <c r="H127" s="105">
        <v>818</v>
      </c>
      <c r="I127" s="105" t="s">
        <v>668</v>
      </c>
      <c r="J127" s="105" t="s">
        <v>57</v>
      </c>
      <c r="K127" s="105" t="s">
        <v>666</v>
      </c>
      <c r="L127" s="105" t="s">
        <v>669</v>
      </c>
      <c r="M127" s="105">
        <v>380</v>
      </c>
      <c r="N127" s="105" t="s">
        <v>689</v>
      </c>
      <c r="O127" s="105" t="s">
        <v>71</v>
      </c>
      <c r="P127" s="105">
        <v>0</v>
      </c>
      <c r="Q127" s="105" t="s">
        <v>670</v>
      </c>
      <c r="R127" s="105" t="s">
        <v>23</v>
      </c>
      <c r="S127" s="105" t="s">
        <v>671</v>
      </c>
      <c r="T127" s="105" t="s">
        <v>672</v>
      </c>
      <c r="U127" s="105" t="b">
        <v>1</v>
      </c>
      <c r="V127" s="105" t="s">
        <v>673</v>
      </c>
      <c r="W127" s="105" t="s">
        <v>674</v>
      </c>
      <c r="X127" s="105">
        <v>6</v>
      </c>
      <c r="Y127" s="105" t="b">
        <v>1</v>
      </c>
      <c r="Z127" s="105" t="s">
        <v>675</v>
      </c>
      <c r="AA127" s="105" t="s">
        <v>676</v>
      </c>
      <c r="AB127" s="105" t="s">
        <v>677</v>
      </c>
      <c r="AC127" s="105">
        <v>0</v>
      </c>
      <c r="AD127" s="105" t="s">
        <v>678</v>
      </c>
      <c r="AE127" s="105">
        <v>8</v>
      </c>
      <c r="AF127" s="105" t="s">
        <v>679</v>
      </c>
      <c r="AG127" s="105">
        <v>158152.084</v>
      </c>
      <c r="AH127" s="105" t="b">
        <v>1</v>
      </c>
      <c r="AI127" s="105">
        <v>-1</v>
      </c>
      <c r="AJ127" s="105" t="s">
        <v>680</v>
      </c>
      <c r="AK127" s="105">
        <v>0</v>
      </c>
      <c r="AL127" s="105" t="b">
        <v>0</v>
      </c>
      <c r="AM127" s="105">
        <v>158152.084</v>
      </c>
      <c r="AN127" s="105" t="b">
        <v>1</v>
      </c>
      <c r="AO127" s="105">
        <v>0</v>
      </c>
      <c r="AP127" s="105" t="b">
        <v>0</v>
      </c>
      <c r="AQ127" s="105">
        <v>87263.991999999998</v>
      </c>
      <c r="AR127" s="105"/>
      <c r="AS127" s="105">
        <v>87263.991999999998</v>
      </c>
      <c r="AT127" s="105">
        <v>6</v>
      </c>
      <c r="AU127" s="105" t="b">
        <v>1</v>
      </c>
      <c r="AV127" s="105" t="b">
        <v>0</v>
      </c>
    </row>
    <row r="128" spans="1:48">
      <c r="A128" s="105"/>
      <c r="B128" s="105" t="s">
        <v>665</v>
      </c>
      <c r="C128" s="105" t="s">
        <v>666</v>
      </c>
      <c r="D128" s="105">
        <v>20230201</v>
      </c>
      <c r="E128" s="105">
        <v>2023</v>
      </c>
      <c r="F128" s="105">
        <v>2</v>
      </c>
      <c r="G128" s="105" t="s">
        <v>710</v>
      </c>
      <c r="H128" s="105">
        <v>818</v>
      </c>
      <c r="I128" s="105" t="s">
        <v>668</v>
      </c>
      <c r="J128" s="105" t="s">
        <v>57</v>
      </c>
      <c r="K128" s="105" t="s">
        <v>666</v>
      </c>
      <c r="L128" s="105" t="s">
        <v>669</v>
      </c>
      <c r="M128" s="105">
        <v>404</v>
      </c>
      <c r="N128" s="105" t="s">
        <v>712</v>
      </c>
      <c r="O128" s="105" t="s">
        <v>117</v>
      </c>
      <c r="P128" s="105">
        <v>0</v>
      </c>
      <c r="Q128" s="105" t="s">
        <v>670</v>
      </c>
      <c r="R128" s="105" t="s">
        <v>23</v>
      </c>
      <c r="S128" s="105" t="s">
        <v>671</v>
      </c>
      <c r="T128" s="105" t="s">
        <v>672</v>
      </c>
      <c r="U128" s="105" t="b">
        <v>1</v>
      </c>
      <c r="V128" s="105" t="s">
        <v>673</v>
      </c>
      <c r="W128" s="105" t="s">
        <v>674</v>
      </c>
      <c r="X128" s="105">
        <v>6</v>
      </c>
      <c r="Y128" s="105" t="b">
        <v>1</v>
      </c>
      <c r="Z128" s="105" t="s">
        <v>675</v>
      </c>
      <c r="AA128" s="105" t="s">
        <v>676</v>
      </c>
      <c r="AB128" s="105" t="s">
        <v>677</v>
      </c>
      <c r="AC128" s="105">
        <v>0</v>
      </c>
      <c r="AD128" s="105" t="s">
        <v>678</v>
      </c>
      <c r="AE128" s="105">
        <v>8</v>
      </c>
      <c r="AF128" s="105" t="s">
        <v>679</v>
      </c>
      <c r="AG128" s="105">
        <v>348014.72200000001</v>
      </c>
      <c r="AH128" s="105" t="b">
        <v>1</v>
      </c>
      <c r="AI128" s="105">
        <v>-1</v>
      </c>
      <c r="AJ128" s="105" t="s">
        <v>680</v>
      </c>
      <c r="AK128" s="105">
        <v>0</v>
      </c>
      <c r="AL128" s="105" t="b">
        <v>0</v>
      </c>
      <c r="AM128" s="105">
        <v>348014.72200000001</v>
      </c>
      <c r="AN128" s="105" t="b">
        <v>1</v>
      </c>
      <c r="AO128" s="105">
        <v>0</v>
      </c>
      <c r="AP128" s="105" t="b">
        <v>0</v>
      </c>
      <c r="AQ128" s="105">
        <v>192025</v>
      </c>
      <c r="AR128" s="105"/>
      <c r="AS128" s="105">
        <v>192025</v>
      </c>
      <c r="AT128" s="105">
        <v>6</v>
      </c>
      <c r="AU128" s="105" t="b">
        <v>1</v>
      </c>
      <c r="AV128" s="105" t="b">
        <v>0</v>
      </c>
    </row>
    <row r="129" spans="1:48">
      <c r="A129" s="105"/>
      <c r="B129" s="105" t="s">
        <v>665</v>
      </c>
      <c r="C129" s="105" t="s">
        <v>666</v>
      </c>
      <c r="D129" s="105">
        <v>20230201</v>
      </c>
      <c r="E129" s="105">
        <v>2023</v>
      </c>
      <c r="F129" s="105">
        <v>2</v>
      </c>
      <c r="G129" s="105" t="s">
        <v>710</v>
      </c>
      <c r="H129" s="105">
        <v>818</v>
      </c>
      <c r="I129" s="105" t="s">
        <v>668</v>
      </c>
      <c r="J129" s="105" t="s">
        <v>57</v>
      </c>
      <c r="K129" s="105" t="s">
        <v>666</v>
      </c>
      <c r="L129" s="105" t="s">
        <v>669</v>
      </c>
      <c r="M129" s="105">
        <v>566</v>
      </c>
      <c r="N129" s="105" t="s">
        <v>706</v>
      </c>
      <c r="O129" s="105" t="s">
        <v>52</v>
      </c>
      <c r="P129" s="105">
        <v>0</v>
      </c>
      <c r="Q129" s="105" t="s">
        <v>670</v>
      </c>
      <c r="R129" s="105" t="s">
        <v>23</v>
      </c>
      <c r="S129" s="105" t="s">
        <v>671</v>
      </c>
      <c r="T129" s="105" t="s">
        <v>672</v>
      </c>
      <c r="U129" s="105" t="b">
        <v>1</v>
      </c>
      <c r="V129" s="105" t="s">
        <v>673</v>
      </c>
      <c r="W129" s="105" t="s">
        <v>674</v>
      </c>
      <c r="X129" s="105">
        <v>6</v>
      </c>
      <c r="Y129" s="105" t="b">
        <v>1</v>
      </c>
      <c r="Z129" s="105" t="s">
        <v>675</v>
      </c>
      <c r="AA129" s="105" t="s">
        <v>676</v>
      </c>
      <c r="AB129" s="105" t="s">
        <v>677</v>
      </c>
      <c r="AC129" s="105">
        <v>0</v>
      </c>
      <c r="AD129" s="105" t="s">
        <v>678</v>
      </c>
      <c r="AE129" s="105">
        <v>8</v>
      </c>
      <c r="AF129" s="105" t="s">
        <v>679</v>
      </c>
      <c r="AG129" s="105">
        <v>264462.30099999998</v>
      </c>
      <c r="AH129" s="105" t="b">
        <v>1</v>
      </c>
      <c r="AI129" s="105">
        <v>-1</v>
      </c>
      <c r="AJ129" s="105" t="s">
        <v>680</v>
      </c>
      <c r="AK129" s="105">
        <v>0</v>
      </c>
      <c r="AL129" s="105" t="b">
        <v>0</v>
      </c>
      <c r="AM129" s="105">
        <v>264462.30099999998</v>
      </c>
      <c r="AN129" s="105" t="b">
        <v>1</v>
      </c>
      <c r="AO129" s="105">
        <v>0</v>
      </c>
      <c r="AP129" s="105" t="b">
        <v>0</v>
      </c>
      <c r="AQ129" s="105">
        <v>145923.06099999999</v>
      </c>
      <c r="AR129" s="105"/>
      <c r="AS129" s="105">
        <v>145923.06099999999</v>
      </c>
      <c r="AT129" s="105">
        <v>6</v>
      </c>
      <c r="AU129" s="105" t="b">
        <v>1</v>
      </c>
      <c r="AV129" s="105" t="b">
        <v>0</v>
      </c>
    </row>
    <row r="130" spans="1:48">
      <c r="A130" s="105"/>
      <c r="B130" s="105" t="s">
        <v>665</v>
      </c>
      <c r="C130" s="105" t="s">
        <v>666</v>
      </c>
      <c r="D130" s="105">
        <v>20230201</v>
      </c>
      <c r="E130" s="105">
        <v>2023</v>
      </c>
      <c r="F130" s="105">
        <v>2</v>
      </c>
      <c r="G130" s="105" t="s">
        <v>710</v>
      </c>
      <c r="H130" s="105">
        <v>818</v>
      </c>
      <c r="I130" s="105" t="s">
        <v>668</v>
      </c>
      <c r="J130" s="105" t="s">
        <v>57</v>
      </c>
      <c r="K130" s="105" t="s">
        <v>666</v>
      </c>
      <c r="L130" s="105" t="s">
        <v>669</v>
      </c>
      <c r="M130" s="105">
        <v>724</v>
      </c>
      <c r="N130" s="105" t="s">
        <v>684</v>
      </c>
      <c r="O130" s="105" t="s">
        <v>51</v>
      </c>
      <c r="P130" s="105">
        <v>0</v>
      </c>
      <c r="Q130" s="105" t="s">
        <v>670</v>
      </c>
      <c r="R130" s="105" t="s">
        <v>23</v>
      </c>
      <c r="S130" s="105" t="s">
        <v>671</v>
      </c>
      <c r="T130" s="105" t="s">
        <v>672</v>
      </c>
      <c r="U130" s="105" t="b">
        <v>1</v>
      </c>
      <c r="V130" s="105" t="s">
        <v>673</v>
      </c>
      <c r="W130" s="105" t="s">
        <v>674</v>
      </c>
      <c r="X130" s="105">
        <v>6</v>
      </c>
      <c r="Y130" s="105" t="b">
        <v>1</v>
      </c>
      <c r="Z130" s="105" t="s">
        <v>675</v>
      </c>
      <c r="AA130" s="105" t="s">
        <v>676</v>
      </c>
      <c r="AB130" s="105" t="s">
        <v>677</v>
      </c>
      <c r="AC130" s="105">
        <v>0</v>
      </c>
      <c r="AD130" s="105" t="s">
        <v>678</v>
      </c>
      <c r="AE130" s="105">
        <v>8</v>
      </c>
      <c r="AF130" s="105" t="s">
        <v>679</v>
      </c>
      <c r="AG130" s="105">
        <v>138490.014</v>
      </c>
      <c r="AH130" s="105" t="b">
        <v>1</v>
      </c>
      <c r="AI130" s="105">
        <v>-1</v>
      </c>
      <c r="AJ130" s="105" t="s">
        <v>680</v>
      </c>
      <c r="AK130" s="105">
        <v>0</v>
      </c>
      <c r="AL130" s="105" t="b">
        <v>0</v>
      </c>
      <c r="AM130" s="105">
        <v>138490.014</v>
      </c>
      <c r="AN130" s="105" t="b">
        <v>1</v>
      </c>
      <c r="AO130" s="105">
        <v>0</v>
      </c>
      <c r="AP130" s="105" t="b">
        <v>0</v>
      </c>
      <c r="AQ130" s="105">
        <v>76415</v>
      </c>
      <c r="AR130" s="105"/>
      <c r="AS130" s="105">
        <v>76415</v>
      </c>
      <c r="AT130" s="105">
        <v>6</v>
      </c>
      <c r="AU130" s="105" t="b">
        <v>1</v>
      </c>
      <c r="AV130" s="105" t="b">
        <v>0</v>
      </c>
    </row>
    <row r="131" spans="1:48">
      <c r="A131" s="105"/>
      <c r="B131" s="105" t="s">
        <v>665</v>
      </c>
      <c r="C131" s="105" t="s">
        <v>666</v>
      </c>
      <c r="D131" s="105">
        <v>20230201</v>
      </c>
      <c r="E131" s="105">
        <v>2023</v>
      </c>
      <c r="F131" s="105">
        <v>2</v>
      </c>
      <c r="G131" s="105" t="s">
        <v>710</v>
      </c>
      <c r="H131" s="105">
        <v>818</v>
      </c>
      <c r="I131" s="105" t="s">
        <v>668</v>
      </c>
      <c r="J131" s="105" t="s">
        <v>57</v>
      </c>
      <c r="K131" s="105" t="s">
        <v>666</v>
      </c>
      <c r="L131" s="105" t="s">
        <v>669</v>
      </c>
      <c r="M131" s="105">
        <v>729</v>
      </c>
      <c r="N131" s="105" t="s">
        <v>707</v>
      </c>
      <c r="O131" s="105" t="s">
        <v>230</v>
      </c>
      <c r="P131" s="105">
        <v>0</v>
      </c>
      <c r="Q131" s="105" t="s">
        <v>670</v>
      </c>
      <c r="R131" s="105" t="s">
        <v>23</v>
      </c>
      <c r="S131" s="105" t="s">
        <v>671</v>
      </c>
      <c r="T131" s="105" t="s">
        <v>672</v>
      </c>
      <c r="U131" s="105" t="b">
        <v>1</v>
      </c>
      <c r="V131" s="105" t="s">
        <v>673</v>
      </c>
      <c r="W131" s="105" t="s">
        <v>674</v>
      </c>
      <c r="X131" s="105">
        <v>6</v>
      </c>
      <c r="Y131" s="105" t="b">
        <v>1</v>
      </c>
      <c r="Z131" s="105" t="s">
        <v>675</v>
      </c>
      <c r="AA131" s="105" t="s">
        <v>676</v>
      </c>
      <c r="AB131" s="105" t="s">
        <v>677</v>
      </c>
      <c r="AC131" s="105">
        <v>0</v>
      </c>
      <c r="AD131" s="105" t="s">
        <v>678</v>
      </c>
      <c r="AE131" s="105">
        <v>8</v>
      </c>
      <c r="AF131" s="105" t="s">
        <v>679</v>
      </c>
      <c r="AG131" s="105">
        <v>576759.30200000003</v>
      </c>
      <c r="AH131" s="105" t="b">
        <v>1</v>
      </c>
      <c r="AI131" s="105">
        <v>-1</v>
      </c>
      <c r="AJ131" s="105" t="s">
        <v>680</v>
      </c>
      <c r="AK131" s="105">
        <v>0</v>
      </c>
      <c r="AL131" s="105" t="b">
        <v>0</v>
      </c>
      <c r="AM131" s="105">
        <v>576759.30200000003</v>
      </c>
      <c r="AN131" s="105" t="b">
        <v>1</v>
      </c>
      <c r="AO131" s="105">
        <v>0</v>
      </c>
      <c r="AP131" s="105" t="b">
        <v>0</v>
      </c>
      <c r="AQ131" s="105">
        <v>318240</v>
      </c>
      <c r="AR131" s="105"/>
      <c r="AS131" s="105">
        <v>318240</v>
      </c>
      <c r="AT131" s="105">
        <v>6</v>
      </c>
      <c r="AU131" s="105" t="b">
        <v>1</v>
      </c>
      <c r="AV131" s="105" t="b">
        <v>0</v>
      </c>
    </row>
    <row r="132" spans="1:48">
      <c r="A132" s="105"/>
      <c r="B132" s="105" t="s">
        <v>665</v>
      </c>
      <c r="C132" s="105" t="s">
        <v>666</v>
      </c>
      <c r="D132" s="105">
        <v>20230201</v>
      </c>
      <c r="E132" s="105">
        <v>2023</v>
      </c>
      <c r="F132" s="105">
        <v>2</v>
      </c>
      <c r="G132" s="105" t="s">
        <v>710</v>
      </c>
      <c r="H132" s="105">
        <v>818</v>
      </c>
      <c r="I132" s="105" t="s">
        <v>668</v>
      </c>
      <c r="J132" s="105" t="s">
        <v>57</v>
      </c>
      <c r="K132" s="105" t="s">
        <v>666</v>
      </c>
      <c r="L132" s="105" t="s">
        <v>669</v>
      </c>
      <c r="M132" s="105">
        <v>842</v>
      </c>
      <c r="N132" s="105" t="s">
        <v>713</v>
      </c>
      <c r="O132" s="105" t="s">
        <v>713</v>
      </c>
      <c r="P132" s="105">
        <v>0</v>
      </c>
      <c r="Q132" s="105" t="s">
        <v>670</v>
      </c>
      <c r="R132" s="105" t="s">
        <v>23</v>
      </c>
      <c r="S132" s="105" t="s">
        <v>671</v>
      </c>
      <c r="T132" s="105" t="s">
        <v>672</v>
      </c>
      <c r="U132" s="105" t="b">
        <v>1</v>
      </c>
      <c r="V132" s="105" t="s">
        <v>673</v>
      </c>
      <c r="W132" s="105" t="s">
        <v>674</v>
      </c>
      <c r="X132" s="105">
        <v>6</v>
      </c>
      <c r="Y132" s="105" t="b">
        <v>1</v>
      </c>
      <c r="Z132" s="105" t="s">
        <v>675</v>
      </c>
      <c r="AA132" s="105" t="s">
        <v>676</v>
      </c>
      <c r="AB132" s="105" t="s">
        <v>677</v>
      </c>
      <c r="AC132" s="105">
        <v>0</v>
      </c>
      <c r="AD132" s="105" t="s">
        <v>678</v>
      </c>
      <c r="AE132" s="105">
        <v>8</v>
      </c>
      <c r="AF132" s="105" t="s">
        <v>679</v>
      </c>
      <c r="AG132" s="105">
        <v>28678.451000000001</v>
      </c>
      <c r="AH132" s="105" t="b">
        <v>1</v>
      </c>
      <c r="AI132" s="105">
        <v>-1</v>
      </c>
      <c r="AJ132" s="105" t="s">
        <v>680</v>
      </c>
      <c r="AK132" s="105">
        <v>0</v>
      </c>
      <c r="AL132" s="105" t="b">
        <v>0</v>
      </c>
      <c r="AM132" s="105">
        <v>28678.451000000001</v>
      </c>
      <c r="AN132" s="105" t="b">
        <v>1</v>
      </c>
      <c r="AO132" s="105">
        <v>0</v>
      </c>
      <c r="AP132" s="105" t="b">
        <v>0</v>
      </c>
      <c r="AQ132" s="105">
        <v>15823.984</v>
      </c>
      <c r="AR132" s="105"/>
      <c r="AS132" s="105">
        <v>15823.984</v>
      </c>
      <c r="AT132" s="105">
        <v>6</v>
      </c>
      <c r="AU132" s="105" t="b">
        <v>1</v>
      </c>
      <c r="AV132" s="105" t="b">
        <v>0</v>
      </c>
    </row>
    <row r="133" spans="1:48">
      <c r="A133" s="105"/>
      <c r="B133" s="105" t="s">
        <v>665</v>
      </c>
      <c r="C133" s="105" t="s">
        <v>666</v>
      </c>
      <c r="D133" s="105">
        <v>20230201</v>
      </c>
      <c r="E133" s="105">
        <v>2023</v>
      </c>
      <c r="F133" s="105">
        <v>2</v>
      </c>
      <c r="G133" s="105" t="s">
        <v>710</v>
      </c>
      <c r="H133" s="105">
        <v>818</v>
      </c>
      <c r="I133" s="105" t="s">
        <v>668</v>
      </c>
      <c r="J133" s="105" t="s">
        <v>57</v>
      </c>
      <c r="K133" s="105" t="s">
        <v>666</v>
      </c>
      <c r="L133" s="105" t="s">
        <v>669</v>
      </c>
      <c r="M133" s="105">
        <v>887</v>
      </c>
      <c r="N133" s="105" t="s">
        <v>686</v>
      </c>
      <c r="O133" s="105" t="s">
        <v>569</v>
      </c>
      <c r="P133" s="105">
        <v>0</v>
      </c>
      <c r="Q133" s="105" t="s">
        <v>670</v>
      </c>
      <c r="R133" s="105" t="s">
        <v>23</v>
      </c>
      <c r="S133" s="105" t="s">
        <v>671</v>
      </c>
      <c r="T133" s="105" t="s">
        <v>672</v>
      </c>
      <c r="U133" s="105" t="b">
        <v>1</v>
      </c>
      <c r="V133" s="105" t="s">
        <v>673</v>
      </c>
      <c r="W133" s="105" t="s">
        <v>674</v>
      </c>
      <c r="X133" s="105">
        <v>6</v>
      </c>
      <c r="Y133" s="105" t="b">
        <v>1</v>
      </c>
      <c r="Z133" s="105" t="s">
        <v>675</v>
      </c>
      <c r="AA133" s="105" t="s">
        <v>676</v>
      </c>
      <c r="AB133" s="105" t="s">
        <v>677</v>
      </c>
      <c r="AC133" s="105">
        <v>0</v>
      </c>
      <c r="AD133" s="105" t="s">
        <v>678</v>
      </c>
      <c r="AE133" s="105">
        <v>8</v>
      </c>
      <c r="AF133" s="105" t="s">
        <v>679</v>
      </c>
      <c r="AG133" s="105">
        <v>1277470.0209999999</v>
      </c>
      <c r="AH133" s="105" t="b">
        <v>1</v>
      </c>
      <c r="AI133" s="105">
        <v>-1</v>
      </c>
      <c r="AJ133" s="105" t="s">
        <v>680</v>
      </c>
      <c r="AK133" s="105">
        <v>0</v>
      </c>
      <c r="AL133" s="105" t="b">
        <v>0</v>
      </c>
      <c r="AM133" s="105">
        <v>1277470.0209999999</v>
      </c>
      <c r="AN133" s="105" t="b">
        <v>1</v>
      </c>
      <c r="AO133" s="105">
        <v>0</v>
      </c>
      <c r="AP133" s="105" t="b">
        <v>0</v>
      </c>
      <c r="AQ133" s="105">
        <v>704873</v>
      </c>
      <c r="AR133" s="105"/>
      <c r="AS133" s="105">
        <v>704873</v>
      </c>
      <c r="AT133" s="105">
        <v>6</v>
      </c>
      <c r="AU133" s="105" t="b">
        <v>1</v>
      </c>
      <c r="AV133" s="105" t="b">
        <v>0</v>
      </c>
    </row>
    <row r="134" spans="1:48">
      <c r="A134" s="105"/>
      <c r="B134" s="105" t="s">
        <v>665</v>
      </c>
      <c r="C134" s="105" t="s">
        <v>666</v>
      </c>
      <c r="D134" s="105">
        <v>20230301</v>
      </c>
      <c r="E134" s="105">
        <v>2023</v>
      </c>
      <c r="F134" s="105">
        <v>3</v>
      </c>
      <c r="G134" s="105" t="s">
        <v>714</v>
      </c>
      <c r="H134" s="105">
        <v>818</v>
      </c>
      <c r="I134" s="105" t="s">
        <v>668</v>
      </c>
      <c r="J134" s="105" t="s">
        <v>57</v>
      </c>
      <c r="K134" s="105" t="s">
        <v>666</v>
      </c>
      <c r="L134" s="105" t="s">
        <v>669</v>
      </c>
      <c r="M134" s="105">
        <v>0</v>
      </c>
      <c r="N134" s="105" t="s">
        <v>670</v>
      </c>
      <c r="O134" s="105" t="s">
        <v>23</v>
      </c>
      <c r="P134" s="105">
        <v>0</v>
      </c>
      <c r="Q134" s="105" t="s">
        <v>670</v>
      </c>
      <c r="R134" s="105" t="s">
        <v>23</v>
      </c>
      <c r="S134" s="105" t="s">
        <v>671</v>
      </c>
      <c r="T134" s="105" t="s">
        <v>672</v>
      </c>
      <c r="U134" s="105" t="b">
        <v>1</v>
      </c>
      <c r="V134" s="105" t="s">
        <v>673</v>
      </c>
      <c r="W134" s="105" t="s">
        <v>674</v>
      </c>
      <c r="X134" s="105">
        <v>6</v>
      </c>
      <c r="Y134" s="105" t="b">
        <v>1</v>
      </c>
      <c r="Z134" s="105" t="s">
        <v>675</v>
      </c>
      <c r="AA134" s="105" t="s">
        <v>676</v>
      </c>
      <c r="AB134" s="105" t="s">
        <v>677</v>
      </c>
      <c r="AC134" s="105">
        <v>0</v>
      </c>
      <c r="AD134" s="105" t="s">
        <v>678</v>
      </c>
      <c r="AE134" s="105">
        <v>8</v>
      </c>
      <c r="AF134" s="105" t="s">
        <v>679</v>
      </c>
      <c r="AG134" s="105">
        <v>4352290.4289999995</v>
      </c>
      <c r="AH134" s="105" t="b">
        <v>1</v>
      </c>
      <c r="AI134" s="105">
        <v>-1</v>
      </c>
      <c r="AJ134" s="105" t="s">
        <v>680</v>
      </c>
      <c r="AK134" s="105">
        <v>0</v>
      </c>
      <c r="AL134" s="105" t="b">
        <v>0</v>
      </c>
      <c r="AM134" s="105">
        <v>4352290.4289999995</v>
      </c>
      <c r="AN134" s="105" t="b">
        <v>1</v>
      </c>
      <c r="AO134" s="105">
        <v>0</v>
      </c>
      <c r="AP134" s="105" t="b">
        <v>0</v>
      </c>
      <c r="AQ134" s="105">
        <v>2401474.7590000001</v>
      </c>
      <c r="AR134" s="105"/>
      <c r="AS134" s="105">
        <v>2401474.7590000001</v>
      </c>
      <c r="AT134" s="105">
        <v>6</v>
      </c>
      <c r="AU134" s="105" t="b">
        <v>0</v>
      </c>
      <c r="AV134" s="105" t="b">
        <v>1</v>
      </c>
    </row>
    <row r="135" spans="1:48">
      <c r="A135" s="105"/>
      <c r="B135" s="105" t="s">
        <v>665</v>
      </c>
      <c r="C135" s="105" t="s">
        <v>666</v>
      </c>
      <c r="D135" s="105">
        <v>20230301</v>
      </c>
      <c r="E135" s="105">
        <v>2023</v>
      </c>
      <c r="F135" s="105">
        <v>3</v>
      </c>
      <c r="G135" s="105" t="s">
        <v>714</v>
      </c>
      <c r="H135" s="105">
        <v>818</v>
      </c>
      <c r="I135" s="105" t="s">
        <v>668</v>
      </c>
      <c r="J135" s="105" t="s">
        <v>57</v>
      </c>
      <c r="K135" s="105" t="s">
        <v>666</v>
      </c>
      <c r="L135" s="105" t="s">
        <v>669</v>
      </c>
      <c r="M135" s="105">
        <v>566</v>
      </c>
      <c r="N135" s="105" t="s">
        <v>706</v>
      </c>
      <c r="O135" s="105" t="s">
        <v>52</v>
      </c>
      <c r="P135" s="105">
        <v>0</v>
      </c>
      <c r="Q135" s="105" t="s">
        <v>670</v>
      </c>
      <c r="R135" s="105" t="s">
        <v>23</v>
      </c>
      <c r="S135" s="105" t="s">
        <v>671</v>
      </c>
      <c r="T135" s="105" t="s">
        <v>672</v>
      </c>
      <c r="U135" s="105" t="b">
        <v>1</v>
      </c>
      <c r="V135" s="105" t="s">
        <v>673</v>
      </c>
      <c r="W135" s="105" t="s">
        <v>674</v>
      </c>
      <c r="X135" s="105">
        <v>6</v>
      </c>
      <c r="Y135" s="105" t="b">
        <v>1</v>
      </c>
      <c r="Z135" s="105" t="s">
        <v>675</v>
      </c>
      <c r="AA135" s="105" t="s">
        <v>676</v>
      </c>
      <c r="AB135" s="105" t="s">
        <v>677</v>
      </c>
      <c r="AC135" s="105">
        <v>0</v>
      </c>
      <c r="AD135" s="105" t="s">
        <v>678</v>
      </c>
      <c r="AE135" s="105">
        <v>8</v>
      </c>
      <c r="AF135" s="105" t="s">
        <v>679</v>
      </c>
      <c r="AG135" s="105">
        <v>132478.73499999999</v>
      </c>
      <c r="AH135" s="105" t="b">
        <v>1</v>
      </c>
      <c r="AI135" s="105">
        <v>-1</v>
      </c>
      <c r="AJ135" s="105" t="s">
        <v>680</v>
      </c>
      <c r="AK135" s="105">
        <v>0</v>
      </c>
      <c r="AL135" s="105" t="b">
        <v>0</v>
      </c>
      <c r="AM135" s="105">
        <v>132478.73499999999</v>
      </c>
      <c r="AN135" s="105" t="b">
        <v>1</v>
      </c>
      <c r="AO135" s="105">
        <v>0</v>
      </c>
      <c r="AP135" s="105" t="b">
        <v>0</v>
      </c>
      <c r="AQ135" s="105">
        <v>73098.141000000003</v>
      </c>
      <c r="AR135" s="105"/>
      <c r="AS135" s="105">
        <v>73098.141000000003</v>
      </c>
      <c r="AT135" s="105">
        <v>6</v>
      </c>
      <c r="AU135" s="105" t="b">
        <v>1</v>
      </c>
      <c r="AV135" s="105" t="b">
        <v>0</v>
      </c>
    </row>
    <row r="136" spans="1:48">
      <c r="A136" s="105"/>
      <c r="B136" s="105" t="s">
        <v>665</v>
      </c>
      <c r="C136" s="105" t="s">
        <v>666</v>
      </c>
      <c r="D136" s="105">
        <v>20230301</v>
      </c>
      <c r="E136" s="105">
        <v>2023</v>
      </c>
      <c r="F136" s="105">
        <v>3</v>
      </c>
      <c r="G136" s="105" t="s">
        <v>714</v>
      </c>
      <c r="H136" s="105">
        <v>818</v>
      </c>
      <c r="I136" s="105" t="s">
        <v>668</v>
      </c>
      <c r="J136" s="105" t="s">
        <v>57</v>
      </c>
      <c r="K136" s="105" t="s">
        <v>666</v>
      </c>
      <c r="L136" s="105" t="s">
        <v>669</v>
      </c>
      <c r="M136" s="105">
        <v>620</v>
      </c>
      <c r="N136" s="105" t="s">
        <v>693</v>
      </c>
      <c r="O136" s="105" t="s">
        <v>85</v>
      </c>
      <c r="P136" s="105">
        <v>0</v>
      </c>
      <c r="Q136" s="105" t="s">
        <v>670</v>
      </c>
      <c r="R136" s="105" t="s">
        <v>23</v>
      </c>
      <c r="S136" s="105" t="s">
        <v>671</v>
      </c>
      <c r="T136" s="105" t="s">
        <v>672</v>
      </c>
      <c r="U136" s="105" t="b">
        <v>1</v>
      </c>
      <c r="V136" s="105" t="s">
        <v>673</v>
      </c>
      <c r="W136" s="105" t="s">
        <v>674</v>
      </c>
      <c r="X136" s="105">
        <v>6</v>
      </c>
      <c r="Y136" s="105" t="b">
        <v>1</v>
      </c>
      <c r="Z136" s="105" t="s">
        <v>675</v>
      </c>
      <c r="AA136" s="105" t="s">
        <v>676</v>
      </c>
      <c r="AB136" s="105" t="s">
        <v>677</v>
      </c>
      <c r="AC136" s="105">
        <v>0</v>
      </c>
      <c r="AD136" s="105" t="s">
        <v>678</v>
      </c>
      <c r="AE136" s="105">
        <v>8</v>
      </c>
      <c r="AF136" s="105" t="s">
        <v>679</v>
      </c>
      <c r="AG136" s="105">
        <v>205438.785</v>
      </c>
      <c r="AH136" s="105" t="b">
        <v>1</v>
      </c>
      <c r="AI136" s="105">
        <v>-1</v>
      </c>
      <c r="AJ136" s="105" t="s">
        <v>680</v>
      </c>
      <c r="AK136" s="105">
        <v>0</v>
      </c>
      <c r="AL136" s="105" t="b">
        <v>0</v>
      </c>
      <c r="AM136" s="105">
        <v>205438.785</v>
      </c>
      <c r="AN136" s="105" t="b">
        <v>1</v>
      </c>
      <c r="AO136" s="105">
        <v>0</v>
      </c>
      <c r="AP136" s="105" t="b">
        <v>0</v>
      </c>
      <c r="AQ136" s="105">
        <v>113355.5</v>
      </c>
      <c r="AR136" s="105"/>
      <c r="AS136" s="105">
        <v>113355.5</v>
      </c>
      <c r="AT136" s="105">
        <v>6</v>
      </c>
      <c r="AU136" s="105" t="b">
        <v>1</v>
      </c>
      <c r="AV136" s="105" t="b">
        <v>0</v>
      </c>
    </row>
    <row r="137" spans="1:48">
      <c r="A137" s="105"/>
      <c r="B137" s="105" t="s">
        <v>665</v>
      </c>
      <c r="C137" s="105" t="s">
        <v>666</v>
      </c>
      <c r="D137" s="105">
        <v>20230301</v>
      </c>
      <c r="E137" s="105">
        <v>2023</v>
      </c>
      <c r="F137" s="105">
        <v>3</v>
      </c>
      <c r="G137" s="105" t="s">
        <v>714</v>
      </c>
      <c r="H137" s="105">
        <v>818</v>
      </c>
      <c r="I137" s="105" t="s">
        <v>668</v>
      </c>
      <c r="J137" s="105" t="s">
        <v>57</v>
      </c>
      <c r="K137" s="105" t="s">
        <v>666</v>
      </c>
      <c r="L137" s="105" t="s">
        <v>669</v>
      </c>
      <c r="M137" s="105">
        <v>686</v>
      </c>
      <c r="N137" s="105" t="s">
        <v>690</v>
      </c>
      <c r="O137" s="105" t="s">
        <v>232</v>
      </c>
      <c r="P137" s="105">
        <v>0</v>
      </c>
      <c r="Q137" s="105" t="s">
        <v>670</v>
      </c>
      <c r="R137" s="105" t="s">
        <v>23</v>
      </c>
      <c r="S137" s="105" t="s">
        <v>671</v>
      </c>
      <c r="T137" s="105" t="s">
        <v>672</v>
      </c>
      <c r="U137" s="105" t="b">
        <v>1</v>
      </c>
      <c r="V137" s="105" t="s">
        <v>673</v>
      </c>
      <c r="W137" s="105" t="s">
        <v>674</v>
      </c>
      <c r="X137" s="105">
        <v>6</v>
      </c>
      <c r="Y137" s="105" t="b">
        <v>1</v>
      </c>
      <c r="Z137" s="105" t="s">
        <v>675</v>
      </c>
      <c r="AA137" s="105" t="s">
        <v>676</v>
      </c>
      <c r="AB137" s="105" t="s">
        <v>677</v>
      </c>
      <c r="AC137" s="105">
        <v>0</v>
      </c>
      <c r="AD137" s="105" t="s">
        <v>678</v>
      </c>
      <c r="AE137" s="105">
        <v>8</v>
      </c>
      <c r="AF137" s="105" t="s">
        <v>679</v>
      </c>
      <c r="AG137" s="105">
        <v>442024.31599999999</v>
      </c>
      <c r="AH137" s="105" t="b">
        <v>1</v>
      </c>
      <c r="AI137" s="105">
        <v>-1</v>
      </c>
      <c r="AJ137" s="105" t="s">
        <v>680</v>
      </c>
      <c r="AK137" s="105">
        <v>0</v>
      </c>
      <c r="AL137" s="105" t="b">
        <v>0</v>
      </c>
      <c r="AM137" s="105">
        <v>442024.31599999999</v>
      </c>
      <c r="AN137" s="105" t="b">
        <v>1</v>
      </c>
      <c r="AO137" s="105">
        <v>0</v>
      </c>
      <c r="AP137" s="105" t="b">
        <v>0</v>
      </c>
      <c r="AQ137" s="105">
        <v>243896.92199999999</v>
      </c>
      <c r="AR137" s="105"/>
      <c r="AS137" s="105">
        <v>243896.92199999999</v>
      </c>
      <c r="AT137" s="105">
        <v>6</v>
      </c>
      <c r="AU137" s="105" t="b">
        <v>1</v>
      </c>
      <c r="AV137" s="105" t="b">
        <v>0</v>
      </c>
    </row>
    <row r="138" spans="1:48">
      <c r="A138" s="105"/>
      <c r="B138" s="105" t="s">
        <v>665</v>
      </c>
      <c r="C138" s="105" t="s">
        <v>666</v>
      </c>
      <c r="D138" s="105">
        <v>20230301</v>
      </c>
      <c r="E138" s="105">
        <v>2023</v>
      </c>
      <c r="F138" s="105">
        <v>3</v>
      </c>
      <c r="G138" s="105" t="s">
        <v>714</v>
      </c>
      <c r="H138" s="105">
        <v>818</v>
      </c>
      <c r="I138" s="105" t="s">
        <v>668</v>
      </c>
      <c r="J138" s="105" t="s">
        <v>57</v>
      </c>
      <c r="K138" s="105" t="s">
        <v>666</v>
      </c>
      <c r="L138" s="105" t="s">
        <v>669</v>
      </c>
      <c r="M138" s="105">
        <v>724</v>
      </c>
      <c r="N138" s="105" t="s">
        <v>684</v>
      </c>
      <c r="O138" s="105" t="s">
        <v>51</v>
      </c>
      <c r="P138" s="105">
        <v>0</v>
      </c>
      <c r="Q138" s="105" t="s">
        <v>670</v>
      </c>
      <c r="R138" s="105" t="s">
        <v>23</v>
      </c>
      <c r="S138" s="105" t="s">
        <v>671</v>
      </c>
      <c r="T138" s="105" t="s">
        <v>672</v>
      </c>
      <c r="U138" s="105" t="b">
        <v>1</v>
      </c>
      <c r="V138" s="105" t="s">
        <v>673</v>
      </c>
      <c r="W138" s="105" t="s">
        <v>674</v>
      </c>
      <c r="X138" s="105">
        <v>6</v>
      </c>
      <c r="Y138" s="105" t="b">
        <v>1</v>
      </c>
      <c r="Z138" s="105" t="s">
        <v>675</v>
      </c>
      <c r="AA138" s="105" t="s">
        <v>676</v>
      </c>
      <c r="AB138" s="105" t="s">
        <v>677</v>
      </c>
      <c r="AC138" s="105">
        <v>0</v>
      </c>
      <c r="AD138" s="105" t="s">
        <v>678</v>
      </c>
      <c r="AE138" s="105">
        <v>8</v>
      </c>
      <c r="AF138" s="105" t="s">
        <v>679</v>
      </c>
      <c r="AG138" s="105">
        <v>62644.506000000001</v>
      </c>
      <c r="AH138" s="105" t="b">
        <v>1</v>
      </c>
      <c r="AI138" s="105">
        <v>-1</v>
      </c>
      <c r="AJ138" s="105" t="s">
        <v>680</v>
      </c>
      <c r="AK138" s="105">
        <v>0</v>
      </c>
      <c r="AL138" s="105" t="b">
        <v>0</v>
      </c>
      <c r="AM138" s="105">
        <v>62644.506000000001</v>
      </c>
      <c r="AN138" s="105" t="b">
        <v>1</v>
      </c>
      <c r="AO138" s="105">
        <v>0</v>
      </c>
      <c r="AP138" s="105" t="b">
        <v>0</v>
      </c>
      <c r="AQ138" s="105">
        <v>34565.523999999998</v>
      </c>
      <c r="AR138" s="105"/>
      <c r="AS138" s="105">
        <v>34565.523999999998</v>
      </c>
      <c r="AT138" s="105">
        <v>6</v>
      </c>
      <c r="AU138" s="105" t="b">
        <v>1</v>
      </c>
      <c r="AV138" s="105" t="b">
        <v>0</v>
      </c>
    </row>
    <row r="139" spans="1:48">
      <c r="A139" s="105"/>
      <c r="B139" s="105" t="s">
        <v>665</v>
      </c>
      <c r="C139" s="105" t="s">
        <v>666</v>
      </c>
      <c r="D139" s="105">
        <v>20230301</v>
      </c>
      <c r="E139" s="105">
        <v>2023</v>
      </c>
      <c r="F139" s="105">
        <v>3</v>
      </c>
      <c r="G139" s="105" t="s">
        <v>714</v>
      </c>
      <c r="H139" s="105">
        <v>818</v>
      </c>
      <c r="I139" s="105" t="s">
        <v>668</v>
      </c>
      <c r="J139" s="105" t="s">
        <v>57</v>
      </c>
      <c r="K139" s="105" t="s">
        <v>666</v>
      </c>
      <c r="L139" s="105" t="s">
        <v>669</v>
      </c>
      <c r="M139" s="105">
        <v>729</v>
      </c>
      <c r="N139" s="105" t="s">
        <v>707</v>
      </c>
      <c r="O139" s="105" t="s">
        <v>230</v>
      </c>
      <c r="P139" s="105">
        <v>0</v>
      </c>
      <c r="Q139" s="105" t="s">
        <v>670</v>
      </c>
      <c r="R139" s="105" t="s">
        <v>23</v>
      </c>
      <c r="S139" s="105" t="s">
        <v>671</v>
      </c>
      <c r="T139" s="105" t="s">
        <v>672</v>
      </c>
      <c r="U139" s="105" t="b">
        <v>1</v>
      </c>
      <c r="V139" s="105" t="s">
        <v>673</v>
      </c>
      <c r="W139" s="105" t="s">
        <v>674</v>
      </c>
      <c r="X139" s="105">
        <v>6</v>
      </c>
      <c r="Y139" s="105" t="b">
        <v>1</v>
      </c>
      <c r="Z139" s="105" t="s">
        <v>675</v>
      </c>
      <c r="AA139" s="105" t="s">
        <v>676</v>
      </c>
      <c r="AB139" s="105" t="s">
        <v>677</v>
      </c>
      <c r="AC139" s="105">
        <v>0</v>
      </c>
      <c r="AD139" s="105" t="s">
        <v>678</v>
      </c>
      <c r="AE139" s="105">
        <v>8</v>
      </c>
      <c r="AF139" s="105" t="s">
        <v>679</v>
      </c>
      <c r="AG139" s="105">
        <v>188555.92600000001</v>
      </c>
      <c r="AH139" s="105" t="b">
        <v>1</v>
      </c>
      <c r="AI139" s="105">
        <v>-1</v>
      </c>
      <c r="AJ139" s="105" t="s">
        <v>680</v>
      </c>
      <c r="AK139" s="105">
        <v>0</v>
      </c>
      <c r="AL139" s="105" t="b">
        <v>0</v>
      </c>
      <c r="AM139" s="105">
        <v>188555.92600000001</v>
      </c>
      <c r="AN139" s="105" t="b">
        <v>1</v>
      </c>
      <c r="AO139" s="105">
        <v>0</v>
      </c>
      <c r="AP139" s="105" t="b">
        <v>0</v>
      </c>
      <c r="AQ139" s="105">
        <v>104040</v>
      </c>
      <c r="AR139" s="105"/>
      <c r="AS139" s="105">
        <v>104040</v>
      </c>
      <c r="AT139" s="105">
        <v>6</v>
      </c>
      <c r="AU139" s="105" t="b">
        <v>1</v>
      </c>
      <c r="AV139" s="105" t="b">
        <v>0</v>
      </c>
    </row>
    <row r="140" spans="1:48">
      <c r="A140" s="105"/>
      <c r="B140" s="105" t="s">
        <v>665</v>
      </c>
      <c r="C140" s="105" t="s">
        <v>666</v>
      </c>
      <c r="D140" s="105">
        <v>20230301</v>
      </c>
      <c r="E140" s="105">
        <v>2023</v>
      </c>
      <c r="F140" s="105">
        <v>3</v>
      </c>
      <c r="G140" s="105" t="s">
        <v>714</v>
      </c>
      <c r="H140" s="105">
        <v>818</v>
      </c>
      <c r="I140" s="105" t="s">
        <v>668</v>
      </c>
      <c r="J140" s="105" t="s">
        <v>57</v>
      </c>
      <c r="K140" s="105" t="s">
        <v>666</v>
      </c>
      <c r="L140" s="105" t="s">
        <v>669</v>
      </c>
      <c r="M140" s="105">
        <v>792</v>
      </c>
      <c r="N140" s="105" t="s">
        <v>691</v>
      </c>
      <c r="O140" s="105" t="s">
        <v>63</v>
      </c>
      <c r="P140" s="105">
        <v>0</v>
      </c>
      <c r="Q140" s="105" t="s">
        <v>670</v>
      </c>
      <c r="R140" s="105" t="s">
        <v>23</v>
      </c>
      <c r="S140" s="105" t="s">
        <v>671</v>
      </c>
      <c r="T140" s="105" t="s">
        <v>672</v>
      </c>
      <c r="U140" s="105" t="b">
        <v>1</v>
      </c>
      <c r="V140" s="105" t="s">
        <v>673</v>
      </c>
      <c r="W140" s="105" t="s">
        <v>674</v>
      </c>
      <c r="X140" s="105">
        <v>6</v>
      </c>
      <c r="Y140" s="105" t="b">
        <v>1</v>
      </c>
      <c r="Z140" s="105" t="s">
        <v>675</v>
      </c>
      <c r="AA140" s="105" t="s">
        <v>676</v>
      </c>
      <c r="AB140" s="105" t="s">
        <v>677</v>
      </c>
      <c r="AC140" s="105">
        <v>0</v>
      </c>
      <c r="AD140" s="105" t="s">
        <v>678</v>
      </c>
      <c r="AE140" s="105">
        <v>8</v>
      </c>
      <c r="AF140" s="105" t="s">
        <v>679</v>
      </c>
      <c r="AG140" s="105">
        <v>273671.09100000001</v>
      </c>
      <c r="AH140" s="105" t="b">
        <v>1</v>
      </c>
      <c r="AI140" s="105">
        <v>-1</v>
      </c>
      <c r="AJ140" s="105" t="s">
        <v>680</v>
      </c>
      <c r="AK140" s="105">
        <v>0</v>
      </c>
      <c r="AL140" s="105" t="b">
        <v>0</v>
      </c>
      <c r="AM140" s="105">
        <v>273671.09100000001</v>
      </c>
      <c r="AN140" s="105" t="b">
        <v>1</v>
      </c>
      <c r="AO140" s="105">
        <v>0</v>
      </c>
      <c r="AP140" s="105" t="b">
        <v>0</v>
      </c>
      <c r="AQ140" s="105">
        <v>151004.21900000001</v>
      </c>
      <c r="AR140" s="105"/>
      <c r="AS140" s="105">
        <v>151004.21900000001</v>
      </c>
      <c r="AT140" s="105">
        <v>6</v>
      </c>
      <c r="AU140" s="105" t="b">
        <v>1</v>
      </c>
      <c r="AV140" s="105" t="b">
        <v>0</v>
      </c>
    </row>
    <row r="141" spans="1:48">
      <c r="A141" s="105"/>
      <c r="B141" s="105" t="s">
        <v>665</v>
      </c>
      <c r="C141" s="105" t="s">
        <v>666</v>
      </c>
      <c r="D141" s="105">
        <v>20230301</v>
      </c>
      <c r="E141" s="105">
        <v>2023</v>
      </c>
      <c r="F141" s="105">
        <v>3</v>
      </c>
      <c r="G141" s="105" t="s">
        <v>714</v>
      </c>
      <c r="H141" s="105">
        <v>818</v>
      </c>
      <c r="I141" s="105" t="s">
        <v>668</v>
      </c>
      <c r="J141" s="105" t="s">
        <v>57</v>
      </c>
      <c r="K141" s="105" t="s">
        <v>666</v>
      </c>
      <c r="L141" s="105" t="s">
        <v>669</v>
      </c>
      <c r="M141" s="105">
        <v>887</v>
      </c>
      <c r="N141" s="105" t="s">
        <v>686</v>
      </c>
      <c r="O141" s="105" t="s">
        <v>569</v>
      </c>
      <c r="P141" s="105">
        <v>0</v>
      </c>
      <c r="Q141" s="105" t="s">
        <v>670</v>
      </c>
      <c r="R141" s="105" t="s">
        <v>23</v>
      </c>
      <c r="S141" s="105" t="s">
        <v>671</v>
      </c>
      <c r="T141" s="105" t="s">
        <v>672</v>
      </c>
      <c r="U141" s="105" t="b">
        <v>1</v>
      </c>
      <c r="V141" s="105" t="s">
        <v>673</v>
      </c>
      <c r="W141" s="105" t="s">
        <v>674</v>
      </c>
      <c r="X141" s="105">
        <v>6</v>
      </c>
      <c r="Y141" s="105" t="b">
        <v>1</v>
      </c>
      <c r="Z141" s="105" t="s">
        <v>675</v>
      </c>
      <c r="AA141" s="105" t="s">
        <v>676</v>
      </c>
      <c r="AB141" s="105" t="s">
        <v>677</v>
      </c>
      <c r="AC141" s="105">
        <v>0</v>
      </c>
      <c r="AD141" s="105" t="s">
        <v>678</v>
      </c>
      <c r="AE141" s="105">
        <v>8</v>
      </c>
      <c r="AF141" s="105" t="s">
        <v>679</v>
      </c>
      <c r="AG141" s="105">
        <v>3047477.07</v>
      </c>
      <c r="AH141" s="105" t="b">
        <v>1</v>
      </c>
      <c r="AI141" s="105">
        <v>-1</v>
      </c>
      <c r="AJ141" s="105" t="s">
        <v>680</v>
      </c>
      <c r="AK141" s="105">
        <v>0</v>
      </c>
      <c r="AL141" s="105" t="b">
        <v>0</v>
      </c>
      <c r="AM141" s="105">
        <v>3047477.07</v>
      </c>
      <c r="AN141" s="105" t="b">
        <v>1</v>
      </c>
      <c r="AO141" s="105">
        <v>0</v>
      </c>
      <c r="AP141" s="105" t="b">
        <v>0</v>
      </c>
      <c r="AQ141" s="105">
        <v>1681514.453</v>
      </c>
      <c r="AR141" s="105"/>
      <c r="AS141" s="105">
        <v>1681514.453</v>
      </c>
      <c r="AT141" s="105">
        <v>6</v>
      </c>
      <c r="AU141" s="105" t="b">
        <v>1</v>
      </c>
      <c r="AV141" s="105" t="b">
        <v>0</v>
      </c>
    </row>
    <row r="142" spans="1:48">
      <c r="A142" s="105"/>
      <c r="B142" s="105" t="s">
        <v>665</v>
      </c>
      <c r="C142" s="105" t="s">
        <v>666</v>
      </c>
      <c r="D142" s="105">
        <v>20230401</v>
      </c>
      <c r="E142" s="105">
        <v>2023</v>
      </c>
      <c r="F142" s="105">
        <v>4</v>
      </c>
      <c r="G142" s="105" t="s">
        <v>715</v>
      </c>
      <c r="H142" s="105">
        <v>818</v>
      </c>
      <c r="I142" s="105" t="s">
        <v>668</v>
      </c>
      <c r="J142" s="105" t="s">
        <v>57</v>
      </c>
      <c r="K142" s="105" t="s">
        <v>666</v>
      </c>
      <c r="L142" s="105" t="s">
        <v>669</v>
      </c>
      <c r="M142" s="105">
        <v>0</v>
      </c>
      <c r="N142" s="105" t="s">
        <v>670</v>
      </c>
      <c r="O142" s="105" t="s">
        <v>23</v>
      </c>
      <c r="P142" s="105">
        <v>0</v>
      </c>
      <c r="Q142" s="105" t="s">
        <v>670</v>
      </c>
      <c r="R142" s="105" t="s">
        <v>23</v>
      </c>
      <c r="S142" s="105" t="s">
        <v>671</v>
      </c>
      <c r="T142" s="105" t="s">
        <v>672</v>
      </c>
      <c r="U142" s="105" t="b">
        <v>1</v>
      </c>
      <c r="V142" s="105" t="s">
        <v>673</v>
      </c>
      <c r="W142" s="105" t="s">
        <v>674</v>
      </c>
      <c r="X142" s="105">
        <v>6</v>
      </c>
      <c r="Y142" s="105" t="b">
        <v>1</v>
      </c>
      <c r="Z142" s="105" t="s">
        <v>675</v>
      </c>
      <c r="AA142" s="105" t="s">
        <v>676</v>
      </c>
      <c r="AB142" s="105" t="s">
        <v>677</v>
      </c>
      <c r="AC142" s="105">
        <v>0</v>
      </c>
      <c r="AD142" s="105" t="s">
        <v>678</v>
      </c>
      <c r="AE142" s="105">
        <v>8</v>
      </c>
      <c r="AF142" s="105" t="s">
        <v>679</v>
      </c>
      <c r="AG142" s="105">
        <v>919730.348</v>
      </c>
      <c r="AH142" s="105" t="b">
        <v>1</v>
      </c>
      <c r="AI142" s="105">
        <v>-1</v>
      </c>
      <c r="AJ142" s="105" t="s">
        <v>680</v>
      </c>
      <c r="AK142" s="105">
        <v>0</v>
      </c>
      <c r="AL142" s="105" t="b">
        <v>0</v>
      </c>
      <c r="AM142" s="105">
        <v>919730.348</v>
      </c>
      <c r="AN142" s="105" t="b">
        <v>1</v>
      </c>
      <c r="AO142" s="105">
        <v>0</v>
      </c>
      <c r="AP142" s="105" t="b">
        <v>0</v>
      </c>
      <c r="AQ142" s="105">
        <v>507482.038</v>
      </c>
      <c r="AR142" s="105"/>
      <c r="AS142" s="105">
        <v>507482.038</v>
      </c>
      <c r="AT142" s="105">
        <v>6</v>
      </c>
      <c r="AU142" s="105" t="b">
        <v>0</v>
      </c>
      <c r="AV142" s="105" t="b">
        <v>1</v>
      </c>
    </row>
    <row r="143" spans="1:48">
      <c r="A143" s="105"/>
      <c r="B143" s="105" t="s">
        <v>665</v>
      </c>
      <c r="C143" s="105" t="s">
        <v>666</v>
      </c>
      <c r="D143" s="105">
        <v>20230401</v>
      </c>
      <c r="E143" s="105">
        <v>2023</v>
      </c>
      <c r="F143" s="105">
        <v>4</v>
      </c>
      <c r="G143" s="105" t="s">
        <v>715</v>
      </c>
      <c r="H143" s="105">
        <v>818</v>
      </c>
      <c r="I143" s="105" t="s">
        <v>668</v>
      </c>
      <c r="J143" s="105" t="s">
        <v>57</v>
      </c>
      <c r="K143" s="105" t="s">
        <v>666</v>
      </c>
      <c r="L143" s="105" t="s">
        <v>669</v>
      </c>
      <c r="M143" s="105">
        <v>380</v>
      </c>
      <c r="N143" s="105" t="s">
        <v>689</v>
      </c>
      <c r="O143" s="105" t="s">
        <v>71</v>
      </c>
      <c r="P143" s="105">
        <v>0</v>
      </c>
      <c r="Q143" s="105" t="s">
        <v>670</v>
      </c>
      <c r="R143" s="105" t="s">
        <v>23</v>
      </c>
      <c r="S143" s="105" t="s">
        <v>671</v>
      </c>
      <c r="T143" s="105" t="s">
        <v>672</v>
      </c>
      <c r="U143" s="105" t="b">
        <v>1</v>
      </c>
      <c r="V143" s="105" t="s">
        <v>673</v>
      </c>
      <c r="W143" s="105" t="s">
        <v>674</v>
      </c>
      <c r="X143" s="105">
        <v>6</v>
      </c>
      <c r="Y143" s="105" t="b">
        <v>1</v>
      </c>
      <c r="Z143" s="105" t="s">
        <v>675</v>
      </c>
      <c r="AA143" s="105" t="s">
        <v>676</v>
      </c>
      <c r="AB143" s="105" t="s">
        <v>677</v>
      </c>
      <c r="AC143" s="105">
        <v>0</v>
      </c>
      <c r="AD143" s="105" t="s">
        <v>678</v>
      </c>
      <c r="AE143" s="105">
        <v>8</v>
      </c>
      <c r="AF143" s="105" t="s">
        <v>679</v>
      </c>
      <c r="AG143" s="105">
        <v>330125.10700000002</v>
      </c>
      <c r="AH143" s="105" t="b">
        <v>1</v>
      </c>
      <c r="AI143" s="105">
        <v>-1</v>
      </c>
      <c r="AJ143" s="105" t="s">
        <v>680</v>
      </c>
      <c r="AK143" s="105">
        <v>0</v>
      </c>
      <c r="AL143" s="105" t="b">
        <v>0</v>
      </c>
      <c r="AM143" s="105">
        <v>330125.10700000002</v>
      </c>
      <c r="AN143" s="105" t="b">
        <v>1</v>
      </c>
      <c r="AO143" s="105">
        <v>0</v>
      </c>
      <c r="AP143" s="105" t="b">
        <v>0</v>
      </c>
      <c r="AQ143" s="105">
        <v>182154</v>
      </c>
      <c r="AR143" s="105"/>
      <c r="AS143" s="105">
        <v>182154</v>
      </c>
      <c r="AT143" s="105">
        <v>6</v>
      </c>
      <c r="AU143" s="105" t="b">
        <v>1</v>
      </c>
      <c r="AV143" s="105" t="b">
        <v>0</v>
      </c>
    </row>
    <row r="144" spans="1:48">
      <c r="A144" s="105"/>
      <c r="B144" s="105" t="s">
        <v>665</v>
      </c>
      <c r="C144" s="105" t="s">
        <v>666</v>
      </c>
      <c r="D144" s="105">
        <v>20230401</v>
      </c>
      <c r="E144" s="105">
        <v>2023</v>
      </c>
      <c r="F144" s="105">
        <v>4</v>
      </c>
      <c r="G144" s="105" t="s">
        <v>715</v>
      </c>
      <c r="H144" s="105">
        <v>818</v>
      </c>
      <c r="I144" s="105" t="s">
        <v>668</v>
      </c>
      <c r="J144" s="105" t="s">
        <v>57</v>
      </c>
      <c r="K144" s="105" t="s">
        <v>666</v>
      </c>
      <c r="L144" s="105" t="s">
        <v>669</v>
      </c>
      <c r="M144" s="105">
        <v>729</v>
      </c>
      <c r="N144" s="105" t="s">
        <v>707</v>
      </c>
      <c r="O144" s="105" t="s">
        <v>230</v>
      </c>
      <c r="P144" s="105">
        <v>0</v>
      </c>
      <c r="Q144" s="105" t="s">
        <v>670</v>
      </c>
      <c r="R144" s="105" t="s">
        <v>23</v>
      </c>
      <c r="S144" s="105" t="s">
        <v>671</v>
      </c>
      <c r="T144" s="105" t="s">
        <v>672</v>
      </c>
      <c r="U144" s="105" t="b">
        <v>1</v>
      </c>
      <c r="V144" s="105" t="s">
        <v>673</v>
      </c>
      <c r="W144" s="105" t="s">
        <v>674</v>
      </c>
      <c r="X144" s="105">
        <v>6</v>
      </c>
      <c r="Y144" s="105" t="b">
        <v>1</v>
      </c>
      <c r="Z144" s="105" t="s">
        <v>675</v>
      </c>
      <c r="AA144" s="105" t="s">
        <v>676</v>
      </c>
      <c r="AB144" s="105" t="s">
        <v>677</v>
      </c>
      <c r="AC144" s="105">
        <v>0</v>
      </c>
      <c r="AD144" s="105" t="s">
        <v>678</v>
      </c>
      <c r="AE144" s="105">
        <v>8</v>
      </c>
      <c r="AF144" s="105" t="s">
        <v>679</v>
      </c>
      <c r="AG144" s="105">
        <v>226267.111</v>
      </c>
      <c r="AH144" s="105" t="b">
        <v>1</v>
      </c>
      <c r="AI144" s="105">
        <v>-1</v>
      </c>
      <c r="AJ144" s="105" t="s">
        <v>680</v>
      </c>
      <c r="AK144" s="105">
        <v>0</v>
      </c>
      <c r="AL144" s="105" t="b">
        <v>0</v>
      </c>
      <c r="AM144" s="105">
        <v>226267.111</v>
      </c>
      <c r="AN144" s="105" t="b">
        <v>1</v>
      </c>
      <c r="AO144" s="105">
        <v>0</v>
      </c>
      <c r="AP144" s="105" t="b">
        <v>0</v>
      </c>
      <c r="AQ144" s="105">
        <v>124848</v>
      </c>
      <c r="AR144" s="105"/>
      <c r="AS144" s="105">
        <v>124848</v>
      </c>
      <c r="AT144" s="105">
        <v>6</v>
      </c>
      <c r="AU144" s="105" t="b">
        <v>1</v>
      </c>
      <c r="AV144" s="105" t="b">
        <v>0</v>
      </c>
    </row>
    <row r="145" spans="1:48">
      <c r="A145" s="105"/>
      <c r="B145" s="105" t="s">
        <v>665</v>
      </c>
      <c r="C145" s="105" t="s">
        <v>666</v>
      </c>
      <c r="D145" s="105">
        <v>20230401</v>
      </c>
      <c r="E145" s="105">
        <v>2023</v>
      </c>
      <c r="F145" s="105">
        <v>4</v>
      </c>
      <c r="G145" s="105" t="s">
        <v>715</v>
      </c>
      <c r="H145" s="105">
        <v>818</v>
      </c>
      <c r="I145" s="105" t="s">
        <v>668</v>
      </c>
      <c r="J145" s="105" t="s">
        <v>57</v>
      </c>
      <c r="K145" s="105" t="s">
        <v>666</v>
      </c>
      <c r="L145" s="105" t="s">
        <v>669</v>
      </c>
      <c r="M145" s="105">
        <v>842</v>
      </c>
      <c r="N145" s="105" t="s">
        <v>713</v>
      </c>
      <c r="O145" s="105" t="s">
        <v>713</v>
      </c>
      <c r="P145" s="105">
        <v>0</v>
      </c>
      <c r="Q145" s="105" t="s">
        <v>670</v>
      </c>
      <c r="R145" s="105" t="s">
        <v>23</v>
      </c>
      <c r="S145" s="105" t="s">
        <v>671</v>
      </c>
      <c r="T145" s="105" t="s">
        <v>672</v>
      </c>
      <c r="U145" s="105" t="b">
        <v>1</v>
      </c>
      <c r="V145" s="105" t="s">
        <v>673</v>
      </c>
      <c r="W145" s="105" t="s">
        <v>674</v>
      </c>
      <c r="X145" s="105">
        <v>6</v>
      </c>
      <c r="Y145" s="105" t="b">
        <v>1</v>
      </c>
      <c r="Z145" s="105" t="s">
        <v>675</v>
      </c>
      <c r="AA145" s="105" t="s">
        <v>676</v>
      </c>
      <c r="AB145" s="105" t="s">
        <v>677</v>
      </c>
      <c r="AC145" s="105">
        <v>0</v>
      </c>
      <c r="AD145" s="105" t="s">
        <v>678</v>
      </c>
      <c r="AE145" s="105">
        <v>8</v>
      </c>
      <c r="AF145" s="105" t="s">
        <v>679</v>
      </c>
      <c r="AG145" s="105">
        <v>102807.246</v>
      </c>
      <c r="AH145" s="105" t="b">
        <v>1</v>
      </c>
      <c r="AI145" s="105">
        <v>-1</v>
      </c>
      <c r="AJ145" s="105" t="s">
        <v>680</v>
      </c>
      <c r="AK145" s="105">
        <v>0</v>
      </c>
      <c r="AL145" s="105" t="b">
        <v>0</v>
      </c>
      <c r="AM145" s="105">
        <v>102807.246</v>
      </c>
      <c r="AN145" s="105" t="b">
        <v>1</v>
      </c>
      <c r="AO145" s="105">
        <v>0</v>
      </c>
      <c r="AP145" s="105" t="b">
        <v>0</v>
      </c>
      <c r="AQ145" s="105">
        <v>56726.224999999999</v>
      </c>
      <c r="AR145" s="105"/>
      <c r="AS145" s="105">
        <v>56726.224999999999</v>
      </c>
      <c r="AT145" s="105">
        <v>6</v>
      </c>
      <c r="AU145" s="105" t="b">
        <v>1</v>
      </c>
      <c r="AV145" s="105" t="b">
        <v>0</v>
      </c>
    </row>
    <row r="146" spans="1:48">
      <c r="A146" s="105"/>
      <c r="B146" s="105" t="s">
        <v>665</v>
      </c>
      <c r="C146" s="105" t="s">
        <v>666</v>
      </c>
      <c r="D146" s="105">
        <v>20230401</v>
      </c>
      <c r="E146" s="105">
        <v>2023</v>
      </c>
      <c r="F146" s="105">
        <v>4</v>
      </c>
      <c r="G146" s="105" t="s">
        <v>715</v>
      </c>
      <c r="H146" s="105">
        <v>818</v>
      </c>
      <c r="I146" s="105" t="s">
        <v>668</v>
      </c>
      <c r="J146" s="105" t="s">
        <v>57</v>
      </c>
      <c r="K146" s="105" t="s">
        <v>666</v>
      </c>
      <c r="L146" s="105" t="s">
        <v>669</v>
      </c>
      <c r="M146" s="105">
        <v>887</v>
      </c>
      <c r="N146" s="105" t="s">
        <v>686</v>
      </c>
      <c r="O146" s="105" t="s">
        <v>569</v>
      </c>
      <c r="P146" s="105">
        <v>0</v>
      </c>
      <c r="Q146" s="105" t="s">
        <v>670</v>
      </c>
      <c r="R146" s="105" t="s">
        <v>23</v>
      </c>
      <c r="S146" s="105" t="s">
        <v>671</v>
      </c>
      <c r="T146" s="105" t="s">
        <v>672</v>
      </c>
      <c r="U146" s="105" t="b">
        <v>1</v>
      </c>
      <c r="V146" s="105" t="s">
        <v>673</v>
      </c>
      <c r="W146" s="105" t="s">
        <v>674</v>
      </c>
      <c r="X146" s="105">
        <v>6</v>
      </c>
      <c r="Y146" s="105" t="b">
        <v>1</v>
      </c>
      <c r="Z146" s="105" t="s">
        <v>675</v>
      </c>
      <c r="AA146" s="105" t="s">
        <v>676</v>
      </c>
      <c r="AB146" s="105" t="s">
        <v>677</v>
      </c>
      <c r="AC146" s="105">
        <v>0</v>
      </c>
      <c r="AD146" s="105" t="s">
        <v>678</v>
      </c>
      <c r="AE146" s="105">
        <v>8</v>
      </c>
      <c r="AF146" s="105" t="s">
        <v>679</v>
      </c>
      <c r="AG146" s="105">
        <v>260530.88399999999</v>
      </c>
      <c r="AH146" s="105" t="b">
        <v>1</v>
      </c>
      <c r="AI146" s="105">
        <v>-1</v>
      </c>
      <c r="AJ146" s="105" t="s">
        <v>680</v>
      </c>
      <c r="AK146" s="105">
        <v>0</v>
      </c>
      <c r="AL146" s="105" t="b">
        <v>0</v>
      </c>
      <c r="AM146" s="105">
        <v>260530.88399999999</v>
      </c>
      <c r="AN146" s="105" t="b">
        <v>1</v>
      </c>
      <c r="AO146" s="105">
        <v>0</v>
      </c>
      <c r="AP146" s="105" t="b">
        <v>0</v>
      </c>
      <c r="AQ146" s="105">
        <v>143753.81299999999</v>
      </c>
      <c r="AR146" s="105"/>
      <c r="AS146" s="105">
        <v>143753.81299999999</v>
      </c>
      <c r="AT146" s="105">
        <v>6</v>
      </c>
      <c r="AU146" s="105" t="b">
        <v>1</v>
      </c>
      <c r="AV146" s="105" t="b">
        <v>0</v>
      </c>
    </row>
    <row r="147" spans="1:48">
      <c r="A147" s="105"/>
      <c r="B147" s="105" t="s">
        <v>665</v>
      </c>
      <c r="C147" s="105" t="s">
        <v>666</v>
      </c>
      <c r="D147" s="105">
        <v>20230501</v>
      </c>
      <c r="E147" s="105">
        <v>2023</v>
      </c>
      <c r="F147" s="105">
        <v>5</v>
      </c>
      <c r="G147" s="105" t="s">
        <v>716</v>
      </c>
      <c r="H147" s="105">
        <v>818</v>
      </c>
      <c r="I147" s="105" t="s">
        <v>668</v>
      </c>
      <c r="J147" s="105" t="s">
        <v>57</v>
      </c>
      <c r="K147" s="105" t="s">
        <v>666</v>
      </c>
      <c r="L147" s="105" t="s">
        <v>669</v>
      </c>
      <c r="M147" s="105">
        <v>0</v>
      </c>
      <c r="N147" s="105" t="s">
        <v>670</v>
      </c>
      <c r="O147" s="105" t="s">
        <v>23</v>
      </c>
      <c r="P147" s="105">
        <v>0</v>
      </c>
      <c r="Q147" s="105" t="s">
        <v>670</v>
      </c>
      <c r="R147" s="105" t="s">
        <v>23</v>
      </c>
      <c r="S147" s="105" t="s">
        <v>671</v>
      </c>
      <c r="T147" s="105" t="s">
        <v>672</v>
      </c>
      <c r="U147" s="105" t="b">
        <v>1</v>
      </c>
      <c r="V147" s="105" t="s">
        <v>673</v>
      </c>
      <c r="W147" s="105" t="s">
        <v>674</v>
      </c>
      <c r="X147" s="105">
        <v>6</v>
      </c>
      <c r="Y147" s="105" t="b">
        <v>1</v>
      </c>
      <c r="Z147" s="105" t="s">
        <v>675</v>
      </c>
      <c r="AA147" s="105" t="s">
        <v>676</v>
      </c>
      <c r="AB147" s="105" t="s">
        <v>677</v>
      </c>
      <c r="AC147" s="105">
        <v>0</v>
      </c>
      <c r="AD147" s="105" t="s">
        <v>678</v>
      </c>
      <c r="AE147" s="105">
        <v>8</v>
      </c>
      <c r="AF147" s="105" t="s">
        <v>679</v>
      </c>
      <c r="AG147" s="105">
        <v>917489.11499999999</v>
      </c>
      <c r="AH147" s="105" t="b">
        <v>1</v>
      </c>
      <c r="AI147" s="105">
        <v>-1</v>
      </c>
      <c r="AJ147" s="105" t="s">
        <v>680</v>
      </c>
      <c r="AK147" s="105">
        <v>0</v>
      </c>
      <c r="AL147" s="105" t="b">
        <v>0</v>
      </c>
      <c r="AM147" s="105">
        <v>917489.11499999999</v>
      </c>
      <c r="AN147" s="105" t="b">
        <v>1</v>
      </c>
      <c r="AO147" s="105">
        <v>0</v>
      </c>
      <c r="AP147" s="105" t="b">
        <v>0</v>
      </c>
      <c r="AQ147" s="105">
        <v>506245.38699999999</v>
      </c>
      <c r="AR147" s="105"/>
      <c r="AS147" s="105">
        <v>506245.38699999999</v>
      </c>
      <c r="AT147" s="105">
        <v>6</v>
      </c>
      <c r="AU147" s="105" t="b">
        <v>0</v>
      </c>
      <c r="AV147" s="105" t="b">
        <v>1</v>
      </c>
    </row>
    <row r="148" spans="1:48">
      <c r="A148" s="105"/>
      <c r="B148" s="105" t="s">
        <v>665</v>
      </c>
      <c r="C148" s="105" t="s">
        <v>666</v>
      </c>
      <c r="D148" s="105">
        <v>20230501</v>
      </c>
      <c r="E148" s="105">
        <v>2023</v>
      </c>
      <c r="F148" s="105">
        <v>5</v>
      </c>
      <c r="G148" s="105" t="s">
        <v>716</v>
      </c>
      <c r="H148" s="105">
        <v>818</v>
      </c>
      <c r="I148" s="105" t="s">
        <v>668</v>
      </c>
      <c r="J148" s="105" t="s">
        <v>57</v>
      </c>
      <c r="K148" s="105" t="s">
        <v>666</v>
      </c>
      <c r="L148" s="105" t="s">
        <v>669</v>
      </c>
      <c r="M148" s="105">
        <v>528</v>
      </c>
      <c r="N148" s="105" t="s">
        <v>698</v>
      </c>
      <c r="O148" s="105" t="s">
        <v>60</v>
      </c>
      <c r="P148" s="105">
        <v>0</v>
      </c>
      <c r="Q148" s="105" t="s">
        <v>670</v>
      </c>
      <c r="R148" s="105" t="s">
        <v>23</v>
      </c>
      <c r="S148" s="105" t="s">
        <v>671</v>
      </c>
      <c r="T148" s="105" t="s">
        <v>672</v>
      </c>
      <c r="U148" s="105" t="b">
        <v>1</v>
      </c>
      <c r="V148" s="105" t="s">
        <v>673</v>
      </c>
      <c r="W148" s="105" t="s">
        <v>674</v>
      </c>
      <c r="X148" s="105">
        <v>6</v>
      </c>
      <c r="Y148" s="105" t="b">
        <v>1</v>
      </c>
      <c r="Z148" s="105" t="s">
        <v>675</v>
      </c>
      <c r="AA148" s="105" t="s">
        <v>676</v>
      </c>
      <c r="AB148" s="105" t="s">
        <v>677</v>
      </c>
      <c r="AC148" s="105">
        <v>0</v>
      </c>
      <c r="AD148" s="105" t="s">
        <v>678</v>
      </c>
      <c r="AE148" s="105">
        <v>8</v>
      </c>
      <c r="AF148" s="105" t="s">
        <v>679</v>
      </c>
      <c r="AG148" s="105">
        <v>193929.774</v>
      </c>
      <c r="AH148" s="105" t="b">
        <v>1</v>
      </c>
      <c r="AI148" s="105">
        <v>-1</v>
      </c>
      <c r="AJ148" s="105" t="s">
        <v>680</v>
      </c>
      <c r="AK148" s="105">
        <v>0</v>
      </c>
      <c r="AL148" s="105" t="b">
        <v>0</v>
      </c>
      <c r="AM148" s="105">
        <v>193929.774</v>
      </c>
      <c r="AN148" s="105" t="b">
        <v>1</v>
      </c>
      <c r="AO148" s="105">
        <v>0</v>
      </c>
      <c r="AP148" s="105" t="b">
        <v>0</v>
      </c>
      <c r="AQ148" s="105">
        <v>107005.143</v>
      </c>
      <c r="AR148" s="105"/>
      <c r="AS148" s="105">
        <v>107005.143</v>
      </c>
      <c r="AT148" s="105">
        <v>6</v>
      </c>
      <c r="AU148" s="105" t="b">
        <v>1</v>
      </c>
      <c r="AV148" s="105" t="b">
        <v>0</v>
      </c>
    </row>
    <row r="149" spans="1:48">
      <c r="A149" s="105"/>
      <c r="B149" s="105" t="s">
        <v>665</v>
      </c>
      <c r="C149" s="105" t="s">
        <v>666</v>
      </c>
      <c r="D149" s="105">
        <v>20230501</v>
      </c>
      <c r="E149" s="105">
        <v>2023</v>
      </c>
      <c r="F149" s="105">
        <v>5</v>
      </c>
      <c r="G149" s="105" t="s">
        <v>716</v>
      </c>
      <c r="H149" s="105">
        <v>818</v>
      </c>
      <c r="I149" s="105" t="s">
        <v>668</v>
      </c>
      <c r="J149" s="105" t="s">
        <v>57</v>
      </c>
      <c r="K149" s="105" t="s">
        <v>666</v>
      </c>
      <c r="L149" s="105" t="s">
        <v>669</v>
      </c>
      <c r="M149" s="105">
        <v>724</v>
      </c>
      <c r="N149" s="105" t="s">
        <v>684</v>
      </c>
      <c r="O149" s="105" t="s">
        <v>51</v>
      </c>
      <c r="P149" s="105">
        <v>0</v>
      </c>
      <c r="Q149" s="105" t="s">
        <v>670</v>
      </c>
      <c r="R149" s="105" t="s">
        <v>23</v>
      </c>
      <c r="S149" s="105" t="s">
        <v>671</v>
      </c>
      <c r="T149" s="105" t="s">
        <v>672</v>
      </c>
      <c r="U149" s="105" t="b">
        <v>1</v>
      </c>
      <c r="V149" s="105" t="s">
        <v>673</v>
      </c>
      <c r="W149" s="105" t="s">
        <v>674</v>
      </c>
      <c r="X149" s="105">
        <v>6</v>
      </c>
      <c r="Y149" s="105" t="b">
        <v>1</v>
      </c>
      <c r="Z149" s="105" t="s">
        <v>675</v>
      </c>
      <c r="AA149" s="105" t="s">
        <v>676</v>
      </c>
      <c r="AB149" s="105" t="s">
        <v>677</v>
      </c>
      <c r="AC149" s="105">
        <v>0</v>
      </c>
      <c r="AD149" s="105" t="s">
        <v>678</v>
      </c>
      <c r="AE149" s="105">
        <v>8</v>
      </c>
      <c r="AF149" s="105" t="s">
        <v>679</v>
      </c>
      <c r="AG149" s="105">
        <v>203353.378</v>
      </c>
      <c r="AH149" s="105" t="b">
        <v>1</v>
      </c>
      <c r="AI149" s="105">
        <v>-1</v>
      </c>
      <c r="AJ149" s="105" t="s">
        <v>680</v>
      </c>
      <c r="AK149" s="105">
        <v>0</v>
      </c>
      <c r="AL149" s="105" t="b">
        <v>0</v>
      </c>
      <c r="AM149" s="105">
        <v>203353.378</v>
      </c>
      <c r="AN149" s="105" t="b">
        <v>1</v>
      </c>
      <c r="AO149" s="105">
        <v>0</v>
      </c>
      <c r="AP149" s="105" t="b">
        <v>0</v>
      </c>
      <c r="AQ149" s="105">
        <v>112204.829</v>
      </c>
      <c r="AR149" s="105"/>
      <c r="AS149" s="105">
        <v>112204.829</v>
      </c>
      <c r="AT149" s="105">
        <v>6</v>
      </c>
      <c r="AU149" s="105" t="b">
        <v>1</v>
      </c>
      <c r="AV149" s="105" t="b">
        <v>0</v>
      </c>
    </row>
    <row r="150" spans="1:48">
      <c r="A150" s="105"/>
      <c r="B150" s="105" t="s">
        <v>665</v>
      </c>
      <c r="C150" s="105" t="s">
        <v>666</v>
      </c>
      <c r="D150" s="105">
        <v>20230501</v>
      </c>
      <c r="E150" s="105">
        <v>2023</v>
      </c>
      <c r="F150" s="105">
        <v>5</v>
      </c>
      <c r="G150" s="105" t="s">
        <v>716</v>
      </c>
      <c r="H150" s="105">
        <v>818</v>
      </c>
      <c r="I150" s="105" t="s">
        <v>668</v>
      </c>
      <c r="J150" s="105" t="s">
        <v>57</v>
      </c>
      <c r="K150" s="105" t="s">
        <v>666</v>
      </c>
      <c r="L150" s="105" t="s">
        <v>669</v>
      </c>
      <c r="M150" s="105">
        <v>792</v>
      </c>
      <c r="N150" s="105" t="s">
        <v>691</v>
      </c>
      <c r="O150" s="105" t="s">
        <v>63</v>
      </c>
      <c r="P150" s="105">
        <v>0</v>
      </c>
      <c r="Q150" s="105" t="s">
        <v>670</v>
      </c>
      <c r="R150" s="105" t="s">
        <v>23</v>
      </c>
      <c r="S150" s="105" t="s">
        <v>671</v>
      </c>
      <c r="T150" s="105" t="s">
        <v>672</v>
      </c>
      <c r="U150" s="105" t="b">
        <v>1</v>
      </c>
      <c r="V150" s="105" t="s">
        <v>673</v>
      </c>
      <c r="W150" s="105" t="s">
        <v>674</v>
      </c>
      <c r="X150" s="105">
        <v>6</v>
      </c>
      <c r="Y150" s="105" t="b">
        <v>1</v>
      </c>
      <c r="Z150" s="105" t="s">
        <v>675</v>
      </c>
      <c r="AA150" s="105" t="s">
        <v>676</v>
      </c>
      <c r="AB150" s="105" t="s">
        <v>677</v>
      </c>
      <c r="AC150" s="105">
        <v>0</v>
      </c>
      <c r="AD150" s="105" t="s">
        <v>678</v>
      </c>
      <c r="AE150" s="105">
        <v>8</v>
      </c>
      <c r="AF150" s="105" t="s">
        <v>679</v>
      </c>
      <c r="AG150" s="105">
        <v>190766.103</v>
      </c>
      <c r="AH150" s="105" t="b">
        <v>1</v>
      </c>
      <c r="AI150" s="105">
        <v>-1</v>
      </c>
      <c r="AJ150" s="105" t="s">
        <v>680</v>
      </c>
      <c r="AK150" s="105">
        <v>0</v>
      </c>
      <c r="AL150" s="105" t="b">
        <v>0</v>
      </c>
      <c r="AM150" s="105">
        <v>190766.103</v>
      </c>
      <c r="AN150" s="105" t="b">
        <v>1</v>
      </c>
      <c r="AO150" s="105">
        <v>0</v>
      </c>
      <c r="AP150" s="105" t="b">
        <v>0</v>
      </c>
      <c r="AQ150" s="105">
        <v>105259.516</v>
      </c>
      <c r="AR150" s="105"/>
      <c r="AS150" s="105">
        <v>105259.516</v>
      </c>
      <c r="AT150" s="105">
        <v>6</v>
      </c>
      <c r="AU150" s="105" t="b">
        <v>1</v>
      </c>
      <c r="AV150" s="105" t="b">
        <v>0</v>
      </c>
    </row>
    <row r="151" spans="1:48">
      <c r="A151" s="105"/>
      <c r="B151" s="105" t="s">
        <v>665</v>
      </c>
      <c r="C151" s="105" t="s">
        <v>666</v>
      </c>
      <c r="D151" s="105">
        <v>20230501</v>
      </c>
      <c r="E151" s="105">
        <v>2023</v>
      </c>
      <c r="F151" s="105">
        <v>5</v>
      </c>
      <c r="G151" s="105" t="s">
        <v>716</v>
      </c>
      <c r="H151" s="105">
        <v>818</v>
      </c>
      <c r="I151" s="105" t="s">
        <v>668</v>
      </c>
      <c r="J151" s="105" t="s">
        <v>57</v>
      </c>
      <c r="K151" s="105" t="s">
        <v>666</v>
      </c>
      <c r="L151" s="105" t="s">
        <v>669</v>
      </c>
      <c r="M151" s="105">
        <v>842</v>
      </c>
      <c r="N151" s="105" t="s">
        <v>713</v>
      </c>
      <c r="O151" s="105" t="s">
        <v>713</v>
      </c>
      <c r="P151" s="105">
        <v>0</v>
      </c>
      <c r="Q151" s="105" t="s">
        <v>670</v>
      </c>
      <c r="R151" s="105" t="s">
        <v>23</v>
      </c>
      <c r="S151" s="105" t="s">
        <v>671</v>
      </c>
      <c r="T151" s="105" t="s">
        <v>672</v>
      </c>
      <c r="U151" s="105" t="b">
        <v>1</v>
      </c>
      <c r="V151" s="105" t="s">
        <v>673</v>
      </c>
      <c r="W151" s="105" t="s">
        <v>674</v>
      </c>
      <c r="X151" s="105">
        <v>6</v>
      </c>
      <c r="Y151" s="105" t="b">
        <v>1</v>
      </c>
      <c r="Z151" s="105" t="s">
        <v>675</v>
      </c>
      <c r="AA151" s="105" t="s">
        <v>676</v>
      </c>
      <c r="AB151" s="105" t="s">
        <v>677</v>
      </c>
      <c r="AC151" s="105">
        <v>0</v>
      </c>
      <c r="AD151" s="105" t="s">
        <v>678</v>
      </c>
      <c r="AE151" s="105">
        <v>8</v>
      </c>
      <c r="AF151" s="105" t="s">
        <v>679</v>
      </c>
      <c r="AG151" s="105">
        <v>83545.524000000005</v>
      </c>
      <c r="AH151" s="105" t="b">
        <v>1</v>
      </c>
      <c r="AI151" s="105">
        <v>-1</v>
      </c>
      <c r="AJ151" s="105" t="s">
        <v>680</v>
      </c>
      <c r="AK151" s="105">
        <v>0</v>
      </c>
      <c r="AL151" s="105" t="b">
        <v>0</v>
      </c>
      <c r="AM151" s="105">
        <v>83545.524000000005</v>
      </c>
      <c r="AN151" s="105" t="b">
        <v>1</v>
      </c>
      <c r="AO151" s="105">
        <v>0</v>
      </c>
      <c r="AP151" s="105" t="b">
        <v>0</v>
      </c>
      <c r="AQ151" s="105">
        <v>46098.133999999998</v>
      </c>
      <c r="AR151" s="105"/>
      <c r="AS151" s="105">
        <v>46098.133999999998</v>
      </c>
      <c r="AT151" s="105">
        <v>6</v>
      </c>
      <c r="AU151" s="105" t="b">
        <v>1</v>
      </c>
      <c r="AV151" s="105" t="b">
        <v>0</v>
      </c>
    </row>
    <row r="152" spans="1:48">
      <c r="A152" s="105"/>
      <c r="B152" s="105" t="s">
        <v>665</v>
      </c>
      <c r="C152" s="105" t="s">
        <v>666</v>
      </c>
      <c r="D152" s="105">
        <v>20230501</v>
      </c>
      <c r="E152" s="105">
        <v>2023</v>
      </c>
      <c r="F152" s="105">
        <v>5</v>
      </c>
      <c r="G152" s="105" t="s">
        <v>716</v>
      </c>
      <c r="H152" s="105">
        <v>818</v>
      </c>
      <c r="I152" s="105" t="s">
        <v>668</v>
      </c>
      <c r="J152" s="105" t="s">
        <v>57</v>
      </c>
      <c r="K152" s="105" t="s">
        <v>666</v>
      </c>
      <c r="L152" s="105" t="s">
        <v>669</v>
      </c>
      <c r="M152" s="105">
        <v>887</v>
      </c>
      <c r="N152" s="105" t="s">
        <v>686</v>
      </c>
      <c r="O152" s="105" t="s">
        <v>569</v>
      </c>
      <c r="P152" s="105">
        <v>0</v>
      </c>
      <c r="Q152" s="105" t="s">
        <v>670</v>
      </c>
      <c r="R152" s="105" t="s">
        <v>23</v>
      </c>
      <c r="S152" s="105" t="s">
        <v>671</v>
      </c>
      <c r="T152" s="105" t="s">
        <v>672</v>
      </c>
      <c r="U152" s="105" t="b">
        <v>1</v>
      </c>
      <c r="V152" s="105" t="s">
        <v>673</v>
      </c>
      <c r="W152" s="105" t="s">
        <v>674</v>
      </c>
      <c r="X152" s="105">
        <v>6</v>
      </c>
      <c r="Y152" s="105" t="b">
        <v>1</v>
      </c>
      <c r="Z152" s="105" t="s">
        <v>675</v>
      </c>
      <c r="AA152" s="105" t="s">
        <v>676</v>
      </c>
      <c r="AB152" s="105" t="s">
        <v>677</v>
      </c>
      <c r="AC152" s="105">
        <v>0</v>
      </c>
      <c r="AD152" s="105" t="s">
        <v>678</v>
      </c>
      <c r="AE152" s="105">
        <v>8</v>
      </c>
      <c r="AF152" s="105" t="s">
        <v>679</v>
      </c>
      <c r="AG152" s="105">
        <v>245894.33600000001</v>
      </c>
      <c r="AH152" s="105" t="b">
        <v>1</v>
      </c>
      <c r="AI152" s="105">
        <v>-1</v>
      </c>
      <c r="AJ152" s="105" t="s">
        <v>680</v>
      </c>
      <c r="AK152" s="105">
        <v>0</v>
      </c>
      <c r="AL152" s="105" t="b">
        <v>0</v>
      </c>
      <c r="AM152" s="105">
        <v>245894.33600000001</v>
      </c>
      <c r="AN152" s="105" t="b">
        <v>1</v>
      </c>
      <c r="AO152" s="105">
        <v>0</v>
      </c>
      <c r="AP152" s="105" t="b">
        <v>0</v>
      </c>
      <c r="AQ152" s="105">
        <v>135677.766</v>
      </c>
      <c r="AR152" s="105"/>
      <c r="AS152" s="105">
        <v>135677.766</v>
      </c>
      <c r="AT152" s="105">
        <v>6</v>
      </c>
      <c r="AU152" s="105" t="b">
        <v>1</v>
      </c>
      <c r="AV152" s="105" t="b">
        <v>0</v>
      </c>
    </row>
    <row r="153" spans="1:48">
      <c r="A153" s="105"/>
      <c r="B153" s="105" t="s">
        <v>665</v>
      </c>
      <c r="C153" s="105" t="s">
        <v>666</v>
      </c>
      <c r="D153" s="105">
        <v>20230601</v>
      </c>
      <c r="E153" s="105">
        <v>2023</v>
      </c>
      <c r="F153" s="105">
        <v>6</v>
      </c>
      <c r="G153" s="105" t="s">
        <v>717</v>
      </c>
      <c r="H153" s="105">
        <v>818</v>
      </c>
      <c r="I153" s="105" t="s">
        <v>668</v>
      </c>
      <c r="J153" s="105" t="s">
        <v>57</v>
      </c>
      <c r="K153" s="105" t="s">
        <v>666</v>
      </c>
      <c r="L153" s="105" t="s">
        <v>669</v>
      </c>
      <c r="M153" s="105">
        <v>0</v>
      </c>
      <c r="N153" s="105" t="s">
        <v>670</v>
      </c>
      <c r="O153" s="105" t="s">
        <v>23</v>
      </c>
      <c r="P153" s="105">
        <v>0</v>
      </c>
      <c r="Q153" s="105" t="s">
        <v>670</v>
      </c>
      <c r="R153" s="105" t="s">
        <v>23</v>
      </c>
      <c r="S153" s="105" t="s">
        <v>671</v>
      </c>
      <c r="T153" s="105" t="s">
        <v>672</v>
      </c>
      <c r="U153" s="105" t="b">
        <v>1</v>
      </c>
      <c r="V153" s="105" t="s">
        <v>673</v>
      </c>
      <c r="W153" s="105" t="s">
        <v>674</v>
      </c>
      <c r="X153" s="105">
        <v>6</v>
      </c>
      <c r="Y153" s="105" t="b">
        <v>1</v>
      </c>
      <c r="Z153" s="105" t="s">
        <v>675</v>
      </c>
      <c r="AA153" s="105" t="s">
        <v>676</v>
      </c>
      <c r="AB153" s="105" t="s">
        <v>677</v>
      </c>
      <c r="AC153" s="105">
        <v>0</v>
      </c>
      <c r="AD153" s="105" t="s">
        <v>678</v>
      </c>
      <c r="AE153" s="105">
        <v>8</v>
      </c>
      <c r="AF153" s="105" t="s">
        <v>679</v>
      </c>
      <c r="AG153" s="105">
        <v>815339.41700000002</v>
      </c>
      <c r="AH153" s="105" t="b">
        <v>1</v>
      </c>
      <c r="AI153" s="105">
        <v>-1</v>
      </c>
      <c r="AJ153" s="105" t="s">
        <v>680</v>
      </c>
      <c r="AK153" s="105">
        <v>0</v>
      </c>
      <c r="AL153" s="105" t="b">
        <v>0</v>
      </c>
      <c r="AM153" s="105">
        <v>815339.41700000002</v>
      </c>
      <c r="AN153" s="105" t="b">
        <v>1</v>
      </c>
      <c r="AO153" s="105">
        <v>0</v>
      </c>
      <c r="AP153" s="105" t="b">
        <v>0</v>
      </c>
      <c r="AQ153" s="105">
        <v>449881.97899999999</v>
      </c>
      <c r="AR153" s="105"/>
      <c r="AS153" s="105">
        <v>449881.97899999999</v>
      </c>
      <c r="AT153" s="105">
        <v>6</v>
      </c>
      <c r="AU153" s="105" t="b">
        <v>0</v>
      </c>
      <c r="AV153" s="105" t="b">
        <v>1</v>
      </c>
    </row>
    <row r="154" spans="1:48">
      <c r="A154" s="105"/>
      <c r="B154" s="105" t="s">
        <v>665</v>
      </c>
      <c r="C154" s="105" t="s">
        <v>666</v>
      </c>
      <c r="D154" s="105">
        <v>20230601</v>
      </c>
      <c r="E154" s="105">
        <v>2023</v>
      </c>
      <c r="F154" s="105">
        <v>6</v>
      </c>
      <c r="G154" s="105" t="s">
        <v>717</v>
      </c>
      <c r="H154" s="105">
        <v>818</v>
      </c>
      <c r="I154" s="105" t="s">
        <v>668</v>
      </c>
      <c r="J154" s="105" t="s">
        <v>57</v>
      </c>
      <c r="K154" s="105" t="s">
        <v>666</v>
      </c>
      <c r="L154" s="105" t="s">
        <v>669</v>
      </c>
      <c r="M154" s="105">
        <v>686</v>
      </c>
      <c r="N154" s="105" t="s">
        <v>690</v>
      </c>
      <c r="O154" s="105" t="s">
        <v>232</v>
      </c>
      <c r="P154" s="105">
        <v>0</v>
      </c>
      <c r="Q154" s="105" t="s">
        <v>670</v>
      </c>
      <c r="R154" s="105" t="s">
        <v>23</v>
      </c>
      <c r="S154" s="105" t="s">
        <v>671</v>
      </c>
      <c r="T154" s="105" t="s">
        <v>672</v>
      </c>
      <c r="U154" s="105" t="b">
        <v>1</v>
      </c>
      <c r="V154" s="105" t="s">
        <v>673</v>
      </c>
      <c r="W154" s="105" t="s">
        <v>674</v>
      </c>
      <c r="X154" s="105">
        <v>6</v>
      </c>
      <c r="Y154" s="105" t="b">
        <v>1</v>
      </c>
      <c r="Z154" s="105" t="s">
        <v>675</v>
      </c>
      <c r="AA154" s="105" t="s">
        <v>676</v>
      </c>
      <c r="AB154" s="105" t="s">
        <v>677</v>
      </c>
      <c r="AC154" s="105">
        <v>0</v>
      </c>
      <c r="AD154" s="105" t="s">
        <v>678</v>
      </c>
      <c r="AE154" s="105">
        <v>8</v>
      </c>
      <c r="AF154" s="105" t="s">
        <v>679</v>
      </c>
      <c r="AG154" s="105">
        <v>461301.39199999999</v>
      </c>
      <c r="AH154" s="105" t="b">
        <v>1</v>
      </c>
      <c r="AI154" s="105">
        <v>-1</v>
      </c>
      <c r="AJ154" s="105" t="s">
        <v>680</v>
      </c>
      <c r="AK154" s="105">
        <v>0</v>
      </c>
      <c r="AL154" s="105" t="b">
        <v>0</v>
      </c>
      <c r="AM154" s="105">
        <v>461301.39199999999</v>
      </c>
      <c r="AN154" s="105" t="b">
        <v>1</v>
      </c>
      <c r="AO154" s="105">
        <v>0</v>
      </c>
      <c r="AP154" s="105" t="b">
        <v>0</v>
      </c>
      <c r="AQ154" s="105">
        <v>254533.484</v>
      </c>
      <c r="AR154" s="105"/>
      <c r="AS154" s="105">
        <v>254533.484</v>
      </c>
      <c r="AT154" s="105">
        <v>6</v>
      </c>
      <c r="AU154" s="105" t="b">
        <v>1</v>
      </c>
      <c r="AV154" s="105" t="b">
        <v>0</v>
      </c>
    </row>
    <row r="155" spans="1:48">
      <c r="A155" s="105"/>
      <c r="B155" s="105" t="s">
        <v>665</v>
      </c>
      <c r="C155" s="105" t="s">
        <v>666</v>
      </c>
      <c r="D155" s="105">
        <v>20230601</v>
      </c>
      <c r="E155" s="105">
        <v>2023</v>
      </c>
      <c r="F155" s="105">
        <v>6</v>
      </c>
      <c r="G155" s="105" t="s">
        <v>717</v>
      </c>
      <c r="H155" s="105">
        <v>818</v>
      </c>
      <c r="I155" s="105" t="s">
        <v>668</v>
      </c>
      <c r="J155" s="105" t="s">
        <v>57</v>
      </c>
      <c r="K155" s="105" t="s">
        <v>666</v>
      </c>
      <c r="L155" s="105" t="s">
        <v>669</v>
      </c>
      <c r="M155" s="105">
        <v>724</v>
      </c>
      <c r="N155" s="105" t="s">
        <v>684</v>
      </c>
      <c r="O155" s="105" t="s">
        <v>51</v>
      </c>
      <c r="P155" s="105">
        <v>0</v>
      </c>
      <c r="Q155" s="105" t="s">
        <v>670</v>
      </c>
      <c r="R155" s="105" t="s">
        <v>23</v>
      </c>
      <c r="S155" s="105" t="s">
        <v>671</v>
      </c>
      <c r="T155" s="105" t="s">
        <v>672</v>
      </c>
      <c r="U155" s="105" t="b">
        <v>1</v>
      </c>
      <c r="V155" s="105" t="s">
        <v>673</v>
      </c>
      <c r="W155" s="105" t="s">
        <v>674</v>
      </c>
      <c r="X155" s="105">
        <v>6</v>
      </c>
      <c r="Y155" s="105" t="b">
        <v>1</v>
      </c>
      <c r="Z155" s="105" t="s">
        <v>675</v>
      </c>
      <c r="AA155" s="105" t="s">
        <v>676</v>
      </c>
      <c r="AB155" s="105" t="s">
        <v>677</v>
      </c>
      <c r="AC155" s="105">
        <v>0</v>
      </c>
      <c r="AD155" s="105" t="s">
        <v>678</v>
      </c>
      <c r="AE155" s="105">
        <v>8</v>
      </c>
      <c r="AF155" s="105" t="s">
        <v>679</v>
      </c>
      <c r="AG155" s="105">
        <v>309779.43599999999</v>
      </c>
      <c r="AH155" s="105" t="b">
        <v>1</v>
      </c>
      <c r="AI155" s="105">
        <v>-1</v>
      </c>
      <c r="AJ155" s="105" t="s">
        <v>680</v>
      </c>
      <c r="AK155" s="105">
        <v>0</v>
      </c>
      <c r="AL155" s="105" t="b">
        <v>0</v>
      </c>
      <c r="AM155" s="105">
        <v>309779.43599999999</v>
      </c>
      <c r="AN155" s="105" t="b">
        <v>1</v>
      </c>
      <c r="AO155" s="105">
        <v>0</v>
      </c>
      <c r="AP155" s="105" t="b">
        <v>0</v>
      </c>
      <c r="AQ155" s="105">
        <v>170927.815</v>
      </c>
      <c r="AR155" s="105"/>
      <c r="AS155" s="105">
        <v>170927.815</v>
      </c>
      <c r="AT155" s="105">
        <v>6</v>
      </c>
      <c r="AU155" s="105" t="b">
        <v>1</v>
      </c>
      <c r="AV155" s="105" t="b">
        <v>0</v>
      </c>
    </row>
    <row r="156" spans="1:48">
      <c r="A156" s="105"/>
      <c r="B156" s="105" t="s">
        <v>665</v>
      </c>
      <c r="C156" s="105" t="s">
        <v>666</v>
      </c>
      <c r="D156" s="105">
        <v>20230601</v>
      </c>
      <c r="E156" s="105">
        <v>2023</v>
      </c>
      <c r="F156" s="105">
        <v>6</v>
      </c>
      <c r="G156" s="105" t="s">
        <v>717</v>
      </c>
      <c r="H156" s="105">
        <v>818</v>
      </c>
      <c r="I156" s="105" t="s">
        <v>668</v>
      </c>
      <c r="J156" s="105" t="s">
        <v>57</v>
      </c>
      <c r="K156" s="105" t="s">
        <v>666</v>
      </c>
      <c r="L156" s="105" t="s">
        <v>669</v>
      </c>
      <c r="M156" s="105">
        <v>842</v>
      </c>
      <c r="N156" s="105" t="s">
        <v>713</v>
      </c>
      <c r="O156" s="105" t="s">
        <v>713</v>
      </c>
      <c r="P156" s="105">
        <v>0</v>
      </c>
      <c r="Q156" s="105" t="s">
        <v>670</v>
      </c>
      <c r="R156" s="105" t="s">
        <v>23</v>
      </c>
      <c r="S156" s="105" t="s">
        <v>671</v>
      </c>
      <c r="T156" s="105" t="s">
        <v>672</v>
      </c>
      <c r="U156" s="105" t="b">
        <v>1</v>
      </c>
      <c r="V156" s="105" t="s">
        <v>673</v>
      </c>
      <c r="W156" s="105" t="s">
        <v>674</v>
      </c>
      <c r="X156" s="105">
        <v>6</v>
      </c>
      <c r="Y156" s="105" t="b">
        <v>1</v>
      </c>
      <c r="Z156" s="105" t="s">
        <v>675</v>
      </c>
      <c r="AA156" s="105" t="s">
        <v>676</v>
      </c>
      <c r="AB156" s="105" t="s">
        <v>677</v>
      </c>
      <c r="AC156" s="105">
        <v>0</v>
      </c>
      <c r="AD156" s="105" t="s">
        <v>678</v>
      </c>
      <c r="AE156" s="105">
        <v>8</v>
      </c>
      <c r="AF156" s="105" t="s">
        <v>679</v>
      </c>
      <c r="AG156" s="105">
        <v>44258.59</v>
      </c>
      <c r="AH156" s="105" t="b">
        <v>1</v>
      </c>
      <c r="AI156" s="105">
        <v>-1</v>
      </c>
      <c r="AJ156" s="105" t="s">
        <v>680</v>
      </c>
      <c r="AK156" s="105">
        <v>0</v>
      </c>
      <c r="AL156" s="105" t="b">
        <v>0</v>
      </c>
      <c r="AM156" s="105">
        <v>44258.59</v>
      </c>
      <c r="AN156" s="105" t="b">
        <v>1</v>
      </c>
      <c r="AO156" s="105">
        <v>0</v>
      </c>
      <c r="AP156" s="105" t="b">
        <v>0</v>
      </c>
      <c r="AQ156" s="105">
        <v>24420.679</v>
      </c>
      <c r="AR156" s="105"/>
      <c r="AS156" s="105">
        <v>24420.679</v>
      </c>
      <c r="AT156" s="105">
        <v>6</v>
      </c>
      <c r="AU156" s="105" t="b">
        <v>1</v>
      </c>
      <c r="AV156" s="105" t="b">
        <v>0</v>
      </c>
    </row>
    <row r="157" spans="1:48">
      <c r="A157" s="105" t="s">
        <v>510</v>
      </c>
      <c r="B157" s="105" t="s">
        <v>665</v>
      </c>
      <c r="C157" s="105" t="s">
        <v>666</v>
      </c>
      <c r="D157" s="105">
        <v>20230701</v>
      </c>
      <c r="E157" s="105">
        <v>2023</v>
      </c>
      <c r="F157" s="105">
        <v>7</v>
      </c>
      <c r="G157" s="105" t="s">
        <v>718</v>
      </c>
      <c r="H157" s="105">
        <v>818</v>
      </c>
      <c r="I157" s="105" t="s">
        <v>668</v>
      </c>
      <c r="J157" s="105" t="s">
        <v>57</v>
      </c>
      <c r="K157" s="105" t="s">
        <v>666</v>
      </c>
      <c r="L157" s="105" t="s">
        <v>669</v>
      </c>
      <c r="M157" s="105">
        <v>0</v>
      </c>
      <c r="N157" s="105" t="s">
        <v>670</v>
      </c>
      <c r="O157" s="105" t="s">
        <v>23</v>
      </c>
      <c r="P157" s="105">
        <v>0</v>
      </c>
      <c r="Q157" s="105" t="s">
        <v>670</v>
      </c>
      <c r="R157" s="105" t="s">
        <v>23</v>
      </c>
      <c r="S157" s="105" t="s">
        <v>671</v>
      </c>
      <c r="T157" s="105" t="s">
        <v>672</v>
      </c>
      <c r="U157" s="105" t="b">
        <v>1</v>
      </c>
      <c r="V157" s="105" t="s">
        <v>673</v>
      </c>
      <c r="W157" s="105" t="s">
        <v>674</v>
      </c>
      <c r="X157" s="105">
        <v>6</v>
      </c>
      <c r="Y157" s="105" t="b">
        <v>1</v>
      </c>
      <c r="Z157" s="105" t="s">
        <v>675</v>
      </c>
      <c r="AA157" s="105" t="s">
        <v>676</v>
      </c>
      <c r="AB157" s="105" t="s">
        <v>677</v>
      </c>
      <c r="AC157" s="105">
        <v>0</v>
      </c>
      <c r="AD157" s="105" t="s">
        <v>678</v>
      </c>
      <c r="AE157" s="105">
        <v>8</v>
      </c>
      <c r="AF157" s="105" t="s">
        <v>679</v>
      </c>
      <c r="AG157" s="105">
        <v>1798598.4140000001</v>
      </c>
      <c r="AH157" s="105" t="b">
        <v>1</v>
      </c>
      <c r="AI157" s="105">
        <v>-1</v>
      </c>
      <c r="AJ157" s="105" t="s">
        <v>680</v>
      </c>
      <c r="AK157" s="105">
        <v>0</v>
      </c>
      <c r="AL157" s="105" t="b">
        <v>0</v>
      </c>
      <c r="AM157" s="105">
        <v>1798598.4140000001</v>
      </c>
      <c r="AN157" s="105" t="b">
        <v>1</v>
      </c>
      <c r="AO157" s="105">
        <v>0</v>
      </c>
      <c r="AP157" s="105" t="b">
        <v>0</v>
      </c>
      <c r="AQ157" s="105">
        <v>992417.38699999999</v>
      </c>
      <c r="AR157" s="105"/>
      <c r="AS157" s="105">
        <v>992417.38699999999</v>
      </c>
      <c r="AT157" s="105">
        <v>6</v>
      </c>
      <c r="AU157" s="105" t="b">
        <v>0</v>
      </c>
      <c r="AV157" s="105" t="b">
        <v>1</v>
      </c>
    </row>
    <row r="158" spans="1:48">
      <c r="A158" s="105" t="s">
        <v>510</v>
      </c>
      <c r="B158" s="105" t="s">
        <v>665</v>
      </c>
      <c r="C158" s="105" t="s">
        <v>666</v>
      </c>
      <c r="D158" s="105">
        <v>20230701</v>
      </c>
      <c r="E158" s="105">
        <v>2023</v>
      </c>
      <c r="F158" s="105">
        <v>7</v>
      </c>
      <c r="G158" s="105" t="s">
        <v>718</v>
      </c>
      <c r="H158" s="105">
        <v>818</v>
      </c>
      <c r="I158" s="105" t="s">
        <v>668</v>
      </c>
      <c r="J158" s="105" t="s">
        <v>57</v>
      </c>
      <c r="K158" s="105" t="s">
        <v>666</v>
      </c>
      <c r="L158" s="105" t="s">
        <v>669</v>
      </c>
      <c r="M158" s="105">
        <v>156</v>
      </c>
      <c r="N158" s="105" t="s">
        <v>711</v>
      </c>
      <c r="O158" s="105" t="s">
        <v>29</v>
      </c>
      <c r="P158" s="105">
        <v>0</v>
      </c>
      <c r="Q158" s="105" t="s">
        <v>670</v>
      </c>
      <c r="R158" s="105" t="s">
        <v>23</v>
      </c>
      <c r="S158" s="105" t="s">
        <v>671</v>
      </c>
      <c r="T158" s="105" t="s">
        <v>672</v>
      </c>
      <c r="U158" s="105" t="b">
        <v>1</v>
      </c>
      <c r="V158" s="105" t="s">
        <v>673</v>
      </c>
      <c r="W158" s="105" t="s">
        <v>674</v>
      </c>
      <c r="X158" s="105">
        <v>6</v>
      </c>
      <c r="Y158" s="105" t="b">
        <v>1</v>
      </c>
      <c r="Z158" s="105" t="s">
        <v>675</v>
      </c>
      <c r="AA158" s="105" t="s">
        <v>676</v>
      </c>
      <c r="AB158" s="105" t="s">
        <v>677</v>
      </c>
      <c r="AC158" s="105">
        <v>0</v>
      </c>
      <c r="AD158" s="105" t="s">
        <v>678</v>
      </c>
      <c r="AE158" s="105">
        <v>8</v>
      </c>
      <c r="AF158" s="105" t="s">
        <v>679</v>
      </c>
      <c r="AG158" s="105">
        <v>27166.987000000001</v>
      </c>
      <c r="AH158" s="105" t="b">
        <v>1</v>
      </c>
      <c r="AI158" s="105">
        <v>-1</v>
      </c>
      <c r="AJ158" s="105" t="s">
        <v>680</v>
      </c>
      <c r="AK158" s="105">
        <v>0</v>
      </c>
      <c r="AL158" s="105" t="b">
        <v>0</v>
      </c>
      <c r="AM158" s="105">
        <v>27166.987000000001</v>
      </c>
      <c r="AN158" s="105" t="b">
        <v>1</v>
      </c>
      <c r="AO158" s="105">
        <v>0</v>
      </c>
      <c r="AP158" s="105" t="b">
        <v>0</v>
      </c>
      <c r="AQ158" s="105">
        <v>14990</v>
      </c>
      <c r="AR158" s="105"/>
      <c r="AS158" s="105">
        <v>14990</v>
      </c>
      <c r="AT158" s="105">
        <v>6</v>
      </c>
      <c r="AU158" s="105" t="b">
        <v>1</v>
      </c>
      <c r="AV158" s="105" t="b">
        <v>0</v>
      </c>
    </row>
    <row r="159" spans="1:48">
      <c r="A159" s="105" t="s">
        <v>510</v>
      </c>
      <c r="B159" s="105" t="s">
        <v>665</v>
      </c>
      <c r="C159" s="105" t="s">
        <v>666</v>
      </c>
      <c r="D159" s="105">
        <v>20230701</v>
      </c>
      <c r="E159" s="105">
        <v>2023</v>
      </c>
      <c r="F159" s="105">
        <v>7</v>
      </c>
      <c r="G159" s="105" t="s">
        <v>718</v>
      </c>
      <c r="H159" s="105">
        <v>818</v>
      </c>
      <c r="I159" s="105" t="s">
        <v>668</v>
      </c>
      <c r="J159" s="105" t="s">
        <v>57</v>
      </c>
      <c r="K159" s="105" t="s">
        <v>666</v>
      </c>
      <c r="L159" s="105" t="s">
        <v>669</v>
      </c>
      <c r="M159" s="105">
        <v>300</v>
      </c>
      <c r="N159" s="105" t="s">
        <v>719</v>
      </c>
      <c r="O159" s="105" t="s">
        <v>65</v>
      </c>
      <c r="P159" s="105">
        <v>0</v>
      </c>
      <c r="Q159" s="105" t="s">
        <v>670</v>
      </c>
      <c r="R159" s="105" t="s">
        <v>23</v>
      </c>
      <c r="S159" s="105" t="s">
        <v>671</v>
      </c>
      <c r="T159" s="105" t="s">
        <v>672</v>
      </c>
      <c r="U159" s="105" t="b">
        <v>1</v>
      </c>
      <c r="V159" s="105" t="s">
        <v>673</v>
      </c>
      <c r="W159" s="105" t="s">
        <v>674</v>
      </c>
      <c r="X159" s="105">
        <v>6</v>
      </c>
      <c r="Y159" s="105" t="b">
        <v>1</v>
      </c>
      <c r="Z159" s="105" t="s">
        <v>675</v>
      </c>
      <c r="AA159" s="105" t="s">
        <v>676</v>
      </c>
      <c r="AB159" s="105" t="s">
        <v>677</v>
      </c>
      <c r="AC159" s="105">
        <v>0</v>
      </c>
      <c r="AD159" s="105" t="s">
        <v>678</v>
      </c>
      <c r="AE159" s="105">
        <v>8</v>
      </c>
      <c r="AF159" s="105" t="s">
        <v>679</v>
      </c>
      <c r="AG159" s="105">
        <v>56074.631999999998</v>
      </c>
      <c r="AH159" s="105" t="b">
        <v>1</v>
      </c>
      <c r="AI159" s="105">
        <v>-1</v>
      </c>
      <c r="AJ159" s="105" t="s">
        <v>680</v>
      </c>
      <c r="AK159" s="105">
        <v>0</v>
      </c>
      <c r="AL159" s="105" t="b">
        <v>0</v>
      </c>
      <c r="AM159" s="105">
        <v>56074.631999999998</v>
      </c>
      <c r="AN159" s="105" t="b">
        <v>1</v>
      </c>
      <c r="AO159" s="105">
        <v>0</v>
      </c>
      <c r="AP159" s="105" t="b">
        <v>0</v>
      </c>
      <c r="AQ159" s="105">
        <v>30940.447</v>
      </c>
      <c r="AR159" s="105"/>
      <c r="AS159" s="105">
        <v>30940.447</v>
      </c>
      <c r="AT159" s="105">
        <v>6</v>
      </c>
      <c r="AU159" s="105" t="b">
        <v>1</v>
      </c>
      <c r="AV159" s="105" t="b">
        <v>0</v>
      </c>
    </row>
    <row r="160" spans="1:48">
      <c r="A160" s="105" t="s">
        <v>510</v>
      </c>
      <c r="B160" s="105" t="s">
        <v>665</v>
      </c>
      <c r="C160" s="105" t="s">
        <v>666</v>
      </c>
      <c r="D160" s="105">
        <v>20230701</v>
      </c>
      <c r="E160" s="105">
        <v>2023</v>
      </c>
      <c r="F160" s="105">
        <v>7</v>
      </c>
      <c r="G160" s="105" t="s">
        <v>718</v>
      </c>
      <c r="H160" s="105">
        <v>818</v>
      </c>
      <c r="I160" s="105" t="s">
        <v>668</v>
      </c>
      <c r="J160" s="105" t="s">
        <v>57</v>
      </c>
      <c r="K160" s="105" t="s">
        <v>666</v>
      </c>
      <c r="L160" s="105" t="s">
        <v>669</v>
      </c>
      <c r="M160" s="105">
        <v>380</v>
      </c>
      <c r="N160" s="105" t="s">
        <v>689</v>
      </c>
      <c r="O160" s="105" t="s">
        <v>71</v>
      </c>
      <c r="P160" s="105">
        <v>0</v>
      </c>
      <c r="Q160" s="105" t="s">
        <v>670</v>
      </c>
      <c r="R160" s="105" t="s">
        <v>23</v>
      </c>
      <c r="S160" s="105" t="s">
        <v>671</v>
      </c>
      <c r="T160" s="105" t="s">
        <v>672</v>
      </c>
      <c r="U160" s="105" t="b">
        <v>1</v>
      </c>
      <c r="V160" s="105" t="s">
        <v>673</v>
      </c>
      <c r="W160" s="105" t="s">
        <v>674</v>
      </c>
      <c r="X160" s="105">
        <v>6</v>
      </c>
      <c r="Y160" s="105" t="b">
        <v>1</v>
      </c>
      <c r="Z160" s="105" t="s">
        <v>675</v>
      </c>
      <c r="AA160" s="105" t="s">
        <v>676</v>
      </c>
      <c r="AB160" s="105" t="s">
        <v>677</v>
      </c>
      <c r="AC160" s="105">
        <v>0</v>
      </c>
      <c r="AD160" s="105" t="s">
        <v>678</v>
      </c>
      <c r="AE160" s="105">
        <v>8</v>
      </c>
      <c r="AF160" s="105" t="s">
        <v>679</v>
      </c>
      <c r="AG160" s="105">
        <v>410741.674</v>
      </c>
      <c r="AH160" s="105" t="b">
        <v>1</v>
      </c>
      <c r="AI160" s="105">
        <v>-1</v>
      </c>
      <c r="AJ160" s="105" t="s">
        <v>680</v>
      </c>
      <c r="AK160" s="105">
        <v>0</v>
      </c>
      <c r="AL160" s="105" t="b">
        <v>0</v>
      </c>
      <c r="AM160" s="105">
        <v>410741.674</v>
      </c>
      <c r="AN160" s="105" t="b">
        <v>1</v>
      </c>
      <c r="AO160" s="105">
        <v>0</v>
      </c>
      <c r="AP160" s="105" t="b">
        <v>0</v>
      </c>
      <c r="AQ160" s="105">
        <v>226636.016</v>
      </c>
      <c r="AR160" s="105"/>
      <c r="AS160" s="105">
        <v>226636.016</v>
      </c>
      <c r="AT160" s="105">
        <v>6</v>
      </c>
      <c r="AU160" s="105" t="b">
        <v>1</v>
      </c>
      <c r="AV160" s="105" t="b">
        <v>0</v>
      </c>
    </row>
    <row r="161" spans="1:48">
      <c r="A161" s="105" t="s">
        <v>510</v>
      </c>
      <c r="B161" s="105" t="s">
        <v>665</v>
      </c>
      <c r="C161" s="105" t="s">
        <v>666</v>
      </c>
      <c r="D161" s="105">
        <v>20230701</v>
      </c>
      <c r="E161" s="105">
        <v>2023</v>
      </c>
      <c r="F161" s="105">
        <v>7</v>
      </c>
      <c r="G161" s="105" t="s">
        <v>718</v>
      </c>
      <c r="H161" s="105">
        <v>818</v>
      </c>
      <c r="I161" s="105" t="s">
        <v>668</v>
      </c>
      <c r="J161" s="105" t="s">
        <v>57</v>
      </c>
      <c r="K161" s="105" t="s">
        <v>666</v>
      </c>
      <c r="L161" s="105" t="s">
        <v>669</v>
      </c>
      <c r="M161" s="105">
        <v>528</v>
      </c>
      <c r="N161" s="105" t="s">
        <v>698</v>
      </c>
      <c r="O161" s="105" t="s">
        <v>60</v>
      </c>
      <c r="P161" s="105">
        <v>0</v>
      </c>
      <c r="Q161" s="105" t="s">
        <v>670</v>
      </c>
      <c r="R161" s="105" t="s">
        <v>23</v>
      </c>
      <c r="S161" s="105" t="s">
        <v>671</v>
      </c>
      <c r="T161" s="105" t="s">
        <v>672</v>
      </c>
      <c r="U161" s="105" t="b">
        <v>1</v>
      </c>
      <c r="V161" s="105" t="s">
        <v>673</v>
      </c>
      <c r="W161" s="105" t="s">
        <v>674</v>
      </c>
      <c r="X161" s="105">
        <v>6</v>
      </c>
      <c r="Y161" s="105" t="b">
        <v>1</v>
      </c>
      <c r="Z161" s="105" t="s">
        <v>675</v>
      </c>
      <c r="AA161" s="105" t="s">
        <v>676</v>
      </c>
      <c r="AB161" s="105" t="s">
        <v>677</v>
      </c>
      <c r="AC161" s="105">
        <v>0</v>
      </c>
      <c r="AD161" s="105" t="s">
        <v>678</v>
      </c>
      <c r="AE161" s="105">
        <v>8</v>
      </c>
      <c r="AF161" s="105" t="s">
        <v>679</v>
      </c>
      <c r="AG161" s="105">
        <v>91298.79</v>
      </c>
      <c r="AH161" s="105" t="b">
        <v>1</v>
      </c>
      <c r="AI161" s="105">
        <v>-1</v>
      </c>
      <c r="AJ161" s="105" t="s">
        <v>680</v>
      </c>
      <c r="AK161" s="105">
        <v>0</v>
      </c>
      <c r="AL161" s="105" t="b">
        <v>0</v>
      </c>
      <c r="AM161" s="105">
        <v>91298.79</v>
      </c>
      <c r="AN161" s="105" t="b">
        <v>1</v>
      </c>
      <c r="AO161" s="105">
        <v>0</v>
      </c>
      <c r="AP161" s="105" t="b">
        <v>0</v>
      </c>
      <c r="AQ161" s="105">
        <v>50376.173999999999</v>
      </c>
      <c r="AR161" s="105"/>
      <c r="AS161" s="105">
        <v>50376.173999999999</v>
      </c>
      <c r="AT161" s="105">
        <v>6</v>
      </c>
      <c r="AU161" s="105" t="b">
        <v>1</v>
      </c>
      <c r="AV161" s="105" t="b">
        <v>0</v>
      </c>
    </row>
    <row r="162" spans="1:48">
      <c r="A162" s="105" t="s">
        <v>510</v>
      </c>
      <c r="B162" s="105" t="s">
        <v>665</v>
      </c>
      <c r="C162" s="105" t="s">
        <v>666</v>
      </c>
      <c r="D162" s="105">
        <v>20230701</v>
      </c>
      <c r="E162" s="105">
        <v>2023</v>
      </c>
      <c r="F162" s="105">
        <v>7</v>
      </c>
      <c r="G162" s="105" t="s">
        <v>718</v>
      </c>
      <c r="H162" s="105">
        <v>818</v>
      </c>
      <c r="I162" s="105" t="s">
        <v>668</v>
      </c>
      <c r="J162" s="105" t="s">
        <v>57</v>
      </c>
      <c r="K162" s="105" t="s">
        <v>666</v>
      </c>
      <c r="L162" s="105" t="s">
        <v>669</v>
      </c>
      <c r="M162" s="105">
        <v>887</v>
      </c>
      <c r="N162" s="105" t="s">
        <v>686</v>
      </c>
      <c r="O162" s="105" t="s">
        <v>569</v>
      </c>
      <c r="P162" s="105">
        <v>0</v>
      </c>
      <c r="Q162" s="105" t="s">
        <v>670</v>
      </c>
      <c r="R162" s="105" t="s">
        <v>23</v>
      </c>
      <c r="S162" s="105" t="s">
        <v>671</v>
      </c>
      <c r="T162" s="105" t="s">
        <v>672</v>
      </c>
      <c r="U162" s="105" t="b">
        <v>1</v>
      </c>
      <c r="V162" s="105" t="s">
        <v>673</v>
      </c>
      <c r="W162" s="105" t="s">
        <v>674</v>
      </c>
      <c r="X162" s="105">
        <v>6</v>
      </c>
      <c r="Y162" s="105" t="b">
        <v>1</v>
      </c>
      <c r="Z162" s="105" t="s">
        <v>675</v>
      </c>
      <c r="AA162" s="105" t="s">
        <v>676</v>
      </c>
      <c r="AB162" s="105" t="s">
        <v>677</v>
      </c>
      <c r="AC162" s="105">
        <v>0</v>
      </c>
      <c r="AD162" s="105" t="s">
        <v>678</v>
      </c>
      <c r="AE162" s="105">
        <v>8</v>
      </c>
      <c r="AF162" s="105" t="s">
        <v>679</v>
      </c>
      <c r="AG162" s="105">
        <v>1213316.3319999999</v>
      </c>
      <c r="AH162" s="105" t="b">
        <v>1</v>
      </c>
      <c r="AI162" s="105">
        <v>-1</v>
      </c>
      <c r="AJ162" s="105" t="s">
        <v>680</v>
      </c>
      <c r="AK162" s="105">
        <v>0</v>
      </c>
      <c r="AL162" s="105" t="b">
        <v>0</v>
      </c>
      <c r="AM162" s="105">
        <v>1213316.3319999999</v>
      </c>
      <c r="AN162" s="105" t="b">
        <v>1</v>
      </c>
      <c r="AO162" s="105">
        <v>0</v>
      </c>
      <c r="AP162" s="105" t="b">
        <v>0</v>
      </c>
      <c r="AQ162" s="105">
        <v>669474.75</v>
      </c>
      <c r="AR162" s="105"/>
      <c r="AS162" s="105">
        <v>669474.75</v>
      </c>
      <c r="AT162" s="105">
        <v>6</v>
      </c>
      <c r="AU162" s="105" t="b">
        <v>1</v>
      </c>
      <c r="AV162" s="105" t="b">
        <v>0</v>
      </c>
    </row>
    <row r="163" spans="1:48">
      <c r="A163" s="105" t="s">
        <v>510</v>
      </c>
      <c r="B163" s="105" t="s">
        <v>665</v>
      </c>
      <c r="C163" s="105" t="s">
        <v>666</v>
      </c>
      <c r="D163" s="105">
        <v>20230701</v>
      </c>
      <c r="E163" s="105">
        <v>2023</v>
      </c>
      <c r="F163" s="105">
        <v>7</v>
      </c>
      <c r="G163" s="105" t="s">
        <v>718</v>
      </c>
      <c r="H163" s="105">
        <v>818</v>
      </c>
      <c r="I163" s="105" t="s">
        <v>668</v>
      </c>
      <c r="J163" s="105" t="s">
        <v>57</v>
      </c>
      <c r="K163" s="105" t="s">
        <v>701</v>
      </c>
      <c r="L163" s="105" t="s">
        <v>702</v>
      </c>
      <c r="M163" s="105">
        <v>0</v>
      </c>
      <c r="N163" s="105" t="s">
        <v>670</v>
      </c>
      <c r="O163" s="105" t="s">
        <v>23</v>
      </c>
      <c r="P163" s="105">
        <v>0</v>
      </c>
      <c r="Q163" s="105" t="s">
        <v>670</v>
      </c>
      <c r="R163" s="105" t="s">
        <v>23</v>
      </c>
      <c r="S163" s="105" t="s">
        <v>671</v>
      </c>
      <c r="T163" s="105" t="s">
        <v>672</v>
      </c>
      <c r="U163" s="105" t="b">
        <v>1</v>
      </c>
      <c r="V163" s="105" t="s">
        <v>673</v>
      </c>
      <c r="W163" s="105" t="s">
        <v>674</v>
      </c>
      <c r="X163" s="105">
        <v>6</v>
      </c>
      <c r="Y163" s="105" t="b">
        <v>1</v>
      </c>
      <c r="Z163" s="105" t="s">
        <v>675</v>
      </c>
      <c r="AA163" s="105" t="s">
        <v>676</v>
      </c>
      <c r="AB163" s="105" t="s">
        <v>677</v>
      </c>
      <c r="AC163" s="105">
        <v>0</v>
      </c>
      <c r="AD163" s="105" t="s">
        <v>678</v>
      </c>
      <c r="AE163" s="105">
        <v>-1</v>
      </c>
      <c r="AF163" s="105" t="s">
        <v>680</v>
      </c>
      <c r="AG163" s="105">
        <v>0</v>
      </c>
      <c r="AH163" s="105" t="b">
        <v>0</v>
      </c>
      <c r="AI163" s="105">
        <v>-1</v>
      </c>
      <c r="AJ163" s="105" t="s">
        <v>680</v>
      </c>
      <c r="AK163" s="105">
        <v>0</v>
      </c>
      <c r="AL163" s="105" t="b">
        <v>0</v>
      </c>
      <c r="AM163" s="105"/>
      <c r="AN163" s="105" t="b">
        <v>0</v>
      </c>
      <c r="AO163" s="105">
        <v>0</v>
      </c>
      <c r="AP163" s="105" t="b">
        <v>0</v>
      </c>
      <c r="AQ163" s="105"/>
      <c r="AR163" s="105">
        <v>23370</v>
      </c>
      <c r="AS163" s="105">
        <v>23370</v>
      </c>
      <c r="AT163" s="105">
        <v>0</v>
      </c>
      <c r="AU163" s="105" t="b">
        <v>0</v>
      </c>
      <c r="AV163" s="105" t="b">
        <v>1</v>
      </c>
    </row>
    <row r="164" spans="1:48">
      <c r="A164" s="105" t="s">
        <v>510</v>
      </c>
      <c r="B164" s="105" t="s">
        <v>665</v>
      </c>
      <c r="C164" s="105" t="s">
        <v>666</v>
      </c>
      <c r="D164" s="105">
        <v>20230701</v>
      </c>
      <c r="E164" s="105">
        <v>2023</v>
      </c>
      <c r="F164" s="105">
        <v>7</v>
      </c>
      <c r="G164" s="105" t="s">
        <v>718</v>
      </c>
      <c r="H164" s="105">
        <v>818</v>
      </c>
      <c r="I164" s="105" t="s">
        <v>668</v>
      </c>
      <c r="J164" s="105" t="s">
        <v>57</v>
      </c>
      <c r="K164" s="105" t="s">
        <v>701</v>
      </c>
      <c r="L164" s="105" t="s">
        <v>702</v>
      </c>
      <c r="M164" s="105">
        <v>368</v>
      </c>
      <c r="N164" s="105" t="s">
        <v>720</v>
      </c>
      <c r="O164" s="105" t="s">
        <v>108</v>
      </c>
      <c r="P164" s="105">
        <v>0</v>
      </c>
      <c r="Q164" s="105" t="s">
        <v>670</v>
      </c>
      <c r="R164" s="105" t="s">
        <v>23</v>
      </c>
      <c r="S164" s="105" t="s">
        <v>671</v>
      </c>
      <c r="T164" s="105" t="s">
        <v>672</v>
      </c>
      <c r="U164" s="105" t="b">
        <v>1</v>
      </c>
      <c r="V164" s="105" t="s">
        <v>673</v>
      </c>
      <c r="W164" s="105" t="s">
        <v>674</v>
      </c>
      <c r="X164" s="105">
        <v>6</v>
      </c>
      <c r="Y164" s="105" t="b">
        <v>1</v>
      </c>
      <c r="Z164" s="105" t="s">
        <v>675</v>
      </c>
      <c r="AA164" s="105" t="s">
        <v>676</v>
      </c>
      <c r="AB164" s="105" t="s">
        <v>677</v>
      </c>
      <c r="AC164" s="105">
        <v>0</v>
      </c>
      <c r="AD164" s="105" t="s">
        <v>678</v>
      </c>
      <c r="AE164" s="105">
        <v>-1</v>
      </c>
      <c r="AF164" s="105" t="s">
        <v>680</v>
      </c>
      <c r="AG164" s="105">
        <v>0</v>
      </c>
      <c r="AH164" s="105" t="b">
        <v>0</v>
      </c>
      <c r="AI164" s="105">
        <v>-1</v>
      </c>
      <c r="AJ164" s="105" t="s">
        <v>680</v>
      </c>
      <c r="AK164" s="105">
        <v>0</v>
      </c>
      <c r="AL164" s="105" t="b">
        <v>0</v>
      </c>
      <c r="AM164" s="105"/>
      <c r="AN164" s="105" t="b">
        <v>0</v>
      </c>
      <c r="AO164" s="105">
        <v>0</v>
      </c>
      <c r="AP164" s="105" t="b">
        <v>0</v>
      </c>
      <c r="AQ164" s="105"/>
      <c r="AR164" s="105">
        <v>23370</v>
      </c>
      <c r="AS164" s="105">
        <v>23370</v>
      </c>
      <c r="AT164" s="105">
        <v>0</v>
      </c>
      <c r="AU164" s="105" t="b">
        <v>1</v>
      </c>
      <c r="AV164" s="105" t="b">
        <v>0</v>
      </c>
    </row>
    <row r="165" spans="1:48">
      <c r="A165" s="105" t="s">
        <v>510</v>
      </c>
      <c r="B165" s="105" t="s">
        <v>665</v>
      </c>
      <c r="C165" s="105" t="s">
        <v>666</v>
      </c>
      <c r="D165" s="105">
        <v>20230801</v>
      </c>
      <c r="E165" s="105">
        <v>2023</v>
      </c>
      <c r="F165" s="105">
        <v>8</v>
      </c>
      <c r="G165" s="105" t="s">
        <v>721</v>
      </c>
      <c r="H165" s="105">
        <v>818</v>
      </c>
      <c r="I165" s="105" t="s">
        <v>668</v>
      </c>
      <c r="J165" s="105" t="s">
        <v>57</v>
      </c>
      <c r="K165" s="105" t="s">
        <v>666</v>
      </c>
      <c r="L165" s="105" t="s">
        <v>669</v>
      </c>
      <c r="M165" s="105">
        <v>0</v>
      </c>
      <c r="N165" s="105" t="s">
        <v>670</v>
      </c>
      <c r="O165" s="105" t="s">
        <v>23</v>
      </c>
      <c r="P165" s="105">
        <v>0</v>
      </c>
      <c r="Q165" s="105" t="s">
        <v>670</v>
      </c>
      <c r="R165" s="105" t="s">
        <v>23</v>
      </c>
      <c r="S165" s="105" t="s">
        <v>671</v>
      </c>
      <c r="T165" s="105" t="s">
        <v>672</v>
      </c>
      <c r="U165" s="105" t="b">
        <v>1</v>
      </c>
      <c r="V165" s="105" t="s">
        <v>673</v>
      </c>
      <c r="W165" s="105" t="s">
        <v>674</v>
      </c>
      <c r="X165" s="105">
        <v>6</v>
      </c>
      <c r="Y165" s="105" t="b">
        <v>1</v>
      </c>
      <c r="Z165" s="105" t="s">
        <v>675</v>
      </c>
      <c r="AA165" s="105" t="s">
        <v>676</v>
      </c>
      <c r="AB165" s="105" t="s">
        <v>677</v>
      </c>
      <c r="AC165" s="105">
        <v>0</v>
      </c>
      <c r="AD165" s="105" t="s">
        <v>678</v>
      </c>
      <c r="AE165" s="105">
        <v>8</v>
      </c>
      <c r="AF165" s="105" t="s">
        <v>679</v>
      </c>
      <c r="AG165" s="105">
        <v>1150297.317</v>
      </c>
      <c r="AH165" s="105" t="b">
        <v>1</v>
      </c>
      <c r="AI165" s="105">
        <v>-1</v>
      </c>
      <c r="AJ165" s="105" t="s">
        <v>680</v>
      </c>
      <c r="AK165" s="105">
        <v>0</v>
      </c>
      <c r="AL165" s="105" t="b">
        <v>0</v>
      </c>
      <c r="AM165" s="105">
        <v>1150297.317</v>
      </c>
      <c r="AN165" s="105" t="b">
        <v>1</v>
      </c>
      <c r="AO165" s="105">
        <v>0</v>
      </c>
      <c r="AP165" s="105" t="b">
        <v>0</v>
      </c>
      <c r="AQ165" s="105">
        <v>634702.58200000005</v>
      </c>
      <c r="AR165" s="105"/>
      <c r="AS165" s="105">
        <v>634702.58200000005</v>
      </c>
      <c r="AT165" s="105">
        <v>6</v>
      </c>
      <c r="AU165" s="105" t="b">
        <v>0</v>
      </c>
      <c r="AV165" s="105" t="b">
        <v>1</v>
      </c>
    </row>
    <row r="166" spans="1:48">
      <c r="A166" s="105" t="s">
        <v>510</v>
      </c>
      <c r="B166" s="105" t="s">
        <v>665</v>
      </c>
      <c r="C166" s="105" t="s">
        <v>666</v>
      </c>
      <c r="D166" s="105">
        <v>20230801</v>
      </c>
      <c r="E166" s="105">
        <v>2023</v>
      </c>
      <c r="F166" s="105">
        <v>8</v>
      </c>
      <c r="G166" s="105" t="s">
        <v>721</v>
      </c>
      <c r="H166" s="105">
        <v>818</v>
      </c>
      <c r="I166" s="105" t="s">
        <v>668</v>
      </c>
      <c r="J166" s="105" t="s">
        <v>57</v>
      </c>
      <c r="K166" s="105" t="s">
        <v>666</v>
      </c>
      <c r="L166" s="105" t="s">
        <v>669</v>
      </c>
      <c r="M166" s="105">
        <v>566</v>
      </c>
      <c r="N166" s="105" t="s">
        <v>706</v>
      </c>
      <c r="O166" s="105" t="s">
        <v>52</v>
      </c>
      <c r="P166" s="105">
        <v>0</v>
      </c>
      <c r="Q166" s="105" t="s">
        <v>670</v>
      </c>
      <c r="R166" s="105" t="s">
        <v>23</v>
      </c>
      <c r="S166" s="105" t="s">
        <v>671</v>
      </c>
      <c r="T166" s="105" t="s">
        <v>672</v>
      </c>
      <c r="U166" s="105" t="b">
        <v>1</v>
      </c>
      <c r="V166" s="105" t="s">
        <v>673</v>
      </c>
      <c r="W166" s="105" t="s">
        <v>674</v>
      </c>
      <c r="X166" s="105">
        <v>6</v>
      </c>
      <c r="Y166" s="105" t="b">
        <v>1</v>
      </c>
      <c r="Z166" s="105" t="s">
        <v>675</v>
      </c>
      <c r="AA166" s="105" t="s">
        <v>676</v>
      </c>
      <c r="AB166" s="105" t="s">
        <v>677</v>
      </c>
      <c r="AC166" s="105">
        <v>0</v>
      </c>
      <c r="AD166" s="105" t="s">
        <v>678</v>
      </c>
      <c r="AE166" s="105">
        <v>8</v>
      </c>
      <c r="AF166" s="105" t="s">
        <v>679</v>
      </c>
      <c r="AG166" s="105">
        <v>138642.024</v>
      </c>
      <c r="AH166" s="105" t="b">
        <v>1</v>
      </c>
      <c r="AI166" s="105">
        <v>-1</v>
      </c>
      <c r="AJ166" s="105" t="s">
        <v>680</v>
      </c>
      <c r="AK166" s="105">
        <v>0</v>
      </c>
      <c r="AL166" s="105" t="b">
        <v>0</v>
      </c>
      <c r="AM166" s="105">
        <v>138642.024</v>
      </c>
      <c r="AN166" s="105" t="b">
        <v>1</v>
      </c>
      <c r="AO166" s="105">
        <v>0</v>
      </c>
      <c r="AP166" s="105" t="b">
        <v>0</v>
      </c>
      <c r="AQ166" s="105">
        <v>76498.875</v>
      </c>
      <c r="AR166" s="105"/>
      <c r="AS166" s="105">
        <v>76498.875</v>
      </c>
      <c r="AT166" s="105">
        <v>6</v>
      </c>
      <c r="AU166" s="105" t="b">
        <v>1</v>
      </c>
      <c r="AV166" s="105" t="b">
        <v>0</v>
      </c>
    </row>
    <row r="167" spans="1:48">
      <c r="A167" s="105" t="s">
        <v>510</v>
      </c>
      <c r="B167" s="105" t="s">
        <v>665</v>
      </c>
      <c r="C167" s="105" t="s">
        <v>666</v>
      </c>
      <c r="D167" s="105">
        <v>20230801</v>
      </c>
      <c r="E167" s="105">
        <v>2023</v>
      </c>
      <c r="F167" s="105">
        <v>8</v>
      </c>
      <c r="G167" s="105" t="s">
        <v>721</v>
      </c>
      <c r="H167" s="105">
        <v>818</v>
      </c>
      <c r="I167" s="105" t="s">
        <v>668</v>
      </c>
      <c r="J167" s="105" t="s">
        <v>57</v>
      </c>
      <c r="K167" s="105" t="s">
        <v>666</v>
      </c>
      <c r="L167" s="105" t="s">
        <v>669</v>
      </c>
      <c r="M167" s="105">
        <v>686</v>
      </c>
      <c r="N167" s="105" t="s">
        <v>690</v>
      </c>
      <c r="O167" s="105" t="s">
        <v>232</v>
      </c>
      <c r="P167" s="105">
        <v>0</v>
      </c>
      <c r="Q167" s="105" t="s">
        <v>670</v>
      </c>
      <c r="R167" s="105" t="s">
        <v>23</v>
      </c>
      <c r="S167" s="105" t="s">
        <v>671</v>
      </c>
      <c r="T167" s="105" t="s">
        <v>672</v>
      </c>
      <c r="U167" s="105" t="b">
        <v>1</v>
      </c>
      <c r="V167" s="105" t="s">
        <v>673</v>
      </c>
      <c r="W167" s="105" t="s">
        <v>674</v>
      </c>
      <c r="X167" s="105">
        <v>6</v>
      </c>
      <c r="Y167" s="105" t="b">
        <v>1</v>
      </c>
      <c r="Z167" s="105" t="s">
        <v>675</v>
      </c>
      <c r="AA167" s="105" t="s">
        <v>676</v>
      </c>
      <c r="AB167" s="105" t="s">
        <v>677</v>
      </c>
      <c r="AC167" s="105">
        <v>0</v>
      </c>
      <c r="AD167" s="105" t="s">
        <v>678</v>
      </c>
      <c r="AE167" s="105">
        <v>8</v>
      </c>
      <c r="AF167" s="105" t="s">
        <v>679</v>
      </c>
      <c r="AG167" s="105">
        <v>555376.429</v>
      </c>
      <c r="AH167" s="105" t="b">
        <v>1</v>
      </c>
      <c r="AI167" s="105">
        <v>-1</v>
      </c>
      <c r="AJ167" s="105" t="s">
        <v>680</v>
      </c>
      <c r="AK167" s="105">
        <v>0</v>
      </c>
      <c r="AL167" s="105" t="b">
        <v>0</v>
      </c>
      <c r="AM167" s="105">
        <v>555376.429</v>
      </c>
      <c r="AN167" s="105" t="b">
        <v>1</v>
      </c>
      <c r="AO167" s="105">
        <v>0</v>
      </c>
      <c r="AP167" s="105" t="b">
        <v>0</v>
      </c>
      <c r="AQ167" s="105">
        <v>306441.516</v>
      </c>
      <c r="AR167" s="105"/>
      <c r="AS167" s="105">
        <v>306441.516</v>
      </c>
      <c r="AT167" s="105">
        <v>6</v>
      </c>
      <c r="AU167" s="105" t="b">
        <v>1</v>
      </c>
      <c r="AV167" s="105" t="b">
        <v>0</v>
      </c>
    </row>
    <row r="168" spans="1:48">
      <c r="A168" s="105" t="s">
        <v>510</v>
      </c>
      <c r="B168" s="105" t="s">
        <v>665</v>
      </c>
      <c r="C168" s="105" t="s">
        <v>666</v>
      </c>
      <c r="D168" s="105">
        <v>20230801</v>
      </c>
      <c r="E168" s="105">
        <v>2023</v>
      </c>
      <c r="F168" s="105">
        <v>8</v>
      </c>
      <c r="G168" s="105" t="s">
        <v>721</v>
      </c>
      <c r="H168" s="105">
        <v>818</v>
      </c>
      <c r="I168" s="105" t="s">
        <v>668</v>
      </c>
      <c r="J168" s="105" t="s">
        <v>57</v>
      </c>
      <c r="K168" s="105" t="s">
        <v>666</v>
      </c>
      <c r="L168" s="105" t="s">
        <v>669</v>
      </c>
      <c r="M168" s="105">
        <v>724</v>
      </c>
      <c r="N168" s="105" t="s">
        <v>684</v>
      </c>
      <c r="O168" s="105" t="s">
        <v>51</v>
      </c>
      <c r="P168" s="105">
        <v>0</v>
      </c>
      <c r="Q168" s="105" t="s">
        <v>670</v>
      </c>
      <c r="R168" s="105" t="s">
        <v>23</v>
      </c>
      <c r="S168" s="105" t="s">
        <v>671</v>
      </c>
      <c r="T168" s="105" t="s">
        <v>672</v>
      </c>
      <c r="U168" s="105" t="b">
        <v>1</v>
      </c>
      <c r="V168" s="105" t="s">
        <v>673</v>
      </c>
      <c r="W168" s="105" t="s">
        <v>674</v>
      </c>
      <c r="X168" s="105">
        <v>6</v>
      </c>
      <c r="Y168" s="105" t="b">
        <v>1</v>
      </c>
      <c r="Z168" s="105" t="s">
        <v>675</v>
      </c>
      <c r="AA168" s="105" t="s">
        <v>676</v>
      </c>
      <c r="AB168" s="105" t="s">
        <v>677</v>
      </c>
      <c r="AC168" s="105">
        <v>0</v>
      </c>
      <c r="AD168" s="105" t="s">
        <v>678</v>
      </c>
      <c r="AE168" s="105">
        <v>8</v>
      </c>
      <c r="AF168" s="105" t="s">
        <v>679</v>
      </c>
      <c r="AG168" s="105">
        <v>112718.338</v>
      </c>
      <c r="AH168" s="105" t="b">
        <v>1</v>
      </c>
      <c r="AI168" s="105">
        <v>-1</v>
      </c>
      <c r="AJ168" s="105" t="s">
        <v>680</v>
      </c>
      <c r="AK168" s="105">
        <v>0</v>
      </c>
      <c r="AL168" s="105" t="b">
        <v>0</v>
      </c>
      <c r="AM168" s="105">
        <v>112718.338</v>
      </c>
      <c r="AN168" s="105" t="b">
        <v>1</v>
      </c>
      <c r="AO168" s="105">
        <v>0</v>
      </c>
      <c r="AP168" s="105" t="b">
        <v>0</v>
      </c>
      <c r="AQ168" s="105">
        <v>62194.894999999997</v>
      </c>
      <c r="AR168" s="105"/>
      <c r="AS168" s="105">
        <v>62194.894999999997</v>
      </c>
      <c r="AT168" s="105">
        <v>6</v>
      </c>
      <c r="AU168" s="105" t="b">
        <v>1</v>
      </c>
      <c r="AV168" s="105" t="b">
        <v>0</v>
      </c>
    </row>
    <row r="169" spans="1:48">
      <c r="A169" s="105" t="s">
        <v>510</v>
      </c>
      <c r="B169" s="105" t="s">
        <v>665</v>
      </c>
      <c r="C169" s="105" t="s">
        <v>666</v>
      </c>
      <c r="D169" s="105">
        <v>20230801</v>
      </c>
      <c r="E169" s="105">
        <v>2023</v>
      </c>
      <c r="F169" s="105">
        <v>8</v>
      </c>
      <c r="G169" s="105" t="s">
        <v>721</v>
      </c>
      <c r="H169" s="105">
        <v>818</v>
      </c>
      <c r="I169" s="105" t="s">
        <v>668</v>
      </c>
      <c r="J169" s="105" t="s">
        <v>57</v>
      </c>
      <c r="K169" s="105" t="s">
        <v>666</v>
      </c>
      <c r="L169" s="105" t="s">
        <v>669</v>
      </c>
      <c r="M169" s="105">
        <v>792</v>
      </c>
      <c r="N169" s="105" t="s">
        <v>691</v>
      </c>
      <c r="O169" s="105" t="s">
        <v>63</v>
      </c>
      <c r="P169" s="105">
        <v>0</v>
      </c>
      <c r="Q169" s="105" t="s">
        <v>670</v>
      </c>
      <c r="R169" s="105" t="s">
        <v>23</v>
      </c>
      <c r="S169" s="105" t="s">
        <v>671</v>
      </c>
      <c r="T169" s="105" t="s">
        <v>672</v>
      </c>
      <c r="U169" s="105" t="b">
        <v>1</v>
      </c>
      <c r="V169" s="105" t="s">
        <v>673</v>
      </c>
      <c r="W169" s="105" t="s">
        <v>674</v>
      </c>
      <c r="X169" s="105">
        <v>6</v>
      </c>
      <c r="Y169" s="105" t="b">
        <v>1</v>
      </c>
      <c r="Z169" s="105" t="s">
        <v>675</v>
      </c>
      <c r="AA169" s="105" t="s">
        <v>676</v>
      </c>
      <c r="AB169" s="105" t="s">
        <v>677</v>
      </c>
      <c r="AC169" s="105">
        <v>0</v>
      </c>
      <c r="AD169" s="105" t="s">
        <v>678</v>
      </c>
      <c r="AE169" s="105">
        <v>8</v>
      </c>
      <c r="AF169" s="105" t="s">
        <v>679</v>
      </c>
      <c r="AG169" s="105">
        <v>252442.14600000001</v>
      </c>
      <c r="AH169" s="105" t="b">
        <v>1</v>
      </c>
      <c r="AI169" s="105">
        <v>-1</v>
      </c>
      <c r="AJ169" s="105" t="s">
        <v>680</v>
      </c>
      <c r="AK169" s="105">
        <v>0</v>
      </c>
      <c r="AL169" s="105" t="b">
        <v>0</v>
      </c>
      <c r="AM169" s="105">
        <v>252442.14600000001</v>
      </c>
      <c r="AN169" s="105" t="b">
        <v>1</v>
      </c>
      <c r="AO169" s="105">
        <v>0</v>
      </c>
      <c r="AP169" s="105" t="b">
        <v>0</v>
      </c>
      <c r="AQ169" s="105">
        <v>139290.66800000001</v>
      </c>
      <c r="AR169" s="105"/>
      <c r="AS169" s="105">
        <v>139290.66800000001</v>
      </c>
      <c r="AT169" s="105">
        <v>6</v>
      </c>
      <c r="AU169" s="105" t="b">
        <v>1</v>
      </c>
      <c r="AV169" s="105" t="b">
        <v>0</v>
      </c>
    </row>
    <row r="170" spans="1:48">
      <c r="A170" s="105" t="s">
        <v>510</v>
      </c>
      <c r="B170" s="105" t="s">
        <v>665</v>
      </c>
      <c r="C170" s="105" t="s">
        <v>666</v>
      </c>
      <c r="D170" s="105">
        <v>20230801</v>
      </c>
      <c r="E170" s="105">
        <v>2023</v>
      </c>
      <c r="F170" s="105">
        <v>8</v>
      </c>
      <c r="G170" s="105" t="s">
        <v>721</v>
      </c>
      <c r="H170" s="105">
        <v>818</v>
      </c>
      <c r="I170" s="105" t="s">
        <v>668</v>
      </c>
      <c r="J170" s="105" t="s">
        <v>57</v>
      </c>
      <c r="K170" s="105" t="s">
        <v>666</v>
      </c>
      <c r="L170" s="105" t="s">
        <v>669</v>
      </c>
      <c r="M170" s="105">
        <v>834</v>
      </c>
      <c r="N170" s="105" t="s">
        <v>708</v>
      </c>
      <c r="O170" s="105" t="s">
        <v>709</v>
      </c>
      <c r="P170" s="105">
        <v>0</v>
      </c>
      <c r="Q170" s="105" t="s">
        <v>670</v>
      </c>
      <c r="R170" s="105" t="s">
        <v>23</v>
      </c>
      <c r="S170" s="105" t="s">
        <v>671</v>
      </c>
      <c r="T170" s="105" t="s">
        <v>672</v>
      </c>
      <c r="U170" s="105" t="b">
        <v>1</v>
      </c>
      <c r="V170" s="105" t="s">
        <v>673</v>
      </c>
      <c r="W170" s="105" t="s">
        <v>674</v>
      </c>
      <c r="X170" s="105">
        <v>6</v>
      </c>
      <c r="Y170" s="105" t="b">
        <v>1</v>
      </c>
      <c r="Z170" s="105" t="s">
        <v>675</v>
      </c>
      <c r="AA170" s="105" t="s">
        <v>676</v>
      </c>
      <c r="AB170" s="105" t="s">
        <v>677</v>
      </c>
      <c r="AC170" s="105">
        <v>0</v>
      </c>
      <c r="AD170" s="105" t="s">
        <v>678</v>
      </c>
      <c r="AE170" s="105">
        <v>8</v>
      </c>
      <c r="AF170" s="105" t="s">
        <v>679</v>
      </c>
      <c r="AG170" s="105">
        <v>91118.38</v>
      </c>
      <c r="AH170" s="105" t="b">
        <v>1</v>
      </c>
      <c r="AI170" s="105">
        <v>-1</v>
      </c>
      <c r="AJ170" s="105" t="s">
        <v>680</v>
      </c>
      <c r="AK170" s="105">
        <v>0</v>
      </c>
      <c r="AL170" s="105" t="b">
        <v>0</v>
      </c>
      <c r="AM170" s="105">
        <v>91118.38</v>
      </c>
      <c r="AN170" s="105" t="b">
        <v>1</v>
      </c>
      <c r="AO170" s="105">
        <v>0</v>
      </c>
      <c r="AP170" s="105" t="b">
        <v>0</v>
      </c>
      <c r="AQ170" s="105">
        <v>50276.629000000001</v>
      </c>
      <c r="AR170" s="105"/>
      <c r="AS170" s="105">
        <v>50276.629000000001</v>
      </c>
      <c r="AT170" s="105">
        <v>6</v>
      </c>
      <c r="AU170" s="105" t="b">
        <v>1</v>
      </c>
      <c r="AV170" s="105" t="b">
        <v>0</v>
      </c>
    </row>
    <row r="171" spans="1:48">
      <c r="A171" s="105" t="s">
        <v>510</v>
      </c>
      <c r="B171" s="105" t="s">
        <v>665</v>
      </c>
      <c r="C171" s="105" t="s">
        <v>666</v>
      </c>
      <c r="D171" s="105">
        <v>20230801</v>
      </c>
      <c r="E171" s="105">
        <v>2023</v>
      </c>
      <c r="F171" s="105">
        <v>8</v>
      </c>
      <c r="G171" s="105" t="s">
        <v>721</v>
      </c>
      <c r="H171" s="105">
        <v>818</v>
      </c>
      <c r="I171" s="105" t="s">
        <v>668</v>
      </c>
      <c r="J171" s="105" t="s">
        <v>57</v>
      </c>
      <c r="K171" s="105" t="s">
        <v>701</v>
      </c>
      <c r="L171" s="105" t="s">
        <v>702</v>
      </c>
      <c r="M171" s="105">
        <v>0</v>
      </c>
      <c r="N171" s="105" t="s">
        <v>670</v>
      </c>
      <c r="O171" s="105" t="s">
        <v>23</v>
      </c>
      <c r="P171" s="105">
        <v>0</v>
      </c>
      <c r="Q171" s="105" t="s">
        <v>670</v>
      </c>
      <c r="R171" s="105" t="s">
        <v>23</v>
      </c>
      <c r="S171" s="105" t="s">
        <v>671</v>
      </c>
      <c r="T171" s="105" t="s">
        <v>672</v>
      </c>
      <c r="U171" s="105" t="b">
        <v>1</v>
      </c>
      <c r="V171" s="105" t="s">
        <v>673</v>
      </c>
      <c r="W171" s="105" t="s">
        <v>674</v>
      </c>
      <c r="X171" s="105">
        <v>6</v>
      </c>
      <c r="Y171" s="105" t="b">
        <v>1</v>
      </c>
      <c r="Z171" s="105" t="s">
        <v>675</v>
      </c>
      <c r="AA171" s="105" t="s">
        <v>676</v>
      </c>
      <c r="AB171" s="105" t="s">
        <v>677</v>
      </c>
      <c r="AC171" s="105">
        <v>0</v>
      </c>
      <c r="AD171" s="105" t="s">
        <v>678</v>
      </c>
      <c r="AE171" s="105">
        <v>-1</v>
      </c>
      <c r="AF171" s="105" t="s">
        <v>680</v>
      </c>
      <c r="AG171" s="105">
        <v>0</v>
      </c>
      <c r="AH171" s="105" t="b">
        <v>0</v>
      </c>
      <c r="AI171" s="105">
        <v>-1</v>
      </c>
      <c r="AJ171" s="105" t="s">
        <v>680</v>
      </c>
      <c r="AK171" s="105">
        <v>0</v>
      </c>
      <c r="AL171" s="105" t="b">
        <v>0</v>
      </c>
      <c r="AM171" s="105"/>
      <c r="AN171" s="105" t="b">
        <v>0</v>
      </c>
      <c r="AO171" s="105">
        <v>0</v>
      </c>
      <c r="AP171" s="105" t="b">
        <v>0</v>
      </c>
      <c r="AQ171" s="105"/>
      <c r="AR171" s="105">
        <v>12547</v>
      </c>
      <c r="AS171" s="105">
        <v>12547</v>
      </c>
      <c r="AT171" s="105">
        <v>0</v>
      </c>
      <c r="AU171" s="105" t="b">
        <v>0</v>
      </c>
      <c r="AV171" s="105" t="b">
        <v>1</v>
      </c>
    </row>
    <row r="172" spans="1:48">
      <c r="A172" s="105" t="s">
        <v>510</v>
      </c>
      <c r="B172" s="105" t="s">
        <v>665</v>
      </c>
      <c r="C172" s="105" t="s">
        <v>666</v>
      </c>
      <c r="D172" s="105">
        <v>20230801</v>
      </c>
      <c r="E172" s="105">
        <v>2023</v>
      </c>
      <c r="F172" s="105">
        <v>8</v>
      </c>
      <c r="G172" s="105" t="s">
        <v>721</v>
      </c>
      <c r="H172" s="105">
        <v>818</v>
      </c>
      <c r="I172" s="105" t="s">
        <v>668</v>
      </c>
      <c r="J172" s="105" t="s">
        <v>57</v>
      </c>
      <c r="K172" s="105" t="s">
        <v>701</v>
      </c>
      <c r="L172" s="105" t="s">
        <v>702</v>
      </c>
      <c r="M172" s="105">
        <v>458</v>
      </c>
      <c r="N172" s="105" t="s">
        <v>722</v>
      </c>
      <c r="O172" s="105" t="s">
        <v>26</v>
      </c>
      <c r="P172" s="105">
        <v>0</v>
      </c>
      <c r="Q172" s="105" t="s">
        <v>670</v>
      </c>
      <c r="R172" s="105" t="s">
        <v>23</v>
      </c>
      <c r="S172" s="105" t="s">
        <v>671</v>
      </c>
      <c r="T172" s="105" t="s">
        <v>672</v>
      </c>
      <c r="U172" s="105" t="b">
        <v>1</v>
      </c>
      <c r="V172" s="105" t="s">
        <v>673</v>
      </c>
      <c r="W172" s="105" t="s">
        <v>674</v>
      </c>
      <c r="X172" s="105">
        <v>6</v>
      </c>
      <c r="Y172" s="105" t="b">
        <v>1</v>
      </c>
      <c r="Z172" s="105" t="s">
        <v>675</v>
      </c>
      <c r="AA172" s="105" t="s">
        <v>676</v>
      </c>
      <c r="AB172" s="105" t="s">
        <v>677</v>
      </c>
      <c r="AC172" s="105">
        <v>0</v>
      </c>
      <c r="AD172" s="105" t="s">
        <v>678</v>
      </c>
      <c r="AE172" s="105">
        <v>-1</v>
      </c>
      <c r="AF172" s="105" t="s">
        <v>680</v>
      </c>
      <c r="AG172" s="105">
        <v>0</v>
      </c>
      <c r="AH172" s="105" t="b">
        <v>0</v>
      </c>
      <c r="AI172" s="105">
        <v>-1</v>
      </c>
      <c r="AJ172" s="105" t="s">
        <v>680</v>
      </c>
      <c r="AK172" s="105">
        <v>0</v>
      </c>
      <c r="AL172" s="105" t="b">
        <v>0</v>
      </c>
      <c r="AM172" s="105"/>
      <c r="AN172" s="105" t="b">
        <v>0</v>
      </c>
      <c r="AO172" s="105">
        <v>0</v>
      </c>
      <c r="AP172" s="105" t="b">
        <v>0</v>
      </c>
      <c r="AQ172" s="105"/>
      <c r="AR172" s="105">
        <v>12547</v>
      </c>
      <c r="AS172" s="105">
        <v>12547</v>
      </c>
      <c r="AT172" s="105">
        <v>0</v>
      </c>
      <c r="AU172" s="105" t="b">
        <v>1</v>
      </c>
      <c r="AV172" s="105" t="b">
        <v>0</v>
      </c>
    </row>
    <row r="173" spans="1:48">
      <c r="A173" s="105" t="s">
        <v>510</v>
      </c>
      <c r="B173" s="105" t="s">
        <v>665</v>
      </c>
      <c r="C173" s="105" t="s">
        <v>666</v>
      </c>
      <c r="D173" s="105">
        <v>20230901</v>
      </c>
      <c r="E173" s="105">
        <v>2023</v>
      </c>
      <c r="F173" s="105">
        <v>9</v>
      </c>
      <c r="G173" s="105" t="s">
        <v>723</v>
      </c>
      <c r="H173" s="105">
        <v>818</v>
      </c>
      <c r="I173" s="105" t="s">
        <v>668</v>
      </c>
      <c r="J173" s="105" t="s">
        <v>57</v>
      </c>
      <c r="K173" s="105" t="s">
        <v>666</v>
      </c>
      <c r="L173" s="105" t="s">
        <v>669</v>
      </c>
      <c r="M173" s="105">
        <v>0</v>
      </c>
      <c r="N173" s="105" t="s">
        <v>670</v>
      </c>
      <c r="O173" s="105" t="s">
        <v>23</v>
      </c>
      <c r="P173" s="105">
        <v>0</v>
      </c>
      <c r="Q173" s="105" t="s">
        <v>670</v>
      </c>
      <c r="R173" s="105" t="s">
        <v>23</v>
      </c>
      <c r="S173" s="105" t="s">
        <v>671</v>
      </c>
      <c r="T173" s="105" t="s">
        <v>672</v>
      </c>
      <c r="U173" s="105" t="b">
        <v>1</v>
      </c>
      <c r="V173" s="105" t="s">
        <v>673</v>
      </c>
      <c r="W173" s="105" t="s">
        <v>674</v>
      </c>
      <c r="X173" s="105">
        <v>6</v>
      </c>
      <c r="Y173" s="105" t="b">
        <v>1</v>
      </c>
      <c r="Z173" s="105" t="s">
        <v>675</v>
      </c>
      <c r="AA173" s="105" t="s">
        <v>676</v>
      </c>
      <c r="AB173" s="105" t="s">
        <v>677</v>
      </c>
      <c r="AC173" s="105">
        <v>0</v>
      </c>
      <c r="AD173" s="105" t="s">
        <v>678</v>
      </c>
      <c r="AE173" s="105">
        <v>8</v>
      </c>
      <c r="AF173" s="105" t="s">
        <v>679</v>
      </c>
      <c r="AG173" s="105">
        <v>1594909.625</v>
      </c>
      <c r="AH173" s="105" t="b">
        <v>1</v>
      </c>
      <c r="AI173" s="105">
        <v>-1</v>
      </c>
      <c r="AJ173" s="105" t="s">
        <v>680</v>
      </c>
      <c r="AK173" s="105">
        <v>0</v>
      </c>
      <c r="AL173" s="105" t="b">
        <v>0</v>
      </c>
      <c r="AM173" s="105">
        <v>1594909.625</v>
      </c>
      <c r="AN173" s="105" t="b">
        <v>1</v>
      </c>
      <c r="AO173" s="105">
        <v>0</v>
      </c>
      <c r="AP173" s="105" t="b">
        <v>0</v>
      </c>
      <c r="AQ173" s="105">
        <v>880027.48600000003</v>
      </c>
      <c r="AR173" s="105"/>
      <c r="AS173" s="105">
        <v>880027.48600000003</v>
      </c>
      <c r="AT173" s="105">
        <v>6</v>
      </c>
      <c r="AU173" s="105" t="b">
        <v>0</v>
      </c>
      <c r="AV173" s="105" t="b">
        <v>1</v>
      </c>
    </row>
    <row r="174" spans="1:48">
      <c r="A174" s="105" t="s">
        <v>510</v>
      </c>
      <c r="B174" s="105" t="s">
        <v>665</v>
      </c>
      <c r="C174" s="105" t="s">
        <v>666</v>
      </c>
      <c r="D174" s="105">
        <v>20230901</v>
      </c>
      <c r="E174" s="105">
        <v>2023</v>
      </c>
      <c r="F174" s="105">
        <v>9</v>
      </c>
      <c r="G174" s="105" t="s">
        <v>723</v>
      </c>
      <c r="H174" s="105">
        <v>818</v>
      </c>
      <c r="I174" s="105" t="s">
        <v>668</v>
      </c>
      <c r="J174" s="105" t="s">
        <v>57</v>
      </c>
      <c r="K174" s="105" t="s">
        <v>666</v>
      </c>
      <c r="L174" s="105" t="s">
        <v>669</v>
      </c>
      <c r="M174" s="105">
        <v>156</v>
      </c>
      <c r="N174" s="105" t="s">
        <v>711</v>
      </c>
      <c r="O174" s="105" t="s">
        <v>29</v>
      </c>
      <c r="P174" s="105">
        <v>0</v>
      </c>
      <c r="Q174" s="105" t="s">
        <v>670</v>
      </c>
      <c r="R174" s="105" t="s">
        <v>23</v>
      </c>
      <c r="S174" s="105" t="s">
        <v>671</v>
      </c>
      <c r="T174" s="105" t="s">
        <v>672</v>
      </c>
      <c r="U174" s="105" t="b">
        <v>1</v>
      </c>
      <c r="V174" s="105" t="s">
        <v>673</v>
      </c>
      <c r="W174" s="105" t="s">
        <v>674</v>
      </c>
      <c r="X174" s="105">
        <v>6</v>
      </c>
      <c r="Y174" s="105" t="b">
        <v>1</v>
      </c>
      <c r="Z174" s="105" t="s">
        <v>675</v>
      </c>
      <c r="AA174" s="105" t="s">
        <v>676</v>
      </c>
      <c r="AB174" s="105" t="s">
        <v>677</v>
      </c>
      <c r="AC174" s="105">
        <v>0</v>
      </c>
      <c r="AD174" s="105" t="s">
        <v>678</v>
      </c>
      <c r="AE174" s="105">
        <v>8</v>
      </c>
      <c r="AF174" s="105" t="s">
        <v>679</v>
      </c>
      <c r="AG174" s="105">
        <v>136443.88800000001</v>
      </c>
      <c r="AH174" s="105" t="b">
        <v>1</v>
      </c>
      <c r="AI174" s="105">
        <v>-1</v>
      </c>
      <c r="AJ174" s="105" t="s">
        <v>680</v>
      </c>
      <c r="AK174" s="105">
        <v>0</v>
      </c>
      <c r="AL174" s="105" t="b">
        <v>0</v>
      </c>
      <c r="AM174" s="105">
        <v>136443.88800000001</v>
      </c>
      <c r="AN174" s="105" t="b">
        <v>1</v>
      </c>
      <c r="AO174" s="105">
        <v>0</v>
      </c>
      <c r="AP174" s="105" t="b">
        <v>0</v>
      </c>
      <c r="AQ174" s="105">
        <v>75286.004000000001</v>
      </c>
      <c r="AR174" s="105"/>
      <c r="AS174" s="105">
        <v>75286.004000000001</v>
      </c>
      <c r="AT174" s="105">
        <v>6</v>
      </c>
      <c r="AU174" s="105" t="b">
        <v>1</v>
      </c>
      <c r="AV174" s="105" t="b">
        <v>0</v>
      </c>
    </row>
    <row r="175" spans="1:48">
      <c r="A175" s="105" t="s">
        <v>510</v>
      </c>
      <c r="B175" s="105" t="s">
        <v>665</v>
      </c>
      <c r="C175" s="105" t="s">
        <v>666</v>
      </c>
      <c r="D175" s="105">
        <v>20230901</v>
      </c>
      <c r="E175" s="105">
        <v>2023</v>
      </c>
      <c r="F175" s="105">
        <v>9</v>
      </c>
      <c r="G175" s="105" t="s">
        <v>723</v>
      </c>
      <c r="H175" s="105">
        <v>818</v>
      </c>
      <c r="I175" s="105" t="s">
        <v>668</v>
      </c>
      <c r="J175" s="105" t="s">
        <v>57</v>
      </c>
      <c r="K175" s="105" t="s">
        <v>666</v>
      </c>
      <c r="L175" s="105" t="s">
        <v>669</v>
      </c>
      <c r="M175" s="105">
        <v>724</v>
      </c>
      <c r="N175" s="105" t="s">
        <v>684</v>
      </c>
      <c r="O175" s="105" t="s">
        <v>51</v>
      </c>
      <c r="P175" s="105">
        <v>0</v>
      </c>
      <c r="Q175" s="105" t="s">
        <v>670</v>
      </c>
      <c r="R175" s="105" t="s">
        <v>23</v>
      </c>
      <c r="S175" s="105" t="s">
        <v>671</v>
      </c>
      <c r="T175" s="105" t="s">
        <v>672</v>
      </c>
      <c r="U175" s="105" t="b">
        <v>1</v>
      </c>
      <c r="V175" s="105" t="s">
        <v>673</v>
      </c>
      <c r="W175" s="105" t="s">
        <v>674</v>
      </c>
      <c r="X175" s="105">
        <v>6</v>
      </c>
      <c r="Y175" s="105" t="b">
        <v>1</v>
      </c>
      <c r="Z175" s="105" t="s">
        <v>675</v>
      </c>
      <c r="AA175" s="105" t="s">
        <v>676</v>
      </c>
      <c r="AB175" s="105" t="s">
        <v>677</v>
      </c>
      <c r="AC175" s="105">
        <v>0</v>
      </c>
      <c r="AD175" s="105" t="s">
        <v>678</v>
      </c>
      <c r="AE175" s="105">
        <v>8</v>
      </c>
      <c r="AF175" s="105" t="s">
        <v>679</v>
      </c>
      <c r="AG175" s="105">
        <v>186577.66699999999</v>
      </c>
      <c r="AH175" s="105" t="b">
        <v>1</v>
      </c>
      <c r="AI175" s="105">
        <v>-1</v>
      </c>
      <c r="AJ175" s="105" t="s">
        <v>680</v>
      </c>
      <c r="AK175" s="105">
        <v>0</v>
      </c>
      <c r="AL175" s="105" t="b">
        <v>0</v>
      </c>
      <c r="AM175" s="105">
        <v>186577.66699999999</v>
      </c>
      <c r="AN175" s="105" t="b">
        <v>1</v>
      </c>
      <c r="AO175" s="105">
        <v>0</v>
      </c>
      <c r="AP175" s="105" t="b">
        <v>0</v>
      </c>
      <c r="AQ175" s="105">
        <v>102948.451</v>
      </c>
      <c r="AR175" s="105"/>
      <c r="AS175" s="105">
        <v>102948.451</v>
      </c>
      <c r="AT175" s="105">
        <v>6</v>
      </c>
      <c r="AU175" s="105" t="b">
        <v>1</v>
      </c>
      <c r="AV175" s="105" t="b">
        <v>0</v>
      </c>
    </row>
    <row r="176" spans="1:48">
      <c r="A176" s="105" t="s">
        <v>510</v>
      </c>
      <c r="B176" s="105" t="s">
        <v>665</v>
      </c>
      <c r="C176" s="105" t="s">
        <v>666</v>
      </c>
      <c r="D176" s="105">
        <v>20230901</v>
      </c>
      <c r="E176" s="105">
        <v>2023</v>
      </c>
      <c r="F176" s="105">
        <v>9</v>
      </c>
      <c r="G176" s="105" t="s">
        <v>723</v>
      </c>
      <c r="H176" s="105">
        <v>818</v>
      </c>
      <c r="I176" s="105" t="s">
        <v>668</v>
      </c>
      <c r="J176" s="105" t="s">
        <v>57</v>
      </c>
      <c r="K176" s="105" t="s">
        <v>666</v>
      </c>
      <c r="L176" s="105" t="s">
        <v>669</v>
      </c>
      <c r="M176" s="105">
        <v>784</v>
      </c>
      <c r="N176" s="105" t="s">
        <v>694</v>
      </c>
      <c r="O176" s="105" t="s">
        <v>25</v>
      </c>
      <c r="P176" s="105">
        <v>0</v>
      </c>
      <c r="Q176" s="105" t="s">
        <v>670</v>
      </c>
      <c r="R176" s="105" t="s">
        <v>23</v>
      </c>
      <c r="S176" s="105" t="s">
        <v>671</v>
      </c>
      <c r="T176" s="105" t="s">
        <v>672</v>
      </c>
      <c r="U176" s="105" t="b">
        <v>1</v>
      </c>
      <c r="V176" s="105" t="s">
        <v>673</v>
      </c>
      <c r="W176" s="105" t="s">
        <v>674</v>
      </c>
      <c r="X176" s="105">
        <v>6</v>
      </c>
      <c r="Y176" s="105" t="b">
        <v>1</v>
      </c>
      <c r="Z176" s="105" t="s">
        <v>675</v>
      </c>
      <c r="AA176" s="105" t="s">
        <v>676</v>
      </c>
      <c r="AB176" s="105" t="s">
        <v>677</v>
      </c>
      <c r="AC176" s="105">
        <v>0</v>
      </c>
      <c r="AD176" s="105" t="s">
        <v>678</v>
      </c>
      <c r="AE176" s="105">
        <v>8</v>
      </c>
      <c r="AF176" s="105" t="s">
        <v>679</v>
      </c>
      <c r="AG176" s="105">
        <v>198360.68900000001</v>
      </c>
      <c r="AH176" s="105" t="b">
        <v>1</v>
      </c>
      <c r="AI176" s="105">
        <v>-1</v>
      </c>
      <c r="AJ176" s="105" t="s">
        <v>680</v>
      </c>
      <c r="AK176" s="105">
        <v>0</v>
      </c>
      <c r="AL176" s="105" t="b">
        <v>0</v>
      </c>
      <c r="AM176" s="105">
        <v>198360.68900000001</v>
      </c>
      <c r="AN176" s="105" t="b">
        <v>1</v>
      </c>
      <c r="AO176" s="105">
        <v>0</v>
      </c>
      <c r="AP176" s="105" t="b">
        <v>0</v>
      </c>
      <c r="AQ176" s="105">
        <v>109450</v>
      </c>
      <c r="AR176" s="105"/>
      <c r="AS176" s="105">
        <v>109450</v>
      </c>
      <c r="AT176" s="105">
        <v>6</v>
      </c>
      <c r="AU176" s="105" t="b">
        <v>1</v>
      </c>
      <c r="AV176" s="105" t="b">
        <v>0</v>
      </c>
    </row>
    <row r="177" spans="1:48">
      <c r="A177" s="105" t="s">
        <v>510</v>
      </c>
      <c r="B177" s="105" t="s">
        <v>665</v>
      </c>
      <c r="C177" s="105" t="s">
        <v>666</v>
      </c>
      <c r="D177" s="105">
        <v>20230901</v>
      </c>
      <c r="E177" s="105">
        <v>2023</v>
      </c>
      <c r="F177" s="105">
        <v>9</v>
      </c>
      <c r="G177" s="105" t="s">
        <v>723</v>
      </c>
      <c r="H177" s="105">
        <v>818</v>
      </c>
      <c r="I177" s="105" t="s">
        <v>668</v>
      </c>
      <c r="J177" s="105" t="s">
        <v>57</v>
      </c>
      <c r="K177" s="105" t="s">
        <v>666</v>
      </c>
      <c r="L177" s="105" t="s">
        <v>669</v>
      </c>
      <c r="M177" s="105">
        <v>792</v>
      </c>
      <c r="N177" s="105" t="s">
        <v>691</v>
      </c>
      <c r="O177" s="105" t="s">
        <v>63</v>
      </c>
      <c r="P177" s="105">
        <v>0</v>
      </c>
      <c r="Q177" s="105" t="s">
        <v>670</v>
      </c>
      <c r="R177" s="105" t="s">
        <v>23</v>
      </c>
      <c r="S177" s="105" t="s">
        <v>671</v>
      </c>
      <c r="T177" s="105" t="s">
        <v>672</v>
      </c>
      <c r="U177" s="105" t="b">
        <v>1</v>
      </c>
      <c r="V177" s="105" t="s">
        <v>673</v>
      </c>
      <c r="W177" s="105" t="s">
        <v>674</v>
      </c>
      <c r="X177" s="105">
        <v>6</v>
      </c>
      <c r="Y177" s="105" t="b">
        <v>1</v>
      </c>
      <c r="Z177" s="105" t="s">
        <v>675</v>
      </c>
      <c r="AA177" s="105" t="s">
        <v>676</v>
      </c>
      <c r="AB177" s="105" t="s">
        <v>677</v>
      </c>
      <c r="AC177" s="105">
        <v>0</v>
      </c>
      <c r="AD177" s="105" t="s">
        <v>678</v>
      </c>
      <c r="AE177" s="105">
        <v>8</v>
      </c>
      <c r="AF177" s="105" t="s">
        <v>679</v>
      </c>
      <c r="AG177" s="105">
        <v>162114.01699999999</v>
      </c>
      <c r="AH177" s="105" t="b">
        <v>1</v>
      </c>
      <c r="AI177" s="105">
        <v>-1</v>
      </c>
      <c r="AJ177" s="105" t="s">
        <v>680</v>
      </c>
      <c r="AK177" s="105">
        <v>0</v>
      </c>
      <c r="AL177" s="105" t="b">
        <v>0</v>
      </c>
      <c r="AM177" s="105">
        <v>162114.01699999999</v>
      </c>
      <c r="AN177" s="105" t="b">
        <v>1</v>
      </c>
      <c r="AO177" s="105">
        <v>0</v>
      </c>
      <c r="AP177" s="105" t="b">
        <v>0</v>
      </c>
      <c r="AQ177" s="105">
        <v>89450.077999999994</v>
      </c>
      <c r="AR177" s="105"/>
      <c r="AS177" s="105">
        <v>89450.077999999994</v>
      </c>
      <c r="AT177" s="105">
        <v>6</v>
      </c>
      <c r="AU177" s="105" t="b">
        <v>1</v>
      </c>
      <c r="AV177" s="105" t="b">
        <v>0</v>
      </c>
    </row>
    <row r="178" spans="1:48">
      <c r="A178" s="105" t="s">
        <v>510</v>
      </c>
      <c r="B178" s="105" t="s">
        <v>665</v>
      </c>
      <c r="C178" s="105" t="s">
        <v>666</v>
      </c>
      <c r="D178" s="105">
        <v>20230901</v>
      </c>
      <c r="E178" s="105">
        <v>2023</v>
      </c>
      <c r="F178" s="105">
        <v>9</v>
      </c>
      <c r="G178" s="105" t="s">
        <v>723</v>
      </c>
      <c r="H178" s="105">
        <v>818</v>
      </c>
      <c r="I178" s="105" t="s">
        <v>668</v>
      </c>
      <c r="J178" s="105" t="s">
        <v>57</v>
      </c>
      <c r="K178" s="105" t="s">
        <v>666</v>
      </c>
      <c r="L178" s="105" t="s">
        <v>669</v>
      </c>
      <c r="M178" s="105">
        <v>826</v>
      </c>
      <c r="N178" s="105" t="s">
        <v>685</v>
      </c>
      <c r="O178" s="105" t="s">
        <v>64</v>
      </c>
      <c r="P178" s="105">
        <v>0</v>
      </c>
      <c r="Q178" s="105" t="s">
        <v>670</v>
      </c>
      <c r="R178" s="105" t="s">
        <v>23</v>
      </c>
      <c r="S178" s="105" t="s">
        <v>671</v>
      </c>
      <c r="T178" s="105" t="s">
        <v>672</v>
      </c>
      <c r="U178" s="105" t="b">
        <v>1</v>
      </c>
      <c r="V178" s="105" t="s">
        <v>673</v>
      </c>
      <c r="W178" s="105" t="s">
        <v>674</v>
      </c>
      <c r="X178" s="105">
        <v>6</v>
      </c>
      <c r="Y178" s="105" t="b">
        <v>1</v>
      </c>
      <c r="Z178" s="105" t="s">
        <v>675</v>
      </c>
      <c r="AA178" s="105" t="s">
        <v>676</v>
      </c>
      <c r="AB178" s="105" t="s">
        <v>677</v>
      </c>
      <c r="AC178" s="105">
        <v>0</v>
      </c>
      <c r="AD178" s="105" t="s">
        <v>678</v>
      </c>
      <c r="AE178" s="105">
        <v>8</v>
      </c>
      <c r="AF178" s="105" t="s">
        <v>679</v>
      </c>
      <c r="AG178" s="105">
        <v>120527.33900000001</v>
      </c>
      <c r="AH178" s="105" t="b">
        <v>1</v>
      </c>
      <c r="AI178" s="105">
        <v>-1</v>
      </c>
      <c r="AJ178" s="105" t="s">
        <v>680</v>
      </c>
      <c r="AK178" s="105">
        <v>0</v>
      </c>
      <c r="AL178" s="105" t="b">
        <v>0</v>
      </c>
      <c r="AM178" s="105">
        <v>120527.33900000001</v>
      </c>
      <c r="AN178" s="105" t="b">
        <v>1</v>
      </c>
      <c r="AO178" s="105">
        <v>0</v>
      </c>
      <c r="AP178" s="105" t="b">
        <v>0</v>
      </c>
      <c r="AQ178" s="105">
        <v>66503.687999999995</v>
      </c>
      <c r="AR178" s="105"/>
      <c r="AS178" s="105">
        <v>66503.687999999995</v>
      </c>
      <c r="AT178" s="105">
        <v>6</v>
      </c>
      <c r="AU178" s="105" t="b">
        <v>1</v>
      </c>
      <c r="AV178" s="105" t="b">
        <v>0</v>
      </c>
    </row>
    <row r="179" spans="1:48">
      <c r="A179" s="105" t="s">
        <v>510</v>
      </c>
      <c r="B179" s="105" t="s">
        <v>665</v>
      </c>
      <c r="C179" s="105" t="s">
        <v>666</v>
      </c>
      <c r="D179" s="105">
        <v>20230901</v>
      </c>
      <c r="E179" s="105">
        <v>2023</v>
      </c>
      <c r="F179" s="105">
        <v>9</v>
      </c>
      <c r="G179" s="105" t="s">
        <v>723</v>
      </c>
      <c r="H179" s="105">
        <v>818</v>
      </c>
      <c r="I179" s="105" t="s">
        <v>668</v>
      </c>
      <c r="J179" s="105" t="s">
        <v>57</v>
      </c>
      <c r="K179" s="105" t="s">
        <v>666</v>
      </c>
      <c r="L179" s="105" t="s">
        <v>669</v>
      </c>
      <c r="M179" s="105">
        <v>887</v>
      </c>
      <c r="N179" s="105" t="s">
        <v>686</v>
      </c>
      <c r="O179" s="105" t="s">
        <v>569</v>
      </c>
      <c r="P179" s="105">
        <v>0</v>
      </c>
      <c r="Q179" s="105" t="s">
        <v>670</v>
      </c>
      <c r="R179" s="105" t="s">
        <v>23</v>
      </c>
      <c r="S179" s="105" t="s">
        <v>671</v>
      </c>
      <c r="T179" s="105" t="s">
        <v>672</v>
      </c>
      <c r="U179" s="105" t="b">
        <v>1</v>
      </c>
      <c r="V179" s="105" t="s">
        <v>673</v>
      </c>
      <c r="W179" s="105" t="s">
        <v>674</v>
      </c>
      <c r="X179" s="105">
        <v>6</v>
      </c>
      <c r="Y179" s="105" t="b">
        <v>1</v>
      </c>
      <c r="Z179" s="105" t="s">
        <v>675</v>
      </c>
      <c r="AA179" s="105" t="s">
        <v>676</v>
      </c>
      <c r="AB179" s="105" t="s">
        <v>677</v>
      </c>
      <c r="AC179" s="105">
        <v>0</v>
      </c>
      <c r="AD179" s="105" t="s">
        <v>678</v>
      </c>
      <c r="AE179" s="105">
        <v>8</v>
      </c>
      <c r="AF179" s="105" t="s">
        <v>679</v>
      </c>
      <c r="AG179" s="105">
        <v>790886.02399999998</v>
      </c>
      <c r="AH179" s="105" t="b">
        <v>1</v>
      </c>
      <c r="AI179" s="105">
        <v>-1</v>
      </c>
      <c r="AJ179" s="105" t="s">
        <v>680</v>
      </c>
      <c r="AK179" s="105">
        <v>0</v>
      </c>
      <c r="AL179" s="105" t="b">
        <v>0</v>
      </c>
      <c r="AM179" s="105">
        <v>790886.02399999998</v>
      </c>
      <c r="AN179" s="105" t="b">
        <v>1</v>
      </c>
      <c r="AO179" s="105">
        <v>0</v>
      </c>
      <c r="AP179" s="105" t="b">
        <v>0</v>
      </c>
      <c r="AQ179" s="105">
        <v>436389.266</v>
      </c>
      <c r="AR179" s="105"/>
      <c r="AS179" s="105">
        <v>436389.266</v>
      </c>
      <c r="AT179" s="105">
        <v>6</v>
      </c>
      <c r="AU179" s="105" t="b">
        <v>1</v>
      </c>
      <c r="AV179" s="105" t="b">
        <v>0</v>
      </c>
    </row>
    <row r="180" spans="1:48">
      <c r="A180" s="105" t="s">
        <v>510</v>
      </c>
      <c r="B180" s="105" t="s">
        <v>665</v>
      </c>
      <c r="C180" s="105" t="s">
        <v>666</v>
      </c>
      <c r="D180" s="105">
        <v>20231001</v>
      </c>
      <c r="E180" s="105">
        <v>2023</v>
      </c>
      <c r="F180" s="105">
        <v>10</v>
      </c>
      <c r="G180" s="105" t="s">
        <v>724</v>
      </c>
      <c r="H180" s="105">
        <v>818</v>
      </c>
      <c r="I180" s="105" t="s">
        <v>668</v>
      </c>
      <c r="J180" s="105" t="s">
        <v>57</v>
      </c>
      <c r="K180" s="105" t="s">
        <v>666</v>
      </c>
      <c r="L180" s="105" t="s">
        <v>669</v>
      </c>
      <c r="M180" s="105">
        <v>0</v>
      </c>
      <c r="N180" s="105" t="s">
        <v>670</v>
      </c>
      <c r="O180" s="105" t="s">
        <v>23</v>
      </c>
      <c r="P180" s="105">
        <v>0</v>
      </c>
      <c r="Q180" s="105" t="s">
        <v>670</v>
      </c>
      <c r="R180" s="105" t="s">
        <v>23</v>
      </c>
      <c r="S180" s="105" t="s">
        <v>671</v>
      </c>
      <c r="T180" s="105" t="s">
        <v>672</v>
      </c>
      <c r="U180" s="105" t="b">
        <v>1</v>
      </c>
      <c r="V180" s="105" t="s">
        <v>673</v>
      </c>
      <c r="W180" s="105" t="s">
        <v>674</v>
      </c>
      <c r="X180" s="105">
        <v>6</v>
      </c>
      <c r="Y180" s="105" t="b">
        <v>1</v>
      </c>
      <c r="Z180" s="105" t="s">
        <v>675</v>
      </c>
      <c r="AA180" s="105" t="s">
        <v>676</v>
      </c>
      <c r="AB180" s="105" t="s">
        <v>677</v>
      </c>
      <c r="AC180" s="105">
        <v>0</v>
      </c>
      <c r="AD180" s="105" t="s">
        <v>678</v>
      </c>
      <c r="AE180" s="105">
        <v>8</v>
      </c>
      <c r="AF180" s="105" t="s">
        <v>679</v>
      </c>
      <c r="AG180" s="105">
        <v>1886942.6329999999</v>
      </c>
      <c r="AH180" s="105" t="b">
        <v>1</v>
      </c>
      <c r="AI180" s="105">
        <v>-1</v>
      </c>
      <c r="AJ180" s="105" t="s">
        <v>680</v>
      </c>
      <c r="AK180" s="105">
        <v>0</v>
      </c>
      <c r="AL180" s="105" t="b">
        <v>0</v>
      </c>
      <c r="AM180" s="105">
        <v>1886942.6329999999</v>
      </c>
      <c r="AN180" s="105" t="b">
        <v>1</v>
      </c>
      <c r="AO180" s="105">
        <v>0</v>
      </c>
      <c r="AP180" s="105" t="b">
        <v>0</v>
      </c>
      <c r="AQ180" s="105">
        <v>1041163.309</v>
      </c>
      <c r="AR180" s="105"/>
      <c r="AS180" s="105">
        <v>1041163.309</v>
      </c>
      <c r="AT180" s="105">
        <v>6</v>
      </c>
      <c r="AU180" s="105" t="b">
        <v>0</v>
      </c>
      <c r="AV180" s="105" t="b">
        <v>1</v>
      </c>
    </row>
    <row r="181" spans="1:48">
      <c r="A181" s="105" t="s">
        <v>510</v>
      </c>
      <c r="B181" s="105" t="s">
        <v>665</v>
      </c>
      <c r="C181" s="105" t="s">
        <v>666</v>
      </c>
      <c r="D181" s="105">
        <v>20231001</v>
      </c>
      <c r="E181" s="105">
        <v>2023</v>
      </c>
      <c r="F181" s="105">
        <v>10</v>
      </c>
      <c r="G181" s="105" t="s">
        <v>724</v>
      </c>
      <c r="H181" s="105">
        <v>818</v>
      </c>
      <c r="I181" s="105" t="s">
        <v>668</v>
      </c>
      <c r="J181" s="105" t="s">
        <v>57</v>
      </c>
      <c r="K181" s="105" t="s">
        <v>666</v>
      </c>
      <c r="L181" s="105" t="s">
        <v>669</v>
      </c>
      <c r="M181" s="105">
        <v>300</v>
      </c>
      <c r="N181" s="105" t="s">
        <v>719</v>
      </c>
      <c r="O181" s="105" t="s">
        <v>65</v>
      </c>
      <c r="P181" s="105">
        <v>0</v>
      </c>
      <c r="Q181" s="105" t="s">
        <v>670</v>
      </c>
      <c r="R181" s="105" t="s">
        <v>23</v>
      </c>
      <c r="S181" s="105" t="s">
        <v>671</v>
      </c>
      <c r="T181" s="105" t="s">
        <v>672</v>
      </c>
      <c r="U181" s="105" t="b">
        <v>1</v>
      </c>
      <c r="V181" s="105" t="s">
        <v>673</v>
      </c>
      <c r="W181" s="105" t="s">
        <v>674</v>
      </c>
      <c r="X181" s="105">
        <v>6</v>
      </c>
      <c r="Y181" s="105" t="b">
        <v>1</v>
      </c>
      <c r="Z181" s="105" t="s">
        <v>675</v>
      </c>
      <c r="AA181" s="105" t="s">
        <v>676</v>
      </c>
      <c r="AB181" s="105" t="s">
        <v>677</v>
      </c>
      <c r="AC181" s="105">
        <v>0</v>
      </c>
      <c r="AD181" s="105" t="s">
        <v>678</v>
      </c>
      <c r="AE181" s="105">
        <v>8</v>
      </c>
      <c r="AF181" s="105" t="s">
        <v>679</v>
      </c>
      <c r="AG181" s="105">
        <v>22844.554</v>
      </c>
      <c r="AH181" s="105" t="b">
        <v>1</v>
      </c>
      <c r="AI181" s="105">
        <v>-1</v>
      </c>
      <c r="AJ181" s="105" t="s">
        <v>680</v>
      </c>
      <c r="AK181" s="105">
        <v>0</v>
      </c>
      <c r="AL181" s="105" t="b">
        <v>0</v>
      </c>
      <c r="AM181" s="105">
        <v>22844.554</v>
      </c>
      <c r="AN181" s="105" t="b">
        <v>1</v>
      </c>
      <c r="AO181" s="105">
        <v>0</v>
      </c>
      <c r="AP181" s="105" t="b">
        <v>0</v>
      </c>
      <c r="AQ181" s="105">
        <v>12605</v>
      </c>
      <c r="AR181" s="105"/>
      <c r="AS181" s="105">
        <v>12605</v>
      </c>
      <c r="AT181" s="105">
        <v>6</v>
      </c>
      <c r="AU181" s="105" t="b">
        <v>1</v>
      </c>
      <c r="AV181" s="105" t="b">
        <v>0</v>
      </c>
    </row>
    <row r="182" spans="1:48">
      <c r="A182" s="105" t="s">
        <v>510</v>
      </c>
      <c r="B182" s="105" t="s">
        <v>665</v>
      </c>
      <c r="C182" s="105" t="s">
        <v>666</v>
      </c>
      <c r="D182" s="105">
        <v>20231001</v>
      </c>
      <c r="E182" s="105">
        <v>2023</v>
      </c>
      <c r="F182" s="105">
        <v>10</v>
      </c>
      <c r="G182" s="105" t="s">
        <v>724</v>
      </c>
      <c r="H182" s="105">
        <v>818</v>
      </c>
      <c r="I182" s="105" t="s">
        <v>668</v>
      </c>
      <c r="J182" s="105" t="s">
        <v>57</v>
      </c>
      <c r="K182" s="105" t="s">
        <v>666</v>
      </c>
      <c r="L182" s="105" t="s">
        <v>669</v>
      </c>
      <c r="M182" s="105">
        <v>380</v>
      </c>
      <c r="N182" s="105" t="s">
        <v>689</v>
      </c>
      <c r="O182" s="105" t="s">
        <v>71</v>
      </c>
      <c r="P182" s="105">
        <v>0</v>
      </c>
      <c r="Q182" s="105" t="s">
        <v>670</v>
      </c>
      <c r="R182" s="105" t="s">
        <v>23</v>
      </c>
      <c r="S182" s="105" t="s">
        <v>671</v>
      </c>
      <c r="T182" s="105" t="s">
        <v>672</v>
      </c>
      <c r="U182" s="105" t="b">
        <v>1</v>
      </c>
      <c r="V182" s="105" t="s">
        <v>673</v>
      </c>
      <c r="W182" s="105" t="s">
        <v>674</v>
      </c>
      <c r="X182" s="105">
        <v>6</v>
      </c>
      <c r="Y182" s="105" t="b">
        <v>1</v>
      </c>
      <c r="Z182" s="105" t="s">
        <v>675</v>
      </c>
      <c r="AA182" s="105" t="s">
        <v>676</v>
      </c>
      <c r="AB182" s="105" t="s">
        <v>677</v>
      </c>
      <c r="AC182" s="105">
        <v>0</v>
      </c>
      <c r="AD182" s="105" t="s">
        <v>678</v>
      </c>
      <c r="AE182" s="105">
        <v>8</v>
      </c>
      <c r="AF182" s="105" t="s">
        <v>679</v>
      </c>
      <c r="AG182" s="105">
        <v>16060.965</v>
      </c>
      <c r="AH182" s="105" t="b">
        <v>1</v>
      </c>
      <c r="AI182" s="105">
        <v>-1</v>
      </c>
      <c r="AJ182" s="105" t="s">
        <v>680</v>
      </c>
      <c r="AK182" s="105">
        <v>0</v>
      </c>
      <c r="AL182" s="105" t="b">
        <v>0</v>
      </c>
      <c r="AM182" s="105">
        <v>16060.965</v>
      </c>
      <c r="AN182" s="105" t="b">
        <v>1</v>
      </c>
      <c r="AO182" s="105">
        <v>0</v>
      </c>
      <c r="AP182" s="105" t="b">
        <v>0</v>
      </c>
      <c r="AQ182" s="105">
        <v>8862.0010000000002</v>
      </c>
      <c r="AR182" s="105"/>
      <c r="AS182" s="105">
        <v>8862.0010000000002</v>
      </c>
      <c r="AT182" s="105">
        <v>6</v>
      </c>
      <c r="AU182" s="105" t="b">
        <v>1</v>
      </c>
      <c r="AV182" s="105" t="b">
        <v>0</v>
      </c>
    </row>
    <row r="183" spans="1:48">
      <c r="A183" s="105" t="s">
        <v>510</v>
      </c>
      <c r="B183" s="105" t="s">
        <v>665</v>
      </c>
      <c r="C183" s="105" t="s">
        <v>666</v>
      </c>
      <c r="D183" s="105">
        <v>20231001</v>
      </c>
      <c r="E183" s="105">
        <v>2023</v>
      </c>
      <c r="F183" s="105">
        <v>10</v>
      </c>
      <c r="G183" s="105" t="s">
        <v>724</v>
      </c>
      <c r="H183" s="105">
        <v>818</v>
      </c>
      <c r="I183" s="105" t="s">
        <v>668</v>
      </c>
      <c r="J183" s="105" t="s">
        <v>57</v>
      </c>
      <c r="K183" s="105" t="s">
        <v>666</v>
      </c>
      <c r="L183" s="105" t="s">
        <v>669</v>
      </c>
      <c r="M183" s="105">
        <v>528</v>
      </c>
      <c r="N183" s="105" t="s">
        <v>698</v>
      </c>
      <c r="O183" s="105" t="s">
        <v>60</v>
      </c>
      <c r="P183" s="105">
        <v>0</v>
      </c>
      <c r="Q183" s="105" t="s">
        <v>670</v>
      </c>
      <c r="R183" s="105" t="s">
        <v>23</v>
      </c>
      <c r="S183" s="105" t="s">
        <v>671</v>
      </c>
      <c r="T183" s="105" t="s">
        <v>672</v>
      </c>
      <c r="U183" s="105" t="b">
        <v>1</v>
      </c>
      <c r="V183" s="105" t="s">
        <v>673</v>
      </c>
      <c r="W183" s="105" t="s">
        <v>674</v>
      </c>
      <c r="X183" s="105">
        <v>6</v>
      </c>
      <c r="Y183" s="105" t="b">
        <v>1</v>
      </c>
      <c r="Z183" s="105" t="s">
        <v>675</v>
      </c>
      <c r="AA183" s="105" t="s">
        <v>676</v>
      </c>
      <c r="AB183" s="105" t="s">
        <v>677</v>
      </c>
      <c r="AC183" s="105">
        <v>0</v>
      </c>
      <c r="AD183" s="105" t="s">
        <v>678</v>
      </c>
      <c r="AE183" s="105">
        <v>8</v>
      </c>
      <c r="AF183" s="105" t="s">
        <v>679</v>
      </c>
      <c r="AG183" s="105">
        <v>231700.508</v>
      </c>
      <c r="AH183" s="105" t="b">
        <v>1</v>
      </c>
      <c r="AI183" s="105">
        <v>-1</v>
      </c>
      <c r="AJ183" s="105" t="s">
        <v>680</v>
      </c>
      <c r="AK183" s="105">
        <v>0</v>
      </c>
      <c r="AL183" s="105" t="b">
        <v>0</v>
      </c>
      <c r="AM183" s="105">
        <v>231700.508</v>
      </c>
      <c r="AN183" s="105" t="b">
        <v>1</v>
      </c>
      <c r="AO183" s="105">
        <v>0</v>
      </c>
      <c r="AP183" s="105" t="b">
        <v>0</v>
      </c>
      <c r="AQ183" s="105">
        <v>127846</v>
      </c>
      <c r="AR183" s="105"/>
      <c r="AS183" s="105">
        <v>127846</v>
      </c>
      <c r="AT183" s="105">
        <v>6</v>
      </c>
      <c r="AU183" s="105" t="b">
        <v>1</v>
      </c>
      <c r="AV183" s="105" t="b">
        <v>0</v>
      </c>
    </row>
    <row r="184" spans="1:48">
      <c r="A184" s="105" t="s">
        <v>510</v>
      </c>
      <c r="B184" s="105" t="s">
        <v>665</v>
      </c>
      <c r="C184" s="105" t="s">
        <v>666</v>
      </c>
      <c r="D184" s="105">
        <v>20231001</v>
      </c>
      <c r="E184" s="105">
        <v>2023</v>
      </c>
      <c r="F184" s="105">
        <v>10</v>
      </c>
      <c r="G184" s="105" t="s">
        <v>724</v>
      </c>
      <c r="H184" s="105">
        <v>818</v>
      </c>
      <c r="I184" s="105" t="s">
        <v>668</v>
      </c>
      <c r="J184" s="105" t="s">
        <v>57</v>
      </c>
      <c r="K184" s="105" t="s">
        <v>666</v>
      </c>
      <c r="L184" s="105" t="s">
        <v>669</v>
      </c>
      <c r="M184" s="105">
        <v>724</v>
      </c>
      <c r="N184" s="105" t="s">
        <v>684</v>
      </c>
      <c r="O184" s="105" t="s">
        <v>51</v>
      </c>
      <c r="P184" s="105">
        <v>0</v>
      </c>
      <c r="Q184" s="105" t="s">
        <v>670</v>
      </c>
      <c r="R184" s="105" t="s">
        <v>23</v>
      </c>
      <c r="S184" s="105" t="s">
        <v>671</v>
      </c>
      <c r="T184" s="105" t="s">
        <v>672</v>
      </c>
      <c r="U184" s="105" t="b">
        <v>1</v>
      </c>
      <c r="V184" s="105" t="s">
        <v>673</v>
      </c>
      <c r="W184" s="105" t="s">
        <v>674</v>
      </c>
      <c r="X184" s="105">
        <v>6</v>
      </c>
      <c r="Y184" s="105" t="b">
        <v>1</v>
      </c>
      <c r="Z184" s="105" t="s">
        <v>675</v>
      </c>
      <c r="AA184" s="105" t="s">
        <v>676</v>
      </c>
      <c r="AB184" s="105" t="s">
        <v>677</v>
      </c>
      <c r="AC184" s="105">
        <v>0</v>
      </c>
      <c r="AD184" s="105" t="s">
        <v>678</v>
      </c>
      <c r="AE184" s="105">
        <v>8</v>
      </c>
      <c r="AF184" s="105" t="s">
        <v>679</v>
      </c>
      <c r="AG184" s="105">
        <v>741812.50699999998</v>
      </c>
      <c r="AH184" s="105" t="b">
        <v>1</v>
      </c>
      <c r="AI184" s="105">
        <v>-1</v>
      </c>
      <c r="AJ184" s="105" t="s">
        <v>680</v>
      </c>
      <c r="AK184" s="105">
        <v>0</v>
      </c>
      <c r="AL184" s="105" t="b">
        <v>0</v>
      </c>
      <c r="AM184" s="105">
        <v>741812.50699999998</v>
      </c>
      <c r="AN184" s="105" t="b">
        <v>1</v>
      </c>
      <c r="AO184" s="105">
        <v>0</v>
      </c>
      <c r="AP184" s="105" t="b">
        <v>0</v>
      </c>
      <c r="AQ184" s="105">
        <v>409311.842</v>
      </c>
      <c r="AR184" s="105"/>
      <c r="AS184" s="105">
        <v>409311.842</v>
      </c>
      <c r="AT184" s="105">
        <v>6</v>
      </c>
      <c r="AU184" s="105" t="b">
        <v>1</v>
      </c>
      <c r="AV184" s="105" t="b">
        <v>0</v>
      </c>
    </row>
    <row r="185" spans="1:48">
      <c r="A185" s="105" t="s">
        <v>510</v>
      </c>
      <c r="B185" s="105" t="s">
        <v>665</v>
      </c>
      <c r="C185" s="105" t="s">
        <v>666</v>
      </c>
      <c r="D185" s="105">
        <v>20231001</v>
      </c>
      <c r="E185" s="105">
        <v>2023</v>
      </c>
      <c r="F185" s="105">
        <v>10</v>
      </c>
      <c r="G185" s="105" t="s">
        <v>724</v>
      </c>
      <c r="H185" s="105">
        <v>818</v>
      </c>
      <c r="I185" s="105" t="s">
        <v>668</v>
      </c>
      <c r="J185" s="105" t="s">
        <v>57</v>
      </c>
      <c r="K185" s="105" t="s">
        <v>666</v>
      </c>
      <c r="L185" s="105" t="s">
        <v>669</v>
      </c>
      <c r="M185" s="105">
        <v>784</v>
      </c>
      <c r="N185" s="105" t="s">
        <v>694</v>
      </c>
      <c r="O185" s="105" t="s">
        <v>25</v>
      </c>
      <c r="P185" s="105">
        <v>0</v>
      </c>
      <c r="Q185" s="105" t="s">
        <v>670</v>
      </c>
      <c r="R185" s="105" t="s">
        <v>23</v>
      </c>
      <c r="S185" s="105" t="s">
        <v>671</v>
      </c>
      <c r="T185" s="105" t="s">
        <v>672</v>
      </c>
      <c r="U185" s="105" t="b">
        <v>1</v>
      </c>
      <c r="V185" s="105" t="s">
        <v>673</v>
      </c>
      <c r="W185" s="105" t="s">
        <v>674</v>
      </c>
      <c r="X185" s="105">
        <v>6</v>
      </c>
      <c r="Y185" s="105" t="b">
        <v>1</v>
      </c>
      <c r="Z185" s="105" t="s">
        <v>675</v>
      </c>
      <c r="AA185" s="105" t="s">
        <v>676</v>
      </c>
      <c r="AB185" s="105" t="s">
        <v>677</v>
      </c>
      <c r="AC185" s="105">
        <v>0</v>
      </c>
      <c r="AD185" s="105" t="s">
        <v>678</v>
      </c>
      <c r="AE185" s="105">
        <v>8</v>
      </c>
      <c r="AF185" s="105" t="s">
        <v>679</v>
      </c>
      <c r="AG185" s="105">
        <v>16039.217000000001</v>
      </c>
      <c r="AH185" s="105" t="b">
        <v>1</v>
      </c>
      <c r="AI185" s="105">
        <v>-1</v>
      </c>
      <c r="AJ185" s="105" t="s">
        <v>680</v>
      </c>
      <c r="AK185" s="105">
        <v>0</v>
      </c>
      <c r="AL185" s="105" t="b">
        <v>0</v>
      </c>
      <c r="AM185" s="105">
        <v>16039.217000000001</v>
      </c>
      <c r="AN185" s="105" t="b">
        <v>1</v>
      </c>
      <c r="AO185" s="105">
        <v>0</v>
      </c>
      <c r="AP185" s="105" t="b">
        <v>0</v>
      </c>
      <c r="AQ185" s="105">
        <v>8850.0010000000002</v>
      </c>
      <c r="AR185" s="105"/>
      <c r="AS185" s="105">
        <v>8850.0010000000002</v>
      </c>
      <c r="AT185" s="105">
        <v>6</v>
      </c>
      <c r="AU185" s="105" t="b">
        <v>1</v>
      </c>
      <c r="AV185" s="105" t="b">
        <v>0</v>
      </c>
    </row>
    <row r="186" spans="1:48">
      <c r="A186" s="105" t="s">
        <v>510</v>
      </c>
      <c r="B186" s="105" t="s">
        <v>665</v>
      </c>
      <c r="C186" s="105" t="s">
        <v>666</v>
      </c>
      <c r="D186" s="105">
        <v>20231001</v>
      </c>
      <c r="E186" s="105">
        <v>2023</v>
      </c>
      <c r="F186" s="105">
        <v>10</v>
      </c>
      <c r="G186" s="105" t="s">
        <v>724</v>
      </c>
      <c r="H186" s="105">
        <v>818</v>
      </c>
      <c r="I186" s="105" t="s">
        <v>668</v>
      </c>
      <c r="J186" s="105" t="s">
        <v>57</v>
      </c>
      <c r="K186" s="105" t="s">
        <v>666</v>
      </c>
      <c r="L186" s="105" t="s">
        <v>669</v>
      </c>
      <c r="M186" s="105">
        <v>792</v>
      </c>
      <c r="N186" s="105" t="s">
        <v>691</v>
      </c>
      <c r="O186" s="105" t="s">
        <v>63</v>
      </c>
      <c r="P186" s="105">
        <v>0</v>
      </c>
      <c r="Q186" s="105" t="s">
        <v>670</v>
      </c>
      <c r="R186" s="105" t="s">
        <v>23</v>
      </c>
      <c r="S186" s="105" t="s">
        <v>671</v>
      </c>
      <c r="T186" s="105" t="s">
        <v>672</v>
      </c>
      <c r="U186" s="105" t="b">
        <v>1</v>
      </c>
      <c r="V186" s="105" t="s">
        <v>673</v>
      </c>
      <c r="W186" s="105" t="s">
        <v>674</v>
      </c>
      <c r="X186" s="105">
        <v>6</v>
      </c>
      <c r="Y186" s="105" t="b">
        <v>1</v>
      </c>
      <c r="Z186" s="105" t="s">
        <v>675</v>
      </c>
      <c r="AA186" s="105" t="s">
        <v>676</v>
      </c>
      <c r="AB186" s="105" t="s">
        <v>677</v>
      </c>
      <c r="AC186" s="105">
        <v>0</v>
      </c>
      <c r="AD186" s="105" t="s">
        <v>678</v>
      </c>
      <c r="AE186" s="105">
        <v>8</v>
      </c>
      <c r="AF186" s="105" t="s">
        <v>679</v>
      </c>
      <c r="AG186" s="105">
        <v>194420.91500000001</v>
      </c>
      <c r="AH186" s="105" t="b">
        <v>1</v>
      </c>
      <c r="AI186" s="105">
        <v>-1</v>
      </c>
      <c r="AJ186" s="105" t="s">
        <v>680</v>
      </c>
      <c r="AK186" s="105">
        <v>0</v>
      </c>
      <c r="AL186" s="105" t="b">
        <v>0</v>
      </c>
      <c r="AM186" s="105">
        <v>194420.91500000001</v>
      </c>
      <c r="AN186" s="105" t="b">
        <v>1</v>
      </c>
      <c r="AO186" s="105">
        <v>0</v>
      </c>
      <c r="AP186" s="105" t="b">
        <v>0</v>
      </c>
      <c r="AQ186" s="105">
        <v>107276.141</v>
      </c>
      <c r="AR186" s="105"/>
      <c r="AS186" s="105">
        <v>107276.141</v>
      </c>
      <c r="AT186" s="105">
        <v>6</v>
      </c>
      <c r="AU186" s="105" t="b">
        <v>1</v>
      </c>
      <c r="AV186" s="105" t="b">
        <v>0</v>
      </c>
    </row>
    <row r="187" spans="1:48">
      <c r="A187" s="105" t="s">
        <v>510</v>
      </c>
      <c r="B187" s="105" t="s">
        <v>665</v>
      </c>
      <c r="C187" s="105" t="s">
        <v>666</v>
      </c>
      <c r="D187" s="105">
        <v>20231001</v>
      </c>
      <c r="E187" s="105">
        <v>2023</v>
      </c>
      <c r="F187" s="105">
        <v>10</v>
      </c>
      <c r="G187" s="105" t="s">
        <v>724</v>
      </c>
      <c r="H187" s="105">
        <v>818</v>
      </c>
      <c r="I187" s="105" t="s">
        <v>668</v>
      </c>
      <c r="J187" s="105" t="s">
        <v>57</v>
      </c>
      <c r="K187" s="105" t="s">
        <v>666</v>
      </c>
      <c r="L187" s="105" t="s">
        <v>669</v>
      </c>
      <c r="M187" s="105">
        <v>826</v>
      </c>
      <c r="N187" s="105" t="s">
        <v>685</v>
      </c>
      <c r="O187" s="105" t="s">
        <v>64</v>
      </c>
      <c r="P187" s="105">
        <v>0</v>
      </c>
      <c r="Q187" s="105" t="s">
        <v>670</v>
      </c>
      <c r="R187" s="105" t="s">
        <v>23</v>
      </c>
      <c r="S187" s="105" t="s">
        <v>671</v>
      </c>
      <c r="T187" s="105" t="s">
        <v>672</v>
      </c>
      <c r="U187" s="105" t="b">
        <v>1</v>
      </c>
      <c r="V187" s="105" t="s">
        <v>673</v>
      </c>
      <c r="W187" s="105" t="s">
        <v>674</v>
      </c>
      <c r="X187" s="105">
        <v>6</v>
      </c>
      <c r="Y187" s="105" t="b">
        <v>1</v>
      </c>
      <c r="Z187" s="105" t="s">
        <v>675</v>
      </c>
      <c r="AA187" s="105" t="s">
        <v>676</v>
      </c>
      <c r="AB187" s="105" t="s">
        <v>677</v>
      </c>
      <c r="AC187" s="105">
        <v>0</v>
      </c>
      <c r="AD187" s="105" t="s">
        <v>678</v>
      </c>
      <c r="AE187" s="105">
        <v>8</v>
      </c>
      <c r="AF187" s="105" t="s">
        <v>679</v>
      </c>
      <c r="AG187" s="105">
        <v>286475.90000000002</v>
      </c>
      <c r="AH187" s="105" t="b">
        <v>1</v>
      </c>
      <c r="AI187" s="105">
        <v>-1</v>
      </c>
      <c r="AJ187" s="105" t="s">
        <v>680</v>
      </c>
      <c r="AK187" s="105">
        <v>0</v>
      </c>
      <c r="AL187" s="105" t="b">
        <v>0</v>
      </c>
      <c r="AM187" s="105">
        <v>286475.90000000002</v>
      </c>
      <c r="AN187" s="105" t="b">
        <v>1</v>
      </c>
      <c r="AO187" s="105">
        <v>0</v>
      </c>
      <c r="AP187" s="105" t="b">
        <v>0</v>
      </c>
      <c r="AQ187" s="105">
        <v>158069.56299999999</v>
      </c>
      <c r="AR187" s="105"/>
      <c r="AS187" s="105">
        <v>158069.56299999999</v>
      </c>
      <c r="AT187" s="105">
        <v>6</v>
      </c>
      <c r="AU187" s="105" t="b">
        <v>1</v>
      </c>
      <c r="AV187" s="105" t="b">
        <v>0</v>
      </c>
    </row>
    <row r="188" spans="1:48">
      <c r="A188" s="105" t="s">
        <v>510</v>
      </c>
      <c r="B188" s="105" t="s">
        <v>665</v>
      </c>
      <c r="C188" s="105" t="s">
        <v>666</v>
      </c>
      <c r="D188" s="105">
        <v>20231001</v>
      </c>
      <c r="E188" s="105">
        <v>2023</v>
      </c>
      <c r="F188" s="105">
        <v>10</v>
      </c>
      <c r="G188" s="105" t="s">
        <v>724</v>
      </c>
      <c r="H188" s="105">
        <v>818</v>
      </c>
      <c r="I188" s="105" t="s">
        <v>668</v>
      </c>
      <c r="J188" s="105" t="s">
        <v>57</v>
      </c>
      <c r="K188" s="105" t="s">
        <v>666</v>
      </c>
      <c r="L188" s="105" t="s">
        <v>669</v>
      </c>
      <c r="M188" s="105">
        <v>887</v>
      </c>
      <c r="N188" s="105" t="s">
        <v>686</v>
      </c>
      <c r="O188" s="105" t="s">
        <v>569</v>
      </c>
      <c r="P188" s="105">
        <v>0</v>
      </c>
      <c r="Q188" s="105" t="s">
        <v>670</v>
      </c>
      <c r="R188" s="105" t="s">
        <v>23</v>
      </c>
      <c r="S188" s="105" t="s">
        <v>671</v>
      </c>
      <c r="T188" s="105" t="s">
        <v>672</v>
      </c>
      <c r="U188" s="105" t="b">
        <v>1</v>
      </c>
      <c r="V188" s="105" t="s">
        <v>673</v>
      </c>
      <c r="W188" s="105" t="s">
        <v>674</v>
      </c>
      <c r="X188" s="105">
        <v>6</v>
      </c>
      <c r="Y188" s="105" t="b">
        <v>1</v>
      </c>
      <c r="Z188" s="105" t="s">
        <v>675</v>
      </c>
      <c r="AA188" s="105" t="s">
        <v>676</v>
      </c>
      <c r="AB188" s="105" t="s">
        <v>677</v>
      </c>
      <c r="AC188" s="105">
        <v>0</v>
      </c>
      <c r="AD188" s="105" t="s">
        <v>678</v>
      </c>
      <c r="AE188" s="105">
        <v>8</v>
      </c>
      <c r="AF188" s="105" t="s">
        <v>679</v>
      </c>
      <c r="AG188" s="105">
        <v>377588.065</v>
      </c>
      <c r="AH188" s="105" t="b">
        <v>1</v>
      </c>
      <c r="AI188" s="105">
        <v>-1</v>
      </c>
      <c r="AJ188" s="105" t="s">
        <v>680</v>
      </c>
      <c r="AK188" s="105">
        <v>0</v>
      </c>
      <c r="AL188" s="105" t="b">
        <v>0</v>
      </c>
      <c r="AM188" s="105">
        <v>377588.065</v>
      </c>
      <c r="AN188" s="105" t="b">
        <v>1</v>
      </c>
      <c r="AO188" s="105">
        <v>0</v>
      </c>
      <c r="AP188" s="105" t="b">
        <v>0</v>
      </c>
      <c r="AQ188" s="105">
        <v>208342.76199999999</v>
      </c>
      <c r="AR188" s="105"/>
      <c r="AS188" s="105">
        <v>208342.76199999999</v>
      </c>
      <c r="AT188" s="105">
        <v>6</v>
      </c>
      <c r="AU188" s="105" t="b">
        <v>1</v>
      </c>
      <c r="AV188" s="105" t="b">
        <v>0</v>
      </c>
    </row>
    <row r="189" spans="1:48">
      <c r="A189" s="105" t="s">
        <v>510</v>
      </c>
      <c r="B189" s="105" t="s">
        <v>665</v>
      </c>
      <c r="C189" s="105" t="s">
        <v>666</v>
      </c>
      <c r="D189" s="105">
        <v>20231101</v>
      </c>
      <c r="E189" s="105">
        <v>2023</v>
      </c>
      <c r="F189" s="105">
        <v>11</v>
      </c>
      <c r="G189" s="105" t="s">
        <v>725</v>
      </c>
      <c r="H189" s="105">
        <v>818</v>
      </c>
      <c r="I189" s="105" t="s">
        <v>668</v>
      </c>
      <c r="J189" s="105" t="s">
        <v>57</v>
      </c>
      <c r="K189" s="105" t="s">
        <v>666</v>
      </c>
      <c r="L189" s="105" t="s">
        <v>669</v>
      </c>
      <c r="M189" s="105">
        <v>0</v>
      </c>
      <c r="N189" s="105" t="s">
        <v>670</v>
      </c>
      <c r="O189" s="105" t="s">
        <v>23</v>
      </c>
      <c r="P189" s="105">
        <v>0</v>
      </c>
      <c r="Q189" s="105" t="s">
        <v>670</v>
      </c>
      <c r="R189" s="105" t="s">
        <v>23</v>
      </c>
      <c r="S189" s="105" t="s">
        <v>671</v>
      </c>
      <c r="T189" s="105" t="s">
        <v>672</v>
      </c>
      <c r="U189" s="105" t="b">
        <v>1</v>
      </c>
      <c r="V189" s="105" t="s">
        <v>673</v>
      </c>
      <c r="W189" s="105" t="s">
        <v>674</v>
      </c>
      <c r="X189" s="105">
        <v>6</v>
      </c>
      <c r="Y189" s="105" t="b">
        <v>1</v>
      </c>
      <c r="Z189" s="105" t="s">
        <v>675</v>
      </c>
      <c r="AA189" s="105" t="s">
        <v>676</v>
      </c>
      <c r="AB189" s="105" t="s">
        <v>677</v>
      </c>
      <c r="AC189" s="105">
        <v>0</v>
      </c>
      <c r="AD189" s="105" t="s">
        <v>678</v>
      </c>
      <c r="AE189" s="105">
        <v>8</v>
      </c>
      <c r="AF189" s="105" t="s">
        <v>679</v>
      </c>
      <c r="AG189" s="105">
        <v>2965111.8530000001</v>
      </c>
      <c r="AH189" s="105" t="b">
        <v>1</v>
      </c>
      <c r="AI189" s="105">
        <v>-1</v>
      </c>
      <c r="AJ189" s="105" t="s">
        <v>680</v>
      </c>
      <c r="AK189" s="105">
        <v>0</v>
      </c>
      <c r="AL189" s="105" t="b">
        <v>0</v>
      </c>
      <c r="AM189" s="105">
        <v>2965111.8530000001</v>
      </c>
      <c r="AN189" s="105" t="b">
        <v>1</v>
      </c>
      <c r="AO189" s="105">
        <v>0</v>
      </c>
      <c r="AP189" s="105" t="b">
        <v>0</v>
      </c>
      <c r="AQ189" s="105">
        <v>1636067.58</v>
      </c>
      <c r="AR189" s="105"/>
      <c r="AS189" s="105">
        <v>1636067.58</v>
      </c>
      <c r="AT189" s="105">
        <v>6</v>
      </c>
      <c r="AU189" s="105" t="b">
        <v>0</v>
      </c>
      <c r="AV189" s="105" t="b">
        <v>1</v>
      </c>
    </row>
    <row r="190" spans="1:48">
      <c r="A190" s="105" t="s">
        <v>510</v>
      </c>
      <c r="B190" s="105" t="s">
        <v>665</v>
      </c>
      <c r="C190" s="105" t="s">
        <v>666</v>
      </c>
      <c r="D190" s="105">
        <v>20231101</v>
      </c>
      <c r="E190" s="105">
        <v>2023</v>
      </c>
      <c r="F190" s="105">
        <v>11</v>
      </c>
      <c r="G190" s="105" t="s">
        <v>725</v>
      </c>
      <c r="H190" s="105">
        <v>818</v>
      </c>
      <c r="I190" s="105" t="s">
        <v>668</v>
      </c>
      <c r="J190" s="105" t="s">
        <v>57</v>
      </c>
      <c r="K190" s="105" t="s">
        <v>666</v>
      </c>
      <c r="L190" s="105" t="s">
        <v>669</v>
      </c>
      <c r="M190" s="105">
        <v>276</v>
      </c>
      <c r="N190" s="105" t="s">
        <v>681</v>
      </c>
      <c r="O190" s="105" t="s">
        <v>30</v>
      </c>
      <c r="P190" s="105">
        <v>0</v>
      </c>
      <c r="Q190" s="105" t="s">
        <v>670</v>
      </c>
      <c r="R190" s="105" t="s">
        <v>23</v>
      </c>
      <c r="S190" s="105" t="s">
        <v>671</v>
      </c>
      <c r="T190" s="105" t="s">
        <v>672</v>
      </c>
      <c r="U190" s="105" t="b">
        <v>1</v>
      </c>
      <c r="V190" s="105" t="s">
        <v>673</v>
      </c>
      <c r="W190" s="105" t="s">
        <v>674</v>
      </c>
      <c r="X190" s="105">
        <v>6</v>
      </c>
      <c r="Y190" s="105" t="b">
        <v>1</v>
      </c>
      <c r="Z190" s="105" t="s">
        <v>675</v>
      </c>
      <c r="AA190" s="105" t="s">
        <v>676</v>
      </c>
      <c r="AB190" s="105" t="s">
        <v>677</v>
      </c>
      <c r="AC190" s="105">
        <v>0</v>
      </c>
      <c r="AD190" s="105" t="s">
        <v>678</v>
      </c>
      <c r="AE190" s="105">
        <v>8</v>
      </c>
      <c r="AF190" s="105" t="s">
        <v>679</v>
      </c>
      <c r="AG190" s="105">
        <v>38390.017</v>
      </c>
      <c r="AH190" s="105" t="b">
        <v>1</v>
      </c>
      <c r="AI190" s="105">
        <v>-1</v>
      </c>
      <c r="AJ190" s="105" t="s">
        <v>680</v>
      </c>
      <c r="AK190" s="105">
        <v>0</v>
      </c>
      <c r="AL190" s="105" t="b">
        <v>0</v>
      </c>
      <c r="AM190" s="105">
        <v>38390.017</v>
      </c>
      <c r="AN190" s="105" t="b">
        <v>1</v>
      </c>
      <c r="AO190" s="105">
        <v>0</v>
      </c>
      <c r="AP190" s="105" t="b">
        <v>0</v>
      </c>
      <c r="AQ190" s="105">
        <v>21182.561000000002</v>
      </c>
      <c r="AR190" s="105"/>
      <c r="AS190" s="105">
        <v>21182.561000000002</v>
      </c>
      <c r="AT190" s="105">
        <v>6</v>
      </c>
      <c r="AU190" s="105" t="b">
        <v>1</v>
      </c>
      <c r="AV190" s="105" t="b">
        <v>0</v>
      </c>
    </row>
    <row r="191" spans="1:48">
      <c r="A191" s="105" t="s">
        <v>510</v>
      </c>
      <c r="B191" s="105" t="s">
        <v>665</v>
      </c>
      <c r="C191" s="105" t="s">
        <v>666</v>
      </c>
      <c r="D191" s="105">
        <v>20231101</v>
      </c>
      <c r="E191" s="105">
        <v>2023</v>
      </c>
      <c r="F191" s="105">
        <v>11</v>
      </c>
      <c r="G191" s="105" t="s">
        <v>725</v>
      </c>
      <c r="H191" s="105">
        <v>818</v>
      </c>
      <c r="I191" s="105" t="s">
        <v>668</v>
      </c>
      <c r="J191" s="105" t="s">
        <v>57</v>
      </c>
      <c r="K191" s="105" t="s">
        <v>666</v>
      </c>
      <c r="L191" s="105" t="s">
        <v>669</v>
      </c>
      <c r="M191" s="105">
        <v>686</v>
      </c>
      <c r="N191" s="105" t="s">
        <v>690</v>
      </c>
      <c r="O191" s="105" t="s">
        <v>232</v>
      </c>
      <c r="P191" s="105">
        <v>0</v>
      </c>
      <c r="Q191" s="105" t="s">
        <v>670</v>
      </c>
      <c r="R191" s="105" t="s">
        <v>23</v>
      </c>
      <c r="S191" s="105" t="s">
        <v>671</v>
      </c>
      <c r="T191" s="105" t="s">
        <v>672</v>
      </c>
      <c r="U191" s="105" t="b">
        <v>1</v>
      </c>
      <c r="V191" s="105" t="s">
        <v>673</v>
      </c>
      <c r="W191" s="105" t="s">
        <v>674</v>
      </c>
      <c r="X191" s="105">
        <v>6</v>
      </c>
      <c r="Y191" s="105" t="b">
        <v>1</v>
      </c>
      <c r="Z191" s="105" t="s">
        <v>675</v>
      </c>
      <c r="AA191" s="105" t="s">
        <v>676</v>
      </c>
      <c r="AB191" s="105" t="s">
        <v>677</v>
      </c>
      <c r="AC191" s="105">
        <v>0</v>
      </c>
      <c r="AD191" s="105" t="s">
        <v>678</v>
      </c>
      <c r="AE191" s="105">
        <v>8</v>
      </c>
      <c r="AF191" s="105" t="s">
        <v>679</v>
      </c>
      <c r="AG191" s="105">
        <v>174744.247</v>
      </c>
      <c r="AH191" s="105" t="b">
        <v>1</v>
      </c>
      <c r="AI191" s="105">
        <v>-1</v>
      </c>
      <c r="AJ191" s="105" t="s">
        <v>680</v>
      </c>
      <c r="AK191" s="105">
        <v>0</v>
      </c>
      <c r="AL191" s="105" t="b">
        <v>0</v>
      </c>
      <c r="AM191" s="105">
        <v>174744.247</v>
      </c>
      <c r="AN191" s="105" t="b">
        <v>1</v>
      </c>
      <c r="AO191" s="105">
        <v>0</v>
      </c>
      <c r="AP191" s="105" t="b">
        <v>0</v>
      </c>
      <c r="AQ191" s="105">
        <v>96419.093999999997</v>
      </c>
      <c r="AR191" s="105"/>
      <c r="AS191" s="105">
        <v>96419.093999999997</v>
      </c>
      <c r="AT191" s="105">
        <v>6</v>
      </c>
      <c r="AU191" s="105" t="b">
        <v>1</v>
      </c>
      <c r="AV191" s="105" t="b">
        <v>0</v>
      </c>
    </row>
    <row r="192" spans="1:48">
      <c r="A192" s="105" t="s">
        <v>510</v>
      </c>
      <c r="B192" s="105" t="s">
        <v>665</v>
      </c>
      <c r="C192" s="105" t="s">
        <v>666</v>
      </c>
      <c r="D192" s="105">
        <v>20231101</v>
      </c>
      <c r="E192" s="105">
        <v>2023</v>
      </c>
      <c r="F192" s="105">
        <v>11</v>
      </c>
      <c r="G192" s="105" t="s">
        <v>725</v>
      </c>
      <c r="H192" s="105">
        <v>818</v>
      </c>
      <c r="I192" s="105" t="s">
        <v>668</v>
      </c>
      <c r="J192" s="105" t="s">
        <v>57</v>
      </c>
      <c r="K192" s="105" t="s">
        <v>666</v>
      </c>
      <c r="L192" s="105" t="s">
        <v>669</v>
      </c>
      <c r="M192" s="105">
        <v>724</v>
      </c>
      <c r="N192" s="105" t="s">
        <v>684</v>
      </c>
      <c r="O192" s="105" t="s">
        <v>51</v>
      </c>
      <c r="P192" s="105">
        <v>0</v>
      </c>
      <c r="Q192" s="105" t="s">
        <v>670</v>
      </c>
      <c r="R192" s="105" t="s">
        <v>23</v>
      </c>
      <c r="S192" s="105" t="s">
        <v>671</v>
      </c>
      <c r="T192" s="105" t="s">
        <v>672</v>
      </c>
      <c r="U192" s="105" t="b">
        <v>1</v>
      </c>
      <c r="V192" s="105" t="s">
        <v>673</v>
      </c>
      <c r="W192" s="105" t="s">
        <v>674</v>
      </c>
      <c r="X192" s="105">
        <v>6</v>
      </c>
      <c r="Y192" s="105" t="b">
        <v>1</v>
      </c>
      <c r="Z192" s="105" t="s">
        <v>675</v>
      </c>
      <c r="AA192" s="105" t="s">
        <v>676</v>
      </c>
      <c r="AB192" s="105" t="s">
        <v>677</v>
      </c>
      <c r="AC192" s="105">
        <v>0</v>
      </c>
      <c r="AD192" s="105" t="s">
        <v>678</v>
      </c>
      <c r="AE192" s="105">
        <v>8</v>
      </c>
      <c r="AF192" s="105" t="s">
        <v>679</v>
      </c>
      <c r="AG192" s="105">
        <v>2003614.7290000001</v>
      </c>
      <c r="AH192" s="105" t="b">
        <v>1</v>
      </c>
      <c r="AI192" s="105">
        <v>-1</v>
      </c>
      <c r="AJ192" s="105" t="s">
        <v>680</v>
      </c>
      <c r="AK192" s="105">
        <v>0</v>
      </c>
      <c r="AL192" s="105" t="b">
        <v>0</v>
      </c>
      <c r="AM192" s="105">
        <v>2003614.7290000001</v>
      </c>
      <c r="AN192" s="105" t="b">
        <v>1</v>
      </c>
      <c r="AO192" s="105">
        <v>0</v>
      </c>
      <c r="AP192" s="105" t="b">
        <v>0</v>
      </c>
      <c r="AQ192" s="105">
        <v>1105539.7790000001</v>
      </c>
      <c r="AR192" s="105"/>
      <c r="AS192" s="105">
        <v>1105539.7790000001</v>
      </c>
      <c r="AT192" s="105">
        <v>6</v>
      </c>
      <c r="AU192" s="105" t="b">
        <v>1</v>
      </c>
      <c r="AV192" s="105" t="b">
        <v>0</v>
      </c>
    </row>
    <row r="193" spans="1:48">
      <c r="A193" s="105" t="s">
        <v>510</v>
      </c>
      <c r="B193" s="105" t="s">
        <v>665</v>
      </c>
      <c r="C193" s="105" t="s">
        <v>666</v>
      </c>
      <c r="D193" s="105">
        <v>20231101</v>
      </c>
      <c r="E193" s="105">
        <v>2023</v>
      </c>
      <c r="F193" s="105">
        <v>11</v>
      </c>
      <c r="G193" s="105" t="s">
        <v>725</v>
      </c>
      <c r="H193" s="105">
        <v>818</v>
      </c>
      <c r="I193" s="105" t="s">
        <v>668</v>
      </c>
      <c r="J193" s="105" t="s">
        <v>57</v>
      </c>
      <c r="K193" s="105" t="s">
        <v>666</v>
      </c>
      <c r="L193" s="105" t="s">
        <v>669</v>
      </c>
      <c r="M193" s="105">
        <v>784</v>
      </c>
      <c r="N193" s="105" t="s">
        <v>694</v>
      </c>
      <c r="O193" s="105" t="s">
        <v>25</v>
      </c>
      <c r="P193" s="105">
        <v>0</v>
      </c>
      <c r="Q193" s="105" t="s">
        <v>670</v>
      </c>
      <c r="R193" s="105" t="s">
        <v>23</v>
      </c>
      <c r="S193" s="105" t="s">
        <v>671</v>
      </c>
      <c r="T193" s="105" t="s">
        <v>672</v>
      </c>
      <c r="U193" s="105" t="b">
        <v>1</v>
      </c>
      <c r="V193" s="105" t="s">
        <v>673</v>
      </c>
      <c r="W193" s="105" t="s">
        <v>674</v>
      </c>
      <c r="X193" s="105">
        <v>6</v>
      </c>
      <c r="Y193" s="105" t="b">
        <v>1</v>
      </c>
      <c r="Z193" s="105" t="s">
        <v>675</v>
      </c>
      <c r="AA193" s="105" t="s">
        <v>676</v>
      </c>
      <c r="AB193" s="105" t="s">
        <v>677</v>
      </c>
      <c r="AC193" s="105">
        <v>0</v>
      </c>
      <c r="AD193" s="105" t="s">
        <v>678</v>
      </c>
      <c r="AE193" s="105">
        <v>8</v>
      </c>
      <c r="AF193" s="105" t="s">
        <v>679</v>
      </c>
      <c r="AG193" s="105">
        <v>463874.94500000001</v>
      </c>
      <c r="AH193" s="105" t="b">
        <v>1</v>
      </c>
      <c r="AI193" s="105">
        <v>-1</v>
      </c>
      <c r="AJ193" s="105" t="s">
        <v>680</v>
      </c>
      <c r="AK193" s="105">
        <v>0</v>
      </c>
      <c r="AL193" s="105" t="b">
        <v>0</v>
      </c>
      <c r="AM193" s="105">
        <v>463874.94500000001</v>
      </c>
      <c r="AN193" s="105" t="b">
        <v>1</v>
      </c>
      <c r="AO193" s="105">
        <v>0</v>
      </c>
      <c r="AP193" s="105" t="b">
        <v>0</v>
      </c>
      <c r="AQ193" s="105">
        <v>255953.50099999999</v>
      </c>
      <c r="AR193" s="105"/>
      <c r="AS193" s="105">
        <v>255953.50099999999</v>
      </c>
      <c r="AT193" s="105">
        <v>6</v>
      </c>
      <c r="AU193" s="105" t="b">
        <v>1</v>
      </c>
      <c r="AV193" s="105" t="b">
        <v>0</v>
      </c>
    </row>
    <row r="194" spans="1:48">
      <c r="A194" s="105" t="s">
        <v>510</v>
      </c>
      <c r="B194" s="105" t="s">
        <v>665</v>
      </c>
      <c r="C194" s="105" t="s">
        <v>666</v>
      </c>
      <c r="D194" s="105">
        <v>20231101</v>
      </c>
      <c r="E194" s="105">
        <v>2023</v>
      </c>
      <c r="F194" s="105">
        <v>11</v>
      </c>
      <c r="G194" s="105" t="s">
        <v>725</v>
      </c>
      <c r="H194" s="105">
        <v>818</v>
      </c>
      <c r="I194" s="105" t="s">
        <v>668</v>
      </c>
      <c r="J194" s="105" t="s">
        <v>57</v>
      </c>
      <c r="K194" s="105" t="s">
        <v>666</v>
      </c>
      <c r="L194" s="105" t="s">
        <v>669</v>
      </c>
      <c r="M194" s="105">
        <v>792</v>
      </c>
      <c r="N194" s="105" t="s">
        <v>691</v>
      </c>
      <c r="O194" s="105" t="s">
        <v>63</v>
      </c>
      <c r="P194" s="105">
        <v>0</v>
      </c>
      <c r="Q194" s="105" t="s">
        <v>670</v>
      </c>
      <c r="R194" s="105" t="s">
        <v>23</v>
      </c>
      <c r="S194" s="105" t="s">
        <v>671</v>
      </c>
      <c r="T194" s="105" t="s">
        <v>672</v>
      </c>
      <c r="U194" s="105" t="b">
        <v>1</v>
      </c>
      <c r="V194" s="105" t="s">
        <v>673</v>
      </c>
      <c r="W194" s="105" t="s">
        <v>674</v>
      </c>
      <c r="X194" s="105">
        <v>6</v>
      </c>
      <c r="Y194" s="105" t="b">
        <v>1</v>
      </c>
      <c r="Z194" s="105" t="s">
        <v>675</v>
      </c>
      <c r="AA194" s="105" t="s">
        <v>676</v>
      </c>
      <c r="AB194" s="105" t="s">
        <v>677</v>
      </c>
      <c r="AC194" s="105">
        <v>0</v>
      </c>
      <c r="AD194" s="105" t="s">
        <v>678</v>
      </c>
      <c r="AE194" s="105">
        <v>8</v>
      </c>
      <c r="AF194" s="105" t="s">
        <v>679</v>
      </c>
      <c r="AG194" s="105">
        <v>283785.424</v>
      </c>
      <c r="AH194" s="105" t="b">
        <v>1</v>
      </c>
      <c r="AI194" s="105">
        <v>-1</v>
      </c>
      <c r="AJ194" s="105" t="s">
        <v>680</v>
      </c>
      <c r="AK194" s="105">
        <v>0</v>
      </c>
      <c r="AL194" s="105" t="b">
        <v>0</v>
      </c>
      <c r="AM194" s="105">
        <v>283785.424</v>
      </c>
      <c r="AN194" s="105" t="b">
        <v>1</v>
      </c>
      <c r="AO194" s="105">
        <v>0</v>
      </c>
      <c r="AP194" s="105" t="b">
        <v>0</v>
      </c>
      <c r="AQ194" s="105">
        <v>156585.03099999999</v>
      </c>
      <c r="AR194" s="105"/>
      <c r="AS194" s="105">
        <v>156585.03099999999</v>
      </c>
      <c r="AT194" s="105">
        <v>6</v>
      </c>
      <c r="AU194" s="105" t="b">
        <v>1</v>
      </c>
      <c r="AV194" s="105" t="b">
        <v>0</v>
      </c>
    </row>
    <row r="195" spans="1:48">
      <c r="A195" s="105" t="s">
        <v>510</v>
      </c>
      <c r="B195" s="105" t="s">
        <v>665</v>
      </c>
      <c r="C195" s="105" t="s">
        <v>666</v>
      </c>
      <c r="D195" s="105">
        <v>20231101</v>
      </c>
      <c r="E195" s="105">
        <v>2023</v>
      </c>
      <c r="F195" s="105">
        <v>11</v>
      </c>
      <c r="G195" s="105" t="s">
        <v>725</v>
      </c>
      <c r="H195" s="105">
        <v>818</v>
      </c>
      <c r="I195" s="105" t="s">
        <v>668</v>
      </c>
      <c r="J195" s="105" t="s">
        <v>57</v>
      </c>
      <c r="K195" s="105" t="s">
        <v>666</v>
      </c>
      <c r="L195" s="105" t="s">
        <v>669</v>
      </c>
      <c r="M195" s="105">
        <v>842</v>
      </c>
      <c r="N195" s="105" t="s">
        <v>713</v>
      </c>
      <c r="O195" s="105" t="s">
        <v>713</v>
      </c>
      <c r="P195" s="105">
        <v>0</v>
      </c>
      <c r="Q195" s="105" t="s">
        <v>670</v>
      </c>
      <c r="R195" s="105" t="s">
        <v>23</v>
      </c>
      <c r="S195" s="105" t="s">
        <v>671</v>
      </c>
      <c r="T195" s="105" t="s">
        <v>672</v>
      </c>
      <c r="U195" s="105" t="b">
        <v>1</v>
      </c>
      <c r="V195" s="105" t="s">
        <v>673</v>
      </c>
      <c r="W195" s="105" t="s">
        <v>674</v>
      </c>
      <c r="X195" s="105">
        <v>6</v>
      </c>
      <c r="Y195" s="105" t="b">
        <v>1</v>
      </c>
      <c r="Z195" s="105" t="s">
        <v>675</v>
      </c>
      <c r="AA195" s="105" t="s">
        <v>676</v>
      </c>
      <c r="AB195" s="105" t="s">
        <v>677</v>
      </c>
      <c r="AC195" s="105">
        <v>0</v>
      </c>
      <c r="AD195" s="105" t="s">
        <v>678</v>
      </c>
      <c r="AE195" s="105">
        <v>8</v>
      </c>
      <c r="AF195" s="105" t="s">
        <v>679</v>
      </c>
      <c r="AG195" s="105">
        <v>702.49</v>
      </c>
      <c r="AH195" s="105" t="b">
        <v>1</v>
      </c>
      <c r="AI195" s="105">
        <v>-1</v>
      </c>
      <c r="AJ195" s="105" t="s">
        <v>680</v>
      </c>
      <c r="AK195" s="105">
        <v>0</v>
      </c>
      <c r="AL195" s="105" t="b">
        <v>0</v>
      </c>
      <c r="AM195" s="105">
        <v>702.49</v>
      </c>
      <c r="AN195" s="105" t="b">
        <v>1</v>
      </c>
      <c r="AO195" s="105">
        <v>0</v>
      </c>
      <c r="AP195" s="105" t="b">
        <v>0</v>
      </c>
      <c r="AQ195" s="105">
        <v>387.61500000000001</v>
      </c>
      <c r="AR195" s="105"/>
      <c r="AS195" s="105">
        <v>387.61500000000001</v>
      </c>
      <c r="AT195" s="105">
        <v>6</v>
      </c>
      <c r="AU195" s="105" t="b">
        <v>1</v>
      </c>
      <c r="AV195" s="105" t="b">
        <v>0</v>
      </c>
    </row>
    <row r="196" spans="1:48">
      <c r="A196" s="105" t="s">
        <v>510</v>
      </c>
      <c r="B196" s="105" t="s">
        <v>665</v>
      </c>
      <c r="C196" s="105" t="s">
        <v>666</v>
      </c>
      <c r="D196" s="105">
        <v>20231201</v>
      </c>
      <c r="E196" s="105">
        <v>2023</v>
      </c>
      <c r="F196" s="105">
        <v>12</v>
      </c>
      <c r="G196" s="105" t="s">
        <v>726</v>
      </c>
      <c r="H196" s="105">
        <v>818</v>
      </c>
      <c r="I196" s="105" t="s">
        <v>668</v>
      </c>
      <c r="J196" s="105" t="s">
        <v>57</v>
      </c>
      <c r="K196" s="105" t="s">
        <v>666</v>
      </c>
      <c r="L196" s="105" t="s">
        <v>669</v>
      </c>
      <c r="M196" s="105">
        <v>0</v>
      </c>
      <c r="N196" s="105" t="s">
        <v>670</v>
      </c>
      <c r="O196" s="105" t="s">
        <v>23</v>
      </c>
      <c r="P196" s="105">
        <v>0</v>
      </c>
      <c r="Q196" s="105" t="s">
        <v>670</v>
      </c>
      <c r="R196" s="105" t="s">
        <v>23</v>
      </c>
      <c r="S196" s="105" t="s">
        <v>671</v>
      </c>
      <c r="T196" s="105" t="s">
        <v>672</v>
      </c>
      <c r="U196" s="105" t="b">
        <v>1</v>
      </c>
      <c r="V196" s="105" t="s">
        <v>673</v>
      </c>
      <c r="W196" s="105" t="s">
        <v>674</v>
      </c>
      <c r="X196" s="105">
        <v>6</v>
      </c>
      <c r="Y196" s="105" t="b">
        <v>1</v>
      </c>
      <c r="Z196" s="105" t="s">
        <v>675</v>
      </c>
      <c r="AA196" s="105" t="s">
        <v>676</v>
      </c>
      <c r="AB196" s="105" t="s">
        <v>677</v>
      </c>
      <c r="AC196" s="105">
        <v>0</v>
      </c>
      <c r="AD196" s="105" t="s">
        <v>678</v>
      </c>
      <c r="AE196" s="105">
        <v>8</v>
      </c>
      <c r="AF196" s="105" t="s">
        <v>679</v>
      </c>
      <c r="AG196" s="105">
        <v>401290.56599999999</v>
      </c>
      <c r="AH196" s="105" t="b">
        <v>1</v>
      </c>
      <c r="AI196" s="105">
        <v>-1</v>
      </c>
      <c r="AJ196" s="105" t="s">
        <v>680</v>
      </c>
      <c r="AK196" s="105">
        <v>0</v>
      </c>
      <c r="AL196" s="105" t="b">
        <v>0</v>
      </c>
      <c r="AM196" s="105">
        <v>401290.56599999999</v>
      </c>
      <c r="AN196" s="105" t="b">
        <v>1</v>
      </c>
      <c r="AO196" s="105">
        <v>0</v>
      </c>
      <c r="AP196" s="105" t="b">
        <v>0</v>
      </c>
      <c r="AQ196" s="105">
        <v>221421.15299999999</v>
      </c>
      <c r="AR196" s="105"/>
      <c r="AS196" s="105">
        <v>221421.15299999999</v>
      </c>
      <c r="AT196" s="105">
        <v>6</v>
      </c>
      <c r="AU196" s="105" t="b">
        <v>0</v>
      </c>
      <c r="AV196" s="105" t="b">
        <v>1</v>
      </c>
    </row>
    <row r="197" spans="1:48">
      <c r="A197" s="105" t="s">
        <v>510</v>
      </c>
      <c r="B197" s="105" t="s">
        <v>665</v>
      </c>
      <c r="C197" s="105" t="s">
        <v>666</v>
      </c>
      <c r="D197" s="105">
        <v>20231201</v>
      </c>
      <c r="E197" s="105">
        <v>2023</v>
      </c>
      <c r="F197" s="105">
        <v>12</v>
      </c>
      <c r="G197" s="105" t="s">
        <v>726</v>
      </c>
      <c r="H197" s="105">
        <v>818</v>
      </c>
      <c r="I197" s="105" t="s">
        <v>668</v>
      </c>
      <c r="J197" s="105" t="s">
        <v>57</v>
      </c>
      <c r="K197" s="105" t="s">
        <v>666</v>
      </c>
      <c r="L197" s="105" t="s">
        <v>669</v>
      </c>
      <c r="M197" s="105">
        <v>156</v>
      </c>
      <c r="N197" s="105" t="s">
        <v>711</v>
      </c>
      <c r="O197" s="105" t="s">
        <v>29</v>
      </c>
      <c r="P197" s="105">
        <v>0</v>
      </c>
      <c r="Q197" s="105" t="s">
        <v>670</v>
      </c>
      <c r="R197" s="105" t="s">
        <v>23</v>
      </c>
      <c r="S197" s="105" t="s">
        <v>671</v>
      </c>
      <c r="T197" s="105" t="s">
        <v>672</v>
      </c>
      <c r="U197" s="105" t="b">
        <v>1</v>
      </c>
      <c r="V197" s="105" t="s">
        <v>673</v>
      </c>
      <c r="W197" s="105" t="s">
        <v>674</v>
      </c>
      <c r="X197" s="105">
        <v>6</v>
      </c>
      <c r="Y197" s="105" t="b">
        <v>1</v>
      </c>
      <c r="Z197" s="105" t="s">
        <v>675</v>
      </c>
      <c r="AA197" s="105" t="s">
        <v>676</v>
      </c>
      <c r="AB197" s="105" t="s">
        <v>677</v>
      </c>
      <c r="AC197" s="105">
        <v>0</v>
      </c>
      <c r="AD197" s="105" t="s">
        <v>678</v>
      </c>
      <c r="AE197" s="105">
        <v>8</v>
      </c>
      <c r="AF197" s="105" t="s">
        <v>679</v>
      </c>
      <c r="AG197" s="105">
        <v>60920.02</v>
      </c>
      <c r="AH197" s="105" t="b">
        <v>1</v>
      </c>
      <c r="AI197" s="105">
        <v>-1</v>
      </c>
      <c r="AJ197" s="105" t="s">
        <v>680</v>
      </c>
      <c r="AK197" s="105">
        <v>0</v>
      </c>
      <c r="AL197" s="105" t="b">
        <v>0</v>
      </c>
      <c r="AM197" s="105">
        <v>60920.02</v>
      </c>
      <c r="AN197" s="105" t="b">
        <v>1</v>
      </c>
      <c r="AO197" s="105">
        <v>0</v>
      </c>
      <c r="AP197" s="105" t="b">
        <v>0</v>
      </c>
      <c r="AQ197" s="105">
        <v>33614</v>
      </c>
      <c r="AR197" s="105"/>
      <c r="AS197" s="105">
        <v>33614</v>
      </c>
      <c r="AT197" s="105">
        <v>6</v>
      </c>
      <c r="AU197" s="105" t="b">
        <v>1</v>
      </c>
      <c r="AV197" s="105" t="b">
        <v>0</v>
      </c>
    </row>
    <row r="198" spans="1:48">
      <c r="A198" s="105" t="s">
        <v>510</v>
      </c>
      <c r="B198" s="105" t="s">
        <v>665</v>
      </c>
      <c r="C198" s="105" t="s">
        <v>666</v>
      </c>
      <c r="D198" s="105">
        <v>20231201</v>
      </c>
      <c r="E198" s="105">
        <v>2023</v>
      </c>
      <c r="F198" s="105">
        <v>12</v>
      </c>
      <c r="G198" s="105" t="s">
        <v>726</v>
      </c>
      <c r="H198" s="105">
        <v>818</v>
      </c>
      <c r="I198" s="105" t="s">
        <v>668</v>
      </c>
      <c r="J198" s="105" t="s">
        <v>57</v>
      </c>
      <c r="K198" s="105" t="s">
        <v>666</v>
      </c>
      <c r="L198" s="105" t="s">
        <v>669</v>
      </c>
      <c r="M198" s="105">
        <v>276</v>
      </c>
      <c r="N198" s="105" t="s">
        <v>681</v>
      </c>
      <c r="O198" s="105" t="s">
        <v>30</v>
      </c>
      <c r="P198" s="105">
        <v>0</v>
      </c>
      <c r="Q198" s="105" t="s">
        <v>670</v>
      </c>
      <c r="R198" s="105" t="s">
        <v>23</v>
      </c>
      <c r="S198" s="105" t="s">
        <v>671</v>
      </c>
      <c r="T198" s="105" t="s">
        <v>672</v>
      </c>
      <c r="U198" s="105" t="b">
        <v>1</v>
      </c>
      <c r="V198" s="105" t="s">
        <v>673</v>
      </c>
      <c r="W198" s="105" t="s">
        <v>674</v>
      </c>
      <c r="X198" s="105">
        <v>6</v>
      </c>
      <c r="Y198" s="105" t="b">
        <v>1</v>
      </c>
      <c r="Z198" s="105" t="s">
        <v>675</v>
      </c>
      <c r="AA198" s="105" t="s">
        <v>676</v>
      </c>
      <c r="AB198" s="105" t="s">
        <v>677</v>
      </c>
      <c r="AC198" s="105">
        <v>0</v>
      </c>
      <c r="AD198" s="105" t="s">
        <v>678</v>
      </c>
      <c r="AE198" s="105">
        <v>8</v>
      </c>
      <c r="AF198" s="105" t="s">
        <v>679</v>
      </c>
      <c r="AG198" s="105">
        <v>22186.674999999999</v>
      </c>
      <c r="AH198" s="105" t="b">
        <v>1</v>
      </c>
      <c r="AI198" s="105">
        <v>-1</v>
      </c>
      <c r="AJ198" s="105" t="s">
        <v>680</v>
      </c>
      <c r="AK198" s="105">
        <v>0</v>
      </c>
      <c r="AL198" s="105" t="b">
        <v>0</v>
      </c>
      <c r="AM198" s="105">
        <v>22186.674999999999</v>
      </c>
      <c r="AN198" s="105" t="b">
        <v>1</v>
      </c>
      <c r="AO198" s="105">
        <v>0</v>
      </c>
      <c r="AP198" s="105" t="b">
        <v>0</v>
      </c>
      <c r="AQ198" s="105">
        <v>12242</v>
      </c>
      <c r="AR198" s="105"/>
      <c r="AS198" s="105">
        <v>12242</v>
      </c>
      <c r="AT198" s="105">
        <v>6</v>
      </c>
      <c r="AU198" s="105" t="b">
        <v>1</v>
      </c>
      <c r="AV198" s="105" t="b">
        <v>0</v>
      </c>
    </row>
    <row r="199" spans="1:48">
      <c r="A199" s="105" t="s">
        <v>510</v>
      </c>
      <c r="B199" s="105" t="s">
        <v>665</v>
      </c>
      <c r="C199" s="105" t="s">
        <v>666</v>
      </c>
      <c r="D199" s="105">
        <v>20231201</v>
      </c>
      <c r="E199" s="105">
        <v>2023</v>
      </c>
      <c r="F199" s="105">
        <v>12</v>
      </c>
      <c r="G199" s="105" t="s">
        <v>726</v>
      </c>
      <c r="H199" s="105">
        <v>818</v>
      </c>
      <c r="I199" s="105" t="s">
        <v>668</v>
      </c>
      <c r="J199" s="105" t="s">
        <v>57</v>
      </c>
      <c r="K199" s="105" t="s">
        <v>666</v>
      </c>
      <c r="L199" s="105" t="s">
        <v>669</v>
      </c>
      <c r="M199" s="105">
        <v>724</v>
      </c>
      <c r="N199" s="105" t="s">
        <v>684</v>
      </c>
      <c r="O199" s="105" t="s">
        <v>51</v>
      </c>
      <c r="P199" s="105">
        <v>0</v>
      </c>
      <c r="Q199" s="105" t="s">
        <v>670</v>
      </c>
      <c r="R199" s="105" t="s">
        <v>23</v>
      </c>
      <c r="S199" s="105" t="s">
        <v>671</v>
      </c>
      <c r="T199" s="105" t="s">
        <v>672</v>
      </c>
      <c r="U199" s="105" t="b">
        <v>1</v>
      </c>
      <c r="V199" s="105" t="s">
        <v>673</v>
      </c>
      <c r="W199" s="105" t="s">
        <v>674</v>
      </c>
      <c r="X199" s="105">
        <v>6</v>
      </c>
      <c r="Y199" s="105" t="b">
        <v>1</v>
      </c>
      <c r="Z199" s="105" t="s">
        <v>675</v>
      </c>
      <c r="AA199" s="105" t="s">
        <v>676</v>
      </c>
      <c r="AB199" s="105" t="s">
        <v>677</v>
      </c>
      <c r="AC199" s="105">
        <v>0</v>
      </c>
      <c r="AD199" s="105" t="s">
        <v>678</v>
      </c>
      <c r="AE199" s="105">
        <v>8</v>
      </c>
      <c r="AF199" s="105" t="s">
        <v>679</v>
      </c>
      <c r="AG199" s="105">
        <v>116959.414</v>
      </c>
      <c r="AH199" s="105" t="b">
        <v>1</v>
      </c>
      <c r="AI199" s="105">
        <v>-1</v>
      </c>
      <c r="AJ199" s="105" t="s">
        <v>680</v>
      </c>
      <c r="AK199" s="105">
        <v>0</v>
      </c>
      <c r="AL199" s="105" t="b">
        <v>0</v>
      </c>
      <c r="AM199" s="105">
        <v>116959.414</v>
      </c>
      <c r="AN199" s="105" t="b">
        <v>1</v>
      </c>
      <c r="AO199" s="105">
        <v>0</v>
      </c>
      <c r="AP199" s="105" t="b">
        <v>0</v>
      </c>
      <c r="AQ199" s="105">
        <v>64535.004000000001</v>
      </c>
      <c r="AR199" s="105"/>
      <c r="AS199" s="105">
        <v>64535.004000000001</v>
      </c>
      <c r="AT199" s="105">
        <v>6</v>
      </c>
      <c r="AU199" s="105" t="b">
        <v>1</v>
      </c>
      <c r="AV199" s="105" t="b">
        <v>0</v>
      </c>
    </row>
    <row r="200" spans="1:48">
      <c r="A200" s="105" t="s">
        <v>510</v>
      </c>
      <c r="B200" s="105" t="s">
        <v>665</v>
      </c>
      <c r="C200" s="105" t="s">
        <v>666</v>
      </c>
      <c r="D200" s="105">
        <v>20231201</v>
      </c>
      <c r="E200" s="105">
        <v>2023</v>
      </c>
      <c r="F200" s="105">
        <v>12</v>
      </c>
      <c r="G200" s="105" t="s">
        <v>726</v>
      </c>
      <c r="H200" s="105">
        <v>818</v>
      </c>
      <c r="I200" s="105" t="s">
        <v>668</v>
      </c>
      <c r="J200" s="105" t="s">
        <v>57</v>
      </c>
      <c r="K200" s="105" t="s">
        <v>666</v>
      </c>
      <c r="L200" s="105" t="s">
        <v>669</v>
      </c>
      <c r="M200" s="105">
        <v>784</v>
      </c>
      <c r="N200" s="105" t="s">
        <v>694</v>
      </c>
      <c r="O200" s="105" t="s">
        <v>25</v>
      </c>
      <c r="P200" s="105">
        <v>0</v>
      </c>
      <c r="Q200" s="105" t="s">
        <v>670</v>
      </c>
      <c r="R200" s="105" t="s">
        <v>23</v>
      </c>
      <c r="S200" s="105" t="s">
        <v>671</v>
      </c>
      <c r="T200" s="105" t="s">
        <v>672</v>
      </c>
      <c r="U200" s="105" t="b">
        <v>1</v>
      </c>
      <c r="V200" s="105" t="s">
        <v>673</v>
      </c>
      <c r="W200" s="105" t="s">
        <v>674</v>
      </c>
      <c r="X200" s="105">
        <v>6</v>
      </c>
      <c r="Y200" s="105" t="b">
        <v>1</v>
      </c>
      <c r="Z200" s="105" t="s">
        <v>675</v>
      </c>
      <c r="AA200" s="105" t="s">
        <v>676</v>
      </c>
      <c r="AB200" s="105" t="s">
        <v>677</v>
      </c>
      <c r="AC200" s="105">
        <v>0</v>
      </c>
      <c r="AD200" s="105" t="s">
        <v>678</v>
      </c>
      <c r="AE200" s="105">
        <v>8</v>
      </c>
      <c r="AF200" s="105" t="s">
        <v>679</v>
      </c>
      <c r="AG200" s="105">
        <v>9991.4349999999995</v>
      </c>
      <c r="AH200" s="105" t="b">
        <v>1</v>
      </c>
      <c r="AI200" s="105">
        <v>-1</v>
      </c>
      <c r="AJ200" s="105" t="s">
        <v>680</v>
      </c>
      <c r="AK200" s="105">
        <v>0</v>
      </c>
      <c r="AL200" s="105" t="b">
        <v>0</v>
      </c>
      <c r="AM200" s="105">
        <v>9991.4349999999995</v>
      </c>
      <c r="AN200" s="105" t="b">
        <v>1</v>
      </c>
      <c r="AO200" s="105">
        <v>0</v>
      </c>
      <c r="AP200" s="105" t="b">
        <v>0</v>
      </c>
      <c r="AQ200" s="105">
        <v>5513.0010000000002</v>
      </c>
      <c r="AR200" s="105"/>
      <c r="AS200" s="105">
        <v>5513.0010000000002</v>
      </c>
      <c r="AT200" s="105">
        <v>6</v>
      </c>
      <c r="AU200" s="105" t="b">
        <v>1</v>
      </c>
      <c r="AV200" s="105" t="b">
        <v>0</v>
      </c>
    </row>
    <row r="201" spans="1:48">
      <c r="A201" s="105" t="s">
        <v>510</v>
      </c>
      <c r="B201" s="105" t="s">
        <v>665</v>
      </c>
      <c r="C201" s="105" t="s">
        <v>666</v>
      </c>
      <c r="D201" s="105">
        <v>20231201</v>
      </c>
      <c r="E201" s="105">
        <v>2023</v>
      </c>
      <c r="F201" s="105">
        <v>12</v>
      </c>
      <c r="G201" s="105" t="s">
        <v>726</v>
      </c>
      <c r="H201" s="105">
        <v>818</v>
      </c>
      <c r="I201" s="105" t="s">
        <v>668</v>
      </c>
      <c r="J201" s="105" t="s">
        <v>57</v>
      </c>
      <c r="K201" s="105" t="s">
        <v>666</v>
      </c>
      <c r="L201" s="105" t="s">
        <v>669</v>
      </c>
      <c r="M201" s="105">
        <v>792</v>
      </c>
      <c r="N201" s="105" t="s">
        <v>691</v>
      </c>
      <c r="O201" s="105" t="s">
        <v>63</v>
      </c>
      <c r="P201" s="105">
        <v>0</v>
      </c>
      <c r="Q201" s="105" t="s">
        <v>670</v>
      </c>
      <c r="R201" s="105" t="s">
        <v>23</v>
      </c>
      <c r="S201" s="105" t="s">
        <v>671</v>
      </c>
      <c r="T201" s="105" t="s">
        <v>672</v>
      </c>
      <c r="U201" s="105" t="b">
        <v>1</v>
      </c>
      <c r="V201" s="105" t="s">
        <v>673</v>
      </c>
      <c r="W201" s="105" t="s">
        <v>674</v>
      </c>
      <c r="X201" s="105">
        <v>6</v>
      </c>
      <c r="Y201" s="105" t="b">
        <v>1</v>
      </c>
      <c r="Z201" s="105" t="s">
        <v>675</v>
      </c>
      <c r="AA201" s="105" t="s">
        <v>676</v>
      </c>
      <c r="AB201" s="105" t="s">
        <v>677</v>
      </c>
      <c r="AC201" s="105">
        <v>0</v>
      </c>
      <c r="AD201" s="105" t="s">
        <v>678</v>
      </c>
      <c r="AE201" s="105">
        <v>8</v>
      </c>
      <c r="AF201" s="105" t="s">
        <v>679</v>
      </c>
      <c r="AG201" s="105">
        <v>191233.022</v>
      </c>
      <c r="AH201" s="105" t="b">
        <v>1</v>
      </c>
      <c r="AI201" s="105">
        <v>-1</v>
      </c>
      <c r="AJ201" s="105" t="s">
        <v>680</v>
      </c>
      <c r="AK201" s="105">
        <v>0</v>
      </c>
      <c r="AL201" s="105" t="b">
        <v>0</v>
      </c>
      <c r="AM201" s="105">
        <v>191233.022</v>
      </c>
      <c r="AN201" s="105" t="b">
        <v>1</v>
      </c>
      <c r="AO201" s="105">
        <v>0</v>
      </c>
      <c r="AP201" s="105" t="b">
        <v>0</v>
      </c>
      <c r="AQ201" s="105">
        <v>105517.148</v>
      </c>
      <c r="AR201" s="105"/>
      <c r="AS201" s="105">
        <v>105517.148</v>
      </c>
      <c r="AT201" s="105">
        <v>6</v>
      </c>
      <c r="AU201" s="105" t="b">
        <v>1</v>
      </c>
      <c r="AV201" s="105" t="b">
        <v>0</v>
      </c>
    </row>
  </sheetData>
  <mergeCells count="8">
    <mergeCell ref="P14:P15"/>
    <mergeCell ref="Q14:Q15"/>
    <mergeCell ref="C42:H42"/>
    <mergeCell ref="I42:N42"/>
    <mergeCell ref="P42:P43"/>
    <mergeCell ref="Q42:Q43"/>
    <mergeCell ref="C14:H14"/>
    <mergeCell ref="I14:N14"/>
  </mergeCells>
  <hyperlinks>
    <hyperlink ref="C3" r:id="rId3" display="https://comtradeplus.un.org/TradeFlow?Frequency=M&amp;Flows=X&amp;CommodityCodes=391590&amp;Partners=0&amp;Reporters=818&amp;period=All&amp;AggregateBy=none&amp;BreakdownMode=plus" xr:uid="{03D54542-21F8-4912-8E33-78335182B312}"/>
    <hyperlink ref="B3" r:id="rId4" display="https://comtradeplus.un.org/TradeFlow?Frequency=M&amp;Flows=X&amp;CommodityCodes=391590&amp;Partners=0&amp;Reporters=818&amp;period=All&amp;AggregateBy=none&amp;BreakdownMode=plus" xr:uid="{66F962B5-55D1-40E2-874C-BBD486921DA2}"/>
  </hyperlinks>
  <pageMargins left="0.75" right="0.75" top="1" bottom="1" header="0.5" footer="0.5"/>
  <pageSetup paperSize="9" scale="48" orientation="landscape" horizontalDpi="300" verticalDpi="300"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B2EB-B820-4D0F-B445-8E86EF306B36}">
  <sheetPr>
    <pageSetUpPr fitToPage="1"/>
  </sheetPr>
  <dimension ref="A1:O70"/>
  <sheetViews>
    <sheetView showGridLines="0" topLeftCell="B26" workbookViewId="0">
      <selection activeCell="C1" sqref="C1"/>
    </sheetView>
  </sheetViews>
  <sheetFormatPr defaultColWidth="8.85546875" defaultRowHeight="13.5"/>
  <cols>
    <col min="1" max="1" width="33.5703125" style="216" customWidth="1"/>
    <col min="2" max="2" width="23.7109375" style="216" customWidth="1"/>
    <col min="3" max="13" width="19" style="216" bestFit="1" customWidth="1"/>
    <col min="14" max="14" width="15.140625" style="216" bestFit="1" customWidth="1"/>
    <col min="15" max="15" width="16.28515625" style="216" bestFit="1" customWidth="1"/>
    <col min="16" max="18" width="13" style="216" bestFit="1" customWidth="1"/>
    <col min="19" max="19" width="24.85546875" style="216" bestFit="1" customWidth="1"/>
    <col min="20" max="20" width="9.140625" style="216" bestFit="1" customWidth="1"/>
    <col min="21" max="21" width="13.42578125" style="216" bestFit="1" customWidth="1"/>
    <col min="22" max="22" width="12.85546875" style="216" bestFit="1" customWidth="1"/>
    <col min="23" max="23" width="109.140625" style="216" bestFit="1" customWidth="1"/>
    <col min="24" max="24" width="13.140625" style="216" bestFit="1" customWidth="1"/>
    <col min="25" max="25" width="10.5703125" style="216" bestFit="1" customWidth="1"/>
    <col min="26" max="27" width="13.140625" style="216" bestFit="1" customWidth="1"/>
    <col min="28" max="28" width="12.7109375" style="216" bestFit="1" customWidth="1"/>
    <col min="29" max="29" width="13.42578125" style="216" bestFit="1" customWidth="1"/>
    <col min="30" max="30" width="13.28515625" style="216" bestFit="1" customWidth="1"/>
    <col min="31" max="31" width="13.140625" style="216" bestFit="1" customWidth="1"/>
    <col min="32" max="32" width="13" style="216" bestFit="1" customWidth="1"/>
    <col min="33" max="33" width="8.28515625" style="216" bestFit="1" customWidth="1"/>
    <col min="34" max="34" width="13.140625" style="216" bestFit="1" customWidth="1"/>
    <col min="35" max="36" width="13.28515625" style="216" bestFit="1" customWidth="1"/>
    <col min="37" max="37" width="10.85546875" style="216" bestFit="1" customWidth="1"/>
    <col min="38" max="38" width="13.42578125" style="216" bestFit="1" customWidth="1"/>
    <col min="39" max="39" width="11.85546875" style="216" bestFit="1" customWidth="1"/>
    <col min="40" max="40" width="13.42578125" style="216" bestFit="1" customWidth="1"/>
    <col min="41" max="41" width="13" style="216" bestFit="1" customWidth="1"/>
    <col min="42" max="43" width="12.140625" style="216" bestFit="1" customWidth="1"/>
    <col min="44" max="44" width="12.85546875" style="216" bestFit="1" customWidth="1"/>
    <col min="45" max="45" width="13.28515625" style="216" bestFit="1" customWidth="1"/>
    <col min="46" max="46" width="13" style="216" bestFit="1" customWidth="1"/>
    <col min="47" max="47" width="12.7109375" style="216" bestFit="1" customWidth="1"/>
    <col min="48" max="48" width="12.85546875" style="216" bestFit="1" customWidth="1"/>
    <col min="49" max="16384" width="8.85546875" style="216"/>
  </cols>
  <sheetData>
    <row r="1" spans="1:15" ht="18.75">
      <c r="A1" s="281" t="s">
        <v>880</v>
      </c>
      <c r="B1" s="212"/>
      <c r="C1" s="239">
        <f>'EX-1A SV Summary'!D22</f>
        <v>32049000</v>
      </c>
      <c r="D1" s="212"/>
      <c r="E1" s="212"/>
      <c r="F1" s="212"/>
      <c r="G1" s="211"/>
      <c r="H1" s="211"/>
      <c r="I1" s="211"/>
      <c r="J1" s="211"/>
      <c r="K1" s="211"/>
      <c r="L1" s="211"/>
      <c r="M1" s="211"/>
    </row>
    <row r="2" spans="1:15">
      <c r="A2" s="215" t="s">
        <v>881</v>
      </c>
      <c r="B2" s="213"/>
      <c r="C2" s="213"/>
      <c r="D2" s="213"/>
      <c r="E2" s="213"/>
      <c r="F2" s="213"/>
      <c r="G2" s="211"/>
      <c r="H2" s="211"/>
      <c r="I2" s="211"/>
      <c r="J2" s="211"/>
      <c r="K2" s="211"/>
      <c r="L2" s="211"/>
      <c r="M2" s="211"/>
    </row>
    <row r="3" spans="1:15">
      <c r="A3" s="217" t="s">
        <v>882</v>
      </c>
      <c r="B3" s="211"/>
      <c r="C3" s="211"/>
      <c r="D3" s="211"/>
      <c r="E3" s="211"/>
      <c r="F3" s="211"/>
      <c r="G3" s="211"/>
      <c r="H3" s="211"/>
      <c r="I3" s="211"/>
      <c r="J3" s="211"/>
      <c r="K3" s="211"/>
      <c r="L3" s="211"/>
      <c r="M3" s="211"/>
    </row>
    <row r="4" spans="1:15">
      <c r="A4" s="211"/>
      <c r="B4" s="211"/>
      <c r="C4" s="211"/>
      <c r="D4" s="211"/>
      <c r="E4" s="211"/>
      <c r="F4" s="211"/>
      <c r="G4" s="211"/>
      <c r="H4" s="211"/>
      <c r="I4" s="211"/>
      <c r="J4" s="211"/>
      <c r="K4" s="211"/>
      <c r="L4" s="211"/>
      <c r="M4" s="211"/>
    </row>
    <row r="5" spans="1:15" ht="27">
      <c r="A5" s="102" t="s">
        <v>899</v>
      </c>
      <c r="B5" s="102" t="s">
        <v>203</v>
      </c>
      <c r="C5" s="102" t="s">
        <v>48</v>
      </c>
      <c r="D5" s="102" t="s">
        <v>204</v>
      </c>
      <c r="E5" s="211"/>
      <c r="F5" s="211"/>
      <c r="G5" s="211"/>
      <c r="H5" s="211"/>
      <c r="I5" s="211"/>
      <c r="J5" s="211"/>
      <c r="K5" s="211"/>
      <c r="L5" s="211"/>
      <c r="M5" s="211"/>
    </row>
    <row r="6" spans="1:15">
      <c r="A6" s="103">
        <f>SUMIFS(M:M,N:N,"Include",O:O,"QTY")</f>
        <v>8167</v>
      </c>
      <c r="B6" s="103">
        <f>A6*1000</f>
        <v>8167000</v>
      </c>
      <c r="C6" s="103">
        <f>SUMIFS(M:M,N:N,"Include",O:O,"Val")*1000</f>
        <v>490000</v>
      </c>
      <c r="D6" s="104">
        <f>C6/B6</f>
        <v>5.9997551120362431E-2</v>
      </c>
      <c r="E6" s="211"/>
      <c r="F6" s="211"/>
      <c r="G6" s="211"/>
      <c r="H6" s="211"/>
      <c r="I6" s="211"/>
      <c r="J6" s="211"/>
      <c r="K6" s="211"/>
      <c r="L6" s="211"/>
      <c r="M6" s="211"/>
    </row>
    <row r="7" spans="1:15">
      <c r="A7" s="211"/>
      <c r="B7" s="211"/>
      <c r="C7" s="211"/>
      <c r="D7" s="211"/>
      <c r="E7" s="211"/>
      <c r="F7" s="211"/>
      <c r="G7" s="211"/>
      <c r="H7" s="211"/>
      <c r="I7" s="211"/>
      <c r="J7" s="211"/>
      <c r="K7" s="211"/>
      <c r="L7" s="211"/>
      <c r="M7" s="211"/>
    </row>
    <row r="8" spans="1:15">
      <c r="A8" s="211"/>
      <c r="B8" s="211"/>
      <c r="C8" s="211"/>
      <c r="D8" s="211"/>
      <c r="E8" s="211"/>
      <c r="F8" s="211"/>
      <c r="G8" s="211"/>
      <c r="H8" s="211"/>
      <c r="I8" s="211"/>
      <c r="J8" s="211"/>
      <c r="K8" s="211"/>
      <c r="L8" s="211"/>
      <c r="M8" s="211"/>
    </row>
    <row r="9" spans="1:15">
      <c r="A9" s="211" t="s">
        <v>47</v>
      </c>
      <c r="B9" s="211"/>
      <c r="C9" s="211"/>
      <c r="D9" s="211"/>
      <c r="E9" s="211"/>
      <c r="F9" s="211"/>
      <c r="G9" s="211"/>
      <c r="H9" s="211"/>
      <c r="I9" s="211"/>
      <c r="J9" s="211"/>
      <c r="K9" s="211"/>
      <c r="L9" s="211"/>
      <c r="M9" s="211"/>
    </row>
    <row r="10" spans="1:15">
      <c r="A10" s="218" t="s">
        <v>22</v>
      </c>
      <c r="B10" s="219" t="s">
        <v>883</v>
      </c>
      <c r="C10" s="219" t="s">
        <v>884</v>
      </c>
      <c r="D10" s="219" t="s">
        <v>885</v>
      </c>
      <c r="E10" s="219" t="s">
        <v>886</v>
      </c>
      <c r="F10" s="219" t="s">
        <v>887</v>
      </c>
      <c r="G10" s="219" t="s">
        <v>888</v>
      </c>
      <c r="H10" s="219" t="s">
        <v>889</v>
      </c>
      <c r="I10" s="219" t="s">
        <v>890</v>
      </c>
      <c r="J10" s="219" t="s">
        <v>891</v>
      </c>
      <c r="K10" s="219" t="s">
        <v>892</v>
      </c>
      <c r="L10" s="219" t="s">
        <v>893</v>
      </c>
      <c r="M10" s="220" t="s">
        <v>894</v>
      </c>
      <c r="N10" s="114" t="s">
        <v>209</v>
      </c>
      <c r="O10" s="114" t="s">
        <v>155</v>
      </c>
    </row>
    <row r="11" spans="1:15">
      <c r="A11" s="221" t="s">
        <v>23</v>
      </c>
      <c r="B11" s="222">
        <v>1194</v>
      </c>
      <c r="C11" s="222">
        <v>601</v>
      </c>
      <c r="D11" s="222">
        <v>1168</v>
      </c>
      <c r="E11" s="222">
        <v>657</v>
      </c>
      <c r="F11" s="222">
        <v>865</v>
      </c>
      <c r="G11" s="222">
        <v>617</v>
      </c>
      <c r="H11" s="222">
        <v>1214</v>
      </c>
      <c r="I11" s="222">
        <v>850</v>
      </c>
      <c r="J11" s="222">
        <v>525</v>
      </c>
      <c r="K11" s="222">
        <v>1117</v>
      </c>
      <c r="L11" s="222">
        <v>489</v>
      </c>
      <c r="M11" s="222">
        <v>604</v>
      </c>
      <c r="N11" s="222" t="str">
        <f>VLOOKUP(A11,'EX-2.3 Phụ gia 409'!$B$48:$P$72,15,0)</f>
        <v>Exclude</v>
      </c>
      <c r="O11" s="222"/>
    </row>
    <row r="12" spans="1:15">
      <c r="A12" s="224" t="s">
        <v>0</v>
      </c>
      <c r="B12" s="225">
        <v>150</v>
      </c>
      <c r="C12" s="225">
        <v>233</v>
      </c>
      <c r="D12" s="225">
        <v>391</v>
      </c>
      <c r="E12" s="225">
        <v>0</v>
      </c>
      <c r="F12" s="225">
        <v>22</v>
      </c>
      <c r="G12" s="225">
        <v>116</v>
      </c>
      <c r="H12" s="225">
        <v>22</v>
      </c>
      <c r="I12" s="225">
        <v>203</v>
      </c>
      <c r="J12" s="225">
        <v>110</v>
      </c>
      <c r="K12" s="225">
        <v>149</v>
      </c>
      <c r="L12" s="225">
        <v>40</v>
      </c>
      <c r="M12" s="226">
        <v>171</v>
      </c>
      <c r="N12" s="226" t="str">
        <f>VLOOKUP(A12,'EX-2.3 Phụ gia 409'!$B$48:$P$72,15,0)</f>
        <v>Include</v>
      </c>
      <c r="O12" s="226" t="s">
        <v>743</v>
      </c>
    </row>
    <row r="13" spans="1:15">
      <c r="A13" s="221" t="s">
        <v>29</v>
      </c>
      <c r="B13" s="222">
        <v>359</v>
      </c>
      <c r="C13" s="222">
        <v>94</v>
      </c>
      <c r="D13" s="222">
        <v>417</v>
      </c>
      <c r="E13" s="222">
        <v>155</v>
      </c>
      <c r="F13" s="222">
        <v>223</v>
      </c>
      <c r="G13" s="222">
        <v>28</v>
      </c>
      <c r="H13" s="222">
        <v>229</v>
      </c>
      <c r="I13" s="222">
        <v>85</v>
      </c>
      <c r="J13" s="222">
        <v>277</v>
      </c>
      <c r="K13" s="222">
        <v>384</v>
      </c>
      <c r="L13" s="222">
        <v>95</v>
      </c>
      <c r="M13" s="223">
        <v>102</v>
      </c>
      <c r="N13" s="223" t="str">
        <f>VLOOKUP(A13,'EX-2.3 Phụ gia 409'!$B$48:$P$72,15,0)</f>
        <v>Exclude</v>
      </c>
      <c r="O13" s="223"/>
    </row>
    <row r="14" spans="1:15">
      <c r="A14" s="224" t="s">
        <v>39</v>
      </c>
      <c r="B14" s="225">
        <v>49</v>
      </c>
      <c r="C14" s="225">
        <v>35</v>
      </c>
      <c r="D14" s="225">
        <v>34</v>
      </c>
      <c r="E14" s="225">
        <v>0</v>
      </c>
      <c r="F14" s="225">
        <v>2</v>
      </c>
      <c r="G14" s="225">
        <v>1</v>
      </c>
      <c r="H14" s="225">
        <v>52</v>
      </c>
      <c r="I14" s="225">
        <v>0</v>
      </c>
      <c r="J14" s="225">
        <v>0</v>
      </c>
      <c r="K14" s="225"/>
      <c r="L14" s="225">
        <v>210</v>
      </c>
      <c r="M14" s="226">
        <v>84</v>
      </c>
      <c r="N14" s="226" t="str">
        <f>VLOOKUP(A14,'EX-2.3 Phụ gia 409'!$B$48:$P$72,15,0)</f>
        <v>Include</v>
      </c>
      <c r="O14" s="226" t="s">
        <v>743</v>
      </c>
    </row>
    <row r="15" spans="1:15">
      <c r="A15" s="221" t="s">
        <v>30</v>
      </c>
      <c r="B15" s="222">
        <v>229</v>
      </c>
      <c r="C15" s="222">
        <v>40</v>
      </c>
      <c r="D15" s="222">
        <v>82</v>
      </c>
      <c r="E15" s="222">
        <v>285</v>
      </c>
      <c r="F15" s="222">
        <v>57</v>
      </c>
      <c r="G15" s="222">
        <v>69</v>
      </c>
      <c r="H15" s="222">
        <v>46</v>
      </c>
      <c r="I15" s="222">
        <v>0</v>
      </c>
      <c r="J15" s="222">
        <v>43</v>
      </c>
      <c r="K15" s="222">
        <v>3</v>
      </c>
      <c r="L15" s="222">
        <v>38</v>
      </c>
      <c r="M15" s="223">
        <v>73</v>
      </c>
      <c r="N15" s="223" t="str">
        <f>VLOOKUP(A15,'EX-2.3 Phụ gia 409'!$B$48:$P$72,15,0)</f>
        <v>Include</v>
      </c>
      <c r="O15" s="223" t="s">
        <v>743</v>
      </c>
    </row>
    <row r="16" spans="1:15">
      <c r="A16" s="224" t="s">
        <v>69</v>
      </c>
      <c r="B16" s="225">
        <v>9</v>
      </c>
      <c r="C16" s="225">
        <v>5</v>
      </c>
      <c r="D16" s="225">
        <v>3</v>
      </c>
      <c r="E16" s="225">
        <v>0</v>
      </c>
      <c r="F16" s="225">
        <v>0</v>
      </c>
      <c r="G16" s="225">
        <v>19</v>
      </c>
      <c r="H16" s="225">
        <v>21</v>
      </c>
      <c r="I16" s="225">
        <v>6</v>
      </c>
      <c r="J16" s="225">
        <v>0</v>
      </c>
      <c r="K16" s="225">
        <v>24</v>
      </c>
      <c r="L16" s="225">
        <v>13</v>
      </c>
      <c r="M16" s="226">
        <v>71</v>
      </c>
      <c r="N16" s="226" t="str">
        <f>VLOOKUP(A16,'EX-2.3 Phụ gia 409'!$B$48:$P$72,15,0)</f>
        <v>Include</v>
      </c>
      <c r="O16" s="226" t="s">
        <v>743</v>
      </c>
    </row>
    <row r="17" spans="1:15">
      <c r="A17" s="221" t="s">
        <v>63</v>
      </c>
      <c r="B17" s="222">
        <v>60</v>
      </c>
      <c r="C17" s="222">
        <v>13</v>
      </c>
      <c r="D17" s="222">
        <v>13</v>
      </c>
      <c r="E17" s="222">
        <v>59</v>
      </c>
      <c r="F17" s="222">
        <v>76</v>
      </c>
      <c r="G17" s="222">
        <v>56</v>
      </c>
      <c r="H17" s="222">
        <v>7</v>
      </c>
      <c r="I17" s="222">
        <v>6</v>
      </c>
      <c r="J17" s="222">
        <v>26</v>
      </c>
      <c r="K17" s="222">
        <v>44</v>
      </c>
      <c r="L17" s="222">
        <v>25</v>
      </c>
      <c r="M17" s="223">
        <v>32</v>
      </c>
      <c r="N17" s="223" t="str">
        <f>VLOOKUP(A17,'EX-2.3 Phụ gia 409'!$B$48:$P$72,15,0)</f>
        <v>Include</v>
      </c>
      <c r="O17" s="223" t="s">
        <v>743</v>
      </c>
    </row>
    <row r="18" spans="1:15">
      <c r="A18" s="224" t="s">
        <v>71</v>
      </c>
      <c r="B18" s="225">
        <v>26</v>
      </c>
      <c r="C18" s="225">
        <v>71</v>
      </c>
      <c r="D18" s="225">
        <v>10</v>
      </c>
      <c r="E18" s="225">
        <v>93</v>
      </c>
      <c r="F18" s="225">
        <v>76</v>
      </c>
      <c r="G18" s="225">
        <v>10</v>
      </c>
      <c r="H18" s="225">
        <v>49</v>
      </c>
      <c r="I18" s="225">
        <v>2</v>
      </c>
      <c r="J18" s="225">
        <v>1</v>
      </c>
      <c r="K18" s="225">
        <v>34</v>
      </c>
      <c r="L18" s="225">
        <v>45</v>
      </c>
      <c r="M18" s="226">
        <v>31</v>
      </c>
      <c r="N18" s="226" t="str">
        <f>VLOOKUP(A18,'EX-2.3 Phụ gia 409'!$B$48:$P$72,15,0)</f>
        <v>Include</v>
      </c>
      <c r="O18" s="226" t="s">
        <v>743</v>
      </c>
    </row>
    <row r="19" spans="1:15">
      <c r="A19" s="221" t="s">
        <v>568</v>
      </c>
      <c r="B19" s="222">
        <v>0</v>
      </c>
      <c r="C19" s="222">
        <v>0</v>
      </c>
      <c r="D19" s="222">
        <v>0</v>
      </c>
      <c r="E19" s="222">
        <v>0</v>
      </c>
      <c r="F19" s="222">
        <v>0</v>
      </c>
      <c r="G19" s="222">
        <v>0</v>
      </c>
      <c r="H19" s="222">
        <v>0</v>
      </c>
      <c r="I19" s="222">
        <v>0</v>
      </c>
      <c r="J19" s="222">
        <v>0</v>
      </c>
      <c r="K19" s="222"/>
      <c r="L19" s="222"/>
      <c r="M19" s="223">
        <v>21</v>
      </c>
      <c r="N19" s="223" t="s">
        <v>211</v>
      </c>
      <c r="O19" s="223" t="s">
        <v>743</v>
      </c>
    </row>
    <row r="20" spans="1:15">
      <c r="A20" s="224" t="s">
        <v>38</v>
      </c>
      <c r="B20" s="225">
        <v>0</v>
      </c>
      <c r="C20" s="225">
        <v>0</v>
      </c>
      <c r="D20" s="225">
        <v>0</v>
      </c>
      <c r="E20" s="225">
        <v>0</v>
      </c>
      <c r="F20" s="225">
        <v>0</v>
      </c>
      <c r="G20" s="225">
        <v>0</v>
      </c>
      <c r="H20" s="225">
        <v>0</v>
      </c>
      <c r="I20" s="225">
        <v>0</v>
      </c>
      <c r="J20" s="225">
        <v>0</v>
      </c>
      <c r="K20" s="225"/>
      <c r="L20" s="225"/>
      <c r="M20" s="226">
        <v>8</v>
      </c>
      <c r="N20" s="226" t="str">
        <f>VLOOKUP(A20,'EX-2.3 Phụ gia 409'!$B$48:$P$72,15,0)</f>
        <v>Exclude</v>
      </c>
      <c r="O20" s="226"/>
    </row>
    <row r="21" spans="1:15">
      <c r="A21" s="221" t="s">
        <v>94</v>
      </c>
      <c r="B21" s="222">
        <v>0</v>
      </c>
      <c r="C21" s="222">
        <v>0</v>
      </c>
      <c r="D21" s="222">
        <v>0</v>
      </c>
      <c r="E21" s="222">
        <v>0</v>
      </c>
      <c r="F21" s="222">
        <v>0</v>
      </c>
      <c r="G21" s="222">
        <v>0</v>
      </c>
      <c r="H21" s="222">
        <v>0</v>
      </c>
      <c r="I21" s="222">
        <v>0</v>
      </c>
      <c r="J21" s="222">
        <v>0</v>
      </c>
      <c r="K21" s="222"/>
      <c r="L21" s="222"/>
      <c r="M21" s="223">
        <v>4</v>
      </c>
      <c r="N21" s="223" t="s">
        <v>211</v>
      </c>
      <c r="O21" s="223" t="s">
        <v>743</v>
      </c>
    </row>
    <row r="22" spans="1:15">
      <c r="A22" s="224" t="s">
        <v>34</v>
      </c>
      <c r="B22" s="225">
        <v>0</v>
      </c>
      <c r="C22" s="225">
        <v>0</v>
      </c>
      <c r="D22" s="225">
        <v>64</v>
      </c>
      <c r="E22" s="225">
        <v>0</v>
      </c>
      <c r="F22" s="225">
        <v>116</v>
      </c>
      <c r="G22" s="225">
        <v>0</v>
      </c>
      <c r="H22" s="225">
        <v>0</v>
      </c>
      <c r="I22" s="225">
        <v>0</v>
      </c>
      <c r="J22" s="225">
        <v>0</v>
      </c>
      <c r="K22" s="225"/>
      <c r="L22" s="225"/>
      <c r="M22" s="226">
        <v>3</v>
      </c>
      <c r="N22" s="226" t="s">
        <v>210</v>
      </c>
      <c r="O22" s="226"/>
    </row>
    <row r="23" spans="1:15">
      <c r="A23" s="221" t="s">
        <v>42</v>
      </c>
      <c r="B23" s="222">
        <v>138</v>
      </c>
      <c r="C23" s="222">
        <v>7</v>
      </c>
      <c r="D23" s="222">
        <v>0</v>
      </c>
      <c r="E23" s="222">
        <v>36</v>
      </c>
      <c r="F23" s="222">
        <v>0</v>
      </c>
      <c r="G23" s="222">
        <v>0</v>
      </c>
      <c r="H23" s="222">
        <v>31</v>
      </c>
      <c r="I23" s="222">
        <v>12</v>
      </c>
      <c r="J23" s="222">
        <v>22</v>
      </c>
      <c r="K23" s="222"/>
      <c r="L23" s="222">
        <v>19</v>
      </c>
      <c r="M23" s="223">
        <v>3</v>
      </c>
      <c r="N23" s="223" t="s">
        <v>211</v>
      </c>
      <c r="O23" s="223" t="s">
        <v>743</v>
      </c>
    </row>
    <row r="26" spans="1:15">
      <c r="A26" s="214" t="s">
        <v>880</v>
      </c>
      <c r="B26" s="212"/>
      <c r="C26" s="212"/>
      <c r="D26" s="212"/>
      <c r="E26" s="212"/>
      <c r="F26" s="212"/>
      <c r="G26" s="211"/>
      <c r="H26" s="211"/>
      <c r="I26" s="211"/>
      <c r="J26" s="211"/>
      <c r="K26" s="211"/>
      <c r="L26" s="211"/>
      <c r="M26" s="211"/>
    </row>
    <row r="27" spans="1:15">
      <c r="A27" s="215" t="s">
        <v>895</v>
      </c>
      <c r="B27" s="213"/>
      <c r="C27" s="213"/>
      <c r="D27" s="213"/>
      <c r="E27" s="213"/>
      <c r="F27" s="213"/>
      <c r="G27" s="211"/>
      <c r="H27" s="211"/>
      <c r="I27" s="211"/>
      <c r="J27" s="211"/>
      <c r="K27" s="211"/>
      <c r="L27" s="211"/>
      <c r="M27" s="211"/>
    </row>
    <row r="28" spans="1:15">
      <c r="A28" s="217" t="s">
        <v>882</v>
      </c>
      <c r="B28" s="211"/>
      <c r="C28" s="211"/>
      <c r="D28" s="211"/>
      <c r="E28" s="211"/>
      <c r="F28" s="211"/>
      <c r="G28" s="211"/>
      <c r="H28" s="211"/>
      <c r="I28" s="211"/>
      <c r="J28" s="211"/>
      <c r="K28" s="211"/>
      <c r="L28" s="211"/>
      <c r="M28" s="211"/>
    </row>
    <row r="29" spans="1:15">
      <c r="A29" s="211"/>
      <c r="B29" s="211"/>
      <c r="C29" s="211"/>
      <c r="D29" s="211"/>
      <c r="E29" s="211"/>
      <c r="F29" s="211"/>
      <c r="G29" s="211"/>
      <c r="H29" s="211"/>
      <c r="I29" s="211"/>
      <c r="J29" s="211"/>
      <c r="K29" s="211"/>
      <c r="L29" s="211"/>
      <c r="M29" s="211"/>
    </row>
    <row r="30" spans="1:15" ht="15" customHeight="1">
      <c r="A30" s="235" t="s">
        <v>22</v>
      </c>
      <c r="B30" s="227">
        <v>2012</v>
      </c>
      <c r="C30" s="227">
        <v>2013</v>
      </c>
      <c r="D30" s="227">
        <v>2014</v>
      </c>
      <c r="E30" s="227">
        <v>2015</v>
      </c>
      <c r="F30" s="227">
        <v>2016</v>
      </c>
      <c r="G30" s="227">
        <v>2017</v>
      </c>
      <c r="H30" s="227">
        <v>2018</v>
      </c>
      <c r="I30" s="227">
        <v>2019</v>
      </c>
      <c r="J30" s="227">
        <v>2020</v>
      </c>
      <c r="K30" s="227">
        <v>2021</v>
      </c>
      <c r="L30" s="227">
        <v>2022</v>
      </c>
      <c r="M30" s="228">
        <v>2023</v>
      </c>
      <c r="N30" s="237" t="s">
        <v>209</v>
      </c>
      <c r="O30" s="237" t="s">
        <v>155</v>
      </c>
    </row>
    <row r="31" spans="1:15">
      <c r="A31" s="236"/>
      <c r="B31" s="229" t="s">
        <v>896</v>
      </c>
      <c r="C31" s="229" t="s">
        <v>896</v>
      </c>
      <c r="D31" s="229" t="s">
        <v>896</v>
      </c>
      <c r="E31" s="229" t="s">
        <v>896</v>
      </c>
      <c r="F31" s="229" t="s">
        <v>896</v>
      </c>
      <c r="G31" s="229" t="s">
        <v>896</v>
      </c>
      <c r="H31" s="229" t="s">
        <v>896</v>
      </c>
      <c r="I31" s="229" t="s">
        <v>896</v>
      </c>
      <c r="J31" s="229" t="s">
        <v>896</v>
      </c>
      <c r="K31" s="229" t="s">
        <v>896</v>
      </c>
      <c r="L31" s="229" t="s">
        <v>896</v>
      </c>
      <c r="M31" s="230" t="s">
        <v>896</v>
      </c>
      <c r="N31" s="238"/>
      <c r="O31" s="238"/>
    </row>
    <row r="32" spans="1:15">
      <c r="A32" s="221" t="s">
        <v>23</v>
      </c>
      <c r="B32" s="222" t="s">
        <v>897</v>
      </c>
      <c r="C32" s="231">
        <v>26678</v>
      </c>
      <c r="D32" s="231">
        <v>28978</v>
      </c>
      <c r="E32" s="222" t="s">
        <v>897</v>
      </c>
      <c r="F32" s="222" t="s">
        <v>897</v>
      </c>
      <c r="G32" s="222" t="s">
        <v>897</v>
      </c>
      <c r="H32" s="222" t="s">
        <v>897</v>
      </c>
      <c r="I32" s="222" t="s">
        <v>897</v>
      </c>
      <c r="J32" s="222" t="s">
        <v>897</v>
      </c>
      <c r="K32" s="232">
        <v>13639</v>
      </c>
      <c r="L32" s="222" t="s">
        <v>897</v>
      </c>
      <c r="M32" s="223" t="s">
        <v>897</v>
      </c>
      <c r="N32" s="223"/>
      <c r="O32" s="223"/>
    </row>
    <row r="33" spans="1:15">
      <c r="A33" s="224" t="s">
        <v>0</v>
      </c>
      <c r="B33" s="225" t="s">
        <v>897</v>
      </c>
      <c r="C33" s="225">
        <v>5348</v>
      </c>
      <c r="D33" s="225">
        <v>7911</v>
      </c>
      <c r="E33" s="233">
        <v>3621</v>
      </c>
      <c r="F33" s="233">
        <v>3365</v>
      </c>
      <c r="G33" s="233">
        <v>3289</v>
      </c>
      <c r="H33" s="233">
        <v>3830</v>
      </c>
      <c r="I33" s="233">
        <v>3889</v>
      </c>
      <c r="J33" s="233">
        <v>3447</v>
      </c>
      <c r="K33" s="233">
        <v>4006</v>
      </c>
      <c r="L33" s="233">
        <v>3820</v>
      </c>
      <c r="M33" s="233">
        <v>3805</v>
      </c>
      <c r="N33" s="233" t="str">
        <f>VLOOKUP(A33,$A$11:$N$23,14,0)</f>
        <v>Include</v>
      </c>
      <c r="O33" s="233" t="s">
        <v>744</v>
      </c>
    </row>
    <row r="34" spans="1:15">
      <c r="A34" s="221" t="s">
        <v>29</v>
      </c>
      <c r="B34" s="222" t="s">
        <v>897</v>
      </c>
      <c r="C34" s="222">
        <v>6708</v>
      </c>
      <c r="D34" s="222">
        <v>6137</v>
      </c>
      <c r="E34" s="232">
        <v>3624</v>
      </c>
      <c r="F34" s="232">
        <v>3149</v>
      </c>
      <c r="G34" s="232">
        <v>3769</v>
      </c>
      <c r="H34" s="232">
        <v>3458</v>
      </c>
      <c r="I34" s="232">
        <v>3492</v>
      </c>
      <c r="J34" s="232">
        <v>3283</v>
      </c>
      <c r="K34" s="232">
        <v>3938</v>
      </c>
      <c r="L34" s="232">
        <v>3402</v>
      </c>
      <c r="M34" s="232">
        <v>3364</v>
      </c>
      <c r="N34" s="232" t="str">
        <f>VLOOKUP(A34,$A$11:$N$23,14,0)</f>
        <v>Exclude</v>
      </c>
      <c r="O34" s="232" t="s">
        <v>744</v>
      </c>
    </row>
    <row r="35" spans="1:15">
      <c r="A35" s="224" t="s">
        <v>33</v>
      </c>
      <c r="B35" s="225" t="s">
        <v>897</v>
      </c>
      <c r="C35" s="225">
        <v>1952</v>
      </c>
      <c r="D35" s="225">
        <v>2095</v>
      </c>
      <c r="E35" s="233">
        <v>1644</v>
      </c>
      <c r="F35" s="233">
        <v>1678</v>
      </c>
      <c r="G35" s="233">
        <v>2033</v>
      </c>
      <c r="H35" s="233">
        <v>1973</v>
      </c>
      <c r="I35" s="233">
        <v>2071</v>
      </c>
      <c r="J35" s="233">
        <v>1727</v>
      </c>
      <c r="K35" s="233">
        <v>1947</v>
      </c>
      <c r="L35" s="233">
        <v>1543</v>
      </c>
      <c r="M35" s="233">
        <v>1342</v>
      </c>
      <c r="N35" s="233" t="s">
        <v>211</v>
      </c>
      <c r="O35" s="233" t="s">
        <v>744</v>
      </c>
    </row>
    <row r="36" spans="1:15">
      <c r="A36" s="221" t="s">
        <v>63</v>
      </c>
      <c r="B36" s="222" t="s">
        <v>897</v>
      </c>
      <c r="C36" s="222">
        <v>2111</v>
      </c>
      <c r="D36" s="222">
        <v>1773</v>
      </c>
      <c r="E36" s="232">
        <v>1082</v>
      </c>
      <c r="F36" s="232">
        <v>1108</v>
      </c>
      <c r="G36" s="232">
        <v>1027</v>
      </c>
      <c r="H36" s="232">
        <v>1202</v>
      </c>
      <c r="I36" s="232">
        <v>1020</v>
      </c>
      <c r="J36" s="232">
        <v>1022</v>
      </c>
      <c r="K36" s="232">
        <v>984</v>
      </c>
      <c r="L36" s="232">
        <v>953</v>
      </c>
      <c r="M36" s="232">
        <v>878</v>
      </c>
      <c r="N36" s="232" t="str">
        <f>VLOOKUP(A36,$A$11:$N$23,14,0)</f>
        <v>Include</v>
      </c>
      <c r="O36" s="232" t="s">
        <v>744</v>
      </c>
    </row>
    <row r="37" spans="1:15">
      <c r="A37" s="224" t="s">
        <v>41</v>
      </c>
      <c r="B37" s="225" t="s">
        <v>897</v>
      </c>
      <c r="C37" s="225">
        <v>431</v>
      </c>
      <c r="D37" s="225">
        <v>343</v>
      </c>
      <c r="E37" s="233">
        <v>526</v>
      </c>
      <c r="F37" s="233">
        <v>602</v>
      </c>
      <c r="G37" s="233">
        <v>209</v>
      </c>
      <c r="H37" s="233">
        <v>459</v>
      </c>
      <c r="I37" s="233">
        <v>151</v>
      </c>
      <c r="J37" s="233">
        <v>165</v>
      </c>
      <c r="K37" s="233">
        <v>188</v>
      </c>
      <c r="L37" s="233">
        <v>203</v>
      </c>
      <c r="M37" s="233">
        <v>427</v>
      </c>
      <c r="N37" s="233" t="s">
        <v>211</v>
      </c>
      <c r="O37" s="233" t="s">
        <v>744</v>
      </c>
    </row>
    <row r="38" spans="1:15">
      <c r="A38" s="221" t="s">
        <v>30</v>
      </c>
      <c r="B38" s="222" t="s">
        <v>897</v>
      </c>
      <c r="C38" s="231">
        <v>2493</v>
      </c>
      <c r="D38" s="222">
        <v>1950</v>
      </c>
      <c r="E38" s="232">
        <v>982</v>
      </c>
      <c r="F38" s="232">
        <v>1026</v>
      </c>
      <c r="G38" s="232">
        <v>933</v>
      </c>
      <c r="H38" s="232">
        <v>747</v>
      </c>
      <c r="I38" s="232">
        <v>607</v>
      </c>
      <c r="J38" s="232">
        <v>472</v>
      </c>
      <c r="K38" s="232">
        <v>491</v>
      </c>
      <c r="L38" s="232">
        <v>454</v>
      </c>
      <c r="M38" s="232">
        <v>269</v>
      </c>
      <c r="N38" s="232" t="str">
        <f>VLOOKUP(A38,$A$11:$N$23,14,0)</f>
        <v>Include</v>
      </c>
      <c r="O38" s="232" t="s">
        <v>744</v>
      </c>
    </row>
    <row r="39" spans="1:15">
      <c r="A39" s="224" t="s">
        <v>51</v>
      </c>
      <c r="B39" s="225" t="s">
        <v>897</v>
      </c>
      <c r="C39" s="225">
        <v>454</v>
      </c>
      <c r="D39" s="225">
        <v>482</v>
      </c>
      <c r="E39" s="233">
        <v>191</v>
      </c>
      <c r="F39" s="233">
        <v>249</v>
      </c>
      <c r="G39" s="233">
        <v>304</v>
      </c>
      <c r="H39" s="233">
        <v>295</v>
      </c>
      <c r="I39" s="233">
        <v>319</v>
      </c>
      <c r="J39" s="233">
        <v>232</v>
      </c>
      <c r="K39" s="233">
        <v>513</v>
      </c>
      <c r="L39" s="233">
        <v>269</v>
      </c>
      <c r="M39" s="233">
        <v>153</v>
      </c>
      <c r="N39" s="233" t="s">
        <v>211</v>
      </c>
      <c r="O39" s="233" t="s">
        <v>744</v>
      </c>
    </row>
    <row r="40" spans="1:15">
      <c r="A40" s="221" t="s">
        <v>71</v>
      </c>
      <c r="B40" s="222" t="s">
        <v>897</v>
      </c>
      <c r="C40" s="222">
        <v>1213</v>
      </c>
      <c r="D40" s="222">
        <v>1278</v>
      </c>
      <c r="E40" s="232">
        <v>575</v>
      </c>
      <c r="F40" s="232">
        <v>387</v>
      </c>
      <c r="G40" s="232">
        <v>452</v>
      </c>
      <c r="H40" s="232">
        <v>335</v>
      </c>
      <c r="I40" s="232">
        <v>319</v>
      </c>
      <c r="J40" s="232">
        <v>225</v>
      </c>
      <c r="K40" s="232">
        <v>208</v>
      </c>
      <c r="L40" s="232">
        <v>184</v>
      </c>
      <c r="M40" s="232">
        <v>133</v>
      </c>
      <c r="N40" s="232" t="str">
        <f>VLOOKUP(A40,$A$11:$N$23,14,0)</f>
        <v>Include</v>
      </c>
      <c r="O40" s="232" t="s">
        <v>744</v>
      </c>
    </row>
    <row r="41" spans="1:15">
      <c r="A41" s="224" t="s">
        <v>42</v>
      </c>
      <c r="B41" s="225" t="s">
        <v>897</v>
      </c>
      <c r="C41" s="234">
        <v>702</v>
      </c>
      <c r="D41" s="234">
        <v>1900</v>
      </c>
      <c r="E41" s="233">
        <v>145</v>
      </c>
      <c r="F41" s="233">
        <v>91</v>
      </c>
      <c r="G41" s="233">
        <v>81</v>
      </c>
      <c r="H41" s="233">
        <v>99</v>
      </c>
      <c r="I41" s="233">
        <v>90</v>
      </c>
      <c r="J41" s="233">
        <v>172</v>
      </c>
      <c r="K41" s="233">
        <v>178</v>
      </c>
      <c r="L41" s="233">
        <v>185</v>
      </c>
      <c r="M41" s="233">
        <v>119</v>
      </c>
      <c r="N41" s="233" t="str">
        <f>VLOOKUP(A41,$A$11:$N$23,14,0)</f>
        <v>Include</v>
      </c>
      <c r="O41" s="233" t="s">
        <v>744</v>
      </c>
    </row>
    <row r="42" spans="1:15">
      <c r="A42" s="221" t="s">
        <v>28</v>
      </c>
      <c r="B42" s="222" t="s">
        <v>897</v>
      </c>
      <c r="C42" s="222">
        <v>258</v>
      </c>
      <c r="D42" s="222">
        <v>593</v>
      </c>
      <c r="E42" s="232">
        <v>130</v>
      </c>
      <c r="F42" s="232">
        <v>97</v>
      </c>
      <c r="G42" s="232">
        <v>72</v>
      </c>
      <c r="H42" s="232">
        <v>100</v>
      </c>
      <c r="I42" s="232">
        <v>125</v>
      </c>
      <c r="J42" s="232">
        <v>61</v>
      </c>
      <c r="K42" s="232">
        <v>74</v>
      </c>
      <c r="L42" s="232">
        <v>76</v>
      </c>
      <c r="M42" s="232">
        <v>114</v>
      </c>
      <c r="N42" s="232" t="s">
        <v>211</v>
      </c>
      <c r="O42" s="232" t="s">
        <v>744</v>
      </c>
    </row>
    <row r="43" spans="1:15">
      <c r="A43" s="224" t="s">
        <v>100</v>
      </c>
      <c r="B43" s="225" t="s">
        <v>897</v>
      </c>
      <c r="C43" s="225">
        <v>177</v>
      </c>
      <c r="D43" s="225">
        <v>86</v>
      </c>
      <c r="E43" s="233">
        <v>7</v>
      </c>
      <c r="F43" s="233">
        <v>34</v>
      </c>
      <c r="G43" s="233">
        <v>10</v>
      </c>
      <c r="H43" s="233">
        <v>112</v>
      </c>
      <c r="I43" s="233">
        <v>50</v>
      </c>
      <c r="J43" s="233">
        <v>82</v>
      </c>
      <c r="K43" s="233">
        <v>22</v>
      </c>
      <c r="L43" s="233">
        <v>26</v>
      </c>
      <c r="M43" s="233">
        <v>113</v>
      </c>
      <c r="N43" s="233" t="s">
        <v>211</v>
      </c>
      <c r="O43" s="233" t="s">
        <v>744</v>
      </c>
    </row>
    <row r="44" spans="1:15">
      <c r="A44" s="221" t="s">
        <v>70</v>
      </c>
      <c r="B44" s="232">
        <v>74</v>
      </c>
      <c r="C44" s="222">
        <v>130</v>
      </c>
      <c r="D44" s="222">
        <v>144</v>
      </c>
      <c r="E44" s="232">
        <v>48</v>
      </c>
      <c r="F44" s="232">
        <v>105</v>
      </c>
      <c r="G44" s="232">
        <v>38</v>
      </c>
      <c r="H44" s="232">
        <v>111</v>
      </c>
      <c r="I44" s="232">
        <v>120</v>
      </c>
      <c r="J44" s="232">
        <v>106</v>
      </c>
      <c r="K44" s="232">
        <v>108</v>
      </c>
      <c r="L44" s="232">
        <v>170</v>
      </c>
      <c r="M44" s="232">
        <v>100</v>
      </c>
      <c r="N44" s="232" t="s">
        <v>211</v>
      </c>
      <c r="O44" s="232" t="s">
        <v>744</v>
      </c>
    </row>
    <row r="45" spans="1:15">
      <c r="A45" s="224" t="s">
        <v>55</v>
      </c>
      <c r="B45" s="233">
        <v>65</v>
      </c>
      <c r="C45" s="225">
        <v>82</v>
      </c>
      <c r="D45" s="225">
        <v>312</v>
      </c>
      <c r="E45" s="233">
        <v>92</v>
      </c>
      <c r="F45" s="233">
        <v>79</v>
      </c>
      <c r="G45" s="233">
        <v>53</v>
      </c>
      <c r="H45" s="233">
        <v>48</v>
      </c>
      <c r="I45" s="233">
        <v>40</v>
      </c>
      <c r="J45" s="233">
        <v>24</v>
      </c>
      <c r="K45" s="233">
        <v>24</v>
      </c>
      <c r="L45" s="233">
        <v>21</v>
      </c>
      <c r="M45" s="233">
        <v>100</v>
      </c>
      <c r="N45" s="233" t="s">
        <v>211</v>
      </c>
      <c r="O45" s="233" t="s">
        <v>744</v>
      </c>
    </row>
    <row r="46" spans="1:15">
      <c r="A46" s="221" t="s">
        <v>25</v>
      </c>
      <c r="B46" s="222" t="s">
        <v>897</v>
      </c>
      <c r="C46" s="231">
        <v>678</v>
      </c>
      <c r="D46" s="222">
        <v>91</v>
      </c>
      <c r="E46" s="232">
        <v>64</v>
      </c>
      <c r="F46" s="232">
        <v>63</v>
      </c>
      <c r="G46" s="232">
        <v>97</v>
      </c>
      <c r="H46" s="232">
        <v>85</v>
      </c>
      <c r="I46" s="232">
        <v>117</v>
      </c>
      <c r="J46" s="232">
        <v>92</v>
      </c>
      <c r="K46" s="232">
        <v>92</v>
      </c>
      <c r="L46" s="232">
        <v>133</v>
      </c>
      <c r="M46" s="232">
        <v>93</v>
      </c>
      <c r="N46" s="232" t="s">
        <v>211</v>
      </c>
      <c r="O46" s="232" t="s">
        <v>744</v>
      </c>
    </row>
    <row r="47" spans="1:15">
      <c r="A47" s="224" t="s">
        <v>74</v>
      </c>
      <c r="B47" s="225" t="s">
        <v>897</v>
      </c>
      <c r="C47" s="225">
        <v>552</v>
      </c>
      <c r="D47" s="225">
        <v>323</v>
      </c>
      <c r="E47" s="233">
        <v>202</v>
      </c>
      <c r="F47" s="233">
        <v>71</v>
      </c>
      <c r="G47" s="233">
        <v>93</v>
      </c>
      <c r="H47" s="233">
        <v>75</v>
      </c>
      <c r="I47" s="233">
        <v>80</v>
      </c>
      <c r="J47" s="233">
        <v>82</v>
      </c>
      <c r="K47" s="233">
        <v>68</v>
      </c>
      <c r="L47" s="233">
        <v>26</v>
      </c>
      <c r="M47" s="233">
        <v>85</v>
      </c>
      <c r="N47" s="233" t="s">
        <v>211</v>
      </c>
      <c r="O47" s="233" t="s">
        <v>744</v>
      </c>
    </row>
    <row r="48" spans="1:15">
      <c r="A48" s="221" t="s">
        <v>60</v>
      </c>
      <c r="B48" s="222" t="s">
        <v>897</v>
      </c>
      <c r="C48" s="222">
        <v>845</v>
      </c>
      <c r="D48" s="222">
        <v>1275</v>
      </c>
      <c r="E48" s="232">
        <v>420</v>
      </c>
      <c r="F48" s="232">
        <v>419</v>
      </c>
      <c r="G48" s="232">
        <v>286</v>
      </c>
      <c r="H48" s="232">
        <v>341</v>
      </c>
      <c r="I48" s="232">
        <v>330</v>
      </c>
      <c r="J48" s="232">
        <v>231</v>
      </c>
      <c r="K48" s="232">
        <v>276</v>
      </c>
      <c r="L48" s="232">
        <v>132</v>
      </c>
      <c r="M48" s="232">
        <v>66</v>
      </c>
      <c r="N48" s="232" t="s">
        <v>211</v>
      </c>
      <c r="O48" s="232" t="s">
        <v>744</v>
      </c>
    </row>
    <row r="49" spans="1:15">
      <c r="A49" s="224" t="s">
        <v>44</v>
      </c>
      <c r="B49" s="233">
        <v>61</v>
      </c>
      <c r="C49" s="225">
        <v>139</v>
      </c>
      <c r="D49" s="225">
        <v>100</v>
      </c>
      <c r="E49" s="233">
        <v>226</v>
      </c>
      <c r="F49" s="233">
        <v>164</v>
      </c>
      <c r="G49" s="233">
        <v>135</v>
      </c>
      <c r="H49" s="233">
        <v>137</v>
      </c>
      <c r="I49" s="233">
        <v>123</v>
      </c>
      <c r="J49" s="233">
        <v>31</v>
      </c>
      <c r="K49" s="233">
        <v>116</v>
      </c>
      <c r="L49" s="233">
        <v>84</v>
      </c>
      <c r="M49" s="233">
        <v>60</v>
      </c>
      <c r="N49" s="233" t="s">
        <v>211</v>
      </c>
      <c r="O49" s="233" t="s">
        <v>744</v>
      </c>
    </row>
    <row r="50" spans="1:15">
      <c r="A50" s="221" t="s">
        <v>65</v>
      </c>
      <c r="B50" s="222" t="s">
        <v>897</v>
      </c>
      <c r="C50" s="222">
        <v>443</v>
      </c>
      <c r="D50" s="222">
        <v>512</v>
      </c>
      <c r="E50" s="232">
        <v>68</v>
      </c>
      <c r="F50" s="232">
        <v>32</v>
      </c>
      <c r="G50" s="232">
        <v>82</v>
      </c>
      <c r="H50" s="232">
        <v>60</v>
      </c>
      <c r="I50" s="232">
        <v>29</v>
      </c>
      <c r="J50" s="232">
        <v>24</v>
      </c>
      <c r="K50" s="232">
        <v>24</v>
      </c>
      <c r="L50" s="232">
        <v>64</v>
      </c>
      <c r="M50" s="232">
        <v>56</v>
      </c>
      <c r="N50" s="232" t="s">
        <v>211</v>
      </c>
      <c r="O50" s="232" t="s">
        <v>744</v>
      </c>
    </row>
    <row r="51" spans="1:15">
      <c r="A51" s="224" t="s">
        <v>64</v>
      </c>
      <c r="B51" s="225" t="s">
        <v>897</v>
      </c>
      <c r="C51" s="225">
        <v>207</v>
      </c>
      <c r="D51" s="225">
        <v>75</v>
      </c>
      <c r="E51" s="233">
        <v>79</v>
      </c>
      <c r="F51" s="233">
        <v>133</v>
      </c>
      <c r="G51" s="233">
        <v>60</v>
      </c>
      <c r="H51" s="233">
        <v>240</v>
      </c>
      <c r="I51" s="233">
        <v>95</v>
      </c>
      <c r="J51" s="233">
        <v>109</v>
      </c>
      <c r="K51" s="233">
        <v>30</v>
      </c>
      <c r="L51" s="233">
        <v>51</v>
      </c>
      <c r="M51" s="233">
        <v>48</v>
      </c>
      <c r="N51" s="233" t="s">
        <v>211</v>
      </c>
      <c r="O51" s="233" t="s">
        <v>744</v>
      </c>
    </row>
    <row r="52" spans="1:15">
      <c r="A52" s="221" t="s">
        <v>82</v>
      </c>
      <c r="B52" s="222"/>
      <c r="C52" s="222">
        <v>0</v>
      </c>
      <c r="D52" s="222">
        <v>1</v>
      </c>
      <c r="E52" s="232">
        <v>1</v>
      </c>
      <c r="F52" s="232">
        <v>1</v>
      </c>
      <c r="G52" s="222"/>
      <c r="H52" s="232">
        <v>2</v>
      </c>
      <c r="I52" s="232">
        <v>10</v>
      </c>
      <c r="J52" s="232">
        <v>3</v>
      </c>
      <c r="K52" s="232">
        <v>8</v>
      </c>
      <c r="L52" s="232">
        <v>17</v>
      </c>
      <c r="M52" s="232">
        <v>34</v>
      </c>
      <c r="N52" s="232" t="s">
        <v>211</v>
      </c>
      <c r="O52" s="232" t="s">
        <v>744</v>
      </c>
    </row>
    <row r="53" spans="1:15">
      <c r="A53" s="224" t="s">
        <v>69</v>
      </c>
      <c r="B53" s="225" t="s">
        <v>897</v>
      </c>
      <c r="C53" s="225">
        <v>92</v>
      </c>
      <c r="D53" s="225">
        <v>17</v>
      </c>
      <c r="E53" s="233">
        <v>23</v>
      </c>
      <c r="F53" s="233">
        <v>43</v>
      </c>
      <c r="G53" s="233">
        <v>57</v>
      </c>
      <c r="H53" s="233">
        <v>31</v>
      </c>
      <c r="I53" s="233">
        <v>38</v>
      </c>
      <c r="J53" s="233">
        <v>36</v>
      </c>
      <c r="K53" s="233">
        <v>41</v>
      </c>
      <c r="L53" s="233">
        <v>21</v>
      </c>
      <c r="M53" s="233">
        <v>31</v>
      </c>
      <c r="N53" s="233" t="str">
        <f>VLOOKUP(A53,$A$11:$N$23,14,0)</f>
        <v>Include</v>
      </c>
      <c r="O53" s="233" t="s">
        <v>744</v>
      </c>
    </row>
    <row r="54" spans="1:15">
      <c r="A54" s="221" t="s">
        <v>34</v>
      </c>
      <c r="B54" s="222" t="s">
        <v>897</v>
      </c>
      <c r="C54" s="222">
        <v>206</v>
      </c>
      <c r="D54" s="231">
        <v>134</v>
      </c>
      <c r="E54" s="232">
        <v>99</v>
      </c>
      <c r="F54" s="232">
        <v>117</v>
      </c>
      <c r="G54" s="232">
        <v>59</v>
      </c>
      <c r="H54" s="232">
        <v>58</v>
      </c>
      <c r="I54" s="232">
        <v>34</v>
      </c>
      <c r="J54" s="232">
        <v>20</v>
      </c>
      <c r="K54" s="232">
        <v>32</v>
      </c>
      <c r="L54" s="232">
        <v>40</v>
      </c>
      <c r="M54" s="232">
        <v>31</v>
      </c>
      <c r="N54" s="232" t="str">
        <f>VLOOKUP(A54,$A$11:$N$23,14,0)</f>
        <v>Exclude</v>
      </c>
      <c r="O54" s="232" t="s">
        <v>744</v>
      </c>
    </row>
    <row r="55" spans="1:15">
      <c r="A55" s="224" t="s">
        <v>32</v>
      </c>
      <c r="B55" s="233">
        <v>132</v>
      </c>
      <c r="C55" s="225">
        <v>101</v>
      </c>
      <c r="D55" s="234">
        <v>78</v>
      </c>
      <c r="E55" s="233">
        <v>165</v>
      </c>
      <c r="F55" s="233">
        <v>145</v>
      </c>
      <c r="G55" s="233">
        <v>57</v>
      </c>
      <c r="H55" s="233">
        <v>21</v>
      </c>
      <c r="I55" s="233">
        <v>30</v>
      </c>
      <c r="J55" s="233">
        <v>14</v>
      </c>
      <c r="K55" s="233">
        <v>7</v>
      </c>
      <c r="L55" s="233">
        <v>40</v>
      </c>
      <c r="M55" s="233">
        <v>30</v>
      </c>
      <c r="N55" s="233" t="s">
        <v>211</v>
      </c>
      <c r="O55" s="233" t="s">
        <v>744</v>
      </c>
    </row>
    <row r="56" spans="1:15">
      <c r="A56" s="221" t="s">
        <v>43</v>
      </c>
      <c r="B56" s="232">
        <v>9</v>
      </c>
      <c r="C56" s="222">
        <v>1</v>
      </c>
      <c r="D56" s="222">
        <v>1</v>
      </c>
      <c r="E56" s="232">
        <v>5</v>
      </c>
      <c r="F56" s="232">
        <v>5</v>
      </c>
      <c r="G56" s="232">
        <v>3</v>
      </c>
      <c r="H56" s="232">
        <v>0</v>
      </c>
      <c r="I56" s="232">
        <v>0</v>
      </c>
      <c r="J56" s="232">
        <v>17</v>
      </c>
      <c r="K56" s="232">
        <v>12</v>
      </c>
      <c r="L56" s="232">
        <v>32</v>
      </c>
      <c r="M56" s="232">
        <v>28</v>
      </c>
      <c r="N56" s="232" t="s">
        <v>211</v>
      </c>
      <c r="O56" s="232" t="s">
        <v>744</v>
      </c>
    </row>
    <row r="57" spans="1:15">
      <c r="A57" s="224" t="s">
        <v>61</v>
      </c>
      <c r="B57" s="233">
        <v>94</v>
      </c>
      <c r="C57" s="225">
        <v>62</v>
      </c>
      <c r="D57" s="225">
        <v>180</v>
      </c>
      <c r="E57" s="233">
        <v>98</v>
      </c>
      <c r="F57" s="233">
        <v>133</v>
      </c>
      <c r="G57" s="233">
        <v>155</v>
      </c>
      <c r="H57" s="233">
        <v>78</v>
      </c>
      <c r="I57" s="233">
        <v>82</v>
      </c>
      <c r="J57" s="233">
        <v>39</v>
      </c>
      <c r="K57" s="233">
        <v>44</v>
      </c>
      <c r="L57" s="233">
        <v>39</v>
      </c>
      <c r="M57" s="233">
        <v>25</v>
      </c>
      <c r="N57" s="233" t="s">
        <v>211</v>
      </c>
      <c r="O57" s="233" t="s">
        <v>744</v>
      </c>
    </row>
    <row r="58" spans="1:15">
      <c r="A58" s="221" t="s">
        <v>83</v>
      </c>
      <c r="B58" s="232">
        <v>62</v>
      </c>
      <c r="C58" s="222">
        <v>847</v>
      </c>
      <c r="D58" s="222"/>
      <c r="E58" s="222"/>
      <c r="F58" s="232">
        <v>0</v>
      </c>
      <c r="G58" s="222"/>
      <c r="H58" s="232">
        <v>44</v>
      </c>
      <c r="I58" s="232">
        <v>3</v>
      </c>
      <c r="J58" s="222"/>
      <c r="K58" s="222"/>
      <c r="L58" s="232">
        <v>18</v>
      </c>
      <c r="M58" s="232">
        <v>14</v>
      </c>
      <c r="N58" s="232" t="s">
        <v>211</v>
      </c>
      <c r="O58" s="232" t="s">
        <v>744</v>
      </c>
    </row>
    <row r="59" spans="1:15">
      <c r="A59" s="224" t="s">
        <v>85</v>
      </c>
      <c r="B59" s="225"/>
      <c r="C59" s="225"/>
      <c r="D59" s="225">
        <v>5</v>
      </c>
      <c r="E59" s="233">
        <v>6</v>
      </c>
      <c r="F59" s="225"/>
      <c r="G59" s="225"/>
      <c r="H59" s="233">
        <v>3</v>
      </c>
      <c r="I59" s="233">
        <v>83</v>
      </c>
      <c r="J59" s="233">
        <v>1</v>
      </c>
      <c r="K59" s="233">
        <v>4</v>
      </c>
      <c r="L59" s="233">
        <v>9</v>
      </c>
      <c r="M59" s="233">
        <v>13</v>
      </c>
      <c r="N59" s="233" t="s">
        <v>211</v>
      </c>
      <c r="O59" s="233" t="s">
        <v>744</v>
      </c>
    </row>
    <row r="60" spans="1:15">
      <c r="A60" s="221" t="s">
        <v>39</v>
      </c>
      <c r="B60" s="222" t="s">
        <v>897</v>
      </c>
      <c r="C60" s="222">
        <v>246</v>
      </c>
      <c r="D60" s="222">
        <v>36</v>
      </c>
      <c r="E60" s="232">
        <v>37</v>
      </c>
      <c r="F60" s="232">
        <v>22</v>
      </c>
      <c r="G60" s="232">
        <v>26</v>
      </c>
      <c r="H60" s="232">
        <v>20</v>
      </c>
      <c r="I60" s="232">
        <v>20</v>
      </c>
      <c r="J60" s="232">
        <v>121</v>
      </c>
      <c r="K60" s="232">
        <v>129</v>
      </c>
      <c r="L60" s="232">
        <v>163</v>
      </c>
      <c r="M60" s="232">
        <v>12</v>
      </c>
      <c r="N60" s="232" t="str">
        <f>VLOOKUP(A60,$A$11:$N$23,14,0)</f>
        <v>Include</v>
      </c>
      <c r="O60" s="232" t="s">
        <v>744</v>
      </c>
    </row>
    <row r="61" spans="1:15">
      <c r="A61" s="224" t="s">
        <v>89</v>
      </c>
      <c r="B61" s="225"/>
      <c r="C61" s="225"/>
      <c r="D61" s="225"/>
      <c r="E61" s="225"/>
      <c r="F61" s="225"/>
      <c r="G61" s="225"/>
      <c r="H61" s="225"/>
      <c r="I61" s="233">
        <v>1</v>
      </c>
      <c r="J61" s="233">
        <v>1</v>
      </c>
      <c r="K61" s="233">
        <v>0</v>
      </c>
      <c r="L61" s="233">
        <v>4</v>
      </c>
      <c r="M61" s="233">
        <v>5</v>
      </c>
      <c r="N61" s="233" t="s">
        <v>211</v>
      </c>
      <c r="O61" s="233" t="s">
        <v>744</v>
      </c>
    </row>
    <row r="62" spans="1:15">
      <c r="A62" s="221" t="s">
        <v>96</v>
      </c>
      <c r="B62" s="232">
        <v>8</v>
      </c>
      <c r="C62" s="222">
        <v>10</v>
      </c>
      <c r="D62" s="222">
        <v>13</v>
      </c>
      <c r="E62" s="232">
        <v>14</v>
      </c>
      <c r="F62" s="232">
        <v>16</v>
      </c>
      <c r="G62" s="232">
        <v>3</v>
      </c>
      <c r="H62" s="232">
        <v>5</v>
      </c>
      <c r="I62" s="232">
        <v>6</v>
      </c>
      <c r="J62" s="232">
        <v>3</v>
      </c>
      <c r="K62" s="232">
        <v>4</v>
      </c>
      <c r="L62" s="232">
        <v>5</v>
      </c>
      <c r="M62" s="232">
        <v>4</v>
      </c>
      <c r="N62" s="232" t="s">
        <v>211</v>
      </c>
      <c r="O62" s="232" t="s">
        <v>744</v>
      </c>
    </row>
    <row r="63" spans="1:15">
      <c r="A63" s="224" t="s">
        <v>73</v>
      </c>
      <c r="B63" s="225"/>
      <c r="C63" s="225"/>
      <c r="D63" s="225"/>
      <c r="E63" s="233">
        <v>12</v>
      </c>
      <c r="F63" s="233">
        <v>30</v>
      </c>
      <c r="G63" s="233">
        <v>7</v>
      </c>
      <c r="H63" s="233">
        <v>21</v>
      </c>
      <c r="I63" s="233">
        <v>18</v>
      </c>
      <c r="J63" s="233">
        <v>50</v>
      </c>
      <c r="K63" s="233">
        <v>6</v>
      </c>
      <c r="L63" s="233">
        <v>32</v>
      </c>
      <c r="M63" s="233">
        <v>4</v>
      </c>
      <c r="N63" s="233" t="s">
        <v>211</v>
      </c>
      <c r="O63" s="233" t="s">
        <v>744</v>
      </c>
    </row>
    <row r="64" spans="1:15">
      <c r="A64" s="221" t="s">
        <v>66</v>
      </c>
      <c r="B64" s="232">
        <v>5</v>
      </c>
      <c r="C64" s="222">
        <v>8</v>
      </c>
      <c r="D64" s="222">
        <v>0</v>
      </c>
      <c r="E64" s="222"/>
      <c r="F64" s="222"/>
      <c r="G64" s="232">
        <v>5</v>
      </c>
      <c r="H64" s="222"/>
      <c r="I64" s="232">
        <v>1</v>
      </c>
      <c r="J64" s="222"/>
      <c r="K64" s="222"/>
      <c r="L64" s="222"/>
      <c r="M64" s="232">
        <v>2</v>
      </c>
      <c r="N64" s="232" t="s">
        <v>211</v>
      </c>
      <c r="O64" s="232" t="s">
        <v>744</v>
      </c>
    </row>
    <row r="65" spans="1:15">
      <c r="A65" s="224" t="s">
        <v>80</v>
      </c>
      <c r="B65" s="233">
        <v>14</v>
      </c>
      <c r="C65" s="225">
        <v>90</v>
      </c>
      <c r="D65" s="225">
        <v>2</v>
      </c>
      <c r="E65" s="225"/>
      <c r="F65" s="233">
        <v>32</v>
      </c>
      <c r="G65" s="233">
        <v>15</v>
      </c>
      <c r="H65" s="233">
        <v>39</v>
      </c>
      <c r="I65" s="233">
        <v>12</v>
      </c>
      <c r="J65" s="233">
        <v>6</v>
      </c>
      <c r="K65" s="233">
        <v>15</v>
      </c>
      <c r="L65" s="233">
        <v>11</v>
      </c>
      <c r="M65" s="233">
        <v>2</v>
      </c>
      <c r="N65" s="233" t="s">
        <v>211</v>
      </c>
      <c r="O65" s="233" t="s">
        <v>744</v>
      </c>
    </row>
    <row r="66" spans="1:15">
      <c r="A66" s="221" t="s">
        <v>72</v>
      </c>
      <c r="B66" s="222" t="s">
        <v>897</v>
      </c>
      <c r="C66" s="222">
        <v>0</v>
      </c>
      <c r="D66" s="222">
        <v>0</v>
      </c>
      <c r="E66" s="222" t="s">
        <v>897</v>
      </c>
      <c r="F66" s="222" t="s">
        <v>897</v>
      </c>
      <c r="G66" s="232">
        <v>11</v>
      </c>
      <c r="H66" s="222" t="s">
        <v>897</v>
      </c>
      <c r="I66" s="232">
        <v>4</v>
      </c>
      <c r="J66" s="232">
        <v>12</v>
      </c>
      <c r="K66" s="232">
        <v>25</v>
      </c>
      <c r="L66" s="222" t="s">
        <v>897</v>
      </c>
      <c r="M66" s="232">
        <v>1</v>
      </c>
      <c r="N66" s="232" t="s">
        <v>211</v>
      </c>
      <c r="O66" s="232" t="s">
        <v>744</v>
      </c>
    </row>
    <row r="67" spans="1:15">
      <c r="A67" s="224" t="s">
        <v>31</v>
      </c>
      <c r="B67" s="225" t="s">
        <v>897</v>
      </c>
      <c r="C67" s="225">
        <v>14</v>
      </c>
      <c r="D67" s="225">
        <v>18</v>
      </c>
      <c r="E67" s="233">
        <v>10</v>
      </c>
      <c r="F67" s="233">
        <v>94</v>
      </c>
      <c r="G67" s="233">
        <v>222</v>
      </c>
      <c r="H67" s="233">
        <v>20</v>
      </c>
      <c r="I67" s="233">
        <v>2</v>
      </c>
      <c r="J67" s="233">
        <v>20</v>
      </c>
      <c r="K67" s="225"/>
      <c r="L67" s="233">
        <v>0</v>
      </c>
      <c r="M67" s="233">
        <v>1</v>
      </c>
      <c r="N67" s="233" t="s">
        <v>210</v>
      </c>
      <c r="O67" s="233" t="s">
        <v>744</v>
      </c>
    </row>
    <row r="68" spans="1:15">
      <c r="A68" s="221" t="s">
        <v>26</v>
      </c>
      <c r="B68" s="222"/>
      <c r="C68" s="222"/>
      <c r="D68" s="222">
        <v>11</v>
      </c>
      <c r="E68" s="222"/>
      <c r="F68" s="222"/>
      <c r="G68" s="232">
        <v>5</v>
      </c>
      <c r="H68" s="232">
        <v>2</v>
      </c>
      <c r="I68" s="232">
        <v>1</v>
      </c>
      <c r="J68" s="232">
        <v>5</v>
      </c>
      <c r="K68" s="222"/>
      <c r="L68" s="232">
        <v>5</v>
      </c>
      <c r="M68" s="232">
        <v>1</v>
      </c>
      <c r="N68" s="232" t="s">
        <v>211</v>
      </c>
      <c r="O68" s="232" t="s">
        <v>744</v>
      </c>
    </row>
    <row r="69" spans="1:15">
      <c r="A69" s="224" t="s">
        <v>38</v>
      </c>
      <c r="B69" s="225"/>
      <c r="C69" s="225"/>
      <c r="D69" s="225"/>
      <c r="E69" s="225"/>
      <c r="F69" s="225"/>
      <c r="G69" s="225"/>
      <c r="H69" s="225"/>
      <c r="I69" s="225"/>
      <c r="J69" s="225"/>
      <c r="K69" s="225"/>
      <c r="L69" s="225"/>
      <c r="M69" s="233">
        <v>1</v>
      </c>
      <c r="N69" s="233" t="str">
        <f>VLOOKUP(A69,$A$11:$N$23,14,0)</f>
        <v>Exclude</v>
      </c>
      <c r="O69" s="233" t="s">
        <v>744</v>
      </c>
    </row>
    <row r="70" spans="1:15">
      <c r="A70" s="221" t="s">
        <v>59</v>
      </c>
      <c r="B70" s="222" t="s">
        <v>897</v>
      </c>
      <c r="C70" s="222"/>
      <c r="D70" s="222"/>
      <c r="E70" s="222" t="s">
        <v>897</v>
      </c>
      <c r="F70" s="222" t="s">
        <v>897</v>
      </c>
      <c r="G70" s="222" t="s">
        <v>897</v>
      </c>
      <c r="H70" s="232">
        <v>5</v>
      </c>
      <c r="I70" s="222" t="s">
        <v>897</v>
      </c>
      <c r="J70" s="232">
        <v>16</v>
      </c>
      <c r="K70" s="232">
        <v>6</v>
      </c>
      <c r="L70" s="222" t="s">
        <v>897</v>
      </c>
      <c r="M70" s="232">
        <v>1</v>
      </c>
      <c r="N70" s="232" t="s">
        <v>210</v>
      </c>
      <c r="O70" s="232" t="s">
        <v>744</v>
      </c>
    </row>
  </sheetData>
  <autoFilter ref="A10:AV23" xr:uid="{EAF8B2EB-B820-4D0F-B445-8E86EF306B36}"/>
  <hyperlinks>
    <hyperlink ref="A3" r:id="rId1" display="http://comtrade.un.org/" xr:uid="{ECBC2BC2-4C05-49FE-A722-01C43ABFAF80}"/>
    <hyperlink ref="A28" r:id="rId2" display="http://comtrade.un.org/" xr:uid="{CC2A00AD-5825-4855-A634-79045C2233EE}"/>
  </hyperlinks>
  <pageMargins left="0.75" right="0.75" top="1" bottom="1" header="0.5" footer="0.5"/>
  <pageSetup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88FE-15E7-462E-9E75-8AE2009634E2}">
  <sheetPr>
    <pageSetUpPr fitToPage="1"/>
  </sheetPr>
  <dimension ref="A1:O71"/>
  <sheetViews>
    <sheetView topLeftCell="E1" workbookViewId="0"/>
  </sheetViews>
  <sheetFormatPr defaultColWidth="8.85546875" defaultRowHeight="13.5"/>
  <cols>
    <col min="1" max="1" width="22.7109375" style="29" customWidth="1"/>
    <col min="2" max="13" width="25.28515625" style="29" bestFit="1" customWidth="1"/>
    <col min="14" max="18" width="8.85546875" style="29"/>
    <col min="19" max="19" width="24.85546875" style="29" bestFit="1" customWidth="1"/>
    <col min="20" max="20" width="13.28515625" style="29" bestFit="1" customWidth="1"/>
    <col min="21" max="21" width="10" style="29" bestFit="1" customWidth="1"/>
    <col min="22" max="23" width="11" style="29" bestFit="1" customWidth="1"/>
    <col min="24" max="24" width="10" style="29" bestFit="1" customWidth="1"/>
    <col min="25" max="31" width="11" style="29" bestFit="1" customWidth="1"/>
    <col min="32" max="32" width="11.28515625" style="29" bestFit="1" customWidth="1"/>
    <col min="33" max="16384" width="8.85546875" style="29"/>
  </cols>
  <sheetData>
    <row r="1" spans="1:15" ht="15" customHeight="1">
      <c r="A1" s="282" t="s">
        <v>880</v>
      </c>
      <c r="B1" s="240"/>
      <c r="C1" s="240"/>
      <c r="D1" s="241">
        <f>'EX-1A SV Summary'!D25</f>
        <v>3206199</v>
      </c>
      <c r="E1" s="240"/>
      <c r="F1" s="240"/>
      <c r="G1" s="46"/>
      <c r="H1" s="46"/>
      <c r="I1" s="46"/>
      <c r="J1" s="46"/>
      <c r="K1" s="46"/>
      <c r="L1" s="46"/>
      <c r="M1" s="46"/>
    </row>
    <row r="2" spans="1:15" ht="15" customHeight="1">
      <c r="A2" s="26" t="s">
        <v>901</v>
      </c>
      <c r="B2" s="242"/>
      <c r="C2" s="242"/>
      <c r="D2" s="242"/>
      <c r="E2" s="242"/>
      <c r="F2" s="242"/>
      <c r="G2" s="46"/>
      <c r="H2" s="46"/>
      <c r="I2" s="46"/>
      <c r="J2" s="46"/>
      <c r="K2" s="46"/>
      <c r="L2" s="46"/>
      <c r="M2" s="46"/>
    </row>
    <row r="3" spans="1:15">
      <c r="A3" s="46"/>
      <c r="B3" s="46"/>
      <c r="C3" s="46"/>
      <c r="D3" s="46"/>
      <c r="E3" s="46"/>
      <c r="F3" s="46"/>
      <c r="G3" s="46"/>
      <c r="H3" s="46"/>
      <c r="I3" s="46"/>
      <c r="J3" s="46"/>
      <c r="K3" s="46"/>
      <c r="L3" s="46"/>
      <c r="M3" s="46"/>
    </row>
    <row r="4" spans="1:15">
      <c r="A4" s="243" t="s">
        <v>882</v>
      </c>
      <c r="B4" s="46"/>
      <c r="C4" s="46"/>
      <c r="D4" s="46"/>
      <c r="E4" s="46"/>
      <c r="F4" s="46"/>
      <c r="G4" s="46"/>
      <c r="H4" s="46"/>
      <c r="I4" s="46"/>
      <c r="J4" s="46"/>
      <c r="K4" s="46"/>
      <c r="L4" s="46"/>
      <c r="M4" s="46"/>
    </row>
    <row r="5" spans="1:15">
      <c r="A5" s="46"/>
      <c r="B5" s="46"/>
      <c r="C5" s="46"/>
      <c r="D5" s="46"/>
      <c r="E5" s="46"/>
      <c r="F5" s="46"/>
      <c r="G5" s="46"/>
      <c r="H5" s="46"/>
      <c r="I5" s="46"/>
      <c r="J5" s="46"/>
      <c r="K5" s="46"/>
      <c r="L5" s="46"/>
      <c r="M5" s="46"/>
    </row>
    <row r="6" spans="1:15" ht="27">
      <c r="A6" s="102" t="s">
        <v>899</v>
      </c>
      <c r="B6" s="102" t="s">
        <v>203</v>
      </c>
      <c r="C6" s="102" t="s">
        <v>48</v>
      </c>
      <c r="D6" s="102" t="s">
        <v>204</v>
      </c>
      <c r="E6" s="46"/>
      <c r="F6" s="46"/>
      <c r="G6" s="46"/>
      <c r="H6" s="46"/>
      <c r="I6" s="46"/>
      <c r="J6" s="46"/>
      <c r="K6" s="46"/>
      <c r="L6" s="46"/>
      <c r="M6" s="46"/>
    </row>
    <row r="7" spans="1:15">
      <c r="A7" s="103">
        <f>SUMIFS(M:M,N:N,"Include",O:O,"QTY")</f>
        <v>1342</v>
      </c>
      <c r="B7" s="103">
        <f>A7*1000</f>
        <v>1342000</v>
      </c>
      <c r="C7" s="103">
        <f>SUMIFS(M:M,N:N,"Include",O:O,"Val")*1000</f>
        <v>6474000</v>
      </c>
      <c r="D7" s="104">
        <f>C7/B7</f>
        <v>4.824143070044709</v>
      </c>
      <c r="E7" s="46"/>
      <c r="F7" s="46"/>
      <c r="G7" s="46"/>
      <c r="H7" s="46"/>
      <c r="I7" s="46"/>
      <c r="J7" s="46"/>
      <c r="K7" s="46"/>
      <c r="L7" s="46"/>
      <c r="M7" s="46"/>
    </row>
    <row r="8" spans="1:15">
      <c r="A8" s="46"/>
      <c r="B8" s="46"/>
      <c r="C8" s="46"/>
      <c r="D8" s="46"/>
      <c r="E8" s="46"/>
      <c r="F8" s="46"/>
      <c r="G8" s="46"/>
      <c r="H8" s="46"/>
      <c r="I8" s="46"/>
      <c r="J8" s="46"/>
      <c r="K8" s="46"/>
      <c r="L8" s="46"/>
      <c r="M8" s="46"/>
    </row>
    <row r="9" spans="1:15">
      <c r="A9" s="46" t="s">
        <v>47</v>
      </c>
      <c r="B9" s="46"/>
      <c r="C9" s="46"/>
      <c r="D9" s="46"/>
      <c r="E9" s="46"/>
      <c r="F9" s="46"/>
      <c r="G9" s="46"/>
      <c r="H9" s="46"/>
      <c r="I9" s="46"/>
      <c r="J9" s="46"/>
      <c r="K9" s="46"/>
      <c r="L9" s="46"/>
      <c r="M9" s="46"/>
    </row>
    <row r="10" spans="1:15">
      <c r="A10" s="46"/>
      <c r="B10" s="46"/>
      <c r="C10" s="46"/>
      <c r="D10" s="46"/>
      <c r="E10" s="46"/>
      <c r="F10" s="46"/>
      <c r="G10" s="46"/>
      <c r="H10" s="46"/>
      <c r="I10" s="46"/>
      <c r="J10" s="46"/>
      <c r="K10" s="46"/>
      <c r="L10" s="46"/>
      <c r="M10" s="46"/>
    </row>
    <row r="11" spans="1:15">
      <c r="A11" s="244" t="s">
        <v>22</v>
      </c>
      <c r="B11" s="245" t="s">
        <v>883</v>
      </c>
      <c r="C11" s="245" t="s">
        <v>884</v>
      </c>
      <c r="D11" s="245" t="s">
        <v>885</v>
      </c>
      <c r="E11" s="245" t="s">
        <v>886</v>
      </c>
      <c r="F11" s="245" t="s">
        <v>887</v>
      </c>
      <c r="G11" s="245" t="s">
        <v>888</v>
      </c>
      <c r="H11" s="245" t="s">
        <v>889</v>
      </c>
      <c r="I11" s="245" t="s">
        <v>890</v>
      </c>
      <c r="J11" s="245" t="s">
        <v>891</v>
      </c>
      <c r="K11" s="245" t="s">
        <v>892</v>
      </c>
      <c r="L11" s="245" t="s">
        <v>893</v>
      </c>
      <c r="M11" s="246" t="s">
        <v>894</v>
      </c>
      <c r="N11" s="114" t="s">
        <v>209</v>
      </c>
      <c r="O11" s="114" t="s">
        <v>155</v>
      </c>
    </row>
    <row r="12" spans="1:15">
      <c r="A12" s="247" t="s">
        <v>23</v>
      </c>
      <c r="B12" s="248">
        <v>7953</v>
      </c>
      <c r="C12" s="248">
        <v>5408</v>
      </c>
      <c r="D12" s="248">
        <v>7334</v>
      </c>
      <c r="E12" s="248">
        <v>7384</v>
      </c>
      <c r="F12" s="248">
        <v>10890</v>
      </c>
      <c r="G12" s="248">
        <v>7149</v>
      </c>
      <c r="H12" s="248">
        <v>7321</v>
      </c>
      <c r="I12" s="248">
        <v>7705</v>
      </c>
      <c r="J12" s="248">
        <v>9027</v>
      </c>
      <c r="K12" s="248">
        <v>14361</v>
      </c>
      <c r="L12" s="248">
        <v>9056</v>
      </c>
      <c r="M12" s="249">
        <v>9214</v>
      </c>
      <c r="N12" s="249" t="s">
        <v>210</v>
      </c>
      <c r="O12" s="249" t="s">
        <v>743</v>
      </c>
    </row>
    <row r="13" spans="1:15">
      <c r="A13" s="250" t="s">
        <v>29</v>
      </c>
      <c r="B13" s="251">
        <v>229</v>
      </c>
      <c r="C13" s="251">
        <v>52</v>
      </c>
      <c r="D13" s="251">
        <v>299</v>
      </c>
      <c r="E13" s="251">
        <v>491</v>
      </c>
      <c r="F13" s="251">
        <v>2306</v>
      </c>
      <c r="G13" s="251">
        <v>555</v>
      </c>
      <c r="H13" s="251">
        <v>770</v>
      </c>
      <c r="I13" s="251">
        <v>1060</v>
      </c>
      <c r="J13" s="251">
        <v>2033</v>
      </c>
      <c r="K13" s="251">
        <v>3104</v>
      </c>
      <c r="L13" s="251">
        <v>1711</v>
      </c>
      <c r="M13" s="252">
        <v>2620</v>
      </c>
      <c r="N13" s="252" t="s">
        <v>210</v>
      </c>
      <c r="O13" s="252" t="s">
        <v>743</v>
      </c>
    </row>
    <row r="14" spans="1:15">
      <c r="A14" s="247" t="s">
        <v>42</v>
      </c>
      <c r="B14" s="248">
        <v>476</v>
      </c>
      <c r="C14" s="248">
        <v>297</v>
      </c>
      <c r="D14" s="248">
        <v>906</v>
      </c>
      <c r="E14" s="248">
        <v>1164</v>
      </c>
      <c r="F14" s="248">
        <v>4453</v>
      </c>
      <c r="G14" s="248">
        <v>915</v>
      </c>
      <c r="H14" s="248">
        <v>1405</v>
      </c>
      <c r="I14" s="248">
        <v>995</v>
      </c>
      <c r="J14" s="248">
        <v>373</v>
      </c>
      <c r="K14" s="248">
        <v>1349</v>
      </c>
      <c r="L14" s="248">
        <v>781</v>
      </c>
      <c r="M14" s="249">
        <v>1130</v>
      </c>
      <c r="N14" s="249" t="s">
        <v>211</v>
      </c>
      <c r="O14" s="249" t="s">
        <v>743</v>
      </c>
    </row>
    <row r="15" spans="1:15">
      <c r="A15" s="250" t="s">
        <v>64</v>
      </c>
      <c r="B15" s="251">
        <v>230</v>
      </c>
      <c r="C15" s="251">
        <v>255</v>
      </c>
      <c r="D15" s="251">
        <v>393</v>
      </c>
      <c r="E15" s="251">
        <v>189</v>
      </c>
      <c r="F15" s="251">
        <v>255</v>
      </c>
      <c r="G15" s="251">
        <v>324</v>
      </c>
      <c r="H15" s="251">
        <v>387</v>
      </c>
      <c r="I15" s="251">
        <v>384</v>
      </c>
      <c r="J15" s="251">
        <v>443</v>
      </c>
      <c r="K15" s="251">
        <v>550</v>
      </c>
      <c r="L15" s="251">
        <v>485</v>
      </c>
      <c r="M15" s="252">
        <v>1052</v>
      </c>
      <c r="N15" s="252" t="s">
        <v>211</v>
      </c>
      <c r="O15" s="252" t="s">
        <v>743</v>
      </c>
    </row>
    <row r="16" spans="1:15">
      <c r="A16" s="247" t="s">
        <v>30</v>
      </c>
      <c r="B16" s="248">
        <v>1159</v>
      </c>
      <c r="C16" s="248">
        <v>1713</v>
      </c>
      <c r="D16" s="248">
        <v>1366</v>
      </c>
      <c r="E16" s="248">
        <v>1888</v>
      </c>
      <c r="F16" s="248">
        <v>1516</v>
      </c>
      <c r="G16" s="248">
        <v>1477</v>
      </c>
      <c r="H16" s="248">
        <v>1591</v>
      </c>
      <c r="I16" s="248">
        <v>1385</v>
      </c>
      <c r="J16" s="248">
        <v>985</v>
      </c>
      <c r="K16" s="248">
        <v>1268</v>
      </c>
      <c r="L16" s="248">
        <v>804</v>
      </c>
      <c r="M16" s="249">
        <v>980</v>
      </c>
      <c r="N16" s="249" t="s">
        <v>211</v>
      </c>
      <c r="O16" s="249" t="s">
        <v>743</v>
      </c>
    </row>
    <row r="17" spans="1:15">
      <c r="A17" s="250" t="s">
        <v>32</v>
      </c>
      <c r="B17" s="251">
        <v>200</v>
      </c>
      <c r="C17" s="251">
        <v>616</v>
      </c>
      <c r="D17" s="251">
        <v>311</v>
      </c>
      <c r="E17" s="251">
        <v>585</v>
      </c>
      <c r="F17" s="251">
        <v>322</v>
      </c>
      <c r="G17" s="251">
        <v>516</v>
      </c>
      <c r="H17" s="251">
        <v>606</v>
      </c>
      <c r="I17" s="251">
        <v>504</v>
      </c>
      <c r="J17" s="251">
        <v>727</v>
      </c>
      <c r="K17" s="251">
        <v>806</v>
      </c>
      <c r="L17" s="251">
        <v>650</v>
      </c>
      <c r="M17" s="252">
        <v>809</v>
      </c>
      <c r="N17" s="252" t="s">
        <v>211</v>
      </c>
      <c r="O17" s="252" t="s">
        <v>743</v>
      </c>
    </row>
    <row r="18" spans="1:15">
      <c r="A18" s="247" t="s">
        <v>74</v>
      </c>
      <c r="B18" s="248">
        <v>548</v>
      </c>
      <c r="C18" s="248">
        <v>319</v>
      </c>
      <c r="D18" s="248">
        <v>397</v>
      </c>
      <c r="E18" s="248">
        <v>84</v>
      </c>
      <c r="F18" s="248">
        <v>336</v>
      </c>
      <c r="G18" s="248">
        <v>558</v>
      </c>
      <c r="H18" s="248">
        <v>172</v>
      </c>
      <c r="I18" s="248">
        <v>587</v>
      </c>
      <c r="J18" s="248">
        <v>2048</v>
      </c>
      <c r="K18" s="248">
        <v>969</v>
      </c>
      <c r="L18" s="248">
        <v>1763</v>
      </c>
      <c r="M18" s="249">
        <v>430</v>
      </c>
      <c r="N18" s="249" t="s">
        <v>211</v>
      </c>
      <c r="O18" s="249" t="s">
        <v>743</v>
      </c>
    </row>
    <row r="19" spans="1:15">
      <c r="A19" s="250" t="s">
        <v>63</v>
      </c>
      <c r="B19" s="251">
        <v>9</v>
      </c>
      <c r="C19" s="251">
        <v>38</v>
      </c>
      <c r="D19" s="251">
        <v>4</v>
      </c>
      <c r="E19" s="251">
        <v>70</v>
      </c>
      <c r="F19" s="251">
        <v>0</v>
      </c>
      <c r="G19" s="251">
        <v>198</v>
      </c>
      <c r="H19" s="251">
        <v>0</v>
      </c>
      <c r="I19" s="251">
        <v>124</v>
      </c>
      <c r="J19" s="251">
        <v>363</v>
      </c>
      <c r="K19" s="251">
        <v>130</v>
      </c>
      <c r="L19" s="251">
        <v>117</v>
      </c>
      <c r="M19" s="252">
        <v>365</v>
      </c>
      <c r="N19" s="252" t="s">
        <v>211</v>
      </c>
      <c r="O19" s="252" t="s">
        <v>743</v>
      </c>
    </row>
    <row r="20" spans="1:15">
      <c r="A20" s="247" t="s">
        <v>0</v>
      </c>
      <c r="B20" s="248">
        <v>401</v>
      </c>
      <c r="C20" s="248">
        <v>214</v>
      </c>
      <c r="D20" s="248">
        <v>389</v>
      </c>
      <c r="E20" s="248">
        <v>386</v>
      </c>
      <c r="F20" s="248">
        <v>551</v>
      </c>
      <c r="G20" s="248">
        <v>869</v>
      </c>
      <c r="H20" s="248">
        <v>599</v>
      </c>
      <c r="I20" s="248">
        <v>970</v>
      </c>
      <c r="J20" s="248">
        <v>713</v>
      </c>
      <c r="K20" s="248">
        <v>489</v>
      </c>
      <c r="L20" s="248">
        <v>431</v>
      </c>
      <c r="M20" s="249">
        <v>353</v>
      </c>
      <c r="N20" s="249" t="s">
        <v>211</v>
      </c>
      <c r="O20" s="249" t="s">
        <v>743</v>
      </c>
    </row>
    <row r="21" spans="1:15">
      <c r="A21" s="250" t="s">
        <v>55</v>
      </c>
      <c r="B21" s="251">
        <v>130</v>
      </c>
      <c r="C21" s="251">
        <v>1</v>
      </c>
      <c r="D21" s="251">
        <v>0</v>
      </c>
      <c r="E21" s="251">
        <v>123</v>
      </c>
      <c r="F21" s="251">
        <v>9</v>
      </c>
      <c r="G21" s="251">
        <v>0</v>
      </c>
      <c r="H21" s="251">
        <v>0</v>
      </c>
      <c r="I21" s="251">
        <v>7</v>
      </c>
      <c r="J21" s="251">
        <v>0</v>
      </c>
      <c r="K21" s="251">
        <v>15</v>
      </c>
      <c r="L21" s="251">
        <v>37</v>
      </c>
      <c r="M21" s="252">
        <v>337</v>
      </c>
      <c r="N21" s="252" t="s">
        <v>211</v>
      </c>
      <c r="O21" s="252" t="s">
        <v>743</v>
      </c>
    </row>
    <row r="22" spans="1:15">
      <c r="A22" s="247" t="s">
        <v>39</v>
      </c>
      <c r="B22" s="248">
        <v>902</v>
      </c>
      <c r="C22" s="248">
        <v>67</v>
      </c>
      <c r="D22" s="248">
        <v>1435</v>
      </c>
      <c r="E22" s="248">
        <v>124</v>
      </c>
      <c r="F22" s="248">
        <v>44</v>
      </c>
      <c r="G22" s="248">
        <v>167</v>
      </c>
      <c r="H22" s="248">
        <v>46</v>
      </c>
      <c r="I22" s="248">
        <v>1</v>
      </c>
      <c r="J22" s="248">
        <v>385</v>
      </c>
      <c r="K22" s="248">
        <v>4487</v>
      </c>
      <c r="L22" s="248">
        <v>650</v>
      </c>
      <c r="M22" s="249">
        <v>197</v>
      </c>
      <c r="N22" s="249" t="s">
        <v>211</v>
      </c>
      <c r="O22" s="249" t="s">
        <v>743</v>
      </c>
    </row>
    <row r="23" spans="1:15">
      <c r="A23" s="250" t="s">
        <v>96</v>
      </c>
      <c r="B23" s="251">
        <v>0</v>
      </c>
      <c r="C23" s="251">
        <v>6</v>
      </c>
      <c r="D23" s="251">
        <v>0</v>
      </c>
      <c r="E23" s="251">
        <v>0</v>
      </c>
      <c r="F23" s="251">
        <v>0</v>
      </c>
      <c r="G23" s="251">
        <v>0</v>
      </c>
      <c r="H23" s="251">
        <v>36</v>
      </c>
      <c r="I23" s="251">
        <v>171</v>
      </c>
      <c r="J23" s="251">
        <v>144</v>
      </c>
      <c r="K23" s="251">
        <v>84</v>
      </c>
      <c r="L23" s="251">
        <v>64</v>
      </c>
      <c r="M23" s="252">
        <v>189</v>
      </c>
      <c r="N23" s="252" t="s">
        <v>211</v>
      </c>
      <c r="O23" s="252" t="s">
        <v>743</v>
      </c>
    </row>
    <row r="24" spans="1:15">
      <c r="A24" s="247" t="s">
        <v>89</v>
      </c>
      <c r="B24" s="248">
        <v>0</v>
      </c>
      <c r="C24" s="248">
        <v>0</v>
      </c>
      <c r="D24" s="248">
        <v>0</v>
      </c>
      <c r="E24" s="248">
        <v>18</v>
      </c>
      <c r="F24" s="248">
        <v>54</v>
      </c>
      <c r="G24" s="248">
        <v>75</v>
      </c>
      <c r="H24" s="248">
        <v>151</v>
      </c>
      <c r="I24" s="248">
        <v>219</v>
      </c>
      <c r="J24" s="248">
        <v>198</v>
      </c>
      <c r="K24" s="248">
        <v>219</v>
      </c>
      <c r="L24" s="248">
        <v>385</v>
      </c>
      <c r="M24" s="249">
        <v>170</v>
      </c>
      <c r="N24" s="249" t="s">
        <v>211</v>
      </c>
      <c r="O24" s="249" t="s">
        <v>743</v>
      </c>
    </row>
    <row r="25" spans="1:15">
      <c r="A25" s="250" t="s">
        <v>71</v>
      </c>
      <c r="B25" s="251">
        <v>658</v>
      </c>
      <c r="C25" s="251">
        <v>1107</v>
      </c>
      <c r="D25" s="251">
        <v>1121</v>
      </c>
      <c r="E25" s="251">
        <v>416</v>
      </c>
      <c r="F25" s="251">
        <v>665</v>
      </c>
      <c r="G25" s="251">
        <v>482</v>
      </c>
      <c r="H25" s="251">
        <v>736</v>
      </c>
      <c r="I25" s="251">
        <v>636</v>
      </c>
      <c r="J25" s="251">
        <v>116</v>
      </c>
      <c r="K25" s="251">
        <v>99</v>
      </c>
      <c r="L25" s="251">
        <v>419</v>
      </c>
      <c r="M25" s="252">
        <v>164</v>
      </c>
      <c r="N25" s="252" t="s">
        <v>211</v>
      </c>
      <c r="O25" s="252" t="s">
        <v>743</v>
      </c>
    </row>
    <row r="26" spans="1:15">
      <c r="A26" s="247" t="s">
        <v>51</v>
      </c>
      <c r="B26" s="248">
        <v>218</v>
      </c>
      <c r="C26" s="248">
        <v>108</v>
      </c>
      <c r="D26" s="248">
        <v>109</v>
      </c>
      <c r="E26" s="248">
        <v>731</v>
      </c>
      <c r="F26" s="248">
        <v>240</v>
      </c>
      <c r="G26" s="248">
        <v>456</v>
      </c>
      <c r="H26" s="248">
        <v>322</v>
      </c>
      <c r="I26" s="248">
        <v>114</v>
      </c>
      <c r="J26" s="248">
        <v>49</v>
      </c>
      <c r="K26" s="248">
        <v>160</v>
      </c>
      <c r="L26" s="248">
        <v>66</v>
      </c>
      <c r="M26" s="249">
        <v>122</v>
      </c>
      <c r="N26" s="249" t="s">
        <v>211</v>
      </c>
      <c r="O26" s="249" t="s">
        <v>743</v>
      </c>
    </row>
    <row r="27" spans="1:15">
      <c r="A27" s="250" t="s">
        <v>59</v>
      </c>
      <c r="B27" s="251">
        <v>27</v>
      </c>
      <c r="C27" s="251">
        <v>13</v>
      </c>
      <c r="D27" s="251">
        <v>39</v>
      </c>
      <c r="E27" s="251">
        <v>0</v>
      </c>
      <c r="F27" s="251">
        <v>0</v>
      </c>
      <c r="G27" s="251">
        <v>0</v>
      </c>
      <c r="H27" s="251">
        <v>37</v>
      </c>
      <c r="I27" s="251">
        <v>0</v>
      </c>
      <c r="J27" s="251">
        <v>9</v>
      </c>
      <c r="K27" s="251">
        <v>1</v>
      </c>
      <c r="L27" s="251">
        <v>347</v>
      </c>
      <c r="M27" s="252">
        <v>113</v>
      </c>
      <c r="N27" s="252" t="s">
        <v>210</v>
      </c>
      <c r="O27" s="252" t="s">
        <v>743</v>
      </c>
    </row>
    <row r="28" spans="1:15">
      <c r="A28" s="247" t="s">
        <v>82</v>
      </c>
      <c r="B28" s="248">
        <v>0</v>
      </c>
      <c r="C28" s="248">
        <v>0</v>
      </c>
      <c r="D28" s="248">
        <v>0</v>
      </c>
      <c r="E28" s="248">
        <v>0</v>
      </c>
      <c r="F28" s="248">
        <v>0</v>
      </c>
      <c r="G28" s="248">
        <v>2</v>
      </c>
      <c r="H28" s="248">
        <v>55</v>
      </c>
      <c r="I28" s="248">
        <v>0</v>
      </c>
      <c r="J28" s="248">
        <v>77</v>
      </c>
      <c r="K28" s="248">
        <v>33</v>
      </c>
      <c r="L28" s="248">
        <v>57</v>
      </c>
      <c r="M28" s="249">
        <v>57</v>
      </c>
      <c r="N28" s="249" t="s">
        <v>211</v>
      </c>
      <c r="O28" s="249" t="s">
        <v>743</v>
      </c>
    </row>
    <row r="29" spans="1:15">
      <c r="A29" s="250" t="s">
        <v>25</v>
      </c>
      <c r="B29" s="251">
        <v>65</v>
      </c>
      <c r="C29" s="251">
        <v>7</v>
      </c>
      <c r="D29" s="251">
        <v>0</v>
      </c>
      <c r="E29" s="251">
        <v>3</v>
      </c>
      <c r="F29" s="251">
        <v>2</v>
      </c>
      <c r="G29" s="251">
        <v>46</v>
      </c>
      <c r="H29" s="251">
        <v>118</v>
      </c>
      <c r="I29" s="251">
        <v>71</v>
      </c>
      <c r="J29" s="251">
        <v>2</v>
      </c>
      <c r="K29" s="251">
        <v>111</v>
      </c>
      <c r="L29" s="251"/>
      <c r="M29" s="252">
        <v>33</v>
      </c>
      <c r="N29" s="252" t="s">
        <v>211</v>
      </c>
      <c r="O29" s="252" t="s">
        <v>743</v>
      </c>
    </row>
    <row r="30" spans="1:15">
      <c r="A30" s="247" t="s">
        <v>43</v>
      </c>
      <c r="B30" s="248">
        <v>11</v>
      </c>
      <c r="C30" s="248">
        <v>0</v>
      </c>
      <c r="D30" s="248">
        <v>0</v>
      </c>
      <c r="E30" s="248">
        <v>0</v>
      </c>
      <c r="F30" s="248">
        <v>0</v>
      </c>
      <c r="G30" s="248">
        <v>62</v>
      </c>
      <c r="H30" s="248">
        <v>1</v>
      </c>
      <c r="I30" s="248">
        <v>105</v>
      </c>
      <c r="J30" s="248">
        <v>90</v>
      </c>
      <c r="K30" s="248">
        <v>92</v>
      </c>
      <c r="L30" s="248"/>
      <c r="M30" s="249">
        <v>32</v>
      </c>
      <c r="N30" s="249" t="s">
        <v>211</v>
      </c>
      <c r="O30" s="249" t="s">
        <v>743</v>
      </c>
    </row>
    <row r="31" spans="1:15">
      <c r="A31" s="250" t="s">
        <v>60</v>
      </c>
      <c r="B31" s="251">
        <v>0</v>
      </c>
      <c r="C31" s="251">
        <v>0</v>
      </c>
      <c r="D31" s="251">
        <v>123</v>
      </c>
      <c r="E31" s="251">
        <v>77</v>
      </c>
      <c r="F31" s="251">
        <v>56</v>
      </c>
      <c r="G31" s="251">
        <v>122</v>
      </c>
      <c r="H31" s="251">
        <v>31</v>
      </c>
      <c r="I31" s="251">
        <v>20</v>
      </c>
      <c r="J31" s="251">
        <v>0</v>
      </c>
      <c r="K31" s="251">
        <v>223</v>
      </c>
      <c r="L31" s="251">
        <v>2</v>
      </c>
      <c r="M31" s="252">
        <v>25</v>
      </c>
      <c r="N31" s="252" t="s">
        <v>211</v>
      </c>
      <c r="O31" s="252" t="s">
        <v>743</v>
      </c>
    </row>
    <row r="32" spans="1:15">
      <c r="A32" s="247" t="s">
        <v>33</v>
      </c>
      <c r="B32" s="248">
        <v>1548</v>
      </c>
      <c r="C32" s="248">
        <v>54</v>
      </c>
      <c r="D32" s="248">
        <v>45</v>
      </c>
      <c r="E32" s="248">
        <v>228</v>
      </c>
      <c r="F32" s="248">
        <v>0</v>
      </c>
      <c r="G32" s="248">
        <v>163</v>
      </c>
      <c r="H32" s="248">
        <v>177</v>
      </c>
      <c r="I32" s="248">
        <v>81</v>
      </c>
      <c r="J32" s="248">
        <v>149</v>
      </c>
      <c r="K32" s="248">
        <v>60</v>
      </c>
      <c r="L32" s="248">
        <v>196</v>
      </c>
      <c r="M32" s="249">
        <v>12</v>
      </c>
      <c r="N32" s="249" t="s">
        <v>211</v>
      </c>
      <c r="O32" s="249" t="s">
        <v>743</v>
      </c>
    </row>
    <row r="33" spans="1:15">
      <c r="A33" s="250" t="s">
        <v>69</v>
      </c>
      <c r="B33" s="251">
        <v>37</v>
      </c>
      <c r="C33" s="251">
        <v>8</v>
      </c>
      <c r="D33" s="251">
        <v>11</v>
      </c>
      <c r="E33" s="251">
        <v>97</v>
      </c>
      <c r="F33" s="251">
        <v>58</v>
      </c>
      <c r="G33" s="251">
        <v>11</v>
      </c>
      <c r="H33" s="251">
        <v>49</v>
      </c>
      <c r="I33" s="251">
        <v>15</v>
      </c>
      <c r="J33" s="251">
        <v>9</v>
      </c>
      <c r="K33" s="251">
        <v>40</v>
      </c>
      <c r="L33" s="251">
        <v>4</v>
      </c>
      <c r="M33" s="252">
        <v>9</v>
      </c>
      <c r="N33" s="252" t="s">
        <v>211</v>
      </c>
      <c r="O33" s="252" t="s">
        <v>743</v>
      </c>
    </row>
    <row r="34" spans="1:15">
      <c r="A34" s="247" t="s">
        <v>73</v>
      </c>
      <c r="B34" s="248">
        <v>427</v>
      </c>
      <c r="C34" s="248">
        <v>198</v>
      </c>
      <c r="D34" s="248">
        <v>203</v>
      </c>
      <c r="E34" s="248">
        <v>109</v>
      </c>
      <c r="F34" s="248">
        <v>0</v>
      </c>
      <c r="G34" s="248">
        <v>0</v>
      </c>
      <c r="H34" s="248">
        <v>0</v>
      </c>
      <c r="I34" s="248">
        <v>0</v>
      </c>
      <c r="J34" s="248">
        <v>10</v>
      </c>
      <c r="K34" s="248">
        <v>1</v>
      </c>
      <c r="L34" s="248"/>
      <c r="M34" s="249">
        <v>5</v>
      </c>
      <c r="N34" s="249" t="s">
        <v>211</v>
      </c>
      <c r="O34" s="249" t="s">
        <v>743</v>
      </c>
    </row>
    <row r="35" spans="1:15">
      <c r="A35" s="250" t="s">
        <v>38</v>
      </c>
      <c r="B35" s="251">
        <v>0</v>
      </c>
      <c r="C35" s="251">
        <v>0</v>
      </c>
      <c r="D35" s="251">
        <v>0</v>
      </c>
      <c r="E35" s="251">
        <v>0</v>
      </c>
      <c r="F35" s="251">
        <v>0</v>
      </c>
      <c r="G35" s="251">
        <v>0</v>
      </c>
      <c r="H35" s="251">
        <v>0</v>
      </c>
      <c r="I35" s="251">
        <v>0</v>
      </c>
      <c r="J35" s="251">
        <v>0</v>
      </c>
      <c r="K35" s="251"/>
      <c r="L35" s="251"/>
      <c r="M35" s="252">
        <v>5</v>
      </c>
      <c r="N35" s="252" t="s">
        <v>210</v>
      </c>
      <c r="O35" s="252" t="s">
        <v>743</v>
      </c>
    </row>
    <row r="36" spans="1:15">
      <c r="A36" s="247" t="s">
        <v>898</v>
      </c>
      <c r="B36" s="248">
        <v>0</v>
      </c>
      <c r="C36" s="248">
        <v>0</v>
      </c>
      <c r="D36" s="248">
        <v>0</v>
      </c>
      <c r="E36" s="248">
        <v>0</v>
      </c>
      <c r="F36" s="248">
        <v>0</v>
      </c>
      <c r="G36" s="248">
        <v>0</v>
      </c>
      <c r="H36" s="248">
        <v>0</v>
      </c>
      <c r="I36" s="248">
        <v>87</v>
      </c>
      <c r="J36" s="248">
        <v>36</v>
      </c>
      <c r="K36" s="248">
        <v>53</v>
      </c>
      <c r="L36" s="248">
        <v>21</v>
      </c>
      <c r="M36" s="249">
        <v>3</v>
      </c>
      <c r="N36" s="249" t="s">
        <v>211</v>
      </c>
      <c r="O36" s="249" t="s">
        <v>743</v>
      </c>
    </row>
    <row r="39" spans="1:15" ht="15" customHeight="1">
      <c r="A39" s="25" t="s">
        <v>880</v>
      </c>
      <c r="B39" s="240"/>
      <c r="C39" s="240"/>
      <c r="D39" s="240"/>
      <c r="E39" s="240"/>
      <c r="F39" s="240"/>
      <c r="G39" s="46"/>
      <c r="H39" s="46"/>
      <c r="I39" s="46"/>
      <c r="J39" s="46"/>
      <c r="K39" s="46"/>
      <c r="L39" s="46"/>
      <c r="M39" s="46"/>
    </row>
    <row r="40" spans="1:15" ht="15" customHeight="1">
      <c r="A40" s="26" t="s">
        <v>901</v>
      </c>
      <c r="B40" s="242"/>
      <c r="C40" s="242"/>
      <c r="D40" s="242"/>
      <c r="E40" s="242"/>
      <c r="F40" s="242"/>
      <c r="G40" s="46"/>
      <c r="H40" s="46"/>
      <c r="I40" s="46"/>
      <c r="J40" s="46"/>
      <c r="K40" s="46"/>
      <c r="L40" s="46"/>
      <c r="M40" s="46"/>
    </row>
    <row r="41" spans="1:15">
      <c r="A41" s="243" t="s">
        <v>882</v>
      </c>
      <c r="B41" s="46"/>
      <c r="C41" s="46"/>
      <c r="D41" s="46"/>
      <c r="E41" s="46"/>
      <c r="F41" s="46"/>
      <c r="G41" s="46"/>
      <c r="H41" s="46"/>
      <c r="I41" s="46"/>
      <c r="J41" s="46"/>
      <c r="K41" s="46"/>
      <c r="L41" s="46"/>
      <c r="M41" s="46"/>
    </row>
    <row r="42" spans="1:15">
      <c r="A42" s="243" t="s">
        <v>550</v>
      </c>
      <c r="B42" s="46"/>
      <c r="C42" s="46"/>
      <c r="D42" s="46"/>
      <c r="E42" s="46"/>
      <c r="F42" s="46"/>
      <c r="G42" s="46"/>
      <c r="H42" s="46"/>
      <c r="I42" s="46"/>
      <c r="J42" s="46"/>
      <c r="K42" s="46"/>
      <c r="L42" s="46"/>
      <c r="M42" s="46"/>
    </row>
    <row r="43" spans="1:15">
      <c r="A43" s="46"/>
      <c r="B43" s="46"/>
      <c r="C43" s="46"/>
      <c r="D43" s="46"/>
      <c r="E43" s="46"/>
      <c r="F43" s="46"/>
      <c r="G43" s="46"/>
      <c r="H43" s="46"/>
      <c r="I43" s="46"/>
      <c r="J43" s="46"/>
      <c r="K43" s="46"/>
      <c r="L43" s="46"/>
      <c r="M43" s="46"/>
    </row>
    <row r="44" spans="1:15">
      <c r="A44" s="46"/>
      <c r="B44" s="46"/>
      <c r="C44" s="46"/>
      <c r="D44" s="46"/>
      <c r="E44" s="46"/>
      <c r="F44" s="46"/>
      <c r="G44" s="46"/>
      <c r="H44" s="46"/>
      <c r="I44" s="46"/>
      <c r="J44" s="46"/>
      <c r="K44" s="46"/>
      <c r="L44" s="46"/>
      <c r="M44" s="46"/>
    </row>
    <row r="45" spans="1:15">
      <c r="A45" s="253" t="s">
        <v>22</v>
      </c>
      <c r="B45" s="254">
        <v>2012</v>
      </c>
      <c r="C45" s="254">
        <v>2013</v>
      </c>
      <c r="D45" s="254">
        <v>2014</v>
      </c>
      <c r="E45" s="254">
        <v>2015</v>
      </c>
      <c r="F45" s="254">
        <v>2016</v>
      </c>
      <c r="G45" s="254">
        <v>2017</v>
      </c>
      <c r="H45" s="254">
        <v>2018</v>
      </c>
      <c r="I45" s="254">
        <v>2019</v>
      </c>
      <c r="J45" s="254">
        <v>2020</v>
      </c>
      <c r="K45" s="254">
        <v>2021</v>
      </c>
      <c r="L45" s="254">
        <v>2022</v>
      </c>
      <c r="M45" s="255">
        <v>2023</v>
      </c>
    </row>
    <row r="46" spans="1:15">
      <c r="A46" s="256"/>
      <c r="B46" s="257" t="s">
        <v>896</v>
      </c>
      <c r="C46" s="257" t="s">
        <v>896</v>
      </c>
      <c r="D46" s="257" t="s">
        <v>896</v>
      </c>
      <c r="E46" s="257" t="s">
        <v>896</v>
      </c>
      <c r="F46" s="257" t="s">
        <v>896</v>
      </c>
      <c r="G46" s="257" t="s">
        <v>896</v>
      </c>
      <c r="H46" s="257" t="s">
        <v>896</v>
      </c>
      <c r="I46" s="257" t="s">
        <v>896</v>
      </c>
      <c r="J46" s="257" t="s">
        <v>896</v>
      </c>
      <c r="K46" s="257" t="s">
        <v>896</v>
      </c>
      <c r="L46" s="257" t="s">
        <v>896</v>
      </c>
      <c r="M46" s="258" t="s">
        <v>896</v>
      </c>
      <c r="N46" s="114" t="s">
        <v>209</v>
      </c>
      <c r="O46" s="114" t="s">
        <v>155</v>
      </c>
    </row>
    <row r="47" spans="1:15">
      <c r="A47" s="247" t="s">
        <v>23</v>
      </c>
      <c r="B47" s="259">
        <v>1968</v>
      </c>
      <c r="C47" s="248">
        <v>1393</v>
      </c>
      <c r="D47" s="248">
        <v>2654</v>
      </c>
      <c r="E47" s="259">
        <v>2288</v>
      </c>
      <c r="F47" s="259">
        <v>3207</v>
      </c>
      <c r="G47" s="259">
        <v>2178</v>
      </c>
      <c r="H47" s="259">
        <v>1978</v>
      </c>
      <c r="I47" s="259">
        <v>2180</v>
      </c>
      <c r="J47" s="259">
        <v>2305</v>
      </c>
      <c r="K47" s="259">
        <v>3577</v>
      </c>
      <c r="L47" s="259">
        <v>1904</v>
      </c>
      <c r="M47" s="259">
        <v>1909</v>
      </c>
      <c r="N47" s="259" t="str">
        <f>VLOOKUP(A47,$A$12:$N$36,14,0)</f>
        <v>Exclude</v>
      </c>
      <c r="O47" s="249" t="s">
        <v>744</v>
      </c>
    </row>
    <row r="48" spans="1:15">
      <c r="A48" s="250" t="s">
        <v>29</v>
      </c>
      <c r="B48" s="260">
        <v>57</v>
      </c>
      <c r="C48" s="251">
        <v>262</v>
      </c>
      <c r="D48" s="251">
        <v>123</v>
      </c>
      <c r="E48" s="260">
        <v>152</v>
      </c>
      <c r="F48" s="260">
        <v>679</v>
      </c>
      <c r="G48" s="260">
        <v>169</v>
      </c>
      <c r="H48" s="260">
        <v>208</v>
      </c>
      <c r="I48" s="260">
        <v>300</v>
      </c>
      <c r="J48" s="260">
        <v>519</v>
      </c>
      <c r="K48" s="260">
        <v>773</v>
      </c>
      <c r="L48" s="260">
        <v>360</v>
      </c>
      <c r="M48" s="260">
        <v>543</v>
      </c>
      <c r="N48" s="260" t="str">
        <f t="shared" ref="N48:N71" si="0">VLOOKUP(A48,$A$12:$N$36,14,0)</f>
        <v>Exclude</v>
      </c>
      <c r="O48" s="252" t="s">
        <v>744</v>
      </c>
    </row>
    <row r="49" spans="1:15">
      <c r="A49" s="247" t="s">
        <v>42</v>
      </c>
      <c r="B49" s="259">
        <v>118</v>
      </c>
      <c r="C49" s="248">
        <v>45</v>
      </c>
      <c r="D49" s="248">
        <v>99</v>
      </c>
      <c r="E49" s="259">
        <v>361</v>
      </c>
      <c r="F49" s="259">
        <v>1312</v>
      </c>
      <c r="G49" s="259">
        <v>279</v>
      </c>
      <c r="H49" s="259">
        <v>380</v>
      </c>
      <c r="I49" s="259">
        <v>281</v>
      </c>
      <c r="J49" s="259">
        <v>95</v>
      </c>
      <c r="K49" s="259">
        <v>336</v>
      </c>
      <c r="L49" s="259">
        <v>164</v>
      </c>
      <c r="M49" s="259">
        <v>234</v>
      </c>
      <c r="N49" s="259" t="str">
        <f t="shared" si="0"/>
        <v>Include</v>
      </c>
      <c r="O49" s="249" t="s">
        <v>744</v>
      </c>
    </row>
    <row r="50" spans="1:15">
      <c r="A50" s="250" t="s">
        <v>64</v>
      </c>
      <c r="B50" s="260">
        <v>57</v>
      </c>
      <c r="C50" s="251">
        <v>4</v>
      </c>
      <c r="D50" s="251">
        <v>5</v>
      </c>
      <c r="E50" s="260">
        <v>59</v>
      </c>
      <c r="F50" s="260">
        <v>75</v>
      </c>
      <c r="G50" s="260">
        <v>99</v>
      </c>
      <c r="H50" s="260">
        <v>105</v>
      </c>
      <c r="I50" s="260">
        <v>109</v>
      </c>
      <c r="J50" s="260">
        <v>113</v>
      </c>
      <c r="K50" s="260">
        <v>137</v>
      </c>
      <c r="L50" s="260">
        <v>102</v>
      </c>
      <c r="M50" s="260">
        <v>218</v>
      </c>
      <c r="N50" s="260" t="str">
        <f t="shared" si="0"/>
        <v>Include</v>
      </c>
      <c r="O50" s="252" t="s">
        <v>744</v>
      </c>
    </row>
    <row r="51" spans="1:15">
      <c r="A51" s="247" t="s">
        <v>30</v>
      </c>
      <c r="B51" s="259">
        <v>287</v>
      </c>
      <c r="C51" s="248">
        <v>152</v>
      </c>
      <c r="D51" s="248">
        <v>118</v>
      </c>
      <c r="E51" s="259">
        <v>585</v>
      </c>
      <c r="F51" s="259">
        <v>447</v>
      </c>
      <c r="G51" s="259">
        <v>450</v>
      </c>
      <c r="H51" s="259">
        <v>430</v>
      </c>
      <c r="I51" s="259">
        <v>392</v>
      </c>
      <c r="J51" s="259">
        <v>252</v>
      </c>
      <c r="K51" s="259">
        <v>316</v>
      </c>
      <c r="L51" s="259">
        <v>169</v>
      </c>
      <c r="M51" s="259">
        <v>203</v>
      </c>
      <c r="N51" s="259" t="str">
        <f t="shared" si="0"/>
        <v>Include</v>
      </c>
      <c r="O51" s="249" t="s">
        <v>744</v>
      </c>
    </row>
    <row r="52" spans="1:15">
      <c r="A52" s="250" t="s">
        <v>32</v>
      </c>
      <c r="B52" s="260">
        <v>50</v>
      </c>
      <c r="C52" s="251">
        <v>7</v>
      </c>
      <c r="D52" s="251">
        <v>4</v>
      </c>
      <c r="E52" s="260">
        <v>181</v>
      </c>
      <c r="F52" s="260">
        <v>95</v>
      </c>
      <c r="G52" s="260">
        <v>157</v>
      </c>
      <c r="H52" s="260">
        <v>164</v>
      </c>
      <c r="I52" s="260">
        <v>143</v>
      </c>
      <c r="J52" s="260">
        <v>186</v>
      </c>
      <c r="K52" s="260">
        <v>201</v>
      </c>
      <c r="L52" s="260">
        <v>137</v>
      </c>
      <c r="M52" s="260">
        <v>168</v>
      </c>
      <c r="N52" s="260" t="str">
        <f t="shared" si="0"/>
        <v>Include</v>
      </c>
      <c r="O52" s="252" t="s">
        <v>744</v>
      </c>
    </row>
    <row r="53" spans="1:15">
      <c r="A53" s="247" t="s">
        <v>74</v>
      </c>
      <c r="B53" s="259">
        <v>136</v>
      </c>
      <c r="C53" s="248">
        <v>96</v>
      </c>
      <c r="D53" s="248">
        <v>113</v>
      </c>
      <c r="E53" s="259">
        <v>26</v>
      </c>
      <c r="F53" s="259">
        <v>99</v>
      </c>
      <c r="G53" s="259">
        <v>170</v>
      </c>
      <c r="H53" s="259">
        <v>47</v>
      </c>
      <c r="I53" s="259">
        <v>166</v>
      </c>
      <c r="J53" s="259">
        <v>523</v>
      </c>
      <c r="K53" s="259">
        <v>241</v>
      </c>
      <c r="L53" s="259">
        <v>371</v>
      </c>
      <c r="M53" s="259">
        <v>89</v>
      </c>
      <c r="N53" s="259" t="str">
        <f t="shared" si="0"/>
        <v>Include</v>
      </c>
      <c r="O53" s="249" t="s">
        <v>744</v>
      </c>
    </row>
    <row r="54" spans="1:15">
      <c r="A54" s="250" t="s">
        <v>63</v>
      </c>
      <c r="B54" s="260">
        <v>2</v>
      </c>
      <c r="C54" s="251">
        <v>0</v>
      </c>
      <c r="D54" s="251">
        <v>1</v>
      </c>
      <c r="E54" s="260">
        <v>22</v>
      </c>
      <c r="F54" s="251"/>
      <c r="G54" s="260">
        <v>60</v>
      </c>
      <c r="H54" s="251"/>
      <c r="I54" s="260">
        <v>35</v>
      </c>
      <c r="J54" s="260">
        <v>93</v>
      </c>
      <c r="K54" s="260">
        <v>32</v>
      </c>
      <c r="L54" s="260">
        <v>25</v>
      </c>
      <c r="M54" s="260">
        <v>76</v>
      </c>
      <c r="N54" s="260" t="str">
        <f t="shared" si="0"/>
        <v>Include</v>
      </c>
      <c r="O54" s="252" t="s">
        <v>744</v>
      </c>
    </row>
    <row r="55" spans="1:15">
      <c r="A55" s="247" t="s">
        <v>0</v>
      </c>
      <c r="B55" s="259">
        <v>99</v>
      </c>
      <c r="C55" s="248">
        <v>49</v>
      </c>
      <c r="D55" s="248">
        <v>94</v>
      </c>
      <c r="E55" s="259">
        <v>120</v>
      </c>
      <c r="F55" s="259">
        <v>162</v>
      </c>
      <c r="G55" s="259">
        <v>265</v>
      </c>
      <c r="H55" s="259">
        <v>162</v>
      </c>
      <c r="I55" s="259">
        <v>275</v>
      </c>
      <c r="J55" s="259">
        <v>182</v>
      </c>
      <c r="K55" s="259">
        <v>122</v>
      </c>
      <c r="L55" s="259">
        <v>91</v>
      </c>
      <c r="M55" s="259">
        <v>73</v>
      </c>
      <c r="N55" s="259" t="str">
        <f t="shared" si="0"/>
        <v>Include</v>
      </c>
      <c r="O55" s="249" t="s">
        <v>744</v>
      </c>
    </row>
    <row r="56" spans="1:15">
      <c r="A56" s="250" t="s">
        <v>55</v>
      </c>
      <c r="B56" s="260">
        <v>32</v>
      </c>
      <c r="C56" s="251">
        <v>0</v>
      </c>
      <c r="D56" s="251"/>
      <c r="E56" s="260">
        <v>38</v>
      </c>
      <c r="F56" s="260">
        <v>3</v>
      </c>
      <c r="G56" s="251"/>
      <c r="H56" s="251"/>
      <c r="I56" s="260">
        <v>2</v>
      </c>
      <c r="J56" s="251"/>
      <c r="K56" s="260">
        <v>4</v>
      </c>
      <c r="L56" s="260">
        <v>8</v>
      </c>
      <c r="M56" s="260">
        <v>70</v>
      </c>
      <c r="N56" s="260" t="str">
        <f t="shared" si="0"/>
        <v>Include</v>
      </c>
      <c r="O56" s="252" t="s">
        <v>744</v>
      </c>
    </row>
    <row r="57" spans="1:15">
      <c r="A57" s="247" t="s">
        <v>39</v>
      </c>
      <c r="B57" s="259">
        <v>223</v>
      </c>
      <c r="C57" s="248">
        <v>40</v>
      </c>
      <c r="D57" s="248">
        <v>1412</v>
      </c>
      <c r="E57" s="259">
        <v>39</v>
      </c>
      <c r="F57" s="259">
        <v>13</v>
      </c>
      <c r="G57" s="259">
        <v>51</v>
      </c>
      <c r="H57" s="259">
        <v>12</v>
      </c>
      <c r="I57" s="259">
        <v>0</v>
      </c>
      <c r="J57" s="259">
        <v>98</v>
      </c>
      <c r="K57" s="259">
        <v>1118</v>
      </c>
      <c r="L57" s="259">
        <v>137</v>
      </c>
      <c r="M57" s="259">
        <v>41</v>
      </c>
      <c r="N57" s="259" t="str">
        <f t="shared" si="0"/>
        <v>Include</v>
      </c>
      <c r="O57" s="249" t="s">
        <v>744</v>
      </c>
    </row>
    <row r="58" spans="1:15">
      <c r="A58" s="250" t="s">
        <v>96</v>
      </c>
      <c r="B58" s="251"/>
      <c r="C58" s="251">
        <v>2</v>
      </c>
      <c r="D58" s="251"/>
      <c r="E58" s="251"/>
      <c r="F58" s="251"/>
      <c r="G58" s="251"/>
      <c r="H58" s="260">
        <v>10</v>
      </c>
      <c r="I58" s="260">
        <v>48</v>
      </c>
      <c r="J58" s="260">
        <v>37</v>
      </c>
      <c r="K58" s="260">
        <v>21</v>
      </c>
      <c r="L58" s="260">
        <v>14</v>
      </c>
      <c r="M58" s="260">
        <v>39</v>
      </c>
      <c r="N58" s="260" t="str">
        <f t="shared" si="0"/>
        <v>Include</v>
      </c>
      <c r="O58" s="252" t="s">
        <v>744</v>
      </c>
    </row>
    <row r="59" spans="1:15">
      <c r="A59" s="247" t="s">
        <v>89</v>
      </c>
      <c r="B59" s="248"/>
      <c r="C59" s="248"/>
      <c r="D59" s="248"/>
      <c r="E59" s="259">
        <v>5</v>
      </c>
      <c r="F59" s="259">
        <v>16</v>
      </c>
      <c r="G59" s="259">
        <v>23</v>
      </c>
      <c r="H59" s="259">
        <v>41</v>
      </c>
      <c r="I59" s="259">
        <v>62</v>
      </c>
      <c r="J59" s="259">
        <v>51</v>
      </c>
      <c r="K59" s="259">
        <v>55</v>
      </c>
      <c r="L59" s="259">
        <v>81</v>
      </c>
      <c r="M59" s="259">
        <v>35</v>
      </c>
      <c r="N59" s="259" t="str">
        <f t="shared" si="0"/>
        <v>Include</v>
      </c>
      <c r="O59" s="249" t="s">
        <v>744</v>
      </c>
    </row>
    <row r="60" spans="1:15">
      <c r="A60" s="250" t="s">
        <v>71</v>
      </c>
      <c r="B60" s="260">
        <v>163</v>
      </c>
      <c r="C60" s="251">
        <v>423</v>
      </c>
      <c r="D60" s="251">
        <v>370</v>
      </c>
      <c r="E60" s="260">
        <v>129</v>
      </c>
      <c r="F60" s="260">
        <v>196</v>
      </c>
      <c r="G60" s="260">
        <v>147</v>
      </c>
      <c r="H60" s="260">
        <v>199</v>
      </c>
      <c r="I60" s="260">
        <v>180</v>
      </c>
      <c r="J60" s="260">
        <v>30</v>
      </c>
      <c r="K60" s="260">
        <v>25</v>
      </c>
      <c r="L60" s="260">
        <v>88</v>
      </c>
      <c r="M60" s="260">
        <v>34</v>
      </c>
      <c r="N60" s="260" t="str">
        <f t="shared" si="0"/>
        <v>Include</v>
      </c>
      <c r="O60" s="252" t="s">
        <v>744</v>
      </c>
    </row>
    <row r="61" spans="1:15">
      <c r="A61" s="247" t="s">
        <v>51</v>
      </c>
      <c r="B61" s="259">
        <v>54</v>
      </c>
      <c r="C61" s="248">
        <v>143</v>
      </c>
      <c r="D61" s="248">
        <v>24</v>
      </c>
      <c r="E61" s="259">
        <v>226</v>
      </c>
      <c r="F61" s="259">
        <v>71</v>
      </c>
      <c r="G61" s="259">
        <v>139</v>
      </c>
      <c r="H61" s="259">
        <v>87</v>
      </c>
      <c r="I61" s="259">
        <v>32</v>
      </c>
      <c r="J61" s="259">
        <v>13</v>
      </c>
      <c r="K61" s="259">
        <v>40</v>
      </c>
      <c r="L61" s="259">
        <v>14</v>
      </c>
      <c r="M61" s="259">
        <v>25</v>
      </c>
      <c r="N61" s="259" t="str">
        <f t="shared" si="0"/>
        <v>Include</v>
      </c>
      <c r="O61" s="249" t="s">
        <v>744</v>
      </c>
    </row>
    <row r="62" spans="1:15">
      <c r="A62" s="250" t="s">
        <v>59</v>
      </c>
      <c r="B62" s="260">
        <v>7</v>
      </c>
      <c r="C62" s="251">
        <v>22</v>
      </c>
      <c r="D62" s="251">
        <v>71</v>
      </c>
      <c r="E62" s="251"/>
      <c r="F62" s="251"/>
      <c r="G62" s="251"/>
      <c r="H62" s="260">
        <v>10</v>
      </c>
      <c r="I62" s="251"/>
      <c r="J62" s="260">
        <v>2</v>
      </c>
      <c r="K62" s="260">
        <v>0</v>
      </c>
      <c r="L62" s="260">
        <v>73</v>
      </c>
      <c r="M62" s="260">
        <v>23</v>
      </c>
      <c r="N62" s="260" t="str">
        <f t="shared" si="0"/>
        <v>Exclude</v>
      </c>
      <c r="O62" s="252" t="s">
        <v>744</v>
      </c>
    </row>
    <row r="63" spans="1:15">
      <c r="A63" s="247" t="s">
        <v>82</v>
      </c>
      <c r="B63" s="248"/>
      <c r="C63" s="248"/>
      <c r="D63" s="248"/>
      <c r="E63" s="248"/>
      <c r="F63" s="248"/>
      <c r="G63" s="259">
        <v>0</v>
      </c>
      <c r="H63" s="259">
        <v>15</v>
      </c>
      <c r="I63" s="248"/>
      <c r="J63" s="259">
        <v>20</v>
      </c>
      <c r="K63" s="259">
        <v>8</v>
      </c>
      <c r="L63" s="259">
        <v>12</v>
      </c>
      <c r="M63" s="259">
        <v>12</v>
      </c>
      <c r="N63" s="259" t="str">
        <f t="shared" si="0"/>
        <v>Include</v>
      </c>
      <c r="O63" s="249" t="s">
        <v>744</v>
      </c>
    </row>
    <row r="64" spans="1:15">
      <c r="A64" s="250" t="s">
        <v>43</v>
      </c>
      <c r="B64" s="260">
        <v>3</v>
      </c>
      <c r="C64" s="251"/>
      <c r="D64" s="251"/>
      <c r="E64" s="251"/>
      <c r="F64" s="251"/>
      <c r="G64" s="260">
        <v>19</v>
      </c>
      <c r="H64" s="260">
        <v>0</v>
      </c>
      <c r="I64" s="260">
        <v>30</v>
      </c>
      <c r="J64" s="260">
        <v>23</v>
      </c>
      <c r="K64" s="260">
        <v>23</v>
      </c>
      <c r="L64" s="251"/>
      <c r="M64" s="260">
        <v>7</v>
      </c>
      <c r="N64" s="260" t="str">
        <f t="shared" si="0"/>
        <v>Include</v>
      </c>
      <c r="O64" s="252" t="s">
        <v>744</v>
      </c>
    </row>
    <row r="65" spans="1:15">
      <c r="A65" s="247" t="s">
        <v>25</v>
      </c>
      <c r="B65" s="259">
        <v>16</v>
      </c>
      <c r="C65" s="248">
        <v>15</v>
      </c>
      <c r="D65" s="248"/>
      <c r="E65" s="259">
        <v>1</v>
      </c>
      <c r="F65" s="259">
        <v>1</v>
      </c>
      <c r="G65" s="259">
        <v>14</v>
      </c>
      <c r="H65" s="259">
        <v>32</v>
      </c>
      <c r="I65" s="259">
        <v>20</v>
      </c>
      <c r="J65" s="259">
        <v>0</v>
      </c>
      <c r="K65" s="259">
        <v>28</v>
      </c>
      <c r="L65" s="248"/>
      <c r="M65" s="259">
        <v>7</v>
      </c>
      <c r="N65" s="259" t="str">
        <f t="shared" si="0"/>
        <v>Include</v>
      </c>
      <c r="O65" s="249" t="s">
        <v>744</v>
      </c>
    </row>
    <row r="66" spans="1:15">
      <c r="A66" s="250" t="s">
        <v>60</v>
      </c>
      <c r="B66" s="251"/>
      <c r="C66" s="251"/>
      <c r="D66" s="251">
        <v>28</v>
      </c>
      <c r="E66" s="260">
        <v>24</v>
      </c>
      <c r="F66" s="260">
        <v>17</v>
      </c>
      <c r="G66" s="260">
        <v>37</v>
      </c>
      <c r="H66" s="260">
        <v>8</v>
      </c>
      <c r="I66" s="260">
        <v>6</v>
      </c>
      <c r="J66" s="251"/>
      <c r="K66" s="260">
        <v>56</v>
      </c>
      <c r="L66" s="260">
        <v>0</v>
      </c>
      <c r="M66" s="260">
        <v>5</v>
      </c>
      <c r="N66" s="260" t="str">
        <f t="shared" si="0"/>
        <v>Include</v>
      </c>
      <c r="O66" s="252" t="s">
        <v>744</v>
      </c>
    </row>
    <row r="67" spans="1:15">
      <c r="A67" s="247" t="s">
        <v>33</v>
      </c>
      <c r="B67" s="259">
        <v>383</v>
      </c>
      <c r="C67" s="248">
        <v>7</v>
      </c>
      <c r="D67" s="248">
        <v>2</v>
      </c>
      <c r="E67" s="259">
        <v>71</v>
      </c>
      <c r="F67" s="248"/>
      <c r="G67" s="259">
        <v>50</v>
      </c>
      <c r="H67" s="259">
        <v>48</v>
      </c>
      <c r="I67" s="259">
        <v>23</v>
      </c>
      <c r="J67" s="259">
        <v>38</v>
      </c>
      <c r="K67" s="259">
        <v>15</v>
      </c>
      <c r="L67" s="259">
        <v>41</v>
      </c>
      <c r="M67" s="259">
        <v>2</v>
      </c>
      <c r="N67" s="259" t="str">
        <f t="shared" si="0"/>
        <v>Include</v>
      </c>
      <c r="O67" s="249" t="s">
        <v>744</v>
      </c>
    </row>
    <row r="68" spans="1:15">
      <c r="A68" s="250" t="s">
        <v>69</v>
      </c>
      <c r="B68" s="260">
        <v>9</v>
      </c>
      <c r="C68" s="251">
        <v>0</v>
      </c>
      <c r="D68" s="251">
        <v>0</v>
      </c>
      <c r="E68" s="260">
        <v>30</v>
      </c>
      <c r="F68" s="260">
        <v>17</v>
      </c>
      <c r="G68" s="260">
        <v>3</v>
      </c>
      <c r="H68" s="260">
        <v>13</v>
      </c>
      <c r="I68" s="260">
        <v>4</v>
      </c>
      <c r="J68" s="260">
        <v>2</v>
      </c>
      <c r="K68" s="260">
        <v>10</v>
      </c>
      <c r="L68" s="260">
        <v>1</v>
      </c>
      <c r="M68" s="260">
        <v>2</v>
      </c>
      <c r="N68" s="260" t="str">
        <f t="shared" si="0"/>
        <v>Include</v>
      </c>
      <c r="O68" s="252" t="s">
        <v>744</v>
      </c>
    </row>
    <row r="69" spans="1:15">
      <c r="A69" s="247" t="s">
        <v>898</v>
      </c>
      <c r="B69" s="248"/>
      <c r="C69" s="248"/>
      <c r="D69" s="248"/>
      <c r="E69" s="248"/>
      <c r="F69" s="248"/>
      <c r="G69" s="248"/>
      <c r="H69" s="248"/>
      <c r="I69" s="259">
        <v>25</v>
      </c>
      <c r="J69" s="259">
        <v>9</v>
      </c>
      <c r="K69" s="259">
        <v>13</v>
      </c>
      <c r="L69" s="259">
        <v>4</v>
      </c>
      <c r="M69" s="259">
        <v>1</v>
      </c>
      <c r="N69" s="259" t="str">
        <f t="shared" si="0"/>
        <v>Include</v>
      </c>
      <c r="O69" s="249" t="s">
        <v>744</v>
      </c>
    </row>
    <row r="70" spans="1:15">
      <c r="A70" s="250" t="s">
        <v>73</v>
      </c>
      <c r="B70" s="260">
        <v>106</v>
      </c>
      <c r="C70" s="251">
        <v>48</v>
      </c>
      <c r="D70" s="251">
        <v>62</v>
      </c>
      <c r="E70" s="260">
        <v>34</v>
      </c>
      <c r="F70" s="251"/>
      <c r="G70" s="251"/>
      <c r="H70" s="251"/>
      <c r="I70" s="251"/>
      <c r="J70" s="260">
        <v>3</v>
      </c>
      <c r="K70" s="260">
        <v>0</v>
      </c>
      <c r="L70" s="251"/>
      <c r="M70" s="260">
        <v>1</v>
      </c>
      <c r="N70" s="260" t="str">
        <f t="shared" si="0"/>
        <v>Include</v>
      </c>
      <c r="O70" s="252" t="s">
        <v>744</v>
      </c>
    </row>
    <row r="71" spans="1:15">
      <c r="A71" s="247" t="s">
        <v>38</v>
      </c>
      <c r="B71" s="248"/>
      <c r="C71" s="248"/>
      <c r="D71" s="248"/>
      <c r="E71" s="248"/>
      <c r="F71" s="248"/>
      <c r="G71" s="248"/>
      <c r="H71" s="248"/>
      <c r="I71" s="248"/>
      <c r="J71" s="248"/>
      <c r="K71" s="248"/>
      <c r="L71" s="248"/>
      <c r="M71" s="259">
        <v>1</v>
      </c>
      <c r="N71" s="259" t="str">
        <f t="shared" si="0"/>
        <v>Exclude</v>
      </c>
      <c r="O71" s="249" t="s">
        <v>744</v>
      </c>
    </row>
  </sheetData>
  <autoFilter ref="A11:AV36" xr:uid="{ABD488FE-15E7-462E-9E75-8AE2009634E2}"/>
  <hyperlinks>
    <hyperlink ref="A4" r:id="rId1" display="http://comtrade.un.org/" xr:uid="{B527ED35-4428-4E32-B534-3AA70370B95F}"/>
    <hyperlink ref="A41" r:id="rId2" display="http://comtrade.un.org/" xr:uid="{0D797A22-C15E-4D07-A3E1-36AAB10BF843}"/>
    <hyperlink ref="A42" r:id="rId3" display="https://unstats.un.org/unsd/tradekb/Knowledgebase/Quantity-and-Weight-Data-in-UN-Comtrade" xr:uid="{8FD72566-7A5B-4FF3-A4FF-5F136DC3C7C2}"/>
  </hyperlinks>
  <pageMargins left="0.75" right="0.75" top="1" bottom="1" header="0.5" footer="0.5"/>
  <pageSetup orientation="landscape"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0634-D2FE-4936-A347-8358BC4145AD}">
  <sheetPr>
    <pageSetUpPr fitToPage="1"/>
  </sheetPr>
  <dimension ref="A1:AV405"/>
  <sheetViews>
    <sheetView showGridLines="0" topLeftCell="L1" workbookViewId="0">
      <selection activeCell="S7" sqref="S7"/>
    </sheetView>
  </sheetViews>
  <sheetFormatPr defaultColWidth="8.85546875" defaultRowHeight="13.5"/>
  <cols>
    <col min="1" max="1" width="8.85546875" style="29"/>
    <col min="2" max="2" width="18.140625" style="29" bestFit="1" customWidth="1"/>
    <col min="3" max="3" width="16.7109375" style="29" bestFit="1" customWidth="1"/>
    <col min="4" max="4" width="15.7109375" style="29" customWidth="1"/>
    <col min="5" max="5" width="27.28515625" style="29" customWidth="1"/>
    <col min="6" max="6" width="26" style="29" customWidth="1"/>
    <col min="7" max="7" width="25.7109375" style="29" customWidth="1"/>
    <col min="8" max="8" width="10" style="29" bestFit="1" customWidth="1"/>
    <col min="9" max="9" width="11.42578125" style="29" bestFit="1" customWidth="1"/>
    <col min="10" max="10" width="13.85546875" style="29" customWidth="1"/>
    <col min="11" max="11" width="11.7109375" style="29" customWidth="1"/>
    <col min="12" max="12" width="10" style="29" bestFit="1" customWidth="1"/>
    <col min="13" max="13" width="11.140625" style="29" bestFit="1" customWidth="1"/>
    <col min="14" max="14" width="15.85546875" style="29" customWidth="1"/>
    <col min="15" max="15" width="18.42578125" style="29" bestFit="1" customWidth="1"/>
    <col min="16" max="16" width="12.140625" style="29" bestFit="1" customWidth="1"/>
    <col min="17" max="17" width="10.140625" style="29" bestFit="1" customWidth="1"/>
    <col min="18" max="18" width="11.7109375" style="29" bestFit="1" customWidth="1"/>
    <col min="19" max="19" width="23.7109375" style="29" bestFit="1" customWidth="1"/>
    <col min="20" max="31" width="12.85546875" style="29" bestFit="1" customWidth="1"/>
    <col min="32" max="32" width="14" style="29" bestFit="1" customWidth="1"/>
    <col min="33" max="34" width="12.28515625" style="29" bestFit="1" customWidth="1"/>
    <col min="35" max="35" width="13.7109375" style="29" bestFit="1" customWidth="1"/>
    <col min="36" max="36" width="12.140625" style="29" bestFit="1" customWidth="1"/>
    <col min="37" max="37" width="5.7109375" style="29" bestFit="1" customWidth="1"/>
    <col min="38" max="38" width="14.85546875" style="29" bestFit="1" customWidth="1"/>
    <col min="39" max="39" width="11.28515625" style="29" bestFit="1" customWidth="1"/>
    <col min="40" max="40" width="15.85546875" style="29" bestFit="1" customWidth="1"/>
    <col min="41" max="41" width="7.7109375" style="29" bestFit="1" customWidth="1"/>
    <col min="42" max="42" width="18" style="29" bestFit="1" customWidth="1"/>
    <col min="43" max="43" width="12.28515625" style="29" bestFit="1" customWidth="1"/>
    <col min="44" max="44" width="7.5703125" style="29" bestFit="1" customWidth="1"/>
    <col min="45" max="45" width="12.28515625" style="29" bestFit="1" customWidth="1"/>
    <col min="46" max="46" width="17.7109375" style="29" bestFit="1" customWidth="1"/>
    <col min="47" max="47" width="9.42578125" style="29" bestFit="1" customWidth="1"/>
    <col min="48" max="48" width="10.28515625" style="29" bestFit="1" customWidth="1"/>
    <col min="49" max="16384" width="8.85546875" style="29"/>
  </cols>
  <sheetData>
    <row r="1" spans="1:34">
      <c r="B1" s="28" t="s">
        <v>736</v>
      </c>
      <c r="E1" s="29">
        <f>'EX-1A SV Summary'!D21</f>
        <v>32061990</v>
      </c>
    </row>
    <row r="2" spans="1:34">
      <c r="B2" s="26" t="s">
        <v>746</v>
      </c>
      <c r="C2" s="46"/>
      <c r="D2" s="46"/>
      <c r="E2" s="46"/>
    </row>
    <row r="3" spans="1:34">
      <c r="B3" s="95" t="s">
        <v>738</v>
      </c>
      <c r="C3" s="131" t="s">
        <v>703</v>
      </c>
      <c r="D3" s="46"/>
      <c r="E3" s="46"/>
    </row>
    <row r="4" spans="1:34" s="46" customFormat="1">
      <c r="B4" s="95"/>
      <c r="C4" s="96"/>
    </row>
    <row r="5" spans="1:34">
      <c r="B5" s="124" t="s">
        <v>735</v>
      </c>
      <c r="C5" s="125" t="s">
        <v>23</v>
      </c>
      <c r="D5" s="46"/>
      <c r="E5" s="102" t="s">
        <v>203</v>
      </c>
      <c r="F5" s="102" t="s">
        <v>48</v>
      </c>
      <c r="G5" s="102" t="s">
        <v>204</v>
      </c>
    </row>
    <row r="6" spans="1:34">
      <c r="B6" s="126"/>
      <c r="C6" s="127" t="s">
        <v>29</v>
      </c>
      <c r="D6" s="46"/>
      <c r="E6" s="103">
        <f>SUMIFS(O:O,P:P,"Include",Q:Q,"QTY")*1000</f>
        <v>2432544113.0000005</v>
      </c>
      <c r="F6" s="103">
        <f>SUMIFS(O:O,P:P,"Include",Q:Q,"VAL")*1000</f>
        <v>11741539097</v>
      </c>
      <c r="G6" s="104">
        <f>F6/E6</f>
        <v>4.8268555683125642</v>
      </c>
      <c r="H6" s="132"/>
      <c r="I6" s="132"/>
      <c r="J6" s="132"/>
      <c r="K6" s="132"/>
      <c r="L6" s="132"/>
      <c r="M6" s="132"/>
      <c r="N6" s="132"/>
      <c r="O6" s="116"/>
      <c r="P6" s="116"/>
      <c r="Q6" s="116"/>
    </row>
    <row r="7" spans="1:34">
      <c r="B7" s="126"/>
      <c r="C7" s="127" t="s">
        <v>31</v>
      </c>
      <c r="D7" s="46"/>
      <c r="E7" s="46"/>
      <c r="F7" s="133"/>
      <c r="G7" s="133"/>
      <c r="H7" s="133"/>
      <c r="I7" s="133"/>
      <c r="J7" s="133"/>
      <c r="K7" s="133"/>
      <c r="L7" s="133"/>
      <c r="M7" s="133"/>
      <c r="N7" s="133"/>
      <c r="O7" s="118"/>
      <c r="P7" s="118"/>
      <c r="Q7" s="118"/>
      <c r="S7" s="100" t="s">
        <v>727</v>
      </c>
      <c r="T7" s="46" t="s">
        <v>510</v>
      </c>
    </row>
    <row r="8" spans="1:34">
      <c r="B8" s="126"/>
      <c r="C8" s="127" t="s">
        <v>34</v>
      </c>
      <c r="D8" s="46"/>
      <c r="E8" s="46"/>
      <c r="F8" s="133"/>
      <c r="G8" s="133"/>
      <c r="H8" s="133"/>
      <c r="I8" s="133"/>
      <c r="J8" s="133"/>
      <c r="K8" s="133"/>
      <c r="L8" s="133"/>
      <c r="M8" s="133"/>
      <c r="N8" s="133"/>
      <c r="O8" s="118"/>
      <c r="P8" s="118"/>
      <c r="Q8" s="118"/>
      <c r="S8" s="100" t="s">
        <v>628</v>
      </c>
      <c r="T8" s="46" t="s">
        <v>669</v>
      </c>
    </row>
    <row r="9" spans="1:34">
      <c r="B9" s="128"/>
      <c r="C9" s="129" t="s">
        <v>38</v>
      </c>
      <c r="D9" s="46"/>
      <c r="E9" s="46"/>
      <c r="F9" s="133"/>
      <c r="G9" s="133"/>
      <c r="H9" s="133"/>
      <c r="I9" s="133"/>
      <c r="J9" s="133"/>
      <c r="K9" s="133"/>
      <c r="L9" s="133"/>
      <c r="M9" s="133"/>
      <c r="N9" s="133"/>
      <c r="O9" s="118"/>
      <c r="P9" s="118"/>
      <c r="Q9" s="118"/>
      <c r="S9" s="100" t="s">
        <v>626</v>
      </c>
      <c r="T9" s="46" t="s">
        <v>57</v>
      </c>
    </row>
    <row r="10" spans="1:34">
      <c r="B10" s="134"/>
      <c r="C10" s="133"/>
      <c r="D10" s="133"/>
      <c r="E10" s="133"/>
      <c r="F10" s="133"/>
      <c r="G10" s="133"/>
      <c r="H10" s="133"/>
      <c r="I10" s="133"/>
      <c r="J10" s="133"/>
      <c r="K10" s="133"/>
      <c r="L10" s="133"/>
      <c r="M10" s="133"/>
      <c r="N10" s="133"/>
      <c r="O10" s="118"/>
      <c r="P10" s="118"/>
      <c r="Q10" s="118"/>
    </row>
    <row r="11" spans="1:34">
      <c r="A11" s="99" t="s">
        <v>740</v>
      </c>
      <c r="B11" s="99" t="s">
        <v>45</v>
      </c>
      <c r="C11" s="133"/>
      <c r="D11" s="133"/>
      <c r="E11" s="133"/>
      <c r="F11" s="133"/>
      <c r="G11" s="133"/>
      <c r="H11" s="133"/>
      <c r="I11" s="133"/>
      <c r="J11" s="133"/>
      <c r="K11" s="133"/>
      <c r="L11" s="133"/>
      <c r="M11" s="133"/>
      <c r="N11" s="133"/>
      <c r="O11" s="118"/>
      <c r="P11" s="118"/>
      <c r="Q11" s="118"/>
      <c r="S11" s="100" t="s">
        <v>733</v>
      </c>
      <c r="T11" s="100" t="s">
        <v>621</v>
      </c>
      <c r="U11" s="100" t="s">
        <v>622</v>
      </c>
      <c r="V11" s="46"/>
      <c r="W11" s="46"/>
      <c r="X11" s="46"/>
      <c r="Y11" s="46"/>
      <c r="Z11" s="46"/>
      <c r="AA11" s="46"/>
      <c r="AB11" s="46"/>
      <c r="AC11" s="46"/>
      <c r="AD11" s="46"/>
      <c r="AE11" s="46"/>
      <c r="AF11" s="46"/>
      <c r="AG11" s="46"/>
      <c r="AH11" s="46"/>
    </row>
    <row r="12" spans="1:34">
      <c r="A12" s="46"/>
      <c r="B12" s="29" t="s">
        <v>902</v>
      </c>
      <c r="P12" s="118"/>
      <c r="Q12" s="118"/>
      <c r="S12" s="46"/>
      <c r="T12" s="46">
        <v>2023</v>
      </c>
      <c r="U12" s="46"/>
      <c r="V12" s="46"/>
      <c r="W12" s="46"/>
      <c r="X12" s="46"/>
      <c r="Y12" s="46"/>
      <c r="Z12" s="46">
        <v>2024</v>
      </c>
      <c r="AA12" s="46"/>
      <c r="AB12" s="46"/>
      <c r="AC12" s="46"/>
      <c r="AD12" s="46"/>
      <c r="AE12" s="46"/>
      <c r="AF12" s="46" t="s">
        <v>732</v>
      </c>
      <c r="AG12" s="46"/>
      <c r="AH12" s="46"/>
    </row>
    <row r="13" spans="1:34">
      <c r="B13" s="105"/>
      <c r="C13" s="321">
        <v>2023</v>
      </c>
      <c r="D13" s="322"/>
      <c r="E13" s="322"/>
      <c r="F13" s="322"/>
      <c r="G13" s="322"/>
      <c r="H13" s="323"/>
      <c r="I13" s="321">
        <v>2024</v>
      </c>
      <c r="J13" s="322"/>
      <c r="K13" s="322"/>
      <c r="L13" s="322"/>
      <c r="M13" s="322"/>
      <c r="N13" s="323"/>
      <c r="O13" s="112" t="s">
        <v>732</v>
      </c>
      <c r="P13" s="320" t="s">
        <v>209</v>
      </c>
      <c r="Q13" s="320" t="s">
        <v>155</v>
      </c>
      <c r="S13" s="100" t="s">
        <v>631</v>
      </c>
      <c r="T13" s="46">
        <v>7</v>
      </c>
      <c r="U13" s="46">
        <v>8</v>
      </c>
      <c r="V13" s="46">
        <v>9</v>
      </c>
      <c r="W13" s="46">
        <v>10</v>
      </c>
      <c r="X13" s="46">
        <v>11</v>
      </c>
      <c r="Y13" s="46">
        <v>12</v>
      </c>
      <c r="Z13" s="46">
        <v>1</v>
      </c>
      <c r="AA13" s="46">
        <v>2</v>
      </c>
      <c r="AB13" s="46">
        <v>3</v>
      </c>
      <c r="AC13" s="46">
        <v>4</v>
      </c>
      <c r="AD13" s="46">
        <v>5</v>
      </c>
      <c r="AE13" s="46">
        <v>6</v>
      </c>
      <c r="AF13" s="46"/>
      <c r="AG13" s="46"/>
      <c r="AH13" s="46"/>
    </row>
    <row r="14" spans="1:34">
      <c r="B14" s="107" t="s">
        <v>631</v>
      </c>
      <c r="C14" s="113">
        <v>7</v>
      </c>
      <c r="D14" s="113">
        <v>8</v>
      </c>
      <c r="E14" s="113">
        <v>9</v>
      </c>
      <c r="F14" s="113">
        <v>10</v>
      </c>
      <c r="G14" s="113">
        <v>11</v>
      </c>
      <c r="H14" s="113">
        <v>12</v>
      </c>
      <c r="I14" s="113">
        <v>1</v>
      </c>
      <c r="J14" s="113">
        <v>2</v>
      </c>
      <c r="K14" s="113">
        <v>3</v>
      </c>
      <c r="L14" s="113">
        <v>4</v>
      </c>
      <c r="M14" s="113">
        <v>5</v>
      </c>
      <c r="N14" s="113">
        <v>6</v>
      </c>
      <c r="O14" s="113"/>
      <c r="P14" s="320"/>
      <c r="Q14" s="320"/>
      <c r="S14" s="46" t="s">
        <v>23</v>
      </c>
      <c r="T14" s="101">
        <v>148866.28</v>
      </c>
      <c r="U14" s="101">
        <v>242976.81200000001</v>
      </c>
      <c r="V14" s="101">
        <v>238958.90299999999</v>
      </c>
      <c r="W14" s="101">
        <v>276015.95199999999</v>
      </c>
      <c r="X14" s="101">
        <v>389125.88400000002</v>
      </c>
      <c r="Y14" s="101">
        <v>176364.64600000001</v>
      </c>
      <c r="Z14" s="101">
        <v>145004.05600000001</v>
      </c>
      <c r="AA14" s="101">
        <v>383893.408</v>
      </c>
      <c r="AB14" s="101">
        <v>339286.27</v>
      </c>
      <c r="AC14" s="101">
        <v>582857.272</v>
      </c>
      <c r="AD14" s="101">
        <v>571229.12800000003</v>
      </c>
      <c r="AE14" s="101">
        <v>235877.33199999999</v>
      </c>
      <c r="AF14" s="101">
        <v>3730455.943</v>
      </c>
      <c r="AG14" s="46"/>
      <c r="AH14" s="46"/>
    </row>
    <row r="15" spans="1:34">
      <c r="B15" s="105" t="s">
        <v>23</v>
      </c>
      <c r="C15" s="106">
        <v>148866.28</v>
      </c>
      <c r="D15" s="106">
        <v>242976.81200000001</v>
      </c>
      <c r="E15" s="106">
        <v>238958.90299999999</v>
      </c>
      <c r="F15" s="106">
        <v>276015.95199999999</v>
      </c>
      <c r="G15" s="106">
        <v>389125.88400000002</v>
      </c>
      <c r="H15" s="106">
        <v>176364.64600000001</v>
      </c>
      <c r="I15" s="106">
        <v>145004.05600000001</v>
      </c>
      <c r="J15" s="106">
        <v>383893.408</v>
      </c>
      <c r="K15" s="106">
        <v>339286.27</v>
      </c>
      <c r="L15" s="106">
        <v>582857.272</v>
      </c>
      <c r="M15" s="106">
        <v>571229.12800000003</v>
      </c>
      <c r="N15" s="106">
        <v>235877.33199999999</v>
      </c>
      <c r="O15" s="106">
        <v>3730455.943</v>
      </c>
      <c r="P15" s="105" t="s">
        <v>210</v>
      </c>
      <c r="Q15" s="105"/>
      <c r="S15" s="46" t="s">
        <v>29</v>
      </c>
      <c r="T15" s="101">
        <v>60470.218000000001</v>
      </c>
      <c r="U15" s="101">
        <v>125472.412</v>
      </c>
      <c r="V15" s="101">
        <v>66745.385999999999</v>
      </c>
      <c r="W15" s="101">
        <v>57675.06</v>
      </c>
      <c r="X15" s="101">
        <v>176328.81200000001</v>
      </c>
      <c r="Y15" s="101">
        <v>46240.692000000003</v>
      </c>
      <c r="Z15" s="101">
        <v>47957.552000000003</v>
      </c>
      <c r="AA15" s="101">
        <v>47730.748</v>
      </c>
      <c r="AB15" s="101">
        <v>41008.07</v>
      </c>
      <c r="AC15" s="101">
        <v>419113.30800000002</v>
      </c>
      <c r="AD15" s="101">
        <v>157742.386</v>
      </c>
      <c r="AE15" s="101">
        <v>49390.144</v>
      </c>
      <c r="AF15" s="101">
        <v>1295874.7880000002</v>
      </c>
      <c r="AG15" s="46"/>
      <c r="AH15" s="46"/>
    </row>
    <row r="16" spans="1:34">
      <c r="B16" s="105" t="s">
        <v>29</v>
      </c>
      <c r="C16" s="106">
        <v>60470.218000000001</v>
      </c>
      <c r="D16" s="106">
        <v>125472.412</v>
      </c>
      <c r="E16" s="106">
        <v>66745.385999999999</v>
      </c>
      <c r="F16" s="106">
        <v>57675.06</v>
      </c>
      <c r="G16" s="106">
        <v>176328.81200000001</v>
      </c>
      <c r="H16" s="106">
        <v>46240.692000000003</v>
      </c>
      <c r="I16" s="106">
        <v>47957.552000000003</v>
      </c>
      <c r="J16" s="106">
        <v>47730.748</v>
      </c>
      <c r="K16" s="106">
        <v>41008.07</v>
      </c>
      <c r="L16" s="106">
        <v>419113.30800000002</v>
      </c>
      <c r="M16" s="106">
        <v>157742.386</v>
      </c>
      <c r="N16" s="106">
        <v>49390.144</v>
      </c>
      <c r="O16" s="106">
        <v>1295874.7880000002</v>
      </c>
      <c r="P16" s="105" t="s">
        <v>210</v>
      </c>
      <c r="Q16" s="105"/>
      <c r="S16" s="46" t="s">
        <v>30</v>
      </c>
      <c r="T16" s="101">
        <v>13200.08</v>
      </c>
      <c r="U16" s="101">
        <v>2135.7579999999998</v>
      </c>
      <c r="V16" s="101">
        <v>32506.109</v>
      </c>
      <c r="W16" s="101">
        <v>3707.2080000000001</v>
      </c>
      <c r="X16" s="101">
        <v>61757.49</v>
      </c>
      <c r="Y16" s="101">
        <v>27002.7</v>
      </c>
      <c r="Z16" s="101">
        <v>45862.148000000001</v>
      </c>
      <c r="AA16" s="101">
        <v>79480.842000000004</v>
      </c>
      <c r="AB16" s="101">
        <v>29009.603999999999</v>
      </c>
      <c r="AC16" s="101">
        <v>9550.9259999999995</v>
      </c>
      <c r="AD16" s="101">
        <v>103624.746</v>
      </c>
      <c r="AE16" s="101">
        <v>28532.074000000001</v>
      </c>
      <c r="AF16" s="101">
        <v>436369.685</v>
      </c>
      <c r="AG16" s="46"/>
      <c r="AH16" s="46"/>
    </row>
    <row r="17" spans="2:34">
      <c r="B17" s="105" t="s">
        <v>30</v>
      </c>
      <c r="C17" s="106">
        <v>13200.08</v>
      </c>
      <c r="D17" s="106">
        <v>2135.7579999999998</v>
      </c>
      <c r="E17" s="106">
        <v>32506.109</v>
      </c>
      <c r="F17" s="106">
        <v>3707.2080000000001</v>
      </c>
      <c r="G17" s="106">
        <v>61757.49</v>
      </c>
      <c r="H17" s="106">
        <v>27002.7</v>
      </c>
      <c r="I17" s="106">
        <v>45862.148000000001</v>
      </c>
      <c r="J17" s="106">
        <v>79480.842000000004</v>
      </c>
      <c r="K17" s="106">
        <v>29009.603999999999</v>
      </c>
      <c r="L17" s="106">
        <v>9550.9259999999995</v>
      </c>
      <c r="M17" s="106">
        <v>103624.746</v>
      </c>
      <c r="N17" s="106">
        <v>28532.074000000001</v>
      </c>
      <c r="O17" s="106">
        <v>436369.685</v>
      </c>
      <c r="P17" s="105" t="s">
        <v>211</v>
      </c>
      <c r="Q17" s="105" t="s">
        <v>744</v>
      </c>
      <c r="S17" s="46" t="s">
        <v>713</v>
      </c>
      <c r="T17" s="101">
        <v>42124.324999999997</v>
      </c>
      <c r="U17" s="101">
        <v>29378.366000000002</v>
      </c>
      <c r="V17" s="101">
        <v>28004.146000000001</v>
      </c>
      <c r="W17" s="101">
        <v>53459.684000000001</v>
      </c>
      <c r="X17" s="101"/>
      <c r="Y17" s="101">
        <v>85960.437999999995</v>
      </c>
      <c r="Z17" s="101">
        <v>1271.4760000000001</v>
      </c>
      <c r="AA17" s="101"/>
      <c r="AB17" s="101">
        <v>5284.27</v>
      </c>
      <c r="AC17" s="101"/>
      <c r="AD17" s="101">
        <v>51956.838000000003</v>
      </c>
      <c r="AE17" s="101">
        <v>26095.545999999998</v>
      </c>
      <c r="AF17" s="101">
        <v>323535.08899999998</v>
      </c>
      <c r="AG17" s="46"/>
      <c r="AH17" s="46"/>
    </row>
    <row r="18" spans="2:34">
      <c r="B18" s="105" t="s">
        <v>713</v>
      </c>
      <c r="C18" s="106">
        <v>42124.324999999997</v>
      </c>
      <c r="D18" s="106">
        <v>29378.366000000002</v>
      </c>
      <c r="E18" s="106">
        <v>28004.146000000001</v>
      </c>
      <c r="F18" s="106">
        <v>53459.684000000001</v>
      </c>
      <c r="G18" s="106"/>
      <c r="H18" s="106">
        <v>85960.437999999995</v>
      </c>
      <c r="I18" s="106">
        <v>1271.4760000000001</v>
      </c>
      <c r="J18" s="106"/>
      <c r="K18" s="106">
        <v>5284.27</v>
      </c>
      <c r="L18" s="106"/>
      <c r="M18" s="106">
        <v>51956.838000000003</v>
      </c>
      <c r="N18" s="106">
        <v>26095.545999999998</v>
      </c>
      <c r="O18" s="106">
        <v>323535.08899999998</v>
      </c>
      <c r="P18" s="105" t="s">
        <v>211</v>
      </c>
      <c r="Q18" s="105" t="s">
        <v>744</v>
      </c>
      <c r="S18" s="46" t="s">
        <v>32</v>
      </c>
      <c r="T18" s="101"/>
      <c r="U18" s="101"/>
      <c r="V18" s="101">
        <v>33910.737999999998</v>
      </c>
      <c r="W18" s="101"/>
      <c r="X18" s="101">
        <v>77811.212</v>
      </c>
      <c r="Y18" s="101">
        <v>7113.2359999999999</v>
      </c>
      <c r="Z18" s="101"/>
      <c r="AA18" s="101">
        <v>87226.285999999993</v>
      </c>
      <c r="AB18" s="101"/>
      <c r="AC18" s="101"/>
      <c r="AD18" s="101">
        <v>79534.038</v>
      </c>
      <c r="AE18" s="101"/>
      <c r="AF18" s="101">
        <v>285595.51</v>
      </c>
      <c r="AG18" s="46"/>
      <c r="AH18" s="46"/>
    </row>
    <row r="19" spans="2:34">
      <c r="B19" s="105" t="s">
        <v>32</v>
      </c>
      <c r="C19" s="106"/>
      <c r="D19" s="106"/>
      <c r="E19" s="106">
        <v>33910.737999999998</v>
      </c>
      <c r="F19" s="106"/>
      <c r="G19" s="106">
        <v>77811.212</v>
      </c>
      <c r="H19" s="106">
        <v>7113.2359999999999</v>
      </c>
      <c r="I19" s="106"/>
      <c r="J19" s="106">
        <v>87226.285999999993</v>
      </c>
      <c r="K19" s="106"/>
      <c r="L19" s="106"/>
      <c r="M19" s="106">
        <v>79534.038</v>
      </c>
      <c r="N19" s="106"/>
      <c r="O19" s="106">
        <v>285595.51</v>
      </c>
      <c r="P19" s="105" t="s">
        <v>211</v>
      </c>
      <c r="Q19" s="105" t="s">
        <v>744</v>
      </c>
      <c r="S19" s="46" t="s">
        <v>74</v>
      </c>
      <c r="T19" s="101"/>
      <c r="U19" s="101">
        <v>1926.2850000000001</v>
      </c>
      <c r="V19" s="101">
        <v>17235.185000000001</v>
      </c>
      <c r="W19" s="101"/>
      <c r="X19" s="101">
        <v>22384.853999999999</v>
      </c>
      <c r="Y19" s="101"/>
      <c r="Z19" s="101"/>
      <c r="AA19" s="101"/>
      <c r="AB19" s="101">
        <v>99455.755999999994</v>
      </c>
      <c r="AC19" s="101">
        <v>114921.42</v>
      </c>
      <c r="AD19" s="101"/>
      <c r="AE19" s="101"/>
      <c r="AF19" s="101">
        <v>255923.5</v>
      </c>
      <c r="AG19" s="46"/>
      <c r="AH19" s="46"/>
    </row>
    <row r="20" spans="2:34">
      <c r="B20" s="105" t="s">
        <v>74</v>
      </c>
      <c r="C20" s="106"/>
      <c r="D20" s="106">
        <v>1926.2850000000001</v>
      </c>
      <c r="E20" s="106">
        <v>17235.185000000001</v>
      </c>
      <c r="F20" s="106"/>
      <c r="G20" s="106">
        <v>22384.853999999999</v>
      </c>
      <c r="H20" s="106"/>
      <c r="I20" s="106"/>
      <c r="J20" s="106"/>
      <c r="K20" s="106">
        <v>99455.755999999994</v>
      </c>
      <c r="L20" s="106">
        <v>114921.42</v>
      </c>
      <c r="M20" s="106"/>
      <c r="N20" s="106"/>
      <c r="O20" s="106">
        <v>255923.5</v>
      </c>
      <c r="P20" s="105" t="s">
        <v>211</v>
      </c>
      <c r="Q20" s="105" t="s">
        <v>744</v>
      </c>
      <c r="S20" s="46" t="s">
        <v>64</v>
      </c>
      <c r="T20" s="101">
        <v>6019.192</v>
      </c>
      <c r="U20" s="101">
        <v>55105.968000000001</v>
      </c>
      <c r="V20" s="101">
        <v>1313.6420000000001</v>
      </c>
      <c r="W20" s="101">
        <v>53436.052000000003</v>
      </c>
      <c r="X20" s="101">
        <v>15195.334000000001</v>
      </c>
      <c r="Y20" s="101">
        <v>5034.8500000000004</v>
      </c>
      <c r="Z20" s="101"/>
      <c r="AA20" s="101">
        <v>486.40199999999999</v>
      </c>
      <c r="AB20" s="101">
        <v>24735.348000000002</v>
      </c>
      <c r="AC20" s="101">
        <v>5690.7839999999997</v>
      </c>
      <c r="AD20" s="101">
        <v>12520.451999999999</v>
      </c>
      <c r="AE20" s="101">
        <v>72014.316000000006</v>
      </c>
      <c r="AF20" s="101">
        <v>251552.33999999997</v>
      </c>
      <c r="AG20" s="46"/>
      <c r="AH20" s="46"/>
    </row>
    <row r="21" spans="2:34">
      <c r="B21" s="105" t="s">
        <v>64</v>
      </c>
      <c r="C21" s="106">
        <v>6019.192</v>
      </c>
      <c r="D21" s="106">
        <v>55105.968000000001</v>
      </c>
      <c r="E21" s="106">
        <v>1313.6420000000001</v>
      </c>
      <c r="F21" s="106">
        <v>53436.052000000003</v>
      </c>
      <c r="G21" s="106">
        <v>15195.334000000001</v>
      </c>
      <c r="H21" s="106">
        <v>5034.8500000000004</v>
      </c>
      <c r="I21" s="106"/>
      <c r="J21" s="106">
        <v>486.40199999999999</v>
      </c>
      <c r="K21" s="106">
        <v>24735.348000000002</v>
      </c>
      <c r="L21" s="106">
        <v>5690.7839999999997</v>
      </c>
      <c r="M21" s="106">
        <v>12520.451999999999</v>
      </c>
      <c r="N21" s="106">
        <v>72014.316000000006</v>
      </c>
      <c r="O21" s="106">
        <v>251552.33999999997</v>
      </c>
      <c r="P21" s="105" t="s">
        <v>211</v>
      </c>
      <c r="Q21" s="105" t="s">
        <v>744</v>
      </c>
      <c r="S21" s="46" t="s">
        <v>55</v>
      </c>
      <c r="T21" s="101"/>
      <c r="U21" s="101"/>
      <c r="V21" s="101"/>
      <c r="W21" s="101">
        <v>58125.165999999997</v>
      </c>
      <c r="X21" s="101"/>
      <c r="Y21" s="101"/>
      <c r="Z21" s="101"/>
      <c r="AA21" s="101">
        <v>66191.186000000002</v>
      </c>
      <c r="AB21" s="101">
        <v>91376.77</v>
      </c>
      <c r="AC21" s="101"/>
      <c r="AD21" s="101">
        <v>30292.936000000002</v>
      </c>
      <c r="AE21" s="101"/>
      <c r="AF21" s="101">
        <v>245986.05800000002</v>
      </c>
      <c r="AG21" s="46"/>
      <c r="AH21" s="46"/>
    </row>
    <row r="22" spans="2:34">
      <c r="B22" s="105" t="s">
        <v>55</v>
      </c>
      <c r="C22" s="106"/>
      <c r="D22" s="106"/>
      <c r="E22" s="106"/>
      <c r="F22" s="106">
        <v>58125.165999999997</v>
      </c>
      <c r="G22" s="106"/>
      <c r="H22" s="106"/>
      <c r="I22" s="106"/>
      <c r="J22" s="106">
        <v>66191.186000000002</v>
      </c>
      <c r="K22" s="106">
        <v>91376.77</v>
      </c>
      <c r="L22" s="106"/>
      <c r="M22" s="106">
        <v>30292.936000000002</v>
      </c>
      <c r="N22" s="106"/>
      <c r="O22" s="106">
        <v>245986.05800000002</v>
      </c>
      <c r="P22" s="105" t="s">
        <v>211</v>
      </c>
      <c r="Q22" s="105" t="s">
        <v>744</v>
      </c>
      <c r="S22" s="46" t="s">
        <v>0</v>
      </c>
      <c r="T22" s="101">
        <v>575.97299999999996</v>
      </c>
      <c r="U22" s="101">
        <v>11221.22</v>
      </c>
      <c r="V22" s="101">
        <v>1.3380000000000001</v>
      </c>
      <c r="W22" s="101">
        <v>13691.918</v>
      </c>
      <c r="X22" s="101">
        <v>15057.242</v>
      </c>
      <c r="Y22" s="101"/>
      <c r="Z22" s="101">
        <v>3923.9580000000001</v>
      </c>
      <c r="AA22" s="101">
        <v>4338.4639999999999</v>
      </c>
      <c r="AB22" s="101">
        <v>11609.611999999999</v>
      </c>
      <c r="AC22" s="101">
        <v>4353.38</v>
      </c>
      <c r="AD22" s="101">
        <v>74568.372000000003</v>
      </c>
      <c r="AE22" s="101">
        <v>16461.313999999998</v>
      </c>
      <c r="AF22" s="101">
        <v>155802.79100000003</v>
      </c>
      <c r="AG22" s="46"/>
      <c r="AH22" s="46"/>
    </row>
    <row r="23" spans="2:34">
      <c r="B23" s="105" t="s">
        <v>0</v>
      </c>
      <c r="C23" s="106">
        <v>575.97299999999996</v>
      </c>
      <c r="D23" s="106">
        <v>11221.22</v>
      </c>
      <c r="E23" s="106">
        <v>1.3380000000000001</v>
      </c>
      <c r="F23" s="106">
        <v>13691.918</v>
      </c>
      <c r="G23" s="106">
        <v>15057.242</v>
      </c>
      <c r="H23" s="106"/>
      <c r="I23" s="106">
        <v>3923.9580000000001</v>
      </c>
      <c r="J23" s="106">
        <v>4338.4639999999999</v>
      </c>
      <c r="K23" s="106">
        <v>11609.611999999999</v>
      </c>
      <c r="L23" s="106">
        <v>4353.38</v>
      </c>
      <c r="M23" s="106">
        <v>74568.372000000003</v>
      </c>
      <c r="N23" s="106">
        <v>16461.313999999998</v>
      </c>
      <c r="O23" s="106">
        <v>155802.79100000003</v>
      </c>
      <c r="P23" s="105" t="s">
        <v>211</v>
      </c>
      <c r="Q23" s="105" t="s">
        <v>744</v>
      </c>
      <c r="S23" s="46" t="s">
        <v>753</v>
      </c>
      <c r="T23" s="101"/>
      <c r="U23" s="101"/>
      <c r="V23" s="101">
        <v>19509.245999999999</v>
      </c>
      <c r="W23" s="101"/>
      <c r="X23" s="101"/>
      <c r="Y23" s="101"/>
      <c r="Z23" s="101">
        <v>34473.781999999999</v>
      </c>
      <c r="AA23" s="101"/>
      <c r="AB23" s="101"/>
      <c r="AC23" s="101"/>
      <c r="AD23" s="101">
        <v>33064.925999999999</v>
      </c>
      <c r="AE23" s="101"/>
      <c r="AF23" s="101">
        <v>87047.953999999998</v>
      </c>
      <c r="AG23" s="46"/>
      <c r="AH23" s="46"/>
    </row>
    <row r="24" spans="2:34">
      <c r="B24" s="105" t="s">
        <v>753</v>
      </c>
      <c r="C24" s="106"/>
      <c r="D24" s="106"/>
      <c r="E24" s="106">
        <v>19509.245999999999</v>
      </c>
      <c r="F24" s="106"/>
      <c r="G24" s="106"/>
      <c r="H24" s="106"/>
      <c r="I24" s="106">
        <v>34473.781999999999</v>
      </c>
      <c r="J24" s="106"/>
      <c r="K24" s="106"/>
      <c r="L24" s="106"/>
      <c r="M24" s="106">
        <v>33064.925999999999</v>
      </c>
      <c r="N24" s="106"/>
      <c r="O24" s="106">
        <v>87047.953999999998</v>
      </c>
      <c r="P24" s="105" t="s">
        <v>211</v>
      </c>
      <c r="Q24" s="105" t="s">
        <v>744</v>
      </c>
      <c r="S24" s="46" t="s">
        <v>63</v>
      </c>
      <c r="T24" s="101"/>
      <c r="U24" s="101">
        <v>216.97200000000001</v>
      </c>
      <c r="V24" s="101">
        <v>2496.0729999999999</v>
      </c>
      <c r="W24" s="101"/>
      <c r="X24" s="101">
        <v>15874.204</v>
      </c>
      <c r="Y24" s="101"/>
      <c r="Z24" s="101">
        <v>9553.0280000000002</v>
      </c>
      <c r="AA24" s="101">
        <v>23407.948</v>
      </c>
      <c r="AB24" s="101">
        <v>9430.1059999999998</v>
      </c>
      <c r="AC24" s="101">
        <v>269.07799999999997</v>
      </c>
      <c r="AD24" s="101">
        <v>4863.18</v>
      </c>
      <c r="AE24" s="101">
        <v>12482.925999999999</v>
      </c>
      <c r="AF24" s="101">
        <v>78593.515000000014</v>
      </c>
      <c r="AG24" s="46"/>
      <c r="AH24" s="46"/>
    </row>
    <row r="25" spans="2:34">
      <c r="B25" s="105" t="s">
        <v>63</v>
      </c>
      <c r="C25" s="106"/>
      <c r="D25" s="106">
        <v>216.97200000000001</v>
      </c>
      <c r="E25" s="106">
        <v>2496.0729999999999</v>
      </c>
      <c r="F25" s="106"/>
      <c r="G25" s="106">
        <v>15874.204</v>
      </c>
      <c r="H25" s="106"/>
      <c r="I25" s="106">
        <v>9553.0280000000002</v>
      </c>
      <c r="J25" s="106">
        <v>23407.948</v>
      </c>
      <c r="K25" s="106">
        <v>9430.1059999999998</v>
      </c>
      <c r="L25" s="106">
        <v>269.07799999999997</v>
      </c>
      <c r="M25" s="106">
        <v>4863.18</v>
      </c>
      <c r="N25" s="106">
        <v>12482.925999999999</v>
      </c>
      <c r="O25" s="106">
        <v>78593.515000000014</v>
      </c>
      <c r="P25" s="105" t="s">
        <v>211</v>
      </c>
      <c r="Q25" s="105" t="s">
        <v>744</v>
      </c>
      <c r="S25" s="46" t="s">
        <v>89</v>
      </c>
      <c r="T25" s="101"/>
      <c r="U25" s="101"/>
      <c r="V25" s="101">
        <v>19444.268</v>
      </c>
      <c r="W25" s="101">
        <v>31494.351999999999</v>
      </c>
      <c r="X25" s="101"/>
      <c r="Y25" s="101"/>
      <c r="Z25" s="101"/>
      <c r="AA25" s="101"/>
      <c r="AB25" s="101"/>
      <c r="AC25" s="101"/>
      <c r="AD25" s="101">
        <v>12550.618</v>
      </c>
      <c r="AE25" s="101">
        <v>14418.536</v>
      </c>
      <c r="AF25" s="101">
        <v>77907.774000000005</v>
      </c>
      <c r="AG25" s="46"/>
      <c r="AH25" s="46"/>
    </row>
    <row r="26" spans="2:34">
      <c r="B26" s="105" t="s">
        <v>89</v>
      </c>
      <c r="C26" s="106"/>
      <c r="D26" s="106"/>
      <c r="E26" s="106">
        <v>19444.268</v>
      </c>
      <c r="F26" s="106">
        <v>31494.351999999999</v>
      </c>
      <c r="G26" s="106"/>
      <c r="H26" s="106"/>
      <c r="I26" s="106"/>
      <c r="J26" s="106"/>
      <c r="K26" s="106"/>
      <c r="L26" s="106"/>
      <c r="M26" s="106">
        <v>12550.618</v>
      </c>
      <c r="N26" s="106">
        <v>14418.536</v>
      </c>
      <c r="O26" s="106">
        <v>77907.774000000005</v>
      </c>
      <c r="P26" s="105" t="s">
        <v>211</v>
      </c>
      <c r="Q26" s="105" t="s">
        <v>744</v>
      </c>
      <c r="S26" s="46" t="s">
        <v>71</v>
      </c>
      <c r="T26" s="101">
        <v>1581.4760000000001</v>
      </c>
      <c r="U26" s="101">
        <v>1660.6590000000001</v>
      </c>
      <c r="V26" s="101">
        <v>993.90499999999997</v>
      </c>
      <c r="W26" s="101">
        <v>782.87</v>
      </c>
      <c r="X26" s="101">
        <v>2406.442</v>
      </c>
      <c r="Y26" s="101">
        <v>5006.0360000000001</v>
      </c>
      <c r="Z26" s="101">
        <v>1962.11</v>
      </c>
      <c r="AA26" s="101">
        <v>8544.0519999999997</v>
      </c>
      <c r="AB26" s="101">
        <v>13952.204</v>
      </c>
      <c r="AC26" s="101">
        <v>17175.986000000001</v>
      </c>
      <c r="AD26" s="101">
        <v>2597.83</v>
      </c>
      <c r="AE26" s="101">
        <v>16482.473999999998</v>
      </c>
      <c r="AF26" s="101">
        <v>73146.044000000009</v>
      </c>
      <c r="AG26" s="46"/>
      <c r="AH26" s="46"/>
    </row>
    <row r="27" spans="2:34">
      <c r="B27" s="105" t="s">
        <v>71</v>
      </c>
      <c r="C27" s="106">
        <v>1581.4760000000001</v>
      </c>
      <c r="D27" s="106">
        <v>1660.6590000000001</v>
      </c>
      <c r="E27" s="106">
        <v>993.90499999999997</v>
      </c>
      <c r="F27" s="106">
        <v>782.87</v>
      </c>
      <c r="G27" s="106">
        <v>2406.442</v>
      </c>
      <c r="H27" s="106">
        <v>5006.0360000000001</v>
      </c>
      <c r="I27" s="106">
        <v>1962.11</v>
      </c>
      <c r="J27" s="106">
        <v>8544.0519999999997</v>
      </c>
      <c r="K27" s="106">
        <v>13952.204</v>
      </c>
      <c r="L27" s="106">
        <v>17175.986000000001</v>
      </c>
      <c r="M27" s="106">
        <v>2597.83</v>
      </c>
      <c r="N27" s="106">
        <v>16482.473999999998</v>
      </c>
      <c r="O27" s="106">
        <v>73146.044000000009</v>
      </c>
      <c r="P27" s="105" t="s">
        <v>211</v>
      </c>
      <c r="Q27" s="105" t="s">
        <v>744</v>
      </c>
      <c r="S27" s="46" t="s">
        <v>39</v>
      </c>
      <c r="T27" s="101"/>
      <c r="U27" s="101">
        <v>15859.173000000001</v>
      </c>
      <c r="V27" s="101">
        <v>916.08600000000001</v>
      </c>
      <c r="W27" s="101"/>
      <c r="X27" s="101"/>
      <c r="Y27" s="101"/>
      <c r="Z27" s="101"/>
      <c r="AA27" s="101">
        <v>36327.14</v>
      </c>
      <c r="AB27" s="101"/>
      <c r="AC27" s="101"/>
      <c r="AD27" s="101">
        <v>6859.2539999999999</v>
      </c>
      <c r="AE27" s="101"/>
      <c r="AF27" s="101">
        <v>59961.653000000006</v>
      </c>
      <c r="AG27" s="46"/>
      <c r="AH27" s="46"/>
    </row>
    <row r="28" spans="2:34">
      <c r="B28" s="105" t="s">
        <v>39</v>
      </c>
      <c r="C28" s="106"/>
      <c r="D28" s="106">
        <v>15859.173000000001</v>
      </c>
      <c r="E28" s="106">
        <v>916.08600000000001</v>
      </c>
      <c r="F28" s="106"/>
      <c r="G28" s="106"/>
      <c r="H28" s="106"/>
      <c r="I28" s="106"/>
      <c r="J28" s="106">
        <v>36327.14</v>
      </c>
      <c r="K28" s="106"/>
      <c r="L28" s="106"/>
      <c r="M28" s="106">
        <v>6859.2539999999999</v>
      </c>
      <c r="N28" s="106"/>
      <c r="O28" s="106">
        <v>59961.653000000006</v>
      </c>
      <c r="P28" s="105" t="s">
        <v>211</v>
      </c>
      <c r="Q28" s="105" t="s">
        <v>744</v>
      </c>
      <c r="S28" s="46" t="s">
        <v>25</v>
      </c>
      <c r="T28" s="101"/>
      <c r="U28" s="101"/>
      <c r="V28" s="101">
        <v>312.19099999999997</v>
      </c>
      <c r="W28" s="101"/>
      <c r="X28" s="101"/>
      <c r="Y28" s="101"/>
      <c r="Z28" s="101"/>
      <c r="AA28" s="101">
        <v>26503.596000000001</v>
      </c>
      <c r="AB28" s="101"/>
      <c r="AC28" s="101"/>
      <c r="AD28" s="101"/>
      <c r="AE28" s="101"/>
      <c r="AF28" s="101">
        <v>26815.787</v>
      </c>
      <c r="AG28" s="46"/>
      <c r="AH28" s="46"/>
    </row>
    <row r="29" spans="2:34">
      <c r="B29" s="105" t="s">
        <v>25</v>
      </c>
      <c r="C29" s="106"/>
      <c r="D29" s="106"/>
      <c r="E29" s="106">
        <v>312.19099999999997</v>
      </c>
      <c r="F29" s="106"/>
      <c r="G29" s="106"/>
      <c r="H29" s="106"/>
      <c r="I29" s="106"/>
      <c r="J29" s="106">
        <v>26503.596000000001</v>
      </c>
      <c r="K29" s="106"/>
      <c r="L29" s="106"/>
      <c r="M29" s="106"/>
      <c r="N29" s="106"/>
      <c r="O29" s="106">
        <v>26815.787</v>
      </c>
      <c r="P29" s="105" t="s">
        <v>211</v>
      </c>
      <c r="Q29" s="105" t="s">
        <v>744</v>
      </c>
      <c r="S29" s="46" t="s">
        <v>51</v>
      </c>
      <c r="T29" s="101">
        <v>23806.866000000002</v>
      </c>
      <c r="U29" s="101"/>
      <c r="V29" s="101"/>
      <c r="W29" s="101"/>
      <c r="X29" s="101"/>
      <c r="Y29" s="101"/>
      <c r="Z29" s="101"/>
      <c r="AA29" s="101"/>
      <c r="AB29" s="101"/>
      <c r="AC29" s="101"/>
      <c r="AD29" s="101"/>
      <c r="AE29" s="101"/>
      <c r="AF29" s="101">
        <v>23806.866000000002</v>
      </c>
      <c r="AG29" s="46"/>
      <c r="AH29" s="46"/>
    </row>
    <row r="30" spans="2:34">
      <c r="B30" s="105" t="s">
        <v>51</v>
      </c>
      <c r="C30" s="106">
        <v>23806.866000000002</v>
      </c>
      <c r="D30" s="106"/>
      <c r="E30" s="106"/>
      <c r="F30" s="106"/>
      <c r="G30" s="106"/>
      <c r="H30" s="106"/>
      <c r="I30" s="106"/>
      <c r="J30" s="106"/>
      <c r="K30" s="106"/>
      <c r="L30" s="106"/>
      <c r="M30" s="106"/>
      <c r="N30" s="106"/>
      <c r="O30" s="106">
        <v>23806.866000000002</v>
      </c>
      <c r="P30" s="105" t="s">
        <v>211</v>
      </c>
      <c r="Q30" s="105" t="s">
        <v>744</v>
      </c>
      <c r="S30" s="46" t="s">
        <v>65</v>
      </c>
      <c r="T30" s="101"/>
      <c r="U30" s="101"/>
      <c r="V30" s="101"/>
      <c r="W30" s="101"/>
      <c r="X30" s="101"/>
      <c r="Y30" s="101"/>
      <c r="Z30" s="101"/>
      <c r="AA30" s="101"/>
      <c r="AB30" s="101">
        <v>9896.5679999999993</v>
      </c>
      <c r="AC30" s="101">
        <v>6548.8519999999999</v>
      </c>
      <c r="AD30" s="101"/>
      <c r="AE30" s="101"/>
      <c r="AF30" s="101">
        <v>16445.419999999998</v>
      </c>
      <c r="AG30" s="46"/>
      <c r="AH30" s="46"/>
    </row>
    <row r="31" spans="2:34">
      <c r="B31" s="105" t="s">
        <v>65</v>
      </c>
      <c r="C31" s="106"/>
      <c r="D31" s="106"/>
      <c r="E31" s="106"/>
      <c r="F31" s="106"/>
      <c r="G31" s="106"/>
      <c r="H31" s="106"/>
      <c r="I31" s="106"/>
      <c r="J31" s="106"/>
      <c r="K31" s="106">
        <v>9896.5679999999993</v>
      </c>
      <c r="L31" s="106">
        <v>6548.8519999999999</v>
      </c>
      <c r="M31" s="106"/>
      <c r="N31" s="106"/>
      <c r="O31" s="106">
        <v>16445.419999999998</v>
      </c>
      <c r="P31" s="105" t="s">
        <v>211</v>
      </c>
      <c r="Q31" s="105" t="s">
        <v>744</v>
      </c>
      <c r="S31" s="46" t="s">
        <v>59</v>
      </c>
      <c r="T31" s="101"/>
      <c r="U31" s="101"/>
      <c r="V31" s="101">
        <v>15570.589</v>
      </c>
      <c r="W31" s="101"/>
      <c r="X31" s="101"/>
      <c r="Y31" s="101"/>
      <c r="Z31" s="101"/>
      <c r="AA31" s="101"/>
      <c r="AB31" s="101"/>
      <c r="AC31" s="101"/>
      <c r="AD31" s="101"/>
      <c r="AE31" s="101"/>
      <c r="AF31" s="101">
        <v>15570.589</v>
      </c>
      <c r="AG31" s="46"/>
      <c r="AH31" s="46"/>
    </row>
    <row r="32" spans="2:34">
      <c r="B32" s="105" t="s">
        <v>59</v>
      </c>
      <c r="C32" s="106"/>
      <c r="D32" s="106"/>
      <c r="E32" s="106">
        <v>15570.589</v>
      </c>
      <c r="F32" s="106"/>
      <c r="G32" s="106"/>
      <c r="H32" s="106"/>
      <c r="I32" s="106"/>
      <c r="J32" s="106"/>
      <c r="K32" s="106"/>
      <c r="L32" s="106"/>
      <c r="M32" s="106"/>
      <c r="N32" s="106"/>
      <c r="O32" s="106">
        <v>15570.589</v>
      </c>
      <c r="P32" s="105" t="s">
        <v>211</v>
      </c>
      <c r="Q32" s="105" t="s">
        <v>744</v>
      </c>
      <c r="S32" s="46" t="s">
        <v>43</v>
      </c>
      <c r="T32" s="101"/>
      <c r="U32" s="101"/>
      <c r="V32" s="101"/>
      <c r="W32" s="101">
        <v>2438.098</v>
      </c>
      <c r="X32" s="101">
        <v>273.25599999999997</v>
      </c>
      <c r="Y32" s="101"/>
      <c r="Z32" s="101"/>
      <c r="AA32" s="101"/>
      <c r="AB32" s="101">
        <v>3527.962</v>
      </c>
      <c r="AC32" s="101">
        <v>5233.5379999999996</v>
      </c>
      <c r="AD32" s="101"/>
      <c r="AE32" s="101"/>
      <c r="AF32" s="101">
        <v>11472.853999999999</v>
      </c>
      <c r="AG32" s="46"/>
      <c r="AH32" s="46"/>
    </row>
    <row r="33" spans="1:34">
      <c r="B33" s="105" t="s">
        <v>43</v>
      </c>
      <c r="C33" s="106"/>
      <c r="D33" s="106"/>
      <c r="E33" s="106"/>
      <c r="F33" s="106">
        <v>2438.098</v>
      </c>
      <c r="G33" s="106">
        <v>273.25599999999997</v>
      </c>
      <c r="H33" s="106"/>
      <c r="I33" s="106"/>
      <c r="J33" s="106"/>
      <c r="K33" s="106">
        <v>3527.962</v>
      </c>
      <c r="L33" s="106">
        <v>5233.5379999999996</v>
      </c>
      <c r="M33" s="106"/>
      <c r="N33" s="106"/>
      <c r="O33" s="106">
        <v>11472.853999999999</v>
      </c>
      <c r="P33" s="105" t="s">
        <v>211</v>
      </c>
      <c r="Q33" s="105" t="s">
        <v>744</v>
      </c>
      <c r="S33" s="46" t="s">
        <v>69</v>
      </c>
      <c r="T33" s="101"/>
      <c r="U33" s="101"/>
      <c r="V33" s="101"/>
      <c r="W33" s="101"/>
      <c r="X33" s="101"/>
      <c r="Y33" s="101"/>
      <c r="Z33" s="101"/>
      <c r="AA33" s="101">
        <v>3640.4360000000001</v>
      </c>
      <c r="AB33" s="101"/>
      <c r="AC33" s="101"/>
      <c r="AD33" s="101"/>
      <c r="AE33" s="101"/>
      <c r="AF33" s="101">
        <v>3640.4360000000001</v>
      </c>
      <c r="AG33" s="46"/>
      <c r="AH33" s="46"/>
    </row>
    <row r="34" spans="1:34">
      <c r="B34" s="105" t="s">
        <v>69</v>
      </c>
      <c r="C34" s="106"/>
      <c r="D34" s="106"/>
      <c r="E34" s="106"/>
      <c r="F34" s="106"/>
      <c r="G34" s="106"/>
      <c r="H34" s="106"/>
      <c r="I34" s="106"/>
      <c r="J34" s="106">
        <v>3640.4360000000001</v>
      </c>
      <c r="K34" s="106"/>
      <c r="L34" s="106"/>
      <c r="M34" s="106"/>
      <c r="N34" s="106"/>
      <c r="O34" s="106">
        <v>3640.4360000000001</v>
      </c>
      <c r="P34" s="105" t="s">
        <v>211</v>
      </c>
      <c r="Q34" s="105" t="s">
        <v>744</v>
      </c>
      <c r="S34" s="46" t="s">
        <v>755</v>
      </c>
      <c r="T34" s="101">
        <v>1088.1500000000001</v>
      </c>
      <c r="U34" s="101"/>
      <c r="V34" s="101"/>
      <c r="W34" s="101">
        <v>1205.546</v>
      </c>
      <c r="X34" s="101"/>
      <c r="Y34" s="101"/>
      <c r="Z34" s="101"/>
      <c r="AA34" s="101"/>
      <c r="AB34" s="101"/>
      <c r="AC34" s="101"/>
      <c r="AD34" s="101"/>
      <c r="AE34" s="101"/>
      <c r="AF34" s="101">
        <v>2293.6959999999999</v>
      </c>
      <c r="AG34" s="46"/>
      <c r="AH34" s="46"/>
    </row>
    <row r="35" spans="1:34">
      <c r="B35" s="105" t="s">
        <v>755</v>
      </c>
      <c r="C35" s="106">
        <v>1088.1500000000001</v>
      </c>
      <c r="D35" s="106"/>
      <c r="E35" s="106"/>
      <c r="F35" s="106">
        <v>1205.546</v>
      </c>
      <c r="G35" s="106"/>
      <c r="H35" s="106"/>
      <c r="I35" s="106"/>
      <c r="J35" s="106"/>
      <c r="K35" s="106"/>
      <c r="L35" s="106"/>
      <c r="M35" s="106"/>
      <c r="N35" s="106"/>
      <c r="O35" s="106">
        <v>2293.6959999999999</v>
      </c>
      <c r="P35" s="105" t="s">
        <v>211</v>
      </c>
      <c r="Q35" s="105" t="s">
        <v>744</v>
      </c>
      <c r="S35" s="46" t="s">
        <v>38</v>
      </c>
      <c r="T35" s="101"/>
      <c r="U35" s="101"/>
      <c r="V35" s="101"/>
      <c r="W35" s="101"/>
      <c r="X35" s="101">
        <v>2037.038</v>
      </c>
      <c r="Y35" s="101"/>
      <c r="Z35" s="101"/>
      <c r="AA35" s="101"/>
      <c r="AB35" s="101"/>
      <c r="AC35" s="101"/>
      <c r="AD35" s="101"/>
      <c r="AE35" s="101"/>
      <c r="AF35" s="101">
        <v>2037.038</v>
      </c>
      <c r="AG35" s="46"/>
      <c r="AH35" s="46"/>
    </row>
    <row r="36" spans="1:34">
      <c r="B36" s="105" t="s">
        <v>38</v>
      </c>
      <c r="C36" s="106"/>
      <c r="D36" s="106"/>
      <c r="E36" s="106"/>
      <c r="F36" s="106"/>
      <c r="G36" s="106">
        <v>2037.038</v>
      </c>
      <c r="H36" s="106"/>
      <c r="I36" s="106"/>
      <c r="J36" s="106"/>
      <c r="K36" s="106"/>
      <c r="L36" s="106"/>
      <c r="M36" s="106"/>
      <c r="N36" s="106"/>
      <c r="O36" s="106">
        <v>2037.038</v>
      </c>
      <c r="P36" s="105" t="s">
        <v>210</v>
      </c>
      <c r="Q36" s="105"/>
      <c r="S36" s="46" t="s">
        <v>24</v>
      </c>
      <c r="T36" s="101"/>
      <c r="U36" s="101"/>
      <c r="V36" s="101"/>
      <c r="W36" s="101"/>
      <c r="X36" s="101"/>
      <c r="Y36" s="101"/>
      <c r="Z36" s="101"/>
      <c r="AA36" s="101"/>
      <c r="AB36" s="101"/>
      <c r="AC36" s="101"/>
      <c r="AD36" s="101">
        <v>1053.5519999999999</v>
      </c>
      <c r="AE36" s="101"/>
      <c r="AF36" s="101">
        <v>1053.5519999999999</v>
      </c>
      <c r="AG36" s="46"/>
      <c r="AH36" s="46"/>
    </row>
    <row r="37" spans="1:34">
      <c r="B37" s="105" t="s">
        <v>24</v>
      </c>
      <c r="C37" s="106"/>
      <c r="D37" s="106"/>
      <c r="E37" s="106"/>
      <c r="F37" s="106"/>
      <c r="G37" s="106"/>
      <c r="H37" s="106"/>
      <c r="I37" s="106"/>
      <c r="J37" s="106"/>
      <c r="K37" s="106"/>
      <c r="L37" s="106"/>
      <c r="M37" s="106">
        <v>1053.5519999999999</v>
      </c>
      <c r="N37" s="106"/>
      <c r="O37" s="106">
        <v>1053.5519999999999</v>
      </c>
      <c r="P37" s="105" t="s">
        <v>211</v>
      </c>
      <c r="Q37" s="105" t="s">
        <v>744</v>
      </c>
      <c r="S37" s="46" t="s">
        <v>60</v>
      </c>
      <c r="T37" s="101"/>
      <c r="U37" s="101"/>
      <c r="V37" s="101"/>
      <c r="W37" s="101"/>
      <c r="X37" s="101"/>
      <c r="Y37" s="101"/>
      <c r="Z37" s="101"/>
      <c r="AA37" s="101">
        <v>16.308</v>
      </c>
      <c r="AB37" s="101"/>
      <c r="AC37" s="101"/>
      <c r="AD37" s="101"/>
      <c r="AE37" s="101"/>
      <c r="AF37" s="101">
        <v>16.308</v>
      </c>
      <c r="AG37" s="46"/>
      <c r="AH37" s="46"/>
    </row>
    <row r="38" spans="1:34">
      <c r="B38" s="105" t="s">
        <v>60</v>
      </c>
      <c r="C38" s="106"/>
      <c r="D38" s="106"/>
      <c r="E38" s="106"/>
      <c r="F38" s="106"/>
      <c r="G38" s="106"/>
      <c r="H38" s="106"/>
      <c r="I38" s="106"/>
      <c r="J38" s="106">
        <v>16.308</v>
      </c>
      <c r="K38" s="106"/>
      <c r="L38" s="106"/>
      <c r="M38" s="106"/>
      <c r="N38" s="106"/>
      <c r="O38" s="106">
        <v>16.308</v>
      </c>
      <c r="P38" s="105" t="s">
        <v>211</v>
      </c>
      <c r="Q38" s="105" t="s">
        <v>744</v>
      </c>
      <c r="S38" s="46" t="s">
        <v>763</v>
      </c>
      <c r="T38" s="101"/>
      <c r="U38" s="101"/>
      <c r="V38" s="101"/>
      <c r="W38" s="101"/>
      <c r="X38" s="101"/>
      <c r="Y38" s="101">
        <v>6.6920000000000002</v>
      </c>
      <c r="Z38" s="101"/>
      <c r="AA38" s="101"/>
      <c r="AB38" s="101"/>
      <c r="AC38" s="101"/>
      <c r="AD38" s="101"/>
      <c r="AE38" s="101"/>
      <c r="AF38" s="101">
        <v>6.6920000000000002</v>
      </c>
      <c r="AG38" s="46"/>
      <c r="AH38" s="46"/>
    </row>
    <row r="39" spans="1:34">
      <c r="B39" s="105" t="s">
        <v>763</v>
      </c>
      <c r="C39" s="106"/>
      <c r="D39" s="106"/>
      <c r="E39" s="106"/>
      <c r="F39" s="106"/>
      <c r="G39" s="106"/>
      <c r="H39" s="106">
        <v>6.6920000000000002</v>
      </c>
      <c r="I39" s="106"/>
      <c r="J39" s="106"/>
      <c r="K39" s="106"/>
      <c r="L39" s="106"/>
      <c r="M39" s="106"/>
      <c r="N39" s="106"/>
      <c r="O39" s="106">
        <v>6.6920000000000002</v>
      </c>
      <c r="P39" s="105" t="s">
        <v>211</v>
      </c>
      <c r="Q39" s="105" t="s">
        <v>744</v>
      </c>
      <c r="S39" s="46" t="s">
        <v>732</v>
      </c>
      <c r="T39" s="101">
        <v>297732.55999999994</v>
      </c>
      <c r="U39" s="101">
        <v>485953.625</v>
      </c>
      <c r="V39" s="101">
        <v>477917.80500000005</v>
      </c>
      <c r="W39" s="101">
        <v>552031.90599999996</v>
      </c>
      <c r="X39" s="101">
        <v>778251.76800000004</v>
      </c>
      <c r="Y39" s="101">
        <v>352729.29000000004</v>
      </c>
      <c r="Z39" s="101">
        <v>290008.11</v>
      </c>
      <c r="AA39" s="101">
        <v>767786.81599999999</v>
      </c>
      <c r="AB39" s="101">
        <v>678572.54</v>
      </c>
      <c r="AC39" s="101">
        <v>1165714.544</v>
      </c>
      <c r="AD39" s="101">
        <v>1142458.2560000001</v>
      </c>
      <c r="AE39" s="101">
        <v>471754.66200000001</v>
      </c>
      <c r="AF39" s="101">
        <v>7460911.8820000011</v>
      </c>
      <c r="AG39" s="46"/>
      <c r="AH39" s="46"/>
    </row>
    <row r="40" spans="1:34">
      <c r="B40" s="107" t="s">
        <v>732</v>
      </c>
      <c r="C40" s="110">
        <v>297732.55999999994</v>
      </c>
      <c r="D40" s="110">
        <v>485953.625</v>
      </c>
      <c r="E40" s="110">
        <v>477917.80500000005</v>
      </c>
      <c r="F40" s="110">
        <v>552031.90599999996</v>
      </c>
      <c r="G40" s="110">
        <v>778251.76800000004</v>
      </c>
      <c r="H40" s="110">
        <v>352729.29000000004</v>
      </c>
      <c r="I40" s="110">
        <v>290008.11</v>
      </c>
      <c r="J40" s="110">
        <v>767786.81599999999</v>
      </c>
      <c r="K40" s="110">
        <v>678572.54</v>
      </c>
      <c r="L40" s="110">
        <v>1165714.544</v>
      </c>
      <c r="M40" s="110">
        <v>1142458.2560000001</v>
      </c>
      <c r="N40" s="110">
        <v>471754.66200000001</v>
      </c>
      <c r="O40" s="110">
        <v>7460911.8820000011</v>
      </c>
      <c r="P40" s="105"/>
      <c r="Q40" s="105"/>
    </row>
    <row r="41" spans="1:34">
      <c r="B41" s="134"/>
      <c r="C41" s="133"/>
      <c r="D41" s="133"/>
      <c r="E41" s="133"/>
      <c r="F41" s="133"/>
      <c r="G41" s="133"/>
      <c r="H41" s="133"/>
      <c r="I41" s="133"/>
      <c r="J41" s="133"/>
      <c r="K41" s="133"/>
      <c r="L41" s="133"/>
      <c r="M41" s="133"/>
      <c r="N41" s="133"/>
      <c r="O41" s="118"/>
      <c r="P41" s="118"/>
      <c r="Q41" s="118"/>
      <c r="S41" s="100" t="s">
        <v>727</v>
      </c>
      <c r="T41" s="46" t="s">
        <v>510</v>
      </c>
    </row>
    <row r="42" spans="1:34">
      <c r="B42" s="134"/>
      <c r="C42" s="133"/>
      <c r="D42" s="133"/>
      <c r="E42" s="133"/>
      <c r="F42" s="133"/>
      <c r="G42" s="133"/>
      <c r="H42" s="133"/>
      <c r="I42" s="133"/>
      <c r="J42" s="133"/>
      <c r="K42" s="133"/>
      <c r="L42" s="133"/>
      <c r="M42" s="133"/>
      <c r="N42" s="133"/>
      <c r="O42" s="118"/>
      <c r="P42" s="118"/>
      <c r="Q42" s="118"/>
      <c r="S42" s="100" t="s">
        <v>628</v>
      </c>
      <c r="T42" s="46" t="s">
        <v>669</v>
      </c>
    </row>
    <row r="43" spans="1:34">
      <c r="A43" s="99" t="s">
        <v>741</v>
      </c>
      <c r="B43" s="99" t="s">
        <v>46</v>
      </c>
      <c r="C43" s="133"/>
      <c r="D43" s="133"/>
      <c r="E43" s="133"/>
      <c r="F43" s="133"/>
      <c r="G43" s="133"/>
      <c r="H43" s="133"/>
      <c r="I43" s="133"/>
      <c r="J43" s="133"/>
      <c r="K43" s="133"/>
      <c r="L43" s="133"/>
      <c r="M43" s="133"/>
      <c r="N43" s="133"/>
      <c r="O43" s="118"/>
      <c r="P43" s="118"/>
      <c r="Q43" s="118"/>
      <c r="S43" s="100" t="s">
        <v>626</v>
      </c>
      <c r="T43" s="46" t="s">
        <v>57</v>
      </c>
    </row>
    <row r="44" spans="1:34">
      <c r="A44" s="46"/>
      <c r="B44" s="29" t="s">
        <v>47</v>
      </c>
      <c r="C44" s="133"/>
      <c r="D44" s="133"/>
      <c r="E44" s="133"/>
      <c r="F44" s="133"/>
      <c r="G44" s="133"/>
      <c r="H44" s="133"/>
      <c r="I44" s="133"/>
      <c r="J44" s="133"/>
      <c r="K44" s="133"/>
      <c r="L44" s="133"/>
      <c r="M44" s="133"/>
      <c r="N44" s="133"/>
      <c r="O44" s="118"/>
      <c r="P44" s="118"/>
      <c r="Q44" s="118"/>
    </row>
    <row r="45" spans="1:34">
      <c r="B45" s="134"/>
      <c r="C45" s="133"/>
      <c r="D45" s="133"/>
      <c r="E45" s="133"/>
      <c r="F45" s="133"/>
      <c r="G45" s="133"/>
      <c r="H45" s="133"/>
      <c r="I45" s="133"/>
      <c r="J45" s="133"/>
      <c r="K45" s="133"/>
      <c r="L45" s="133"/>
      <c r="M45" s="133"/>
      <c r="N45" s="133"/>
      <c r="O45" s="118"/>
      <c r="P45" s="118"/>
      <c r="Q45" s="118"/>
      <c r="S45" s="100" t="s">
        <v>734</v>
      </c>
      <c r="T45" s="100" t="s">
        <v>621</v>
      </c>
      <c r="U45" s="100" t="s">
        <v>622</v>
      </c>
      <c r="V45" s="46"/>
      <c r="W45" s="46"/>
      <c r="X45" s="46"/>
      <c r="Y45" s="46"/>
      <c r="Z45" s="46"/>
      <c r="AA45" s="46"/>
      <c r="AB45" s="46"/>
      <c r="AC45" s="46"/>
      <c r="AD45" s="46"/>
      <c r="AE45" s="46"/>
      <c r="AF45" s="46"/>
    </row>
    <row r="46" spans="1:34">
      <c r="B46" s="105"/>
      <c r="C46" s="321">
        <v>2023</v>
      </c>
      <c r="D46" s="322"/>
      <c r="E46" s="322"/>
      <c r="F46" s="322"/>
      <c r="G46" s="322"/>
      <c r="H46" s="323"/>
      <c r="I46" s="321">
        <v>2024</v>
      </c>
      <c r="J46" s="322"/>
      <c r="K46" s="322"/>
      <c r="L46" s="322"/>
      <c r="M46" s="322"/>
      <c r="N46" s="323"/>
      <c r="O46" s="112" t="s">
        <v>732</v>
      </c>
      <c r="P46" s="320" t="s">
        <v>209</v>
      </c>
      <c r="Q46" s="320" t="s">
        <v>155</v>
      </c>
      <c r="S46" s="46"/>
      <c r="T46" s="46">
        <v>2023</v>
      </c>
      <c r="U46" s="46"/>
      <c r="V46" s="46"/>
      <c r="W46" s="46"/>
      <c r="X46" s="46"/>
      <c r="Y46" s="46"/>
      <c r="Z46" s="46">
        <v>2024</v>
      </c>
      <c r="AA46" s="46"/>
      <c r="AB46" s="46"/>
      <c r="AC46" s="46"/>
      <c r="AD46" s="46"/>
      <c r="AE46" s="46"/>
      <c r="AF46" s="46" t="s">
        <v>732</v>
      </c>
    </row>
    <row r="47" spans="1:34">
      <c r="B47" s="107" t="s">
        <v>631</v>
      </c>
      <c r="C47" s="113">
        <v>7</v>
      </c>
      <c r="D47" s="113">
        <v>8</v>
      </c>
      <c r="E47" s="113">
        <v>9</v>
      </c>
      <c r="F47" s="113">
        <v>10</v>
      </c>
      <c r="G47" s="113">
        <v>11</v>
      </c>
      <c r="H47" s="113">
        <v>12</v>
      </c>
      <c r="I47" s="113">
        <v>1</v>
      </c>
      <c r="J47" s="113">
        <v>2</v>
      </c>
      <c r="K47" s="113">
        <v>3</v>
      </c>
      <c r="L47" s="113">
        <v>4</v>
      </c>
      <c r="M47" s="113">
        <v>5</v>
      </c>
      <c r="N47" s="113">
        <v>6</v>
      </c>
      <c r="O47" s="113"/>
      <c r="P47" s="320"/>
      <c r="Q47" s="320"/>
      <c r="S47" s="100" t="s">
        <v>631</v>
      </c>
      <c r="T47" s="46">
        <v>7</v>
      </c>
      <c r="U47" s="46">
        <v>8</v>
      </c>
      <c r="V47" s="46">
        <v>9</v>
      </c>
      <c r="W47" s="46">
        <v>10</v>
      </c>
      <c r="X47" s="46">
        <v>11</v>
      </c>
      <c r="Y47" s="46">
        <v>12</v>
      </c>
      <c r="Z47" s="46">
        <v>1</v>
      </c>
      <c r="AA47" s="46">
        <v>2</v>
      </c>
      <c r="AB47" s="46">
        <v>3</v>
      </c>
      <c r="AC47" s="46">
        <v>4</v>
      </c>
      <c r="AD47" s="46">
        <v>5</v>
      </c>
      <c r="AE47" s="46">
        <v>6</v>
      </c>
      <c r="AF47" s="46"/>
    </row>
    <row r="48" spans="1:34">
      <c r="B48" s="105" t="s">
        <v>24</v>
      </c>
      <c r="C48" s="106"/>
      <c r="D48" s="106"/>
      <c r="E48" s="106"/>
      <c r="F48" s="106"/>
      <c r="G48" s="106"/>
      <c r="H48" s="106"/>
      <c r="I48" s="106"/>
      <c r="J48" s="106"/>
      <c r="K48" s="106"/>
      <c r="L48" s="106"/>
      <c r="M48" s="106">
        <v>5085.348</v>
      </c>
      <c r="N48" s="106"/>
      <c r="O48" s="106">
        <v>5085.348</v>
      </c>
      <c r="P48" s="105" t="str">
        <f>VLOOKUP(B48,$B$15:$P$40,15,0)</f>
        <v>Include</v>
      </c>
      <c r="Q48" s="105" t="s">
        <v>743</v>
      </c>
      <c r="S48" s="46" t="s">
        <v>24</v>
      </c>
      <c r="T48" s="101"/>
      <c r="U48" s="101"/>
      <c r="V48" s="101"/>
      <c r="W48" s="101"/>
      <c r="X48" s="101"/>
      <c r="Y48" s="101"/>
      <c r="Z48" s="101"/>
      <c r="AA48" s="101"/>
      <c r="AB48" s="101"/>
      <c r="AC48" s="101"/>
      <c r="AD48" s="101">
        <v>5085.348</v>
      </c>
      <c r="AE48" s="101"/>
      <c r="AF48" s="101">
        <v>5085.348</v>
      </c>
    </row>
    <row r="49" spans="2:32">
      <c r="B49" s="105" t="s">
        <v>43</v>
      </c>
      <c r="C49" s="106"/>
      <c r="D49" s="106"/>
      <c r="E49" s="106"/>
      <c r="F49" s="106">
        <v>11768.343999999999</v>
      </c>
      <c r="G49" s="106">
        <v>1318.9639999999999</v>
      </c>
      <c r="H49" s="106"/>
      <c r="I49" s="106"/>
      <c r="J49" s="106"/>
      <c r="K49" s="106">
        <v>17028.966</v>
      </c>
      <c r="L49" s="106">
        <v>25261.536</v>
      </c>
      <c r="M49" s="106"/>
      <c r="N49" s="106"/>
      <c r="O49" s="106">
        <v>55377.81</v>
      </c>
      <c r="P49" s="105" t="str">
        <f t="shared" ref="P49:P72" si="0">VLOOKUP(B49,$B$15:$P$40,15,0)</f>
        <v>Include</v>
      </c>
      <c r="Q49" s="105" t="s">
        <v>743</v>
      </c>
      <c r="S49" s="46" t="s">
        <v>43</v>
      </c>
      <c r="T49" s="101"/>
      <c r="U49" s="101"/>
      <c r="V49" s="101"/>
      <c r="W49" s="101">
        <v>11768.343999999999</v>
      </c>
      <c r="X49" s="101">
        <v>1318.9639999999999</v>
      </c>
      <c r="Y49" s="101"/>
      <c r="Z49" s="101"/>
      <c r="AA49" s="101"/>
      <c r="AB49" s="101">
        <v>17028.966</v>
      </c>
      <c r="AC49" s="101">
        <v>25261.536</v>
      </c>
      <c r="AD49" s="101"/>
      <c r="AE49" s="101"/>
      <c r="AF49" s="101">
        <v>55377.81</v>
      </c>
    </row>
    <row r="50" spans="2:32">
      <c r="B50" s="105" t="s">
        <v>74</v>
      </c>
      <c r="C50" s="106"/>
      <c r="D50" s="106">
        <v>9297.9009999999998</v>
      </c>
      <c r="E50" s="106">
        <v>83191.75</v>
      </c>
      <c r="F50" s="106"/>
      <c r="G50" s="106">
        <v>108048.46</v>
      </c>
      <c r="H50" s="106"/>
      <c r="I50" s="106"/>
      <c r="J50" s="106"/>
      <c r="K50" s="106">
        <v>480058.56599999999</v>
      </c>
      <c r="L50" s="106">
        <v>554709.09400000004</v>
      </c>
      <c r="M50" s="106"/>
      <c r="N50" s="106"/>
      <c r="O50" s="106">
        <v>1235305.7710000002</v>
      </c>
      <c r="P50" s="105" t="str">
        <f t="shared" si="0"/>
        <v>Include</v>
      </c>
      <c r="Q50" s="105" t="s">
        <v>743</v>
      </c>
      <c r="S50" s="46" t="s">
        <v>74</v>
      </c>
      <c r="T50" s="101"/>
      <c r="U50" s="101">
        <v>9297.9009999999998</v>
      </c>
      <c r="V50" s="101">
        <v>83191.75</v>
      </c>
      <c r="W50" s="101"/>
      <c r="X50" s="101">
        <v>108048.46</v>
      </c>
      <c r="Y50" s="101"/>
      <c r="Z50" s="101"/>
      <c r="AA50" s="101"/>
      <c r="AB50" s="101">
        <v>480058.56599999999</v>
      </c>
      <c r="AC50" s="101">
        <v>554709.09400000004</v>
      </c>
      <c r="AD50" s="101"/>
      <c r="AE50" s="101"/>
      <c r="AF50" s="101">
        <v>1235305.7710000002</v>
      </c>
    </row>
    <row r="51" spans="2:32">
      <c r="B51" s="105" t="s">
        <v>29</v>
      </c>
      <c r="C51" s="106">
        <v>291881.00799999997</v>
      </c>
      <c r="D51" s="106">
        <v>605637.20799999998</v>
      </c>
      <c r="E51" s="106">
        <v>322170.33799999999</v>
      </c>
      <c r="F51" s="106">
        <v>278389.18800000002</v>
      </c>
      <c r="G51" s="106">
        <v>851113.70799999998</v>
      </c>
      <c r="H51" s="106">
        <v>223197.14600000001</v>
      </c>
      <c r="I51" s="106">
        <v>231484.182</v>
      </c>
      <c r="J51" s="106">
        <v>230389.424</v>
      </c>
      <c r="K51" s="106">
        <v>197940.02799999999</v>
      </c>
      <c r="L51" s="106">
        <v>2022999.402</v>
      </c>
      <c r="M51" s="106">
        <v>761399.71400000004</v>
      </c>
      <c r="N51" s="106">
        <v>238399.09400000001</v>
      </c>
      <c r="O51" s="106">
        <v>6255000.4399999995</v>
      </c>
      <c r="P51" s="105" t="str">
        <f t="shared" si="0"/>
        <v>Exclude</v>
      </c>
      <c r="Q51" s="105" t="s">
        <v>743</v>
      </c>
      <c r="S51" s="46" t="s">
        <v>29</v>
      </c>
      <c r="T51" s="101">
        <v>291881.00799999997</v>
      </c>
      <c r="U51" s="101">
        <v>605637.20799999998</v>
      </c>
      <c r="V51" s="101">
        <v>322170.33799999999</v>
      </c>
      <c r="W51" s="101">
        <v>278389.18800000002</v>
      </c>
      <c r="X51" s="101">
        <v>851113.70799999998</v>
      </c>
      <c r="Y51" s="101">
        <v>223197.14600000001</v>
      </c>
      <c r="Z51" s="101">
        <v>231484.182</v>
      </c>
      <c r="AA51" s="101">
        <v>230389.424</v>
      </c>
      <c r="AB51" s="101">
        <v>197940.02799999999</v>
      </c>
      <c r="AC51" s="101">
        <v>2022999.402</v>
      </c>
      <c r="AD51" s="101">
        <v>761399.71400000004</v>
      </c>
      <c r="AE51" s="101">
        <v>238399.09400000001</v>
      </c>
      <c r="AF51" s="101">
        <v>6255000.4399999995</v>
      </c>
    </row>
    <row r="52" spans="2:32">
      <c r="B52" s="105" t="s">
        <v>753</v>
      </c>
      <c r="C52" s="106"/>
      <c r="D52" s="106"/>
      <c r="E52" s="106">
        <v>94168.312999999995</v>
      </c>
      <c r="F52" s="106"/>
      <c r="G52" s="106"/>
      <c r="H52" s="106"/>
      <c r="I52" s="106">
        <v>166399.96799999999</v>
      </c>
      <c r="J52" s="106"/>
      <c r="K52" s="106"/>
      <c r="L52" s="106"/>
      <c r="M52" s="106">
        <v>159599.62599999999</v>
      </c>
      <c r="N52" s="106"/>
      <c r="O52" s="106">
        <v>420167.90700000001</v>
      </c>
      <c r="P52" s="105" t="str">
        <f t="shared" si="0"/>
        <v>Include</v>
      </c>
      <c r="Q52" s="105" t="s">
        <v>743</v>
      </c>
      <c r="S52" s="46" t="s">
        <v>753</v>
      </c>
      <c r="T52" s="101"/>
      <c r="U52" s="101"/>
      <c r="V52" s="101">
        <v>94168.312999999995</v>
      </c>
      <c r="W52" s="101"/>
      <c r="X52" s="101"/>
      <c r="Y52" s="101"/>
      <c r="Z52" s="101">
        <v>166399.96799999999</v>
      </c>
      <c r="AA52" s="101"/>
      <c r="AB52" s="101"/>
      <c r="AC52" s="101"/>
      <c r="AD52" s="101">
        <v>159599.62599999999</v>
      </c>
      <c r="AE52" s="101"/>
      <c r="AF52" s="101">
        <v>420167.90700000001</v>
      </c>
    </row>
    <row r="53" spans="2:32">
      <c r="B53" s="105" t="s">
        <v>69</v>
      </c>
      <c r="C53" s="106"/>
      <c r="D53" s="106"/>
      <c r="E53" s="106"/>
      <c r="F53" s="106"/>
      <c r="G53" s="106"/>
      <c r="H53" s="106"/>
      <c r="I53" s="106"/>
      <c r="J53" s="106">
        <v>17571.856</v>
      </c>
      <c r="K53" s="106"/>
      <c r="L53" s="106"/>
      <c r="M53" s="106"/>
      <c r="N53" s="106"/>
      <c r="O53" s="106">
        <v>17571.856</v>
      </c>
      <c r="P53" s="105" t="str">
        <f t="shared" si="0"/>
        <v>Include</v>
      </c>
      <c r="Q53" s="105" t="s">
        <v>743</v>
      </c>
      <c r="S53" s="46" t="s">
        <v>69</v>
      </c>
      <c r="T53" s="101"/>
      <c r="U53" s="101"/>
      <c r="V53" s="101"/>
      <c r="W53" s="101"/>
      <c r="X53" s="101"/>
      <c r="Y53" s="101"/>
      <c r="Z53" s="101"/>
      <c r="AA53" s="101">
        <v>17571.856</v>
      </c>
      <c r="AB53" s="101"/>
      <c r="AC53" s="101"/>
      <c r="AD53" s="101"/>
      <c r="AE53" s="101"/>
      <c r="AF53" s="101">
        <v>17571.856</v>
      </c>
    </row>
    <row r="54" spans="2:32">
      <c r="B54" s="105" t="s">
        <v>30</v>
      </c>
      <c r="C54" s="106">
        <v>63714.881999999998</v>
      </c>
      <c r="D54" s="106">
        <v>10308.993</v>
      </c>
      <c r="E54" s="106">
        <v>156902.29399999999</v>
      </c>
      <c r="F54" s="106">
        <v>17894.162</v>
      </c>
      <c r="G54" s="106">
        <v>298094.48</v>
      </c>
      <c r="H54" s="106">
        <v>130338.13400000001</v>
      </c>
      <c r="I54" s="106">
        <v>221369.96799999999</v>
      </c>
      <c r="J54" s="106">
        <v>383642.54200000002</v>
      </c>
      <c r="K54" s="106">
        <v>140025.17000000001</v>
      </c>
      <c r="L54" s="106">
        <v>46100.938000000002</v>
      </c>
      <c r="M54" s="106">
        <v>500181.68199999997</v>
      </c>
      <c r="N54" s="106">
        <v>137720.20000000001</v>
      </c>
      <c r="O54" s="106">
        <v>2106293.4450000003</v>
      </c>
      <c r="P54" s="105" t="str">
        <f t="shared" si="0"/>
        <v>Include</v>
      </c>
      <c r="Q54" s="105" t="s">
        <v>743</v>
      </c>
      <c r="S54" s="46" t="s">
        <v>30</v>
      </c>
      <c r="T54" s="101">
        <v>63714.881999999998</v>
      </c>
      <c r="U54" s="101">
        <v>10308.993</v>
      </c>
      <c r="V54" s="101">
        <v>156902.29399999999</v>
      </c>
      <c r="W54" s="101">
        <v>17894.162</v>
      </c>
      <c r="X54" s="101">
        <v>298094.48</v>
      </c>
      <c r="Y54" s="101">
        <v>130338.13400000001</v>
      </c>
      <c r="Z54" s="101">
        <v>221369.96799999999</v>
      </c>
      <c r="AA54" s="101">
        <v>383642.54200000002</v>
      </c>
      <c r="AB54" s="101">
        <v>140025.17000000001</v>
      </c>
      <c r="AC54" s="101">
        <v>46100.938000000002</v>
      </c>
      <c r="AD54" s="101">
        <v>500181.68199999997</v>
      </c>
      <c r="AE54" s="101">
        <v>137720.20000000001</v>
      </c>
      <c r="AF54" s="101">
        <v>2106293.4450000003</v>
      </c>
    </row>
    <row r="55" spans="2:32">
      <c r="B55" s="105" t="s">
        <v>65</v>
      </c>
      <c r="C55" s="106"/>
      <c r="D55" s="106"/>
      <c r="E55" s="106"/>
      <c r="F55" s="106"/>
      <c r="G55" s="106"/>
      <c r="H55" s="106"/>
      <c r="I55" s="106"/>
      <c r="J55" s="106"/>
      <c r="K55" s="106">
        <v>47769.3</v>
      </c>
      <c r="L55" s="106">
        <v>31610.36</v>
      </c>
      <c r="M55" s="106"/>
      <c r="N55" s="106"/>
      <c r="O55" s="106">
        <v>79379.66</v>
      </c>
      <c r="P55" s="105" t="str">
        <f t="shared" si="0"/>
        <v>Include</v>
      </c>
      <c r="Q55" s="105" t="s">
        <v>743</v>
      </c>
      <c r="S55" s="46" t="s">
        <v>65</v>
      </c>
      <c r="T55" s="101"/>
      <c r="U55" s="101"/>
      <c r="V55" s="101"/>
      <c r="W55" s="101"/>
      <c r="X55" s="101"/>
      <c r="Y55" s="101"/>
      <c r="Z55" s="101"/>
      <c r="AA55" s="101"/>
      <c r="AB55" s="101">
        <v>47769.3</v>
      </c>
      <c r="AC55" s="101">
        <v>31610.36</v>
      </c>
      <c r="AD55" s="101"/>
      <c r="AE55" s="101"/>
      <c r="AF55" s="101">
        <v>79379.66</v>
      </c>
    </row>
    <row r="56" spans="2:32">
      <c r="B56" s="105" t="s">
        <v>0</v>
      </c>
      <c r="C56" s="106">
        <v>2780.1370000000002</v>
      </c>
      <c r="D56" s="106">
        <v>54163.207999999999</v>
      </c>
      <c r="E56" s="106">
        <v>6.46</v>
      </c>
      <c r="F56" s="106">
        <v>66088.906000000003</v>
      </c>
      <c r="G56" s="106">
        <v>72679.131999999998</v>
      </c>
      <c r="H56" s="106"/>
      <c r="I56" s="106">
        <v>18940.376</v>
      </c>
      <c r="J56" s="106">
        <v>20941.14</v>
      </c>
      <c r="K56" s="106">
        <v>56037.921999999999</v>
      </c>
      <c r="L56" s="106">
        <v>21013.14</v>
      </c>
      <c r="M56" s="106">
        <v>359930.76199999999</v>
      </c>
      <c r="N56" s="106">
        <v>79456.381999999998</v>
      </c>
      <c r="O56" s="106">
        <v>752037.56499999994</v>
      </c>
      <c r="P56" s="105" t="str">
        <f t="shared" si="0"/>
        <v>Include</v>
      </c>
      <c r="Q56" s="105" t="s">
        <v>743</v>
      </c>
      <c r="S56" s="46" t="s">
        <v>0</v>
      </c>
      <c r="T56" s="101">
        <v>2780.1370000000002</v>
      </c>
      <c r="U56" s="101">
        <v>54163.207999999999</v>
      </c>
      <c r="V56" s="101">
        <v>6.46</v>
      </c>
      <c r="W56" s="101">
        <v>66088.906000000003</v>
      </c>
      <c r="X56" s="101">
        <v>72679.131999999998</v>
      </c>
      <c r="Y56" s="101"/>
      <c r="Z56" s="101">
        <v>18940.376</v>
      </c>
      <c r="AA56" s="101">
        <v>20941.14</v>
      </c>
      <c r="AB56" s="101">
        <v>56037.921999999999</v>
      </c>
      <c r="AC56" s="101">
        <v>21013.14</v>
      </c>
      <c r="AD56" s="101">
        <v>359930.76199999999</v>
      </c>
      <c r="AE56" s="101">
        <v>79456.381999999998</v>
      </c>
      <c r="AF56" s="101">
        <v>752037.56499999994</v>
      </c>
    </row>
    <row r="57" spans="2:32">
      <c r="B57" s="105" t="s">
        <v>71</v>
      </c>
      <c r="C57" s="106">
        <v>7633.5569999999998</v>
      </c>
      <c r="D57" s="106">
        <v>8015.7619999999997</v>
      </c>
      <c r="E57" s="106">
        <v>4797.4369999999999</v>
      </c>
      <c r="F57" s="106">
        <v>3778.7959999999998</v>
      </c>
      <c r="G57" s="106">
        <v>11615.546</v>
      </c>
      <c r="H57" s="106">
        <v>24163.414000000001</v>
      </c>
      <c r="I57" s="106">
        <v>9470.8179999999993</v>
      </c>
      <c r="J57" s="106">
        <v>41240.906000000003</v>
      </c>
      <c r="K57" s="106">
        <v>67345.271999999997</v>
      </c>
      <c r="L57" s="106">
        <v>82906.004000000001</v>
      </c>
      <c r="M57" s="106">
        <v>12539.352000000001</v>
      </c>
      <c r="N57" s="106">
        <v>79558.524000000005</v>
      </c>
      <c r="O57" s="106">
        <v>353065.38800000004</v>
      </c>
      <c r="P57" s="105" t="str">
        <f t="shared" si="0"/>
        <v>Include</v>
      </c>
      <c r="Q57" s="105" t="s">
        <v>743</v>
      </c>
      <c r="S57" s="46" t="s">
        <v>71</v>
      </c>
      <c r="T57" s="101">
        <v>7633.5569999999998</v>
      </c>
      <c r="U57" s="101">
        <v>8015.7619999999997</v>
      </c>
      <c r="V57" s="101">
        <v>4797.4369999999999</v>
      </c>
      <c r="W57" s="101">
        <v>3778.7959999999998</v>
      </c>
      <c r="X57" s="101">
        <v>11615.546</v>
      </c>
      <c r="Y57" s="101">
        <v>24163.414000000001</v>
      </c>
      <c r="Z57" s="101">
        <v>9470.8179999999993</v>
      </c>
      <c r="AA57" s="101">
        <v>41240.906000000003</v>
      </c>
      <c r="AB57" s="101">
        <v>67345.271999999997</v>
      </c>
      <c r="AC57" s="101">
        <v>82906.004000000001</v>
      </c>
      <c r="AD57" s="101">
        <v>12539.352000000001</v>
      </c>
      <c r="AE57" s="101">
        <v>79558.524000000005</v>
      </c>
      <c r="AF57" s="101">
        <v>353065.38800000004</v>
      </c>
    </row>
    <row r="58" spans="2:32">
      <c r="B58" s="105" t="s">
        <v>32</v>
      </c>
      <c r="C58" s="106"/>
      <c r="D58" s="106"/>
      <c r="E58" s="106">
        <v>163682.234</v>
      </c>
      <c r="F58" s="106"/>
      <c r="G58" s="106">
        <v>375583.484</v>
      </c>
      <c r="H58" s="106">
        <v>34334.561999999998</v>
      </c>
      <c r="I58" s="106"/>
      <c r="J58" s="106">
        <v>421028.68800000002</v>
      </c>
      <c r="K58" s="106"/>
      <c r="L58" s="106"/>
      <c r="M58" s="106">
        <v>383899.31199999998</v>
      </c>
      <c r="N58" s="106"/>
      <c r="O58" s="106">
        <v>1378528.28</v>
      </c>
      <c r="P58" s="105" t="str">
        <f t="shared" si="0"/>
        <v>Include</v>
      </c>
      <c r="Q58" s="105" t="s">
        <v>743</v>
      </c>
      <c r="S58" s="46" t="s">
        <v>32</v>
      </c>
      <c r="T58" s="101"/>
      <c r="U58" s="101"/>
      <c r="V58" s="101">
        <v>163682.234</v>
      </c>
      <c r="W58" s="101"/>
      <c r="X58" s="101">
        <v>375583.484</v>
      </c>
      <c r="Y58" s="101">
        <v>34334.561999999998</v>
      </c>
      <c r="Z58" s="101"/>
      <c r="AA58" s="101">
        <v>421028.68800000002</v>
      </c>
      <c r="AB58" s="101"/>
      <c r="AC58" s="101"/>
      <c r="AD58" s="101">
        <v>383899.31199999998</v>
      </c>
      <c r="AE58" s="101"/>
      <c r="AF58" s="101">
        <v>1378528.28</v>
      </c>
    </row>
    <row r="59" spans="2:32">
      <c r="B59" s="105" t="s">
        <v>89</v>
      </c>
      <c r="C59" s="106"/>
      <c r="D59" s="106"/>
      <c r="E59" s="106">
        <v>93854.672000000006</v>
      </c>
      <c r="F59" s="106">
        <v>152018.68400000001</v>
      </c>
      <c r="G59" s="106"/>
      <c r="H59" s="106"/>
      <c r="I59" s="106"/>
      <c r="J59" s="106"/>
      <c r="K59" s="106"/>
      <c r="L59" s="106"/>
      <c r="M59" s="106">
        <v>60580.02</v>
      </c>
      <c r="N59" s="106">
        <v>69596.195999999996</v>
      </c>
      <c r="O59" s="106">
        <v>376049.57200000004</v>
      </c>
      <c r="P59" s="105" t="str">
        <f t="shared" si="0"/>
        <v>Include</v>
      </c>
      <c r="Q59" s="105" t="s">
        <v>743</v>
      </c>
      <c r="S59" s="46" t="s">
        <v>89</v>
      </c>
      <c r="T59" s="101"/>
      <c r="U59" s="101"/>
      <c r="V59" s="101">
        <v>93854.672000000006</v>
      </c>
      <c r="W59" s="101">
        <v>152018.68400000001</v>
      </c>
      <c r="X59" s="101"/>
      <c r="Y59" s="101"/>
      <c r="Z59" s="101"/>
      <c r="AA59" s="101"/>
      <c r="AB59" s="101"/>
      <c r="AC59" s="101"/>
      <c r="AD59" s="101">
        <v>60580.02</v>
      </c>
      <c r="AE59" s="101">
        <v>69596.195999999996</v>
      </c>
      <c r="AF59" s="101">
        <v>376049.57200000004</v>
      </c>
    </row>
    <row r="60" spans="2:32">
      <c r="B60" s="105" t="s">
        <v>60</v>
      </c>
      <c r="C60" s="106"/>
      <c r="D60" s="106"/>
      <c r="E60" s="106"/>
      <c r="F60" s="106"/>
      <c r="G60" s="106"/>
      <c r="H60" s="106"/>
      <c r="I60" s="106"/>
      <c r="J60" s="106">
        <v>78.718000000000004</v>
      </c>
      <c r="K60" s="106"/>
      <c r="L60" s="106"/>
      <c r="M60" s="106"/>
      <c r="N60" s="106"/>
      <c r="O60" s="106">
        <v>78.718000000000004</v>
      </c>
      <c r="P60" s="105" t="str">
        <f t="shared" si="0"/>
        <v>Include</v>
      </c>
      <c r="Q60" s="105" t="s">
        <v>743</v>
      </c>
      <c r="S60" s="46" t="s">
        <v>60</v>
      </c>
      <c r="T60" s="101"/>
      <c r="U60" s="101"/>
      <c r="V60" s="101"/>
      <c r="W60" s="101"/>
      <c r="X60" s="101"/>
      <c r="Y60" s="101"/>
      <c r="Z60" s="101"/>
      <c r="AA60" s="101">
        <v>78.718000000000004</v>
      </c>
      <c r="AB60" s="101"/>
      <c r="AC60" s="101"/>
      <c r="AD60" s="101"/>
      <c r="AE60" s="101"/>
      <c r="AF60" s="101">
        <v>78.718000000000004</v>
      </c>
    </row>
    <row r="61" spans="2:32">
      <c r="B61" s="105" t="s">
        <v>763</v>
      </c>
      <c r="C61" s="106"/>
      <c r="D61" s="106"/>
      <c r="E61" s="106"/>
      <c r="F61" s="106"/>
      <c r="G61" s="106"/>
      <c r="H61" s="106">
        <v>32.302</v>
      </c>
      <c r="I61" s="106"/>
      <c r="J61" s="106"/>
      <c r="K61" s="106"/>
      <c r="L61" s="106"/>
      <c r="M61" s="106"/>
      <c r="N61" s="106"/>
      <c r="O61" s="106">
        <v>32.302</v>
      </c>
      <c r="P61" s="105" t="str">
        <f t="shared" si="0"/>
        <v>Include</v>
      </c>
      <c r="Q61" s="105" t="s">
        <v>743</v>
      </c>
      <c r="S61" s="46" t="s">
        <v>763</v>
      </c>
      <c r="T61" s="101"/>
      <c r="U61" s="101"/>
      <c r="V61" s="101"/>
      <c r="W61" s="101"/>
      <c r="X61" s="101"/>
      <c r="Y61" s="101">
        <v>32.302</v>
      </c>
      <c r="Z61" s="101"/>
      <c r="AA61" s="101"/>
      <c r="AB61" s="101"/>
      <c r="AC61" s="101"/>
      <c r="AD61" s="101"/>
      <c r="AE61" s="101"/>
      <c r="AF61" s="101">
        <v>32.302</v>
      </c>
    </row>
    <row r="62" spans="2:32">
      <c r="B62" s="105" t="s">
        <v>755</v>
      </c>
      <c r="C62" s="106">
        <v>5252.3419999999996</v>
      </c>
      <c r="D62" s="106"/>
      <c r="E62" s="106"/>
      <c r="F62" s="106">
        <v>5818.9939999999997</v>
      </c>
      <c r="G62" s="106"/>
      <c r="H62" s="106"/>
      <c r="I62" s="106"/>
      <c r="J62" s="106"/>
      <c r="K62" s="106"/>
      <c r="L62" s="106"/>
      <c r="M62" s="106"/>
      <c r="N62" s="106"/>
      <c r="O62" s="106">
        <v>11071.335999999999</v>
      </c>
      <c r="P62" s="105" t="str">
        <f t="shared" si="0"/>
        <v>Include</v>
      </c>
      <c r="Q62" s="105" t="s">
        <v>743</v>
      </c>
      <c r="S62" s="46" t="s">
        <v>755</v>
      </c>
      <c r="T62" s="101">
        <v>5252.3419999999996</v>
      </c>
      <c r="U62" s="101"/>
      <c r="V62" s="101"/>
      <c r="W62" s="101">
        <v>5818.9939999999997</v>
      </c>
      <c r="X62" s="101"/>
      <c r="Y62" s="101"/>
      <c r="Z62" s="101"/>
      <c r="AA62" s="101"/>
      <c r="AB62" s="101"/>
      <c r="AC62" s="101"/>
      <c r="AD62" s="101"/>
      <c r="AE62" s="101"/>
      <c r="AF62" s="101">
        <v>11071.335999999999</v>
      </c>
    </row>
    <row r="63" spans="2:32">
      <c r="B63" s="105" t="s">
        <v>38</v>
      </c>
      <c r="C63" s="106"/>
      <c r="D63" s="106"/>
      <c r="E63" s="106"/>
      <c r="F63" s="106"/>
      <c r="G63" s="106">
        <v>9832.4860000000008</v>
      </c>
      <c r="H63" s="106"/>
      <c r="I63" s="106"/>
      <c r="J63" s="106"/>
      <c r="K63" s="106"/>
      <c r="L63" s="106"/>
      <c r="M63" s="106"/>
      <c r="N63" s="106"/>
      <c r="O63" s="106">
        <v>9832.4860000000008</v>
      </c>
      <c r="P63" s="105" t="str">
        <f t="shared" si="0"/>
        <v>Exclude</v>
      </c>
      <c r="Q63" s="105" t="s">
        <v>743</v>
      </c>
      <c r="S63" s="46" t="s">
        <v>38</v>
      </c>
      <c r="T63" s="101"/>
      <c r="U63" s="101"/>
      <c r="V63" s="101"/>
      <c r="W63" s="101"/>
      <c r="X63" s="101">
        <v>9832.4860000000008</v>
      </c>
      <c r="Y63" s="101"/>
      <c r="Z63" s="101"/>
      <c r="AA63" s="101"/>
      <c r="AB63" s="101"/>
      <c r="AC63" s="101"/>
      <c r="AD63" s="101"/>
      <c r="AE63" s="101"/>
      <c r="AF63" s="101">
        <v>9832.4860000000008</v>
      </c>
    </row>
    <row r="64" spans="2:32">
      <c r="B64" s="105" t="s">
        <v>39</v>
      </c>
      <c r="C64" s="106"/>
      <c r="D64" s="106">
        <v>76549.937999999995</v>
      </c>
      <c r="E64" s="106">
        <v>4421.8130000000001</v>
      </c>
      <c r="F64" s="106"/>
      <c r="G64" s="106"/>
      <c r="H64" s="106"/>
      <c r="I64" s="106"/>
      <c r="J64" s="106">
        <v>175345.86</v>
      </c>
      <c r="K64" s="106"/>
      <c r="L64" s="106"/>
      <c r="M64" s="106">
        <v>33108.625999999997</v>
      </c>
      <c r="N64" s="106"/>
      <c r="O64" s="106">
        <v>289426.23699999996</v>
      </c>
      <c r="P64" s="105" t="str">
        <f t="shared" si="0"/>
        <v>Include</v>
      </c>
      <c r="Q64" s="105" t="s">
        <v>743</v>
      </c>
      <c r="S64" s="46" t="s">
        <v>39</v>
      </c>
      <c r="T64" s="101"/>
      <c r="U64" s="101">
        <v>76549.937999999995</v>
      </c>
      <c r="V64" s="101">
        <v>4421.8130000000001</v>
      </c>
      <c r="W64" s="101"/>
      <c r="X64" s="101"/>
      <c r="Y64" s="101"/>
      <c r="Z64" s="101"/>
      <c r="AA64" s="101">
        <v>175345.86</v>
      </c>
      <c r="AB64" s="101"/>
      <c r="AC64" s="101"/>
      <c r="AD64" s="101">
        <v>33108.625999999997</v>
      </c>
      <c r="AE64" s="101"/>
      <c r="AF64" s="101">
        <v>289426.23699999996</v>
      </c>
    </row>
    <row r="65" spans="2:32">
      <c r="B65" s="105" t="s">
        <v>51</v>
      </c>
      <c r="C65" s="106">
        <v>114912.30499999999</v>
      </c>
      <c r="D65" s="106"/>
      <c r="E65" s="106"/>
      <c r="F65" s="106"/>
      <c r="G65" s="106"/>
      <c r="H65" s="106"/>
      <c r="I65" s="106"/>
      <c r="J65" s="106"/>
      <c r="K65" s="106"/>
      <c r="L65" s="106"/>
      <c r="M65" s="106"/>
      <c r="N65" s="106"/>
      <c r="O65" s="106">
        <v>114912.30499999999</v>
      </c>
      <c r="P65" s="105" t="str">
        <f t="shared" si="0"/>
        <v>Include</v>
      </c>
      <c r="Q65" s="105" t="s">
        <v>743</v>
      </c>
      <c r="S65" s="46" t="s">
        <v>51</v>
      </c>
      <c r="T65" s="101">
        <v>114912.30499999999</v>
      </c>
      <c r="U65" s="101"/>
      <c r="V65" s="101"/>
      <c r="W65" s="101"/>
      <c r="X65" s="101"/>
      <c r="Y65" s="101"/>
      <c r="Z65" s="101"/>
      <c r="AA65" s="101"/>
      <c r="AB65" s="101"/>
      <c r="AC65" s="101"/>
      <c r="AD65" s="101"/>
      <c r="AE65" s="101"/>
      <c r="AF65" s="101">
        <v>114912.30499999999</v>
      </c>
    </row>
    <row r="66" spans="2:32">
      <c r="B66" s="105" t="s">
        <v>55</v>
      </c>
      <c r="C66" s="106"/>
      <c r="D66" s="106"/>
      <c r="E66" s="106"/>
      <c r="F66" s="106">
        <v>280561.78200000001</v>
      </c>
      <c r="G66" s="106"/>
      <c r="H66" s="106"/>
      <c r="I66" s="106"/>
      <c r="J66" s="106">
        <v>319495.29800000001</v>
      </c>
      <c r="K66" s="106">
        <v>441062.46799999999</v>
      </c>
      <c r="L66" s="106"/>
      <c r="M66" s="106">
        <v>146219.62599999999</v>
      </c>
      <c r="N66" s="106"/>
      <c r="O66" s="106">
        <v>1187339.1740000001</v>
      </c>
      <c r="P66" s="105" t="str">
        <f t="shared" si="0"/>
        <v>Include</v>
      </c>
      <c r="Q66" s="105" t="s">
        <v>743</v>
      </c>
      <c r="S66" s="46" t="s">
        <v>55</v>
      </c>
      <c r="T66" s="101"/>
      <c r="U66" s="101"/>
      <c r="V66" s="101"/>
      <c r="W66" s="101">
        <v>280561.78200000001</v>
      </c>
      <c r="X66" s="101"/>
      <c r="Y66" s="101"/>
      <c r="Z66" s="101"/>
      <c r="AA66" s="101">
        <v>319495.29800000001</v>
      </c>
      <c r="AB66" s="101">
        <v>441062.46799999999</v>
      </c>
      <c r="AC66" s="101"/>
      <c r="AD66" s="101">
        <v>146219.62599999999</v>
      </c>
      <c r="AE66" s="101"/>
      <c r="AF66" s="101">
        <v>1187339.1740000001</v>
      </c>
    </row>
    <row r="67" spans="2:32">
      <c r="B67" s="105" t="s">
        <v>63</v>
      </c>
      <c r="C67" s="106"/>
      <c r="D67" s="106">
        <v>1047.2909999999999</v>
      </c>
      <c r="E67" s="106">
        <v>12048.183999999999</v>
      </c>
      <c r="F67" s="106"/>
      <c r="G67" s="106">
        <v>76622.487999999998</v>
      </c>
      <c r="H67" s="106"/>
      <c r="I67" s="106">
        <v>46111.09</v>
      </c>
      <c r="J67" s="106">
        <v>112986.78200000001</v>
      </c>
      <c r="K67" s="106">
        <v>45517.762000000002</v>
      </c>
      <c r="L67" s="106">
        <v>1298.8</v>
      </c>
      <c r="M67" s="106">
        <v>23473.866000000002</v>
      </c>
      <c r="N67" s="106">
        <v>60253.286</v>
      </c>
      <c r="O67" s="106">
        <v>379359.549</v>
      </c>
      <c r="P67" s="105" t="str">
        <f t="shared" si="0"/>
        <v>Include</v>
      </c>
      <c r="Q67" s="105" t="s">
        <v>743</v>
      </c>
      <c r="S67" s="46" t="s">
        <v>63</v>
      </c>
      <c r="T67" s="101"/>
      <c r="U67" s="101">
        <v>1047.2909999999999</v>
      </c>
      <c r="V67" s="101">
        <v>12048.183999999999</v>
      </c>
      <c r="W67" s="101"/>
      <c r="X67" s="101">
        <v>76622.487999999998</v>
      </c>
      <c r="Y67" s="101"/>
      <c r="Z67" s="101">
        <v>46111.09</v>
      </c>
      <c r="AA67" s="101">
        <v>112986.78200000001</v>
      </c>
      <c r="AB67" s="101">
        <v>45517.762000000002</v>
      </c>
      <c r="AC67" s="101">
        <v>1298.8</v>
      </c>
      <c r="AD67" s="101">
        <v>23473.866000000002</v>
      </c>
      <c r="AE67" s="101">
        <v>60253.286</v>
      </c>
      <c r="AF67" s="101">
        <v>379359.549</v>
      </c>
    </row>
    <row r="68" spans="2:32">
      <c r="B68" s="105" t="s">
        <v>25</v>
      </c>
      <c r="C68" s="106"/>
      <c r="D68" s="106"/>
      <c r="E68" s="106">
        <v>1506.8989999999999</v>
      </c>
      <c r="F68" s="106"/>
      <c r="G68" s="106"/>
      <c r="H68" s="106"/>
      <c r="I68" s="106"/>
      <c r="J68" s="106">
        <v>127929.03200000001</v>
      </c>
      <c r="K68" s="106"/>
      <c r="L68" s="106"/>
      <c r="M68" s="106"/>
      <c r="N68" s="106"/>
      <c r="O68" s="106">
        <v>129435.93100000001</v>
      </c>
      <c r="P68" s="105" t="str">
        <f t="shared" si="0"/>
        <v>Include</v>
      </c>
      <c r="Q68" s="105" t="s">
        <v>743</v>
      </c>
      <c r="S68" s="46" t="s">
        <v>25</v>
      </c>
      <c r="T68" s="101"/>
      <c r="U68" s="101"/>
      <c r="V68" s="101">
        <v>1506.8989999999999</v>
      </c>
      <c r="W68" s="101"/>
      <c r="X68" s="101"/>
      <c r="Y68" s="101"/>
      <c r="Z68" s="101"/>
      <c r="AA68" s="101">
        <v>127929.03200000001</v>
      </c>
      <c r="AB68" s="101"/>
      <c r="AC68" s="101"/>
      <c r="AD68" s="101"/>
      <c r="AE68" s="101"/>
      <c r="AF68" s="101">
        <v>129435.93100000001</v>
      </c>
    </row>
    <row r="69" spans="2:32">
      <c r="B69" s="105" t="s">
        <v>64</v>
      </c>
      <c r="C69" s="106">
        <v>29053.77</v>
      </c>
      <c r="D69" s="106">
        <v>265988.54599999997</v>
      </c>
      <c r="E69" s="106">
        <v>6340.7610000000004</v>
      </c>
      <c r="F69" s="106">
        <v>257928.106</v>
      </c>
      <c r="G69" s="106">
        <v>73345.687999999995</v>
      </c>
      <c r="H69" s="106">
        <v>24302.491999999998</v>
      </c>
      <c r="I69" s="106"/>
      <c r="J69" s="106">
        <v>2347.788</v>
      </c>
      <c r="K69" s="106">
        <v>119393.95</v>
      </c>
      <c r="L69" s="106">
        <v>27468.592000000001</v>
      </c>
      <c r="M69" s="106">
        <v>60434.411999999997</v>
      </c>
      <c r="N69" s="106">
        <v>347602.70600000001</v>
      </c>
      <c r="O69" s="106">
        <v>1214206.8109999998</v>
      </c>
      <c r="P69" s="105" t="str">
        <f t="shared" si="0"/>
        <v>Include</v>
      </c>
      <c r="Q69" s="105" t="s">
        <v>743</v>
      </c>
      <c r="S69" s="46" t="s">
        <v>64</v>
      </c>
      <c r="T69" s="101">
        <v>29053.77</v>
      </c>
      <c r="U69" s="101">
        <v>265988.54599999997</v>
      </c>
      <c r="V69" s="101">
        <v>6340.7610000000004</v>
      </c>
      <c r="W69" s="101">
        <v>257928.106</v>
      </c>
      <c r="X69" s="101">
        <v>73345.687999999995</v>
      </c>
      <c r="Y69" s="101">
        <v>24302.491999999998</v>
      </c>
      <c r="Z69" s="101"/>
      <c r="AA69" s="101">
        <v>2347.788</v>
      </c>
      <c r="AB69" s="101">
        <v>119393.95</v>
      </c>
      <c r="AC69" s="101">
        <v>27468.592000000001</v>
      </c>
      <c r="AD69" s="101">
        <v>60434.411999999997</v>
      </c>
      <c r="AE69" s="101">
        <v>347602.70600000001</v>
      </c>
      <c r="AF69" s="101">
        <v>1214206.8109999998</v>
      </c>
    </row>
    <row r="70" spans="2:32">
      <c r="B70" s="105" t="s">
        <v>713</v>
      </c>
      <c r="C70" s="106">
        <v>203328.03099999999</v>
      </c>
      <c r="D70" s="106">
        <v>141805.13</v>
      </c>
      <c r="E70" s="106">
        <v>135171.96900000001</v>
      </c>
      <c r="F70" s="106">
        <v>258042.174</v>
      </c>
      <c r="G70" s="106"/>
      <c r="H70" s="106">
        <v>414918.61800000002</v>
      </c>
      <c r="I70" s="106">
        <v>6137.2280000000001</v>
      </c>
      <c r="J70" s="106"/>
      <c r="K70" s="106">
        <v>25506.412</v>
      </c>
      <c r="L70" s="106"/>
      <c r="M70" s="106">
        <v>250788.15599999999</v>
      </c>
      <c r="N70" s="106">
        <v>125959.43</v>
      </c>
      <c r="O70" s="106">
        <v>1561657.1479999998</v>
      </c>
      <c r="P70" s="105" t="str">
        <f t="shared" si="0"/>
        <v>Include</v>
      </c>
      <c r="Q70" s="105" t="s">
        <v>743</v>
      </c>
      <c r="S70" s="46" t="s">
        <v>713</v>
      </c>
      <c r="T70" s="101">
        <v>203328.03099999999</v>
      </c>
      <c r="U70" s="101">
        <v>141805.13</v>
      </c>
      <c r="V70" s="101">
        <v>135171.96900000001</v>
      </c>
      <c r="W70" s="101">
        <v>258042.174</v>
      </c>
      <c r="X70" s="101"/>
      <c r="Y70" s="101">
        <v>414918.61800000002</v>
      </c>
      <c r="Z70" s="101">
        <v>6137.2280000000001</v>
      </c>
      <c r="AA70" s="101"/>
      <c r="AB70" s="101">
        <v>25506.412</v>
      </c>
      <c r="AC70" s="101"/>
      <c r="AD70" s="101">
        <v>250788.15599999999</v>
      </c>
      <c r="AE70" s="101">
        <v>125959.43</v>
      </c>
      <c r="AF70" s="101">
        <v>1561657.1479999998</v>
      </c>
    </row>
    <row r="71" spans="2:32">
      <c r="B71" s="105" t="s">
        <v>59</v>
      </c>
      <c r="C71" s="106"/>
      <c r="D71" s="106"/>
      <c r="E71" s="106">
        <v>75156.983999999997</v>
      </c>
      <c r="F71" s="106"/>
      <c r="G71" s="106"/>
      <c r="H71" s="106"/>
      <c r="I71" s="106"/>
      <c r="J71" s="106"/>
      <c r="K71" s="106"/>
      <c r="L71" s="106"/>
      <c r="M71" s="106"/>
      <c r="N71" s="106"/>
      <c r="O71" s="106">
        <v>75156.983999999997</v>
      </c>
      <c r="P71" s="105" t="str">
        <f t="shared" si="0"/>
        <v>Include</v>
      </c>
      <c r="Q71" s="105" t="s">
        <v>743</v>
      </c>
      <c r="S71" s="46" t="s">
        <v>59</v>
      </c>
      <c r="T71" s="101"/>
      <c r="U71" s="101"/>
      <c r="V71" s="101">
        <v>75156.983999999997</v>
      </c>
      <c r="W71" s="101"/>
      <c r="X71" s="101"/>
      <c r="Y71" s="101"/>
      <c r="Z71" s="101"/>
      <c r="AA71" s="101"/>
      <c r="AB71" s="101"/>
      <c r="AC71" s="101"/>
      <c r="AD71" s="101"/>
      <c r="AE71" s="101"/>
      <c r="AF71" s="101">
        <v>75156.983999999997</v>
      </c>
    </row>
    <row r="72" spans="2:32">
      <c r="B72" s="105" t="s">
        <v>23</v>
      </c>
      <c r="C72" s="106">
        <v>718556.03200000001</v>
      </c>
      <c r="D72" s="106">
        <v>1172813.977</v>
      </c>
      <c r="E72" s="106">
        <v>1153420.108</v>
      </c>
      <c r="F72" s="106">
        <v>1332289.132</v>
      </c>
      <c r="G72" s="106">
        <v>1878254.436</v>
      </c>
      <c r="H72" s="106">
        <v>851286.66799999995</v>
      </c>
      <c r="I72" s="106">
        <v>699913.63199999998</v>
      </c>
      <c r="J72" s="106">
        <v>1852998.0319999999</v>
      </c>
      <c r="K72" s="106">
        <v>1637685.818</v>
      </c>
      <c r="L72" s="106">
        <v>2813367.8659999999</v>
      </c>
      <c r="M72" s="106">
        <v>2757240.4959999998</v>
      </c>
      <c r="N72" s="106">
        <v>1138545.8160000001</v>
      </c>
      <c r="O72" s="106">
        <v>18006372.013</v>
      </c>
      <c r="P72" s="105" t="str">
        <f t="shared" si="0"/>
        <v>Exclude</v>
      </c>
      <c r="Q72" s="105" t="s">
        <v>743</v>
      </c>
      <c r="S72" s="46" t="s">
        <v>23</v>
      </c>
      <c r="T72" s="101">
        <v>718556.03200000001</v>
      </c>
      <c r="U72" s="101">
        <v>1172813.977</v>
      </c>
      <c r="V72" s="101">
        <v>1153420.108</v>
      </c>
      <c r="W72" s="101">
        <v>1332289.132</v>
      </c>
      <c r="X72" s="101">
        <v>1878254.436</v>
      </c>
      <c r="Y72" s="101">
        <v>851286.66799999995</v>
      </c>
      <c r="Z72" s="101">
        <v>699913.63199999998</v>
      </c>
      <c r="AA72" s="101">
        <v>1852998.0319999999</v>
      </c>
      <c r="AB72" s="101">
        <v>1637685.818</v>
      </c>
      <c r="AC72" s="101">
        <v>2813367.8659999999</v>
      </c>
      <c r="AD72" s="101">
        <v>2757240.4959999998</v>
      </c>
      <c r="AE72" s="101">
        <v>1138545.8160000001</v>
      </c>
      <c r="AF72" s="101">
        <v>18006372.013</v>
      </c>
    </row>
    <row r="73" spans="2:32">
      <c r="B73" s="107" t="s">
        <v>732</v>
      </c>
      <c r="C73" s="110">
        <v>1437112.0639999998</v>
      </c>
      <c r="D73" s="110">
        <v>2345627.9539999999</v>
      </c>
      <c r="E73" s="110">
        <v>2306840.216</v>
      </c>
      <c r="F73" s="110">
        <v>2664578.2680000002</v>
      </c>
      <c r="G73" s="110">
        <v>3756508.872</v>
      </c>
      <c r="H73" s="110">
        <v>1702573.3360000001</v>
      </c>
      <c r="I73" s="110">
        <v>1399827.2620000001</v>
      </c>
      <c r="J73" s="110">
        <v>3705996.0660000001</v>
      </c>
      <c r="K73" s="110">
        <v>3275371.6340000005</v>
      </c>
      <c r="L73" s="110">
        <v>5626735.7320000008</v>
      </c>
      <c r="M73" s="110">
        <v>5514480.9979999997</v>
      </c>
      <c r="N73" s="110">
        <v>2277091.6340000001</v>
      </c>
      <c r="O73" s="110">
        <v>36012744.035999998</v>
      </c>
      <c r="P73" s="105"/>
      <c r="Q73" s="105"/>
      <c r="S73" s="46" t="s">
        <v>732</v>
      </c>
      <c r="T73" s="101">
        <v>1437112.0639999998</v>
      </c>
      <c r="U73" s="101">
        <v>2345627.9539999999</v>
      </c>
      <c r="V73" s="101">
        <v>2306840.216</v>
      </c>
      <c r="W73" s="101">
        <v>2664578.2680000002</v>
      </c>
      <c r="X73" s="101">
        <v>3756508.872</v>
      </c>
      <c r="Y73" s="101">
        <v>1702573.3360000001</v>
      </c>
      <c r="Z73" s="101">
        <v>1399827.2620000001</v>
      </c>
      <c r="AA73" s="101">
        <v>3705996.0660000001</v>
      </c>
      <c r="AB73" s="101">
        <v>3275371.6340000005</v>
      </c>
      <c r="AC73" s="101">
        <v>5626735.7320000008</v>
      </c>
      <c r="AD73" s="101">
        <v>5514480.9979999997</v>
      </c>
      <c r="AE73" s="101">
        <v>2277091.6340000001</v>
      </c>
      <c r="AF73" s="101">
        <v>36012744.035999998</v>
      </c>
    </row>
    <row r="74" spans="2:32">
      <c r="B74" s="134"/>
      <c r="C74" s="133"/>
      <c r="D74" s="133"/>
      <c r="E74" s="133"/>
      <c r="F74" s="133"/>
      <c r="G74" s="133"/>
      <c r="H74" s="133"/>
      <c r="I74" s="133"/>
      <c r="J74" s="133"/>
      <c r="K74" s="133"/>
      <c r="L74" s="133"/>
      <c r="M74" s="133"/>
      <c r="N74" s="133"/>
      <c r="O74" s="118"/>
      <c r="P74" s="118"/>
      <c r="Q74" s="118"/>
    </row>
    <row r="75" spans="2:32">
      <c r="B75" s="134"/>
      <c r="C75" s="133"/>
      <c r="D75" s="133"/>
      <c r="E75" s="133"/>
      <c r="F75" s="133"/>
      <c r="G75" s="133"/>
      <c r="H75" s="133"/>
      <c r="I75" s="133"/>
      <c r="J75" s="133"/>
      <c r="K75" s="133"/>
      <c r="L75" s="133"/>
      <c r="M75" s="133"/>
      <c r="N75" s="133"/>
      <c r="O75" s="118"/>
      <c r="P75" s="118"/>
      <c r="Q75" s="118"/>
    </row>
    <row r="76" spans="2:32">
      <c r="E76" s="133"/>
      <c r="F76" s="133"/>
      <c r="G76" s="133"/>
      <c r="H76" s="133"/>
      <c r="I76" s="133"/>
      <c r="J76" s="133"/>
      <c r="K76" s="133"/>
      <c r="L76" s="133"/>
      <c r="M76" s="133"/>
      <c r="N76" s="133"/>
      <c r="O76" s="118"/>
      <c r="P76" s="118"/>
      <c r="Q76" s="118"/>
    </row>
    <row r="77" spans="2:32">
      <c r="E77" s="133"/>
      <c r="F77" s="133"/>
      <c r="G77" s="133"/>
      <c r="H77" s="133"/>
      <c r="I77" s="133"/>
      <c r="J77" s="133"/>
      <c r="K77" s="133"/>
      <c r="L77" s="133"/>
      <c r="M77" s="133"/>
      <c r="N77" s="133"/>
      <c r="O77" s="118"/>
      <c r="P77" s="118"/>
      <c r="Q77" s="118"/>
    </row>
    <row r="78" spans="2:32">
      <c r="B78" s="134"/>
      <c r="C78" s="133"/>
      <c r="D78" s="133"/>
      <c r="E78" s="133"/>
      <c r="F78" s="133"/>
      <c r="G78" s="133"/>
      <c r="H78" s="133"/>
      <c r="I78" s="133"/>
      <c r="J78" s="133"/>
      <c r="K78" s="133"/>
      <c r="L78" s="133"/>
      <c r="M78" s="133"/>
      <c r="N78" s="133"/>
      <c r="O78" s="118"/>
      <c r="P78" s="118"/>
      <c r="Q78" s="118"/>
    </row>
    <row r="79" spans="2:32">
      <c r="B79" s="134"/>
      <c r="C79" s="133"/>
      <c r="D79" s="133"/>
      <c r="E79" s="133"/>
      <c r="F79" s="133"/>
      <c r="G79" s="133"/>
      <c r="H79" s="133"/>
      <c r="I79" s="133"/>
      <c r="J79" s="133"/>
      <c r="K79" s="133"/>
      <c r="L79" s="133"/>
      <c r="M79" s="133"/>
      <c r="N79" s="133"/>
      <c r="O79" s="118"/>
      <c r="P79" s="118"/>
      <c r="Q79" s="118"/>
    </row>
    <row r="80" spans="2:32">
      <c r="B80" s="134"/>
      <c r="C80" s="133"/>
      <c r="D80" s="133"/>
      <c r="E80" s="133"/>
      <c r="F80" s="133"/>
      <c r="G80" s="133"/>
      <c r="H80" s="133"/>
      <c r="I80" s="133"/>
      <c r="J80" s="133"/>
      <c r="K80" s="133"/>
      <c r="L80" s="133"/>
      <c r="M80" s="133"/>
      <c r="N80" s="133"/>
      <c r="O80" s="118"/>
      <c r="P80" s="118"/>
      <c r="Q80" s="118"/>
    </row>
    <row r="81" spans="1:48">
      <c r="B81" s="134"/>
      <c r="C81" s="133"/>
      <c r="D81" s="133"/>
      <c r="E81" s="133"/>
      <c r="F81" s="133"/>
      <c r="G81" s="133"/>
      <c r="H81" s="133"/>
      <c r="I81" s="133"/>
      <c r="J81" s="133"/>
      <c r="K81" s="133"/>
      <c r="L81" s="133"/>
      <c r="M81" s="133"/>
      <c r="N81" s="133"/>
      <c r="O81" s="118"/>
      <c r="P81" s="118"/>
      <c r="Q81" s="118"/>
    </row>
    <row r="82" spans="1:48" s="121" customFormat="1" ht="2.25" customHeight="1"/>
    <row r="83" spans="1:48" s="46" customFormat="1"/>
    <row r="84" spans="1:48" s="46" customFormat="1" ht="27">
      <c r="B84" s="115" t="s">
        <v>742</v>
      </c>
      <c r="L84" s="102" t="s">
        <v>730</v>
      </c>
      <c r="O84" s="102" t="s">
        <v>731</v>
      </c>
      <c r="AG84" s="102" t="s">
        <v>729</v>
      </c>
      <c r="AS84" s="102" t="s">
        <v>728</v>
      </c>
    </row>
    <row r="85" spans="1:48" s="46" customFormat="1" ht="54">
      <c r="A85" s="102" t="s">
        <v>727</v>
      </c>
      <c r="B85" s="102" t="s">
        <v>618</v>
      </c>
      <c r="C85" s="102" t="s">
        <v>619</v>
      </c>
      <c r="D85" s="102" t="s">
        <v>620</v>
      </c>
      <c r="E85" s="102" t="s">
        <v>621</v>
      </c>
      <c r="F85" s="102" t="s">
        <v>622</v>
      </c>
      <c r="G85" s="102" t="s">
        <v>623</v>
      </c>
      <c r="H85" s="102" t="s">
        <v>624</v>
      </c>
      <c r="I85" s="102" t="s">
        <v>625</v>
      </c>
      <c r="J85" s="102" t="s">
        <v>626</v>
      </c>
      <c r="K85" s="102" t="s">
        <v>627</v>
      </c>
      <c r="L85" s="102" t="s">
        <v>628</v>
      </c>
      <c r="M85" s="102" t="s">
        <v>629</v>
      </c>
      <c r="N85" s="102" t="s">
        <v>630</v>
      </c>
      <c r="O85" s="102" t="s">
        <v>631</v>
      </c>
      <c r="P85" s="102" t="s">
        <v>632</v>
      </c>
      <c r="Q85" s="102" t="s">
        <v>633</v>
      </c>
      <c r="R85" s="102" t="s">
        <v>634</v>
      </c>
      <c r="S85" s="102" t="s">
        <v>635</v>
      </c>
      <c r="T85" s="102" t="s">
        <v>636</v>
      </c>
      <c r="U85" s="102" t="s">
        <v>637</v>
      </c>
      <c r="V85" s="102" t="s">
        <v>638</v>
      </c>
      <c r="W85" s="102" t="s">
        <v>639</v>
      </c>
      <c r="X85" s="102" t="s">
        <v>640</v>
      </c>
      <c r="Y85" s="102" t="s">
        <v>641</v>
      </c>
      <c r="Z85" s="102" t="s">
        <v>642</v>
      </c>
      <c r="AA85" s="102" t="s">
        <v>643</v>
      </c>
      <c r="AB85" s="102" t="s">
        <v>644</v>
      </c>
      <c r="AC85" s="102" t="s">
        <v>645</v>
      </c>
      <c r="AD85" s="102" t="s">
        <v>646</v>
      </c>
      <c r="AE85" s="102" t="s">
        <v>647</v>
      </c>
      <c r="AF85" s="102" t="s">
        <v>648</v>
      </c>
      <c r="AG85" s="102" t="s">
        <v>649</v>
      </c>
      <c r="AH85" s="102" t="s">
        <v>650</v>
      </c>
      <c r="AI85" s="102" t="s">
        <v>651</v>
      </c>
      <c r="AJ85" s="102" t="s">
        <v>652</v>
      </c>
      <c r="AK85" s="102" t="s">
        <v>653</v>
      </c>
      <c r="AL85" s="102" t="s">
        <v>654</v>
      </c>
      <c r="AM85" s="102" t="s">
        <v>655</v>
      </c>
      <c r="AN85" s="102" t="s">
        <v>656</v>
      </c>
      <c r="AO85" s="102" t="s">
        <v>657</v>
      </c>
      <c r="AP85" s="102" t="s">
        <v>658</v>
      </c>
      <c r="AQ85" s="102" t="s">
        <v>659</v>
      </c>
      <c r="AR85" s="102" t="s">
        <v>660</v>
      </c>
      <c r="AS85" s="102" t="s">
        <v>661</v>
      </c>
      <c r="AT85" s="102" t="s">
        <v>662</v>
      </c>
      <c r="AU85" s="102" t="s">
        <v>663</v>
      </c>
      <c r="AV85" s="102" t="s">
        <v>664</v>
      </c>
    </row>
    <row r="86" spans="1:48" s="46" customFormat="1">
      <c r="A86" s="105"/>
      <c r="B86" s="105" t="s">
        <v>665</v>
      </c>
      <c r="C86" s="105" t="s">
        <v>666</v>
      </c>
      <c r="D86" s="105">
        <v>20230101</v>
      </c>
      <c r="E86" s="105">
        <v>2023</v>
      </c>
      <c r="F86" s="105">
        <v>1</v>
      </c>
      <c r="G86" s="105" t="s">
        <v>704</v>
      </c>
      <c r="H86" s="105">
        <v>818</v>
      </c>
      <c r="I86" s="105" t="s">
        <v>668</v>
      </c>
      <c r="J86" s="105" t="s">
        <v>57</v>
      </c>
      <c r="K86" s="105" t="s">
        <v>666</v>
      </c>
      <c r="L86" s="105" t="s">
        <v>669</v>
      </c>
      <c r="M86" s="105">
        <v>0</v>
      </c>
      <c r="N86" s="105" t="s">
        <v>670</v>
      </c>
      <c r="O86" s="105" t="s">
        <v>23</v>
      </c>
      <c r="P86" s="105">
        <v>0</v>
      </c>
      <c r="Q86" s="105" t="s">
        <v>670</v>
      </c>
      <c r="R86" s="105" t="s">
        <v>23</v>
      </c>
      <c r="S86" s="105" t="s">
        <v>671</v>
      </c>
      <c r="T86" s="105" t="s">
        <v>672</v>
      </c>
      <c r="U86" s="105" t="b">
        <v>1</v>
      </c>
      <c r="V86" s="105" t="s">
        <v>745</v>
      </c>
      <c r="W86" s="105" t="s">
        <v>746</v>
      </c>
      <c r="X86" s="105">
        <v>6</v>
      </c>
      <c r="Y86" s="105" t="b">
        <v>1</v>
      </c>
      <c r="Z86" s="105" t="s">
        <v>675</v>
      </c>
      <c r="AA86" s="105" t="s">
        <v>676</v>
      </c>
      <c r="AB86" s="105" t="s">
        <v>677</v>
      </c>
      <c r="AC86" s="105">
        <v>0</v>
      </c>
      <c r="AD86" s="105" t="s">
        <v>678</v>
      </c>
      <c r="AE86" s="105">
        <v>8</v>
      </c>
      <c r="AF86" s="105" t="s">
        <v>679</v>
      </c>
      <c r="AG86" s="105">
        <v>208649.62400000001</v>
      </c>
      <c r="AH86" s="105" t="b">
        <v>1</v>
      </c>
      <c r="AI86" s="105">
        <v>-1</v>
      </c>
      <c r="AJ86" s="105" t="s">
        <v>680</v>
      </c>
      <c r="AK86" s="105">
        <v>0</v>
      </c>
      <c r="AL86" s="105" t="b">
        <v>0</v>
      </c>
      <c r="AM86" s="105">
        <v>208649.62400000001</v>
      </c>
      <c r="AN86" s="105" t="b">
        <v>1</v>
      </c>
      <c r="AO86" s="105">
        <v>0</v>
      </c>
      <c r="AP86" s="105" t="b">
        <v>0</v>
      </c>
      <c r="AQ86" s="105">
        <v>1007121.599</v>
      </c>
      <c r="AR86" s="105"/>
      <c r="AS86" s="105">
        <v>1007121.599</v>
      </c>
      <c r="AT86" s="105">
        <v>6</v>
      </c>
      <c r="AU86" s="105" t="b">
        <v>0</v>
      </c>
      <c r="AV86" s="105" t="b">
        <v>1</v>
      </c>
    </row>
    <row r="87" spans="1:48" s="46" customFormat="1">
      <c r="A87" s="105"/>
      <c r="B87" s="105" t="s">
        <v>665</v>
      </c>
      <c r="C87" s="105" t="s">
        <v>666</v>
      </c>
      <c r="D87" s="105">
        <v>20230101</v>
      </c>
      <c r="E87" s="105">
        <v>2023</v>
      </c>
      <c r="F87" s="105">
        <v>1</v>
      </c>
      <c r="G87" s="105" t="s">
        <v>704</v>
      </c>
      <c r="H87" s="105">
        <v>818</v>
      </c>
      <c r="I87" s="105" t="s">
        <v>668</v>
      </c>
      <c r="J87" s="105" t="s">
        <v>57</v>
      </c>
      <c r="K87" s="105" t="s">
        <v>666</v>
      </c>
      <c r="L87" s="105" t="s">
        <v>669</v>
      </c>
      <c r="M87" s="105">
        <v>156</v>
      </c>
      <c r="N87" s="105" t="s">
        <v>711</v>
      </c>
      <c r="O87" s="105" t="s">
        <v>29</v>
      </c>
      <c r="P87" s="105">
        <v>0</v>
      </c>
      <c r="Q87" s="105" t="s">
        <v>670</v>
      </c>
      <c r="R87" s="105" t="s">
        <v>23</v>
      </c>
      <c r="S87" s="105" t="s">
        <v>671</v>
      </c>
      <c r="T87" s="105" t="s">
        <v>672</v>
      </c>
      <c r="U87" s="105" t="b">
        <v>1</v>
      </c>
      <c r="V87" s="105" t="s">
        <v>745</v>
      </c>
      <c r="W87" s="105" t="s">
        <v>746</v>
      </c>
      <c r="X87" s="105">
        <v>6</v>
      </c>
      <c r="Y87" s="105" t="b">
        <v>1</v>
      </c>
      <c r="Z87" s="105" t="s">
        <v>675</v>
      </c>
      <c r="AA87" s="105" t="s">
        <v>676</v>
      </c>
      <c r="AB87" s="105" t="s">
        <v>677</v>
      </c>
      <c r="AC87" s="105">
        <v>0</v>
      </c>
      <c r="AD87" s="105" t="s">
        <v>678</v>
      </c>
      <c r="AE87" s="105">
        <v>8</v>
      </c>
      <c r="AF87" s="105" t="s">
        <v>679</v>
      </c>
      <c r="AG87" s="105">
        <v>37358.425999999999</v>
      </c>
      <c r="AH87" s="105" t="b">
        <v>1</v>
      </c>
      <c r="AI87" s="105">
        <v>-1</v>
      </c>
      <c r="AJ87" s="105" t="s">
        <v>680</v>
      </c>
      <c r="AK87" s="105">
        <v>0</v>
      </c>
      <c r="AL87" s="105" t="b">
        <v>0</v>
      </c>
      <c r="AM87" s="105">
        <v>37358.425999999999</v>
      </c>
      <c r="AN87" s="105" t="b">
        <v>1</v>
      </c>
      <c r="AO87" s="105">
        <v>0</v>
      </c>
      <c r="AP87" s="105" t="b">
        <v>0</v>
      </c>
      <c r="AQ87" s="105">
        <v>180323.72500000001</v>
      </c>
      <c r="AR87" s="105"/>
      <c r="AS87" s="105">
        <v>180323.72500000001</v>
      </c>
      <c r="AT87" s="105">
        <v>6</v>
      </c>
      <c r="AU87" s="105" t="b">
        <v>1</v>
      </c>
      <c r="AV87" s="105" t="b">
        <v>0</v>
      </c>
    </row>
    <row r="88" spans="1:48" s="46" customFormat="1">
      <c r="A88" s="105"/>
      <c r="B88" s="105" t="s">
        <v>665</v>
      </c>
      <c r="C88" s="105" t="s">
        <v>666</v>
      </c>
      <c r="D88" s="105">
        <v>20230101</v>
      </c>
      <c r="E88" s="105">
        <v>2023</v>
      </c>
      <c r="F88" s="105">
        <v>1</v>
      </c>
      <c r="G88" s="105" t="s">
        <v>704</v>
      </c>
      <c r="H88" s="105">
        <v>818</v>
      </c>
      <c r="I88" s="105" t="s">
        <v>668</v>
      </c>
      <c r="J88" s="105" t="s">
        <v>57</v>
      </c>
      <c r="K88" s="105" t="s">
        <v>666</v>
      </c>
      <c r="L88" s="105" t="s">
        <v>669</v>
      </c>
      <c r="M88" s="105">
        <v>276</v>
      </c>
      <c r="N88" s="105" t="s">
        <v>681</v>
      </c>
      <c r="O88" s="105" t="s">
        <v>30</v>
      </c>
      <c r="P88" s="105">
        <v>0</v>
      </c>
      <c r="Q88" s="105" t="s">
        <v>670</v>
      </c>
      <c r="R88" s="105" t="s">
        <v>23</v>
      </c>
      <c r="S88" s="105" t="s">
        <v>671</v>
      </c>
      <c r="T88" s="105" t="s">
        <v>672</v>
      </c>
      <c r="U88" s="105" t="b">
        <v>1</v>
      </c>
      <c r="V88" s="105" t="s">
        <v>745</v>
      </c>
      <c r="W88" s="105" t="s">
        <v>746</v>
      </c>
      <c r="X88" s="105">
        <v>6</v>
      </c>
      <c r="Y88" s="105" t="b">
        <v>1</v>
      </c>
      <c r="Z88" s="105" t="s">
        <v>675</v>
      </c>
      <c r="AA88" s="105" t="s">
        <v>676</v>
      </c>
      <c r="AB88" s="105" t="s">
        <v>677</v>
      </c>
      <c r="AC88" s="105">
        <v>0</v>
      </c>
      <c r="AD88" s="105" t="s">
        <v>678</v>
      </c>
      <c r="AE88" s="105">
        <v>8</v>
      </c>
      <c r="AF88" s="105" t="s">
        <v>679</v>
      </c>
      <c r="AG88" s="105">
        <v>25214.175999999999</v>
      </c>
      <c r="AH88" s="105" t="b">
        <v>1</v>
      </c>
      <c r="AI88" s="105">
        <v>-1</v>
      </c>
      <c r="AJ88" s="105" t="s">
        <v>680</v>
      </c>
      <c r="AK88" s="105">
        <v>0</v>
      </c>
      <c r="AL88" s="105" t="b">
        <v>0</v>
      </c>
      <c r="AM88" s="105">
        <v>25214.175999999999</v>
      </c>
      <c r="AN88" s="105" t="b">
        <v>1</v>
      </c>
      <c r="AO88" s="105">
        <v>0</v>
      </c>
      <c r="AP88" s="105" t="b">
        <v>0</v>
      </c>
      <c r="AQ88" s="105">
        <v>121705.18799999999</v>
      </c>
      <c r="AR88" s="105"/>
      <c r="AS88" s="105">
        <v>121705.18799999999</v>
      </c>
      <c r="AT88" s="105">
        <v>6</v>
      </c>
      <c r="AU88" s="105" t="b">
        <v>1</v>
      </c>
      <c r="AV88" s="105" t="b">
        <v>0</v>
      </c>
    </row>
    <row r="89" spans="1:48" s="46" customFormat="1">
      <c r="A89" s="105"/>
      <c r="B89" s="105" t="s">
        <v>665</v>
      </c>
      <c r="C89" s="105" t="s">
        <v>666</v>
      </c>
      <c r="D89" s="105">
        <v>20230101</v>
      </c>
      <c r="E89" s="105">
        <v>2023</v>
      </c>
      <c r="F89" s="105">
        <v>1</v>
      </c>
      <c r="G89" s="105" t="s">
        <v>704</v>
      </c>
      <c r="H89" s="105">
        <v>818</v>
      </c>
      <c r="I89" s="105" t="s">
        <v>668</v>
      </c>
      <c r="J89" s="105" t="s">
        <v>57</v>
      </c>
      <c r="K89" s="105" t="s">
        <v>666</v>
      </c>
      <c r="L89" s="105" t="s">
        <v>669</v>
      </c>
      <c r="M89" s="105">
        <v>380</v>
      </c>
      <c r="N89" s="105" t="s">
        <v>689</v>
      </c>
      <c r="O89" s="105" t="s">
        <v>71</v>
      </c>
      <c r="P89" s="105">
        <v>0</v>
      </c>
      <c r="Q89" s="105" t="s">
        <v>670</v>
      </c>
      <c r="R89" s="105" t="s">
        <v>23</v>
      </c>
      <c r="S89" s="105" t="s">
        <v>671</v>
      </c>
      <c r="T89" s="105" t="s">
        <v>672</v>
      </c>
      <c r="U89" s="105" t="b">
        <v>1</v>
      </c>
      <c r="V89" s="105" t="s">
        <v>745</v>
      </c>
      <c r="W89" s="105" t="s">
        <v>746</v>
      </c>
      <c r="X89" s="105">
        <v>6</v>
      </c>
      <c r="Y89" s="105" t="b">
        <v>1</v>
      </c>
      <c r="Z89" s="105" t="s">
        <v>675</v>
      </c>
      <c r="AA89" s="105" t="s">
        <v>676</v>
      </c>
      <c r="AB89" s="105" t="s">
        <v>677</v>
      </c>
      <c r="AC89" s="105">
        <v>0</v>
      </c>
      <c r="AD89" s="105" t="s">
        <v>678</v>
      </c>
      <c r="AE89" s="105">
        <v>8</v>
      </c>
      <c r="AF89" s="105" t="s">
        <v>679</v>
      </c>
      <c r="AG89" s="105">
        <v>4805.2650000000003</v>
      </c>
      <c r="AH89" s="105" t="b">
        <v>1</v>
      </c>
      <c r="AI89" s="105">
        <v>-1</v>
      </c>
      <c r="AJ89" s="105" t="s">
        <v>680</v>
      </c>
      <c r="AK89" s="105">
        <v>0</v>
      </c>
      <c r="AL89" s="105" t="b">
        <v>0</v>
      </c>
      <c r="AM89" s="105">
        <v>4805.2650000000003</v>
      </c>
      <c r="AN89" s="105" t="b">
        <v>1</v>
      </c>
      <c r="AO89" s="105">
        <v>0</v>
      </c>
      <c r="AP89" s="105" t="b">
        <v>0</v>
      </c>
      <c r="AQ89" s="105">
        <v>23194.322</v>
      </c>
      <c r="AR89" s="105"/>
      <c r="AS89" s="105">
        <v>23194.322</v>
      </c>
      <c r="AT89" s="105">
        <v>6</v>
      </c>
      <c r="AU89" s="105" t="b">
        <v>1</v>
      </c>
      <c r="AV89" s="105" t="b">
        <v>0</v>
      </c>
    </row>
    <row r="90" spans="1:48" s="46" customFormat="1">
      <c r="A90" s="105"/>
      <c r="B90" s="105" t="s">
        <v>665</v>
      </c>
      <c r="C90" s="105" t="s">
        <v>666</v>
      </c>
      <c r="D90" s="105">
        <v>20230101</v>
      </c>
      <c r="E90" s="105">
        <v>2023</v>
      </c>
      <c r="F90" s="105">
        <v>1</v>
      </c>
      <c r="G90" s="105" t="s">
        <v>704</v>
      </c>
      <c r="H90" s="105">
        <v>818</v>
      </c>
      <c r="I90" s="105" t="s">
        <v>668</v>
      </c>
      <c r="J90" s="105" t="s">
        <v>57</v>
      </c>
      <c r="K90" s="105" t="s">
        <v>666</v>
      </c>
      <c r="L90" s="105" t="s">
        <v>669</v>
      </c>
      <c r="M90" s="105">
        <v>392</v>
      </c>
      <c r="N90" s="105" t="s">
        <v>747</v>
      </c>
      <c r="O90" s="105" t="s">
        <v>32</v>
      </c>
      <c r="P90" s="105">
        <v>0</v>
      </c>
      <c r="Q90" s="105" t="s">
        <v>670</v>
      </c>
      <c r="R90" s="105" t="s">
        <v>23</v>
      </c>
      <c r="S90" s="105" t="s">
        <v>671</v>
      </c>
      <c r="T90" s="105" t="s">
        <v>672</v>
      </c>
      <c r="U90" s="105" t="b">
        <v>1</v>
      </c>
      <c r="V90" s="105" t="s">
        <v>745</v>
      </c>
      <c r="W90" s="105" t="s">
        <v>746</v>
      </c>
      <c r="X90" s="105">
        <v>6</v>
      </c>
      <c r="Y90" s="105" t="b">
        <v>1</v>
      </c>
      <c r="Z90" s="105" t="s">
        <v>675</v>
      </c>
      <c r="AA90" s="105" t="s">
        <v>676</v>
      </c>
      <c r="AB90" s="105" t="s">
        <v>677</v>
      </c>
      <c r="AC90" s="105">
        <v>0</v>
      </c>
      <c r="AD90" s="105" t="s">
        <v>678</v>
      </c>
      <c r="AE90" s="105">
        <v>8</v>
      </c>
      <c r="AF90" s="105" t="s">
        <v>679</v>
      </c>
      <c r="AG90" s="105">
        <v>31720.222000000002</v>
      </c>
      <c r="AH90" s="105" t="b">
        <v>1</v>
      </c>
      <c r="AI90" s="105">
        <v>-1</v>
      </c>
      <c r="AJ90" s="105" t="s">
        <v>680</v>
      </c>
      <c r="AK90" s="105">
        <v>0</v>
      </c>
      <c r="AL90" s="105" t="b">
        <v>0</v>
      </c>
      <c r="AM90" s="105">
        <v>31720.222000000002</v>
      </c>
      <c r="AN90" s="105" t="b">
        <v>1</v>
      </c>
      <c r="AO90" s="105">
        <v>0</v>
      </c>
      <c r="AP90" s="105" t="b">
        <v>0</v>
      </c>
      <c r="AQ90" s="105">
        <v>153108.929</v>
      </c>
      <c r="AR90" s="105"/>
      <c r="AS90" s="105">
        <v>153108.929</v>
      </c>
      <c r="AT90" s="105">
        <v>6</v>
      </c>
      <c r="AU90" s="105" t="b">
        <v>1</v>
      </c>
      <c r="AV90" s="105" t="b">
        <v>0</v>
      </c>
    </row>
    <row r="91" spans="1:48" s="46" customFormat="1">
      <c r="A91" s="105"/>
      <c r="B91" s="105" t="s">
        <v>665</v>
      </c>
      <c r="C91" s="105" t="s">
        <v>666</v>
      </c>
      <c r="D91" s="105">
        <v>20230101</v>
      </c>
      <c r="E91" s="105">
        <v>2023</v>
      </c>
      <c r="F91" s="105">
        <v>1</v>
      </c>
      <c r="G91" s="105" t="s">
        <v>704</v>
      </c>
      <c r="H91" s="105">
        <v>818</v>
      </c>
      <c r="I91" s="105" t="s">
        <v>668</v>
      </c>
      <c r="J91" s="105" t="s">
        <v>57</v>
      </c>
      <c r="K91" s="105" t="s">
        <v>666</v>
      </c>
      <c r="L91" s="105" t="s">
        <v>669</v>
      </c>
      <c r="M91" s="105">
        <v>699</v>
      </c>
      <c r="N91" s="105" t="s">
        <v>748</v>
      </c>
      <c r="O91" s="105" t="s">
        <v>0</v>
      </c>
      <c r="P91" s="105">
        <v>0</v>
      </c>
      <c r="Q91" s="105" t="s">
        <v>670</v>
      </c>
      <c r="R91" s="105" t="s">
        <v>23</v>
      </c>
      <c r="S91" s="105" t="s">
        <v>671</v>
      </c>
      <c r="T91" s="105" t="s">
        <v>672</v>
      </c>
      <c r="U91" s="105" t="b">
        <v>1</v>
      </c>
      <c r="V91" s="105" t="s">
        <v>745</v>
      </c>
      <c r="W91" s="105" t="s">
        <v>746</v>
      </c>
      <c r="X91" s="105">
        <v>6</v>
      </c>
      <c r="Y91" s="105" t="b">
        <v>1</v>
      </c>
      <c r="Z91" s="105" t="s">
        <v>675</v>
      </c>
      <c r="AA91" s="105" t="s">
        <v>676</v>
      </c>
      <c r="AB91" s="105" t="s">
        <v>677</v>
      </c>
      <c r="AC91" s="105">
        <v>0</v>
      </c>
      <c r="AD91" s="105" t="s">
        <v>678</v>
      </c>
      <c r="AE91" s="105">
        <v>8</v>
      </c>
      <c r="AF91" s="105" t="s">
        <v>679</v>
      </c>
      <c r="AG91" s="105">
        <v>2015.8530000000001</v>
      </c>
      <c r="AH91" s="105" t="b">
        <v>1</v>
      </c>
      <c r="AI91" s="105">
        <v>-1</v>
      </c>
      <c r="AJ91" s="105" t="s">
        <v>680</v>
      </c>
      <c r="AK91" s="105">
        <v>0</v>
      </c>
      <c r="AL91" s="105" t="b">
        <v>0</v>
      </c>
      <c r="AM91" s="105">
        <v>2015.8530000000001</v>
      </c>
      <c r="AN91" s="105" t="b">
        <v>1</v>
      </c>
      <c r="AO91" s="105">
        <v>0</v>
      </c>
      <c r="AP91" s="105" t="b">
        <v>0</v>
      </c>
      <c r="AQ91" s="105">
        <v>9730.23</v>
      </c>
      <c r="AR91" s="105"/>
      <c r="AS91" s="105">
        <v>9730.23</v>
      </c>
      <c r="AT91" s="105">
        <v>6</v>
      </c>
      <c r="AU91" s="105" t="b">
        <v>1</v>
      </c>
      <c r="AV91" s="105" t="b">
        <v>0</v>
      </c>
    </row>
    <row r="92" spans="1:48" s="46" customFormat="1">
      <c r="A92" s="105"/>
      <c r="B92" s="105" t="s">
        <v>665</v>
      </c>
      <c r="C92" s="105" t="s">
        <v>666</v>
      </c>
      <c r="D92" s="105">
        <v>20230101</v>
      </c>
      <c r="E92" s="105">
        <v>2023</v>
      </c>
      <c r="F92" s="105">
        <v>1</v>
      </c>
      <c r="G92" s="105" t="s">
        <v>704</v>
      </c>
      <c r="H92" s="105">
        <v>818</v>
      </c>
      <c r="I92" s="105" t="s">
        <v>668</v>
      </c>
      <c r="J92" s="105" t="s">
        <v>57</v>
      </c>
      <c r="K92" s="105" t="s">
        <v>666</v>
      </c>
      <c r="L92" s="105" t="s">
        <v>669</v>
      </c>
      <c r="M92" s="105">
        <v>792</v>
      </c>
      <c r="N92" s="105" t="s">
        <v>691</v>
      </c>
      <c r="O92" s="105" t="s">
        <v>63</v>
      </c>
      <c r="P92" s="105">
        <v>0</v>
      </c>
      <c r="Q92" s="105" t="s">
        <v>670</v>
      </c>
      <c r="R92" s="105" t="s">
        <v>23</v>
      </c>
      <c r="S92" s="105" t="s">
        <v>671</v>
      </c>
      <c r="T92" s="105" t="s">
        <v>672</v>
      </c>
      <c r="U92" s="105" t="b">
        <v>1</v>
      </c>
      <c r="V92" s="105" t="s">
        <v>745</v>
      </c>
      <c r="W92" s="105" t="s">
        <v>746</v>
      </c>
      <c r="X92" s="105">
        <v>6</v>
      </c>
      <c r="Y92" s="105" t="b">
        <v>1</v>
      </c>
      <c r="Z92" s="105" t="s">
        <v>675</v>
      </c>
      <c r="AA92" s="105" t="s">
        <v>676</v>
      </c>
      <c r="AB92" s="105" t="s">
        <v>677</v>
      </c>
      <c r="AC92" s="105">
        <v>0</v>
      </c>
      <c r="AD92" s="105" t="s">
        <v>678</v>
      </c>
      <c r="AE92" s="105">
        <v>8</v>
      </c>
      <c r="AF92" s="105" t="s">
        <v>679</v>
      </c>
      <c r="AG92" s="105">
        <v>41353.029000000002</v>
      </c>
      <c r="AH92" s="105" t="b">
        <v>1</v>
      </c>
      <c r="AI92" s="105">
        <v>-1</v>
      </c>
      <c r="AJ92" s="105" t="s">
        <v>680</v>
      </c>
      <c r="AK92" s="105">
        <v>0</v>
      </c>
      <c r="AL92" s="105" t="b">
        <v>0</v>
      </c>
      <c r="AM92" s="105">
        <v>41353.029000000002</v>
      </c>
      <c r="AN92" s="105" t="b">
        <v>1</v>
      </c>
      <c r="AO92" s="105">
        <v>0</v>
      </c>
      <c r="AP92" s="105" t="b">
        <v>0</v>
      </c>
      <c r="AQ92" s="105">
        <v>199605.09599999999</v>
      </c>
      <c r="AR92" s="105"/>
      <c r="AS92" s="105">
        <v>199605.09599999999</v>
      </c>
      <c r="AT92" s="105">
        <v>6</v>
      </c>
      <c r="AU92" s="105" t="b">
        <v>1</v>
      </c>
      <c r="AV92" s="105" t="b">
        <v>0</v>
      </c>
    </row>
    <row r="93" spans="1:48" s="46" customFormat="1">
      <c r="A93" s="105"/>
      <c r="B93" s="105" t="s">
        <v>665</v>
      </c>
      <c r="C93" s="105" t="s">
        <v>666</v>
      </c>
      <c r="D93" s="105">
        <v>20230101</v>
      </c>
      <c r="E93" s="105">
        <v>2023</v>
      </c>
      <c r="F93" s="105">
        <v>1</v>
      </c>
      <c r="G93" s="105" t="s">
        <v>704</v>
      </c>
      <c r="H93" s="105">
        <v>818</v>
      </c>
      <c r="I93" s="105" t="s">
        <v>668</v>
      </c>
      <c r="J93" s="105" t="s">
        <v>57</v>
      </c>
      <c r="K93" s="105" t="s">
        <v>666</v>
      </c>
      <c r="L93" s="105" t="s">
        <v>669</v>
      </c>
      <c r="M93" s="105">
        <v>826</v>
      </c>
      <c r="N93" s="105" t="s">
        <v>685</v>
      </c>
      <c r="O93" s="105" t="s">
        <v>64</v>
      </c>
      <c r="P93" s="105">
        <v>0</v>
      </c>
      <c r="Q93" s="105" t="s">
        <v>670</v>
      </c>
      <c r="R93" s="105" t="s">
        <v>23</v>
      </c>
      <c r="S93" s="105" t="s">
        <v>671</v>
      </c>
      <c r="T93" s="105" t="s">
        <v>672</v>
      </c>
      <c r="U93" s="105" t="b">
        <v>1</v>
      </c>
      <c r="V93" s="105" t="s">
        <v>745</v>
      </c>
      <c r="W93" s="105" t="s">
        <v>746</v>
      </c>
      <c r="X93" s="105">
        <v>6</v>
      </c>
      <c r="Y93" s="105" t="b">
        <v>1</v>
      </c>
      <c r="Z93" s="105" t="s">
        <v>675</v>
      </c>
      <c r="AA93" s="105" t="s">
        <v>676</v>
      </c>
      <c r="AB93" s="105" t="s">
        <v>677</v>
      </c>
      <c r="AC93" s="105">
        <v>0</v>
      </c>
      <c r="AD93" s="105" t="s">
        <v>678</v>
      </c>
      <c r="AE93" s="105">
        <v>8</v>
      </c>
      <c r="AF93" s="105" t="s">
        <v>679</v>
      </c>
      <c r="AG93" s="105">
        <v>51725.237999999998</v>
      </c>
      <c r="AH93" s="105" t="b">
        <v>1</v>
      </c>
      <c r="AI93" s="105">
        <v>-1</v>
      </c>
      <c r="AJ93" s="105" t="s">
        <v>680</v>
      </c>
      <c r="AK93" s="105">
        <v>0</v>
      </c>
      <c r="AL93" s="105" t="b">
        <v>0</v>
      </c>
      <c r="AM93" s="105">
        <v>51725.237999999998</v>
      </c>
      <c r="AN93" s="105" t="b">
        <v>1</v>
      </c>
      <c r="AO93" s="105">
        <v>0</v>
      </c>
      <c r="AP93" s="105" t="b">
        <v>0</v>
      </c>
      <c r="AQ93" s="105">
        <v>249670.25399999999</v>
      </c>
      <c r="AR93" s="105"/>
      <c r="AS93" s="105">
        <v>249670.25399999999</v>
      </c>
      <c r="AT93" s="105">
        <v>6</v>
      </c>
      <c r="AU93" s="105" t="b">
        <v>1</v>
      </c>
      <c r="AV93" s="105" t="b">
        <v>0</v>
      </c>
    </row>
    <row r="94" spans="1:48" s="46" customFormat="1">
      <c r="A94" s="105"/>
      <c r="B94" s="105" t="s">
        <v>665</v>
      </c>
      <c r="C94" s="105" t="s">
        <v>666</v>
      </c>
      <c r="D94" s="105">
        <v>20230101</v>
      </c>
      <c r="E94" s="105">
        <v>2023</v>
      </c>
      <c r="F94" s="105">
        <v>1</v>
      </c>
      <c r="G94" s="105" t="s">
        <v>704</v>
      </c>
      <c r="H94" s="105">
        <v>818</v>
      </c>
      <c r="I94" s="105" t="s">
        <v>668</v>
      </c>
      <c r="J94" s="105" t="s">
        <v>57</v>
      </c>
      <c r="K94" s="105" t="s">
        <v>666</v>
      </c>
      <c r="L94" s="105" t="s">
        <v>669</v>
      </c>
      <c r="M94" s="105">
        <v>842</v>
      </c>
      <c r="N94" s="105" t="s">
        <v>713</v>
      </c>
      <c r="O94" s="105" t="s">
        <v>713</v>
      </c>
      <c r="P94" s="105">
        <v>0</v>
      </c>
      <c r="Q94" s="105" t="s">
        <v>670</v>
      </c>
      <c r="R94" s="105" t="s">
        <v>23</v>
      </c>
      <c r="S94" s="105" t="s">
        <v>671</v>
      </c>
      <c r="T94" s="105" t="s">
        <v>672</v>
      </c>
      <c r="U94" s="105" t="b">
        <v>1</v>
      </c>
      <c r="V94" s="105" t="s">
        <v>745</v>
      </c>
      <c r="W94" s="105" t="s">
        <v>746</v>
      </c>
      <c r="X94" s="105">
        <v>6</v>
      </c>
      <c r="Y94" s="105" t="b">
        <v>1</v>
      </c>
      <c r="Z94" s="105" t="s">
        <v>675</v>
      </c>
      <c r="AA94" s="105" t="s">
        <v>676</v>
      </c>
      <c r="AB94" s="105" t="s">
        <v>677</v>
      </c>
      <c r="AC94" s="105">
        <v>0</v>
      </c>
      <c r="AD94" s="105" t="s">
        <v>678</v>
      </c>
      <c r="AE94" s="105">
        <v>8</v>
      </c>
      <c r="AF94" s="105" t="s">
        <v>679</v>
      </c>
      <c r="AG94" s="105">
        <v>14457.415000000001</v>
      </c>
      <c r="AH94" s="105" t="b">
        <v>1</v>
      </c>
      <c r="AI94" s="105">
        <v>-1</v>
      </c>
      <c r="AJ94" s="105" t="s">
        <v>680</v>
      </c>
      <c r="AK94" s="105">
        <v>0</v>
      </c>
      <c r="AL94" s="105" t="b">
        <v>0</v>
      </c>
      <c r="AM94" s="105">
        <v>14457.415000000001</v>
      </c>
      <c r="AN94" s="105" t="b">
        <v>1</v>
      </c>
      <c r="AO94" s="105">
        <v>0</v>
      </c>
      <c r="AP94" s="105" t="b">
        <v>0</v>
      </c>
      <c r="AQ94" s="105">
        <v>69783.856</v>
      </c>
      <c r="AR94" s="105"/>
      <c r="AS94" s="105">
        <v>69783.856</v>
      </c>
      <c r="AT94" s="105">
        <v>6</v>
      </c>
      <c r="AU94" s="105" t="b">
        <v>1</v>
      </c>
      <c r="AV94" s="105" t="b">
        <v>0</v>
      </c>
    </row>
    <row r="95" spans="1:48" s="46" customFormat="1">
      <c r="A95" s="105"/>
      <c r="B95" s="105" t="s">
        <v>665</v>
      </c>
      <c r="C95" s="105" t="s">
        <v>666</v>
      </c>
      <c r="D95" s="105">
        <v>20230101</v>
      </c>
      <c r="E95" s="105">
        <v>2023</v>
      </c>
      <c r="F95" s="105">
        <v>1</v>
      </c>
      <c r="G95" s="105" t="s">
        <v>704</v>
      </c>
      <c r="H95" s="105">
        <v>818</v>
      </c>
      <c r="I95" s="105" t="s">
        <v>668</v>
      </c>
      <c r="J95" s="105" t="s">
        <v>57</v>
      </c>
      <c r="K95" s="105" t="s">
        <v>701</v>
      </c>
      <c r="L95" s="105" t="s">
        <v>702</v>
      </c>
      <c r="M95" s="105">
        <v>0</v>
      </c>
      <c r="N95" s="105" t="s">
        <v>670</v>
      </c>
      <c r="O95" s="105" t="s">
        <v>23</v>
      </c>
      <c r="P95" s="105">
        <v>0</v>
      </c>
      <c r="Q95" s="105" t="s">
        <v>670</v>
      </c>
      <c r="R95" s="105" t="s">
        <v>23</v>
      </c>
      <c r="S95" s="105" t="s">
        <v>671</v>
      </c>
      <c r="T95" s="105" t="s">
        <v>672</v>
      </c>
      <c r="U95" s="105" t="b">
        <v>1</v>
      </c>
      <c r="V95" s="105" t="s">
        <v>745</v>
      </c>
      <c r="W95" s="105" t="s">
        <v>746</v>
      </c>
      <c r="X95" s="105">
        <v>6</v>
      </c>
      <c r="Y95" s="105" t="b">
        <v>1</v>
      </c>
      <c r="Z95" s="105" t="s">
        <v>675</v>
      </c>
      <c r="AA95" s="105" t="s">
        <v>676</v>
      </c>
      <c r="AB95" s="105" t="s">
        <v>677</v>
      </c>
      <c r="AC95" s="105">
        <v>0</v>
      </c>
      <c r="AD95" s="105" t="s">
        <v>678</v>
      </c>
      <c r="AE95" s="105">
        <v>8</v>
      </c>
      <c r="AF95" s="105" t="s">
        <v>679</v>
      </c>
      <c r="AG95" s="105">
        <v>26412.538</v>
      </c>
      <c r="AH95" s="105" t="b">
        <v>1</v>
      </c>
      <c r="AI95" s="105">
        <v>-1</v>
      </c>
      <c r="AJ95" s="105" t="s">
        <v>680</v>
      </c>
      <c r="AK95" s="105">
        <v>0</v>
      </c>
      <c r="AL95" s="105" t="b">
        <v>0</v>
      </c>
      <c r="AM95" s="105">
        <v>26412.538</v>
      </c>
      <c r="AN95" s="105" t="b">
        <v>1</v>
      </c>
      <c r="AO95" s="105">
        <v>0</v>
      </c>
      <c r="AP95" s="105" t="b">
        <v>0</v>
      </c>
      <c r="AQ95" s="105"/>
      <c r="AR95" s="105">
        <v>136656</v>
      </c>
      <c r="AS95" s="105">
        <v>136656</v>
      </c>
      <c r="AT95" s="105">
        <v>6</v>
      </c>
      <c r="AU95" s="105" t="b">
        <v>0</v>
      </c>
      <c r="AV95" s="105" t="b">
        <v>1</v>
      </c>
    </row>
    <row r="96" spans="1:48" s="46" customFormat="1">
      <c r="A96" s="105"/>
      <c r="B96" s="105" t="s">
        <v>665</v>
      </c>
      <c r="C96" s="105" t="s">
        <v>666</v>
      </c>
      <c r="D96" s="105">
        <v>20230101</v>
      </c>
      <c r="E96" s="105">
        <v>2023</v>
      </c>
      <c r="F96" s="105">
        <v>1</v>
      </c>
      <c r="G96" s="105" t="s">
        <v>704</v>
      </c>
      <c r="H96" s="105">
        <v>818</v>
      </c>
      <c r="I96" s="105" t="s">
        <v>668</v>
      </c>
      <c r="J96" s="105" t="s">
        <v>57</v>
      </c>
      <c r="K96" s="105" t="s">
        <v>701</v>
      </c>
      <c r="L96" s="105" t="s">
        <v>702</v>
      </c>
      <c r="M96" s="105">
        <v>842</v>
      </c>
      <c r="N96" s="105" t="s">
        <v>713</v>
      </c>
      <c r="O96" s="105" t="s">
        <v>713</v>
      </c>
      <c r="P96" s="105">
        <v>0</v>
      </c>
      <c r="Q96" s="105" t="s">
        <v>670</v>
      </c>
      <c r="R96" s="105" t="s">
        <v>23</v>
      </c>
      <c r="S96" s="105" t="s">
        <v>671</v>
      </c>
      <c r="T96" s="105" t="s">
        <v>672</v>
      </c>
      <c r="U96" s="105" t="b">
        <v>1</v>
      </c>
      <c r="V96" s="105" t="s">
        <v>745</v>
      </c>
      <c r="W96" s="105" t="s">
        <v>746</v>
      </c>
      <c r="X96" s="105">
        <v>6</v>
      </c>
      <c r="Y96" s="105" t="b">
        <v>1</v>
      </c>
      <c r="Z96" s="105" t="s">
        <v>675</v>
      </c>
      <c r="AA96" s="105" t="s">
        <v>676</v>
      </c>
      <c r="AB96" s="105" t="s">
        <v>677</v>
      </c>
      <c r="AC96" s="105">
        <v>0</v>
      </c>
      <c r="AD96" s="105" t="s">
        <v>678</v>
      </c>
      <c r="AE96" s="105">
        <v>8</v>
      </c>
      <c r="AF96" s="105" t="s">
        <v>679</v>
      </c>
      <c r="AG96" s="105">
        <v>26412.538</v>
      </c>
      <c r="AH96" s="105" t="b">
        <v>1</v>
      </c>
      <c r="AI96" s="105">
        <v>-1</v>
      </c>
      <c r="AJ96" s="105" t="s">
        <v>680</v>
      </c>
      <c r="AK96" s="105">
        <v>0</v>
      </c>
      <c r="AL96" s="105" t="b">
        <v>0</v>
      </c>
      <c r="AM96" s="105">
        <v>26412.538</v>
      </c>
      <c r="AN96" s="105" t="b">
        <v>1</v>
      </c>
      <c r="AO96" s="105">
        <v>0</v>
      </c>
      <c r="AP96" s="105" t="b">
        <v>0</v>
      </c>
      <c r="AQ96" s="105"/>
      <c r="AR96" s="105">
        <v>136656</v>
      </c>
      <c r="AS96" s="105">
        <v>136656</v>
      </c>
      <c r="AT96" s="105">
        <v>6</v>
      </c>
      <c r="AU96" s="105" t="b">
        <v>1</v>
      </c>
      <c r="AV96" s="105" t="b">
        <v>0</v>
      </c>
    </row>
    <row r="97" spans="1:48" s="46" customFormat="1">
      <c r="A97" s="105"/>
      <c r="B97" s="105" t="s">
        <v>665</v>
      </c>
      <c r="C97" s="105" t="s">
        <v>666</v>
      </c>
      <c r="D97" s="105">
        <v>20230201</v>
      </c>
      <c r="E97" s="105">
        <v>2023</v>
      </c>
      <c r="F97" s="105">
        <v>2</v>
      </c>
      <c r="G97" s="105" t="s">
        <v>710</v>
      </c>
      <c r="H97" s="105">
        <v>818</v>
      </c>
      <c r="I97" s="105" t="s">
        <v>668</v>
      </c>
      <c r="J97" s="105" t="s">
        <v>57</v>
      </c>
      <c r="K97" s="105" t="s">
        <v>666</v>
      </c>
      <c r="L97" s="105" t="s">
        <v>669</v>
      </c>
      <c r="M97" s="105">
        <v>0</v>
      </c>
      <c r="N97" s="105" t="s">
        <v>670</v>
      </c>
      <c r="O97" s="105" t="s">
        <v>23</v>
      </c>
      <c r="P97" s="105">
        <v>0</v>
      </c>
      <c r="Q97" s="105" t="s">
        <v>670</v>
      </c>
      <c r="R97" s="105" t="s">
        <v>23</v>
      </c>
      <c r="S97" s="105" t="s">
        <v>671</v>
      </c>
      <c r="T97" s="105" t="s">
        <v>672</v>
      </c>
      <c r="U97" s="105" t="b">
        <v>1</v>
      </c>
      <c r="V97" s="105" t="s">
        <v>745</v>
      </c>
      <c r="W97" s="105" t="s">
        <v>746</v>
      </c>
      <c r="X97" s="105">
        <v>6</v>
      </c>
      <c r="Y97" s="105" t="b">
        <v>1</v>
      </c>
      <c r="Z97" s="105" t="s">
        <v>675</v>
      </c>
      <c r="AA97" s="105" t="s">
        <v>676</v>
      </c>
      <c r="AB97" s="105" t="s">
        <v>677</v>
      </c>
      <c r="AC97" s="105">
        <v>0</v>
      </c>
      <c r="AD97" s="105" t="s">
        <v>678</v>
      </c>
      <c r="AE97" s="105">
        <v>8</v>
      </c>
      <c r="AF97" s="105" t="s">
        <v>679</v>
      </c>
      <c r="AG97" s="105">
        <v>110014.12</v>
      </c>
      <c r="AH97" s="105" t="b">
        <v>1</v>
      </c>
      <c r="AI97" s="105">
        <v>-1</v>
      </c>
      <c r="AJ97" s="105" t="s">
        <v>680</v>
      </c>
      <c r="AK97" s="105">
        <v>0</v>
      </c>
      <c r="AL97" s="105" t="b">
        <v>0</v>
      </c>
      <c r="AM97" s="105">
        <v>110014.12</v>
      </c>
      <c r="AN97" s="105" t="b">
        <v>1</v>
      </c>
      <c r="AO97" s="105">
        <v>0</v>
      </c>
      <c r="AP97" s="105" t="b">
        <v>0</v>
      </c>
      <c r="AQ97" s="105">
        <v>531022.26899999997</v>
      </c>
      <c r="AR97" s="105"/>
      <c r="AS97" s="105">
        <v>531022.26899999997</v>
      </c>
      <c r="AT97" s="105">
        <v>6</v>
      </c>
      <c r="AU97" s="105" t="b">
        <v>0</v>
      </c>
      <c r="AV97" s="105" t="b">
        <v>1</v>
      </c>
    </row>
    <row r="98" spans="1:48" s="46" customFormat="1">
      <c r="A98" s="105"/>
      <c r="B98" s="105" t="s">
        <v>665</v>
      </c>
      <c r="C98" s="105" t="s">
        <v>666</v>
      </c>
      <c r="D98" s="105">
        <v>20230201</v>
      </c>
      <c r="E98" s="105">
        <v>2023</v>
      </c>
      <c r="F98" s="105">
        <v>2</v>
      </c>
      <c r="G98" s="105" t="s">
        <v>710</v>
      </c>
      <c r="H98" s="105">
        <v>818</v>
      </c>
      <c r="I98" s="105" t="s">
        <v>668</v>
      </c>
      <c r="J98" s="105" t="s">
        <v>57</v>
      </c>
      <c r="K98" s="105" t="s">
        <v>666</v>
      </c>
      <c r="L98" s="105" t="s">
        <v>669</v>
      </c>
      <c r="M98" s="105">
        <v>156</v>
      </c>
      <c r="N98" s="105" t="s">
        <v>711</v>
      </c>
      <c r="O98" s="105" t="s">
        <v>29</v>
      </c>
      <c r="P98" s="105">
        <v>0</v>
      </c>
      <c r="Q98" s="105" t="s">
        <v>670</v>
      </c>
      <c r="R98" s="105" t="s">
        <v>23</v>
      </c>
      <c r="S98" s="105" t="s">
        <v>671</v>
      </c>
      <c r="T98" s="105" t="s">
        <v>672</v>
      </c>
      <c r="U98" s="105" t="b">
        <v>1</v>
      </c>
      <c r="V98" s="105" t="s">
        <v>745</v>
      </c>
      <c r="W98" s="105" t="s">
        <v>746</v>
      </c>
      <c r="X98" s="105">
        <v>6</v>
      </c>
      <c r="Y98" s="105" t="b">
        <v>1</v>
      </c>
      <c r="Z98" s="105" t="s">
        <v>675</v>
      </c>
      <c r="AA98" s="105" t="s">
        <v>676</v>
      </c>
      <c r="AB98" s="105" t="s">
        <v>677</v>
      </c>
      <c r="AC98" s="105">
        <v>0</v>
      </c>
      <c r="AD98" s="105" t="s">
        <v>678</v>
      </c>
      <c r="AE98" s="105">
        <v>8</v>
      </c>
      <c r="AF98" s="105" t="s">
        <v>679</v>
      </c>
      <c r="AG98" s="105">
        <v>4022.2869999999998</v>
      </c>
      <c r="AH98" s="105" t="b">
        <v>1</v>
      </c>
      <c r="AI98" s="105">
        <v>-1</v>
      </c>
      <c r="AJ98" s="105" t="s">
        <v>680</v>
      </c>
      <c r="AK98" s="105">
        <v>0</v>
      </c>
      <c r="AL98" s="105" t="b">
        <v>0</v>
      </c>
      <c r="AM98" s="105">
        <v>4022.2869999999998</v>
      </c>
      <c r="AN98" s="105" t="b">
        <v>1</v>
      </c>
      <c r="AO98" s="105">
        <v>0</v>
      </c>
      <c r="AP98" s="105" t="b">
        <v>0</v>
      </c>
      <c r="AQ98" s="105">
        <v>19415</v>
      </c>
      <c r="AR98" s="105"/>
      <c r="AS98" s="105">
        <v>19415</v>
      </c>
      <c r="AT98" s="105">
        <v>6</v>
      </c>
      <c r="AU98" s="105" t="b">
        <v>1</v>
      </c>
      <c r="AV98" s="105" t="b">
        <v>0</v>
      </c>
    </row>
    <row r="99" spans="1:48" s="46" customFormat="1">
      <c r="A99" s="105"/>
      <c r="B99" s="105" t="s">
        <v>665</v>
      </c>
      <c r="C99" s="105" t="s">
        <v>666</v>
      </c>
      <c r="D99" s="105">
        <v>20230201</v>
      </c>
      <c r="E99" s="105">
        <v>2023</v>
      </c>
      <c r="F99" s="105">
        <v>2</v>
      </c>
      <c r="G99" s="105" t="s">
        <v>710</v>
      </c>
      <c r="H99" s="105">
        <v>818</v>
      </c>
      <c r="I99" s="105" t="s">
        <v>668</v>
      </c>
      <c r="J99" s="105" t="s">
        <v>57</v>
      </c>
      <c r="K99" s="105" t="s">
        <v>666</v>
      </c>
      <c r="L99" s="105" t="s">
        <v>669</v>
      </c>
      <c r="M99" s="105">
        <v>251</v>
      </c>
      <c r="N99" s="105" t="s">
        <v>688</v>
      </c>
      <c r="O99" s="105" t="s">
        <v>69</v>
      </c>
      <c r="P99" s="105">
        <v>0</v>
      </c>
      <c r="Q99" s="105" t="s">
        <v>670</v>
      </c>
      <c r="R99" s="105" t="s">
        <v>23</v>
      </c>
      <c r="S99" s="105" t="s">
        <v>671</v>
      </c>
      <c r="T99" s="105" t="s">
        <v>672</v>
      </c>
      <c r="U99" s="105" t="b">
        <v>1</v>
      </c>
      <c r="V99" s="105" t="s">
        <v>745</v>
      </c>
      <c r="W99" s="105" t="s">
        <v>746</v>
      </c>
      <c r="X99" s="105">
        <v>6</v>
      </c>
      <c r="Y99" s="105" t="b">
        <v>1</v>
      </c>
      <c r="Z99" s="105" t="s">
        <v>675</v>
      </c>
      <c r="AA99" s="105" t="s">
        <v>676</v>
      </c>
      <c r="AB99" s="105" t="s">
        <v>677</v>
      </c>
      <c r="AC99" s="105">
        <v>0</v>
      </c>
      <c r="AD99" s="105" t="s">
        <v>678</v>
      </c>
      <c r="AE99" s="105">
        <v>8</v>
      </c>
      <c r="AF99" s="105" t="s">
        <v>679</v>
      </c>
      <c r="AG99" s="105">
        <v>1965.999</v>
      </c>
      <c r="AH99" s="105" t="b">
        <v>1</v>
      </c>
      <c r="AI99" s="105">
        <v>-1</v>
      </c>
      <c r="AJ99" s="105" t="s">
        <v>680</v>
      </c>
      <c r="AK99" s="105">
        <v>0</v>
      </c>
      <c r="AL99" s="105" t="b">
        <v>0</v>
      </c>
      <c r="AM99" s="105">
        <v>1965.999</v>
      </c>
      <c r="AN99" s="105" t="b">
        <v>1</v>
      </c>
      <c r="AO99" s="105">
        <v>0</v>
      </c>
      <c r="AP99" s="105" t="b">
        <v>0</v>
      </c>
      <c r="AQ99" s="105">
        <v>9489.5930000000008</v>
      </c>
      <c r="AR99" s="105"/>
      <c r="AS99" s="105">
        <v>9489.5930000000008</v>
      </c>
      <c r="AT99" s="105">
        <v>6</v>
      </c>
      <c r="AU99" s="105" t="b">
        <v>1</v>
      </c>
      <c r="AV99" s="105" t="b">
        <v>0</v>
      </c>
    </row>
    <row r="100" spans="1:48" s="46" customFormat="1">
      <c r="A100" s="105"/>
      <c r="B100" s="105" t="s">
        <v>665</v>
      </c>
      <c r="C100" s="105" t="s">
        <v>666</v>
      </c>
      <c r="D100" s="105">
        <v>20230201</v>
      </c>
      <c r="E100" s="105">
        <v>2023</v>
      </c>
      <c r="F100" s="105">
        <v>2</v>
      </c>
      <c r="G100" s="105" t="s">
        <v>710</v>
      </c>
      <c r="H100" s="105">
        <v>818</v>
      </c>
      <c r="I100" s="105" t="s">
        <v>668</v>
      </c>
      <c r="J100" s="105" t="s">
        <v>57</v>
      </c>
      <c r="K100" s="105" t="s">
        <v>666</v>
      </c>
      <c r="L100" s="105" t="s">
        <v>669</v>
      </c>
      <c r="M100" s="105">
        <v>276</v>
      </c>
      <c r="N100" s="105" t="s">
        <v>681</v>
      </c>
      <c r="O100" s="105" t="s">
        <v>30</v>
      </c>
      <c r="P100" s="105">
        <v>0</v>
      </c>
      <c r="Q100" s="105" t="s">
        <v>670</v>
      </c>
      <c r="R100" s="105" t="s">
        <v>23</v>
      </c>
      <c r="S100" s="105" t="s">
        <v>671</v>
      </c>
      <c r="T100" s="105" t="s">
        <v>672</v>
      </c>
      <c r="U100" s="105" t="b">
        <v>1</v>
      </c>
      <c r="V100" s="105" t="s">
        <v>745</v>
      </c>
      <c r="W100" s="105" t="s">
        <v>746</v>
      </c>
      <c r="X100" s="105">
        <v>6</v>
      </c>
      <c r="Y100" s="105" t="b">
        <v>1</v>
      </c>
      <c r="Z100" s="105" t="s">
        <v>675</v>
      </c>
      <c r="AA100" s="105" t="s">
        <v>676</v>
      </c>
      <c r="AB100" s="105" t="s">
        <v>677</v>
      </c>
      <c r="AC100" s="105">
        <v>0</v>
      </c>
      <c r="AD100" s="105" t="s">
        <v>678</v>
      </c>
      <c r="AE100" s="105">
        <v>8</v>
      </c>
      <c r="AF100" s="105" t="s">
        <v>679</v>
      </c>
      <c r="AG100" s="105">
        <v>955.80200000000002</v>
      </c>
      <c r="AH100" s="105" t="b">
        <v>1</v>
      </c>
      <c r="AI100" s="105">
        <v>-1</v>
      </c>
      <c r="AJ100" s="105" t="s">
        <v>680</v>
      </c>
      <c r="AK100" s="105">
        <v>0</v>
      </c>
      <c r="AL100" s="105" t="b">
        <v>0</v>
      </c>
      <c r="AM100" s="105">
        <v>955.80200000000002</v>
      </c>
      <c r="AN100" s="105" t="b">
        <v>1</v>
      </c>
      <c r="AO100" s="105">
        <v>0</v>
      </c>
      <c r="AP100" s="105" t="b">
        <v>0</v>
      </c>
      <c r="AQ100" s="105">
        <v>4613.5200000000004</v>
      </c>
      <c r="AR100" s="105"/>
      <c r="AS100" s="105">
        <v>4613.5200000000004</v>
      </c>
      <c r="AT100" s="105">
        <v>6</v>
      </c>
      <c r="AU100" s="105" t="b">
        <v>1</v>
      </c>
      <c r="AV100" s="105" t="b">
        <v>0</v>
      </c>
    </row>
    <row r="101" spans="1:48" s="46" customFormat="1">
      <c r="A101" s="105"/>
      <c r="B101" s="105" t="s">
        <v>665</v>
      </c>
      <c r="C101" s="105" t="s">
        <v>666</v>
      </c>
      <c r="D101" s="105">
        <v>20230201</v>
      </c>
      <c r="E101" s="105">
        <v>2023</v>
      </c>
      <c r="F101" s="105">
        <v>2</v>
      </c>
      <c r="G101" s="105" t="s">
        <v>710</v>
      </c>
      <c r="H101" s="105">
        <v>818</v>
      </c>
      <c r="I101" s="105" t="s">
        <v>668</v>
      </c>
      <c r="J101" s="105" t="s">
        <v>57</v>
      </c>
      <c r="K101" s="105" t="s">
        <v>666</v>
      </c>
      <c r="L101" s="105" t="s">
        <v>669</v>
      </c>
      <c r="M101" s="105">
        <v>392</v>
      </c>
      <c r="N101" s="105" t="s">
        <v>747</v>
      </c>
      <c r="O101" s="105" t="s">
        <v>32</v>
      </c>
      <c r="P101" s="105">
        <v>0</v>
      </c>
      <c r="Q101" s="105" t="s">
        <v>670</v>
      </c>
      <c r="R101" s="105" t="s">
        <v>23</v>
      </c>
      <c r="S101" s="105" t="s">
        <v>671</v>
      </c>
      <c r="T101" s="105" t="s">
        <v>672</v>
      </c>
      <c r="U101" s="105" t="b">
        <v>1</v>
      </c>
      <c r="V101" s="105" t="s">
        <v>745</v>
      </c>
      <c r="W101" s="105" t="s">
        <v>746</v>
      </c>
      <c r="X101" s="105">
        <v>6</v>
      </c>
      <c r="Y101" s="105" t="b">
        <v>1</v>
      </c>
      <c r="Z101" s="105" t="s">
        <v>675</v>
      </c>
      <c r="AA101" s="105" t="s">
        <v>676</v>
      </c>
      <c r="AB101" s="105" t="s">
        <v>677</v>
      </c>
      <c r="AC101" s="105">
        <v>0</v>
      </c>
      <c r="AD101" s="105" t="s">
        <v>678</v>
      </c>
      <c r="AE101" s="105">
        <v>8</v>
      </c>
      <c r="AF101" s="105" t="s">
        <v>679</v>
      </c>
      <c r="AG101" s="105">
        <v>25902.633000000002</v>
      </c>
      <c r="AH101" s="105" t="b">
        <v>1</v>
      </c>
      <c r="AI101" s="105">
        <v>-1</v>
      </c>
      <c r="AJ101" s="105" t="s">
        <v>680</v>
      </c>
      <c r="AK101" s="105">
        <v>0</v>
      </c>
      <c r="AL101" s="105" t="b">
        <v>0</v>
      </c>
      <c r="AM101" s="105">
        <v>25902.633000000002</v>
      </c>
      <c r="AN101" s="105" t="b">
        <v>1</v>
      </c>
      <c r="AO101" s="105">
        <v>0</v>
      </c>
      <c r="AP101" s="105" t="b">
        <v>0</v>
      </c>
      <c r="AQ101" s="105">
        <v>125028.269</v>
      </c>
      <c r="AR101" s="105"/>
      <c r="AS101" s="105">
        <v>125028.269</v>
      </c>
      <c r="AT101" s="105">
        <v>6</v>
      </c>
      <c r="AU101" s="105" t="b">
        <v>1</v>
      </c>
      <c r="AV101" s="105" t="b">
        <v>0</v>
      </c>
    </row>
    <row r="102" spans="1:48" s="46" customFormat="1">
      <c r="A102" s="105"/>
      <c r="B102" s="105" t="s">
        <v>665</v>
      </c>
      <c r="C102" s="105" t="s">
        <v>666</v>
      </c>
      <c r="D102" s="105">
        <v>20230201</v>
      </c>
      <c r="E102" s="105">
        <v>2023</v>
      </c>
      <c r="F102" s="105">
        <v>2</v>
      </c>
      <c r="G102" s="105" t="s">
        <v>710</v>
      </c>
      <c r="H102" s="105">
        <v>818</v>
      </c>
      <c r="I102" s="105" t="s">
        <v>668</v>
      </c>
      <c r="J102" s="105" t="s">
        <v>57</v>
      </c>
      <c r="K102" s="105" t="s">
        <v>666</v>
      </c>
      <c r="L102" s="105" t="s">
        <v>669</v>
      </c>
      <c r="M102" s="105">
        <v>568</v>
      </c>
      <c r="N102" s="105" t="s">
        <v>682</v>
      </c>
      <c r="O102" s="105" t="s">
        <v>683</v>
      </c>
      <c r="P102" s="105">
        <v>0</v>
      </c>
      <c r="Q102" s="105" t="s">
        <v>670</v>
      </c>
      <c r="R102" s="105" t="s">
        <v>23</v>
      </c>
      <c r="S102" s="105" t="s">
        <v>671</v>
      </c>
      <c r="T102" s="105" t="s">
        <v>672</v>
      </c>
      <c r="U102" s="105" t="b">
        <v>1</v>
      </c>
      <c r="V102" s="105" t="s">
        <v>745</v>
      </c>
      <c r="W102" s="105" t="s">
        <v>746</v>
      </c>
      <c r="X102" s="105">
        <v>6</v>
      </c>
      <c r="Y102" s="105" t="b">
        <v>1</v>
      </c>
      <c r="Z102" s="105" t="s">
        <v>675</v>
      </c>
      <c r="AA102" s="105" t="s">
        <v>676</v>
      </c>
      <c r="AB102" s="105" t="s">
        <v>677</v>
      </c>
      <c r="AC102" s="105">
        <v>0</v>
      </c>
      <c r="AD102" s="105" t="s">
        <v>678</v>
      </c>
      <c r="AE102" s="105">
        <v>8</v>
      </c>
      <c r="AF102" s="105" t="s">
        <v>679</v>
      </c>
      <c r="AG102" s="105">
        <v>687.74800000000005</v>
      </c>
      <c r="AH102" s="105" t="b">
        <v>1</v>
      </c>
      <c r="AI102" s="105">
        <v>-1</v>
      </c>
      <c r="AJ102" s="105" t="s">
        <v>680</v>
      </c>
      <c r="AK102" s="105">
        <v>0</v>
      </c>
      <c r="AL102" s="105" t="b">
        <v>0</v>
      </c>
      <c r="AM102" s="105">
        <v>687.74800000000005</v>
      </c>
      <c r="AN102" s="105" t="b">
        <v>1</v>
      </c>
      <c r="AO102" s="105">
        <v>0</v>
      </c>
      <c r="AP102" s="105" t="b">
        <v>0</v>
      </c>
      <c r="AQ102" s="105">
        <v>3319.6619999999998</v>
      </c>
      <c r="AR102" s="105"/>
      <c r="AS102" s="105">
        <v>3319.6619999999998</v>
      </c>
      <c r="AT102" s="105">
        <v>6</v>
      </c>
      <c r="AU102" s="105" t="b">
        <v>1</v>
      </c>
      <c r="AV102" s="105" t="b">
        <v>0</v>
      </c>
    </row>
    <row r="103" spans="1:48" s="46" customFormat="1">
      <c r="A103" s="105"/>
      <c r="B103" s="105" t="s">
        <v>665</v>
      </c>
      <c r="C103" s="105" t="s">
        <v>666</v>
      </c>
      <c r="D103" s="105">
        <v>20230201</v>
      </c>
      <c r="E103" s="105">
        <v>2023</v>
      </c>
      <c r="F103" s="105">
        <v>2</v>
      </c>
      <c r="G103" s="105" t="s">
        <v>710</v>
      </c>
      <c r="H103" s="105">
        <v>818</v>
      </c>
      <c r="I103" s="105" t="s">
        <v>668</v>
      </c>
      <c r="J103" s="105" t="s">
        <v>57</v>
      </c>
      <c r="K103" s="105" t="s">
        <v>666</v>
      </c>
      <c r="L103" s="105" t="s">
        <v>669</v>
      </c>
      <c r="M103" s="105">
        <v>699</v>
      </c>
      <c r="N103" s="105" t="s">
        <v>748</v>
      </c>
      <c r="O103" s="105" t="s">
        <v>0</v>
      </c>
      <c r="P103" s="105">
        <v>0</v>
      </c>
      <c r="Q103" s="105" t="s">
        <v>670</v>
      </c>
      <c r="R103" s="105" t="s">
        <v>23</v>
      </c>
      <c r="S103" s="105" t="s">
        <v>671</v>
      </c>
      <c r="T103" s="105" t="s">
        <v>672</v>
      </c>
      <c r="U103" s="105" t="b">
        <v>1</v>
      </c>
      <c r="V103" s="105" t="s">
        <v>745</v>
      </c>
      <c r="W103" s="105" t="s">
        <v>746</v>
      </c>
      <c r="X103" s="105">
        <v>6</v>
      </c>
      <c r="Y103" s="105" t="b">
        <v>1</v>
      </c>
      <c r="Z103" s="105" t="s">
        <v>675</v>
      </c>
      <c r="AA103" s="105" t="s">
        <v>676</v>
      </c>
      <c r="AB103" s="105" t="s">
        <v>677</v>
      </c>
      <c r="AC103" s="105">
        <v>0</v>
      </c>
      <c r="AD103" s="105" t="s">
        <v>678</v>
      </c>
      <c r="AE103" s="105">
        <v>8</v>
      </c>
      <c r="AF103" s="105" t="s">
        <v>679</v>
      </c>
      <c r="AG103" s="105">
        <v>8958.0370000000003</v>
      </c>
      <c r="AH103" s="105" t="b">
        <v>1</v>
      </c>
      <c r="AI103" s="105">
        <v>-1</v>
      </c>
      <c r="AJ103" s="105" t="s">
        <v>680</v>
      </c>
      <c r="AK103" s="105">
        <v>0</v>
      </c>
      <c r="AL103" s="105" t="b">
        <v>0</v>
      </c>
      <c r="AM103" s="105">
        <v>8958.0370000000003</v>
      </c>
      <c r="AN103" s="105" t="b">
        <v>1</v>
      </c>
      <c r="AO103" s="105">
        <v>0</v>
      </c>
      <c r="AP103" s="105" t="b">
        <v>0</v>
      </c>
      <c r="AQ103" s="105">
        <v>43239.148999999998</v>
      </c>
      <c r="AR103" s="105"/>
      <c r="AS103" s="105">
        <v>43239.148999999998</v>
      </c>
      <c r="AT103" s="105">
        <v>6</v>
      </c>
      <c r="AU103" s="105" t="b">
        <v>1</v>
      </c>
      <c r="AV103" s="105" t="b">
        <v>0</v>
      </c>
    </row>
    <row r="104" spans="1:48" s="46" customFormat="1">
      <c r="A104" s="105"/>
      <c r="B104" s="105" t="s">
        <v>665</v>
      </c>
      <c r="C104" s="105" t="s">
        <v>666</v>
      </c>
      <c r="D104" s="105">
        <v>20230201</v>
      </c>
      <c r="E104" s="105">
        <v>2023</v>
      </c>
      <c r="F104" s="105">
        <v>2</v>
      </c>
      <c r="G104" s="105" t="s">
        <v>710</v>
      </c>
      <c r="H104" s="105">
        <v>818</v>
      </c>
      <c r="I104" s="105" t="s">
        <v>668</v>
      </c>
      <c r="J104" s="105" t="s">
        <v>57</v>
      </c>
      <c r="K104" s="105" t="s">
        <v>666</v>
      </c>
      <c r="L104" s="105" t="s">
        <v>669</v>
      </c>
      <c r="M104" s="105">
        <v>764</v>
      </c>
      <c r="N104" s="105" t="s">
        <v>749</v>
      </c>
      <c r="O104" s="105" t="s">
        <v>55</v>
      </c>
      <c r="P104" s="105">
        <v>0</v>
      </c>
      <c r="Q104" s="105" t="s">
        <v>670</v>
      </c>
      <c r="R104" s="105" t="s">
        <v>23</v>
      </c>
      <c r="S104" s="105" t="s">
        <v>671</v>
      </c>
      <c r="T104" s="105" t="s">
        <v>672</v>
      </c>
      <c r="U104" s="105" t="b">
        <v>1</v>
      </c>
      <c r="V104" s="105" t="s">
        <v>745</v>
      </c>
      <c r="W104" s="105" t="s">
        <v>746</v>
      </c>
      <c r="X104" s="105">
        <v>6</v>
      </c>
      <c r="Y104" s="105" t="b">
        <v>1</v>
      </c>
      <c r="Z104" s="105" t="s">
        <v>675</v>
      </c>
      <c r="AA104" s="105" t="s">
        <v>676</v>
      </c>
      <c r="AB104" s="105" t="s">
        <v>677</v>
      </c>
      <c r="AC104" s="105">
        <v>0</v>
      </c>
      <c r="AD104" s="105" t="s">
        <v>678</v>
      </c>
      <c r="AE104" s="105">
        <v>8</v>
      </c>
      <c r="AF104" s="105" t="s">
        <v>679</v>
      </c>
      <c r="AG104" s="105">
        <v>17009.454000000002</v>
      </c>
      <c r="AH104" s="105" t="b">
        <v>1</v>
      </c>
      <c r="AI104" s="105">
        <v>-1</v>
      </c>
      <c r="AJ104" s="105" t="s">
        <v>680</v>
      </c>
      <c r="AK104" s="105">
        <v>0</v>
      </c>
      <c r="AL104" s="105" t="b">
        <v>0</v>
      </c>
      <c r="AM104" s="105">
        <v>17009.454000000002</v>
      </c>
      <c r="AN104" s="105" t="b">
        <v>1</v>
      </c>
      <c r="AO104" s="105">
        <v>0</v>
      </c>
      <c r="AP104" s="105" t="b">
        <v>0</v>
      </c>
      <c r="AQ104" s="105">
        <v>82102.179999999993</v>
      </c>
      <c r="AR104" s="105"/>
      <c r="AS104" s="105">
        <v>82102.179999999993</v>
      </c>
      <c r="AT104" s="105">
        <v>6</v>
      </c>
      <c r="AU104" s="105" t="b">
        <v>1</v>
      </c>
      <c r="AV104" s="105" t="b">
        <v>0</v>
      </c>
    </row>
    <row r="105" spans="1:48" s="46" customFormat="1">
      <c r="A105" s="105"/>
      <c r="B105" s="105" t="s">
        <v>665</v>
      </c>
      <c r="C105" s="105" t="s">
        <v>666</v>
      </c>
      <c r="D105" s="105">
        <v>20230201</v>
      </c>
      <c r="E105" s="105">
        <v>2023</v>
      </c>
      <c r="F105" s="105">
        <v>2</v>
      </c>
      <c r="G105" s="105" t="s">
        <v>710</v>
      </c>
      <c r="H105" s="105">
        <v>818</v>
      </c>
      <c r="I105" s="105" t="s">
        <v>668</v>
      </c>
      <c r="J105" s="105" t="s">
        <v>57</v>
      </c>
      <c r="K105" s="105" t="s">
        <v>666</v>
      </c>
      <c r="L105" s="105" t="s">
        <v>669</v>
      </c>
      <c r="M105" s="105">
        <v>826</v>
      </c>
      <c r="N105" s="105" t="s">
        <v>685</v>
      </c>
      <c r="O105" s="105" t="s">
        <v>64</v>
      </c>
      <c r="P105" s="105">
        <v>0</v>
      </c>
      <c r="Q105" s="105" t="s">
        <v>670</v>
      </c>
      <c r="R105" s="105" t="s">
        <v>23</v>
      </c>
      <c r="S105" s="105" t="s">
        <v>671</v>
      </c>
      <c r="T105" s="105" t="s">
        <v>672</v>
      </c>
      <c r="U105" s="105" t="b">
        <v>1</v>
      </c>
      <c r="V105" s="105" t="s">
        <v>745</v>
      </c>
      <c r="W105" s="105" t="s">
        <v>746</v>
      </c>
      <c r="X105" s="105">
        <v>6</v>
      </c>
      <c r="Y105" s="105" t="b">
        <v>1</v>
      </c>
      <c r="Z105" s="105" t="s">
        <v>675</v>
      </c>
      <c r="AA105" s="105" t="s">
        <v>676</v>
      </c>
      <c r="AB105" s="105" t="s">
        <v>677</v>
      </c>
      <c r="AC105" s="105">
        <v>0</v>
      </c>
      <c r="AD105" s="105" t="s">
        <v>678</v>
      </c>
      <c r="AE105" s="105">
        <v>8</v>
      </c>
      <c r="AF105" s="105" t="s">
        <v>679</v>
      </c>
      <c r="AG105" s="105">
        <v>50512.159</v>
      </c>
      <c r="AH105" s="105" t="b">
        <v>1</v>
      </c>
      <c r="AI105" s="105">
        <v>-1</v>
      </c>
      <c r="AJ105" s="105" t="s">
        <v>680</v>
      </c>
      <c r="AK105" s="105">
        <v>0</v>
      </c>
      <c r="AL105" s="105" t="b">
        <v>0</v>
      </c>
      <c r="AM105" s="105">
        <v>50512.159</v>
      </c>
      <c r="AN105" s="105" t="b">
        <v>1</v>
      </c>
      <c r="AO105" s="105">
        <v>0</v>
      </c>
      <c r="AP105" s="105" t="b">
        <v>0</v>
      </c>
      <c r="AQ105" s="105">
        <v>243814.89600000001</v>
      </c>
      <c r="AR105" s="105"/>
      <c r="AS105" s="105">
        <v>243814.89600000001</v>
      </c>
      <c r="AT105" s="105">
        <v>6</v>
      </c>
      <c r="AU105" s="105" t="b">
        <v>1</v>
      </c>
      <c r="AV105" s="105" t="b">
        <v>0</v>
      </c>
    </row>
    <row r="106" spans="1:48" s="46" customFormat="1">
      <c r="A106" s="105"/>
      <c r="B106" s="105" t="s">
        <v>665</v>
      </c>
      <c r="C106" s="105" t="s">
        <v>666</v>
      </c>
      <c r="D106" s="105">
        <v>20230301</v>
      </c>
      <c r="E106" s="105">
        <v>2023</v>
      </c>
      <c r="F106" s="105">
        <v>3</v>
      </c>
      <c r="G106" s="105" t="s">
        <v>714</v>
      </c>
      <c r="H106" s="105">
        <v>818</v>
      </c>
      <c r="I106" s="105" t="s">
        <v>668</v>
      </c>
      <c r="J106" s="105" t="s">
        <v>57</v>
      </c>
      <c r="K106" s="105" t="s">
        <v>666</v>
      </c>
      <c r="L106" s="105" t="s">
        <v>669</v>
      </c>
      <c r="M106" s="105">
        <v>0</v>
      </c>
      <c r="N106" s="105" t="s">
        <v>670</v>
      </c>
      <c r="O106" s="105" t="s">
        <v>23</v>
      </c>
      <c r="P106" s="105">
        <v>0</v>
      </c>
      <c r="Q106" s="105" t="s">
        <v>670</v>
      </c>
      <c r="R106" s="105" t="s">
        <v>23</v>
      </c>
      <c r="S106" s="105" t="s">
        <v>671</v>
      </c>
      <c r="T106" s="105" t="s">
        <v>672</v>
      </c>
      <c r="U106" s="105" t="b">
        <v>1</v>
      </c>
      <c r="V106" s="105" t="s">
        <v>745</v>
      </c>
      <c r="W106" s="105" t="s">
        <v>746</v>
      </c>
      <c r="X106" s="105">
        <v>6</v>
      </c>
      <c r="Y106" s="105" t="b">
        <v>1</v>
      </c>
      <c r="Z106" s="105" t="s">
        <v>675</v>
      </c>
      <c r="AA106" s="105" t="s">
        <v>676</v>
      </c>
      <c r="AB106" s="105" t="s">
        <v>677</v>
      </c>
      <c r="AC106" s="105">
        <v>0</v>
      </c>
      <c r="AD106" s="105" t="s">
        <v>678</v>
      </c>
      <c r="AE106" s="105">
        <v>8</v>
      </c>
      <c r="AF106" s="105" t="s">
        <v>679</v>
      </c>
      <c r="AG106" s="105">
        <v>91053.751999999993</v>
      </c>
      <c r="AH106" s="105" t="b">
        <v>1</v>
      </c>
      <c r="AI106" s="105">
        <v>-1</v>
      </c>
      <c r="AJ106" s="105" t="s">
        <v>680</v>
      </c>
      <c r="AK106" s="105">
        <v>0</v>
      </c>
      <c r="AL106" s="105" t="b">
        <v>0</v>
      </c>
      <c r="AM106" s="105">
        <v>91053.751999999993</v>
      </c>
      <c r="AN106" s="105" t="b">
        <v>1</v>
      </c>
      <c r="AO106" s="105">
        <v>0</v>
      </c>
      <c r="AP106" s="105" t="b">
        <v>0</v>
      </c>
      <c r="AQ106" s="105">
        <v>439503.31099999999</v>
      </c>
      <c r="AR106" s="105"/>
      <c r="AS106" s="105">
        <v>439503.31099999999</v>
      </c>
      <c r="AT106" s="105">
        <v>6</v>
      </c>
      <c r="AU106" s="105" t="b">
        <v>0</v>
      </c>
      <c r="AV106" s="105" t="b">
        <v>1</v>
      </c>
    </row>
    <row r="107" spans="1:48" s="46" customFormat="1">
      <c r="A107" s="105"/>
      <c r="B107" s="105" t="s">
        <v>665</v>
      </c>
      <c r="C107" s="105" t="s">
        <v>666</v>
      </c>
      <c r="D107" s="105">
        <v>20230301</v>
      </c>
      <c r="E107" s="105">
        <v>2023</v>
      </c>
      <c r="F107" s="105">
        <v>3</v>
      </c>
      <c r="G107" s="105" t="s">
        <v>714</v>
      </c>
      <c r="H107" s="105">
        <v>818</v>
      </c>
      <c r="I107" s="105" t="s">
        <v>668</v>
      </c>
      <c r="J107" s="105" t="s">
        <v>57</v>
      </c>
      <c r="K107" s="105" t="s">
        <v>666</v>
      </c>
      <c r="L107" s="105" t="s">
        <v>669</v>
      </c>
      <c r="M107" s="105">
        <v>40</v>
      </c>
      <c r="N107" s="105" t="s">
        <v>750</v>
      </c>
      <c r="O107" s="105" t="s">
        <v>43</v>
      </c>
      <c r="P107" s="105">
        <v>0</v>
      </c>
      <c r="Q107" s="105" t="s">
        <v>670</v>
      </c>
      <c r="R107" s="105" t="s">
        <v>23</v>
      </c>
      <c r="S107" s="105" t="s">
        <v>671</v>
      </c>
      <c r="T107" s="105" t="s">
        <v>672</v>
      </c>
      <c r="U107" s="105" t="b">
        <v>1</v>
      </c>
      <c r="V107" s="105" t="s">
        <v>745</v>
      </c>
      <c r="W107" s="105" t="s">
        <v>746</v>
      </c>
      <c r="X107" s="105">
        <v>6</v>
      </c>
      <c r="Y107" s="105" t="b">
        <v>1</v>
      </c>
      <c r="Z107" s="105" t="s">
        <v>675</v>
      </c>
      <c r="AA107" s="105" t="s">
        <v>676</v>
      </c>
      <c r="AB107" s="105" t="s">
        <v>677</v>
      </c>
      <c r="AC107" s="105">
        <v>0</v>
      </c>
      <c r="AD107" s="105" t="s">
        <v>678</v>
      </c>
      <c r="AE107" s="105">
        <v>8</v>
      </c>
      <c r="AF107" s="105" t="s">
        <v>679</v>
      </c>
      <c r="AG107" s="105">
        <v>2866.3040000000001</v>
      </c>
      <c r="AH107" s="105" t="b">
        <v>1</v>
      </c>
      <c r="AI107" s="105">
        <v>-1</v>
      </c>
      <c r="AJ107" s="105" t="s">
        <v>680</v>
      </c>
      <c r="AK107" s="105">
        <v>0</v>
      </c>
      <c r="AL107" s="105" t="b">
        <v>0</v>
      </c>
      <c r="AM107" s="105">
        <v>2866.3040000000001</v>
      </c>
      <c r="AN107" s="105" t="b">
        <v>1</v>
      </c>
      <c r="AO107" s="105">
        <v>0</v>
      </c>
      <c r="AP107" s="105" t="b">
        <v>0</v>
      </c>
      <c r="AQ107" s="105">
        <v>13835.236000000001</v>
      </c>
      <c r="AR107" s="105"/>
      <c r="AS107" s="105">
        <v>13835.236000000001</v>
      </c>
      <c r="AT107" s="105">
        <v>6</v>
      </c>
      <c r="AU107" s="105" t="b">
        <v>1</v>
      </c>
      <c r="AV107" s="105" t="b">
        <v>0</v>
      </c>
    </row>
    <row r="108" spans="1:48" s="46" customFormat="1">
      <c r="A108" s="105"/>
      <c r="B108" s="105" t="s">
        <v>665</v>
      </c>
      <c r="C108" s="105" t="s">
        <v>666</v>
      </c>
      <c r="D108" s="105">
        <v>20230301</v>
      </c>
      <c r="E108" s="105">
        <v>2023</v>
      </c>
      <c r="F108" s="105">
        <v>3</v>
      </c>
      <c r="G108" s="105" t="s">
        <v>714</v>
      </c>
      <c r="H108" s="105">
        <v>818</v>
      </c>
      <c r="I108" s="105" t="s">
        <v>668</v>
      </c>
      <c r="J108" s="105" t="s">
        <v>57</v>
      </c>
      <c r="K108" s="105" t="s">
        <v>666</v>
      </c>
      <c r="L108" s="105" t="s">
        <v>669</v>
      </c>
      <c r="M108" s="105">
        <v>56</v>
      </c>
      <c r="N108" s="105" t="s">
        <v>696</v>
      </c>
      <c r="O108" s="105" t="s">
        <v>74</v>
      </c>
      <c r="P108" s="105">
        <v>0</v>
      </c>
      <c r="Q108" s="105" t="s">
        <v>670</v>
      </c>
      <c r="R108" s="105" t="s">
        <v>23</v>
      </c>
      <c r="S108" s="105" t="s">
        <v>671</v>
      </c>
      <c r="T108" s="105" t="s">
        <v>672</v>
      </c>
      <c r="U108" s="105" t="b">
        <v>1</v>
      </c>
      <c r="V108" s="105" t="s">
        <v>745</v>
      </c>
      <c r="W108" s="105" t="s">
        <v>746</v>
      </c>
      <c r="X108" s="105">
        <v>6</v>
      </c>
      <c r="Y108" s="105" t="b">
        <v>1</v>
      </c>
      <c r="Z108" s="105" t="s">
        <v>675</v>
      </c>
      <c r="AA108" s="105" t="s">
        <v>676</v>
      </c>
      <c r="AB108" s="105" t="s">
        <v>677</v>
      </c>
      <c r="AC108" s="105">
        <v>0</v>
      </c>
      <c r="AD108" s="105" t="s">
        <v>678</v>
      </c>
      <c r="AE108" s="105">
        <v>8</v>
      </c>
      <c r="AF108" s="105" t="s">
        <v>679</v>
      </c>
      <c r="AG108" s="105">
        <v>20371.370999999999</v>
      </c>
      <c r="AH108" s="105" t="b">
        <v>1</v>
      </c>
      <c r="AI108" s="105">
        <v>-1</v>
      </c>
      <c r="AJ108" s="105" t="s">
        <v>680</v>
      </c>
      <c r="AK108" s="105">
        <v>0</v>
      </c>
      <c r="AL108" s="105" t="b">
        <v>0</v>
      </c>
      <c r="AM108" s="105">
        <v>20371.370999999999</v>
      </c>
      <c r="AN108" s="105" t="b">
        <v>1</v>
      </c>
      <c r="AO108" s="105">
        <v>0</v>
      </c>
      <c r="AP108" s="105" t="b">
        <v>0</v>
      </c>
      <c r="AQ108" s="105">
        <v>98329.664000000004</v>
      </c>
      <c r="AR108" s="105"/>
      <c r="AS108" s="105">
        <v>98329.664000000004</v>
      </c>
      <c r="AT108" s="105">
        <v>6</v>
      </c>
      <c r="AU108" s="105" t="b">
        <v>1</v>
      </c>
      <c r="AV108" s="105" t="b">
        <v>0</v>
      </c>
    </row>
    <row r="109" spans="1:48" s="46" customFormat="1">
      <c r="A109" s="105"/>
      <c r="B109" s="105" t="s">
        <v>665</v>
      </c>
      <c r="C109" s="105" t="s">
        <v>666</v>
      </c>
      <c r="D109" s="105">
        <v>20230301</v>
      </c>
      <c r="E109" s="105">
        <v>2023</v>
      </c>
      <c r="F109" s="105">
        <v>3</v>
      </c>
      <c r="G109" s="105" t="s">
        <v>714</v>
      </c>
      <c r="H109" s="105">
        <v>818</v>
      </c>
      <c r="I109" s="105" t="s">
        <v>668</v>
      </c>
      <c r="J109" s="105" t="s">
        <v>57</v>
      </c>
      <c r="K109" s="105" t="s">
        <v>666</v>
      </c>
      <c r="L109" s="105" t="s">
        <v>669</v>
      </c>
      <c r="M109" s="105">
        <v>156</v>
      </c>
      <c r="N109" s="105" t="s">
        <v>711</v>
      </c>
      <c r="O109" s="105" t="s">
        <v>29</v>
      </c>
      <c r="P109" s="105">
        <v>0</v>
      </c>
      <c r="Q109" s="105" t="s">
        <v>670</v>
      </c>
      <c r="R109" s="105" t="s">
        <v>23</v>
      </c>
      <c r="S109" s="105" t="s">
        <v>671</v>
      </c>
      <c r="T109" s="105" t="s">
        <v>672</v>
      </c>
      <c r="U109" s="105" t="b">
        <v>1</v>
      </c>
      <c r="V109" s="105" t="s">
        <v>745</v>
      </c>
      <c r="W109" s="105" t="s">
        <v>746</v>
      </c>
      <c r="X109" s="105">
        <v>6</v>
      </c>
      <c r="Y109" s="105" t="b">
        <v>1</v>
      </c>
      <c r="Z109" s="105" t="s">
        <v>675</v>
      </c>
      <c r="AA109" s="105" t="s">
        <v>676</v>
      </c>
      <c r="AB109" s="105" t="s">
        <v>677</v>
      </c>
      <c r="AC109" s="105">
        <v>0</v>
      </c>
      <c r="AD109" s="105" t="s">
        <v>678</v>
      </c>
      <c r="AE109" s="105">
        <v>8</v>
      </c>
      <c r="AF109" s="105" t="s">
        <v>679</v>
      </c>
      <c r="AG109" s="105">
        <v>18345.933000000001</v>
      </c>
      <c r="AH109" s="105" t="b">
        <v>1</v>
      </c>
      <c r="AI109" s="105">
        <v>-1</v>
      </c>
      <c r="AJ109" s="105" t="s">
        <v>680</v>
      </c>
      <c r="AK109" s="105">
        <v>0</v>
      </c>
      <c r="AL109" s="105" t="b">
        <v>0</v>
      </c>
      <c r="AM109" s="105">
        <v>18345.933000000001</v>
      </c>
      <c r="AN109" s="105" t="b">
        <v>1</v>
      </c>
      <c r="AO109" s="105">
        <v>0</v>
      </c>
      <c r="AP109" s="105" t="b">
        <v>0</v>
      </c>
      <c r="AQ109" s="105">
        <v>88553.17</v>
      </c>
      <c r="AR109" s="105"/>
      <c r="AS109" s="105">
        <v>88553.17</v>
      </c>
      <c r="AT109" s="105">
        <v>6</v>
      </c>
      <c r="AU109" s="105" t="b">
        <v>1</v>
      </c>
      <c r="AV109" s="105" t="b">
        <v>0</v>
      </c>
    </row>
    <row r="110" spans="1:48" s="46" customFormat="1">
      <c r="A110" s="105"/>
      <c r="B110" s="105" t="s">
        <v>665</v>
      </c>
      <c r="C110" s="105" t="s">
        <v>666</v>
      </c>
      <c r="D110" s="105">
        <v>20230301</v>
      </c>
      <c r="E110" s="105">
        <v>2023</v>
      </c>
      <c r="F110" s="105">
        <v>3</v>
      </c>
      <c r="G110" s="105" t="s">
        <v>714</v>
      </c>
      <c r="H110" s="105">
        <v>818</v>
      </c>
      <c r="I110" s="105" t="s">
        <v>668</v>
      </c>
      <c r="J110" s="105" t="s">
        <v>57</v>
      </c>
      <c r="K110" s="105" t="s">
        <v>666</v>
      </c>
      <c r="L110" s="105" t="s">
        <v>669</v>
      </c>
      <c r="M110" s="105">
        <v>246</v>
      </c>
      <c r="N110" s="105" t="s">
        <v>751</v>
      </c>
      <c r="O110" s="105" t="s">
        <v>73</v>
      </c>
      <c r="P110" s="105">
        <v>0</v>
      </c>
      <c r="Q110" s="105" t="s">
        <v>670</v>
      </c>
      <c r="R110" s="105" t="s">
        <v>23</v>
      </c>
      <c r="S110" s="105" t="s">
        <v>671</v>
      </c>
      <c r="T110" s="105" t="s">
        <v>672</v>
      </c>
      <c r="U110" s="105" t="b">
        <v>1</v>
      </c>
      <c r="V110" s="105" t="s">
        <v>745</v>
      </c>
      <c r="W110" s="105" t="s">
        <v>746</v>
      </c>
      <c r="X110" s="105">
        <v>6</v>
      </c>
      <c r="Y110" s="105" t="b">
        <v>1</v>
      </c>
      <c r="Z110" s="105" t="s">
        <v>675</v>
      </c>
      <c r="AA110" s="105" t="s">
        <v>676</v>
      </c>
      <c r="AB110" s="105" t="s">
        <v>677</v>
      </c>
      <c r="AC110" s="105">
        <v>0</v>
      </c>
      <c r="AD110" s="105" t="s">
        <v>678</v>
      </c>
      <c r="AE110" s="105">
        <v>8</v>
      </c>
      <c r="AF110" s="105" t="s">
        <v>679</v>
      </c>
      <c r="AG110" s="105">
        <v>1023.9</v>
      </c>
      <c r="AH110" s="105" t="b">
        <v>1</v>
      </c>
      <c r="AI110" s="105">
        <v>-1</v>
      </c>
      <c r="AJ110" s="105" t="s">
        <v>680</v>
      </c>
      <c r="AK110" s="105">
        <v>0</v>
      </c>
      <c r="AL110" s="105" t="b">
        <v>0</v>
      </c>
      <c r="AM110" s="105">
        <v>1023.9</v>
      </c>
      <c r="AN110" s="105" t="b">
        <v>1</v>
      </c>
      <c r="AO110" s="105">
        <v>0</v>
      </c>
      <c r="AP110" s="105" t="b">
        <v>0</v>
      </c>
      <c r="AQ110" s="105">
        <v>4942.2179999999998</v>
      </c>
      <c r="AR110" s="105"/>
      <c r="AS110" s="105">
        <v>4942.2179999999998</v>
      </c>
      <c r="AT110" s="105">
        <v>6</v>
      </c>
      <c r="AU110" s="105" t="b">
        <v>1</v>
      </c>
      <c r="AV110" s="105" t="b">
        <v>0</v>
      </c>
    </row>
    <row r="111" spans="1:48" s="46" customFormat="1">
      <c r="A111" s="105"/>
      <c r="B111" s="105" t="s">
        <v>665</v>
      </c>
      <c r="C111" s="105" t="s">
        <v>666</v>
      </c>
      <c r="D111" s="105">
        <v>20230301</v>
      </c>
      <c r="E111" s="105">
        <v>2023</v>
      </c>
      <c r="F111" s="105">
        <v>3</v>
      </c>
      <c r="G111" s="105" t="s">
        <v>714</v>
      </c>
      <c r="H111" s="105">
        <v>818</v>
      </c>
      <c r="I111" s="105" t="s">
        <v>668</v>
      </c>
      <c r="J111" s="105" t="s">
        <v>57</v>
      </c>
      <c r="K111" s="105" t="s">
        <v>666</v>
      </c>
      <c r="L111" s="105" t="s">
        <v>669</v>
      </c>
      <c r="M111" s="105">
        <v>276</v>
      </c>
      <c r="N111" s="105" t="s">
        <v>681</v>
      </c>
      <c r="O111" s="105" t="s">
        <v>30</v>
      </c>
      <c r="P111" s="105">
        <v>0</v>
      </c>
      <c r="Q111" s="105" t="s">
        <v>670</v>
      </c>
      <c r="R111" s="105" t="s">
        <v>23</v>
      </c>
      <c r="S111" s="105" t="s">
        <v>671</v>
      </c>
      <c r="T111" s="105" t="s">
        <v>672</v>
      </c>
      <c r="U111" s="105" t="b">
        <v>1</v>
      </c>
      <c r="V111" s="105" t="s">
        <v>745</v>
      </c>
      <c r="W111" s="105" t="s">
        <v>746</v>
      </c>
      <c r="X111" s="105">
        <v>6</v>
      </c>
      <c r="Y111" s="105" t="b">
        <v>1</v>
      </c>
      <c r="Z111" s="105" t="s">
        <v>675</v>
      </c>
      <c r="AA111" s="105" t="s">
        <v>676</v>
      </c>
      <c r="AB111" s="105" t="s">
        <v>677</v>
      </c>
      <c r="AC111" s="105">
        <v>0</v>
      </c>
      <c r="AD111" s="105" t="s">
        <v>678</v>
      </c>
      <c r="AE111" s="105">
        <v>8</v>
      </c>
      <c r="AF111" s="105" t="s">
        <v>679</v>
      </c>
      <c r="AG111" s="105">
        <v>8109.3879999999999</v>
      </c>
      <c r="AH111" s="105" t="b">
        <v>1</v>
      </c>
      <c r="AI111" s="105">
        <v>-1</v>
      </c>
      <c r="AJ111" s="105" t="s">
        <v>680</v>
      </c>
      <c r="AK111" s="105">
        <v>0</v>
      </c>
      <c r="AL111" s="105" t="b">
        <v>0</v>
      </c>
      <c r="AM111" s="105">
        <v>8109.3879999999999</v>
      </c>
      <c r="AN111" s="105" t="b">
        <v>1</v>
      </c>
      <c r="AO111" s="105">
        <v>0</v>
      </c>
      <c r="AP111" s="105" t="b">
        <v>0</v>
      </c>
      <c r="AQ111" s="105">
        <v>39142.843999999997</v>
      </c>
      <c r="AR111" s="105"/>
      <c r="AS111" s="105">
        <v>39142.843999999997</v>
      </c>
      <c r="AT111" s="105">
        <v>6</v>
      </c>
      <c r="AU111" s="105" t="b">
        <v>1</v>
      </c>
      <c r="AV111" s="105" t="b">
        <v>0</v>
      </c>
    </row>
    <row r="112" spans="1:48" s="46" customFormat="1">
      <c r="A112" s="105"/>
      <c r="B112" s="105" t="s">
        <v>665</v>
      </c>
      <c r="C112" s="105" t="s">
        <v>666</v>
      </c>
      <c r="D112" s="105">
        <v>20230301</v>
      </c>
      <c r="E112" s="105">
        <v>2023</v>
      </c>
      <c r="F112" s="105">
        <v>3</v>
      </c>
      <c r="G112" s="105" t="s">
        <v>714</v>
      </c>
      <c r="H112" s="105">
        <v>818</v>
      </c>
      <c r="I112" s="105" t="s">
        <v>668</v>
      </c>
      <c r="J112" s="105" t="s">
        <v>57</v>
      </c>
      <c r="K112" s="105" t="s">
        <v>666</v>
      </c>
      <c r="L112" s="105" t="s">
        <v>669</v>
      </c>
      <c r="M112" s="105">
        <v>380</v>
      </c>
      <c r="N112" s="105" t="s">
        <v>689</v>
      </c>
      <c r="O112" s="105" t="s">
        <v>71</v>
      </c>
      <c r="P112" s="105">
        <v>0</v>
      </c>
      <c r="Q112" s="105" t="s">
        <v>670</v>
      </c>
      <c r="R112" s="105" t="s">
        <v>23</v>
      </c>
      <c r="S112" s="105" t="s">
        <v>671</v>
      </c>
      <c r="T112" s="105" t="s">
        <v>672</v>
      </c>
      <c r="U112" s="105" t="b">
        <v>1</v>
      </c>
      <c r="V112" s="105" t="s">
        <v>745</v>
      </c>
      <c r="W112" s="105" t="s">
        <v>746</v>
      </c>
      <c r="X112" s="105">
        <v>6</v>
      </c>
      <c r="Y112" s="105" t="b">
        <v>1</v>
      </c>
      <c r="Z112" s="105" t="s">
        <v>675</v>
      </c>
      <c r="AA112" s="105" t="s">
        <v>676</v>
      </c>
      <c r="AB112" s="105" t="s">
        <v>677</v>
      </c>
      <c r="AC112" s="105">
        <v>0</v>
      </c>
      <c r="AD112" s="105" t="s">
        <v>678</v>
      </c>
      <c r="AE112" s="105">
        <v>8</v>
      </c>
      <c r="AF112" s="105" t="s">
        <v>679</v>
      </c>
      <c r="AG112" s="105">
        <v>6528.8779999999997</v>
      </c>
      <c r="AH112" s="105" t="b">
        <v>1</v>
      </c>
      <c r="AI112" s="105">
        <v>-1</v>
      </c>
      <c r="AJ112" s="105" t="s">
        <v>680</v>
      </c>
      <c r="AK112" s="105">
        <v>0</v>
      </c>
      <c r="AL112" s="105" t="b">
        <v>0</v>
      </c>
      <c r="AM112" s="105">
        <v>6528.8779999999997</v>
      </c>
      <c r="AN112" s="105" t="b">
        <v>1</v>
      </c>
      <c r="AO112" s="105">
        <v>0</v>
      </c>
      <c r="AP112" s="105" t="b">
        <v>0</v>
      </c>
      <c r="AQ112" s="105">
        <v>31513.951000000001</v>
      </c>
      <c r="AR112" s="105"/>
      <c r="AS112" s="105">
        <v>31513.951000000001</v>
      </c>
      <c r="AT112" s="105">
        <v>6</v>
      </c>
      <c r="AU112" s="105" t="b">
        <v>1</v>
      </c>
      <c r="AV112" s="105" t="b">
        <v>0</v>
      </c>
    </row>
    <row r="113" spans="1:48" s="46" customFormat="1">
      <c r="A113" s="105"/>
      <c r="B113" s="105" t="s">
        <v>665</v>
      </c>
      <c r="C113" s="105" t="s">
        <v>666</v>
      </c>
      <c r="D113" s="105">
        <v>20230301</v>
      </c>
      <c r="E113" s="105">
        <v>2023</v>
      </c>
      <c r="F113" s="105">
        <v>3</v>
      </c>
      <c r="G113" s="105" t="s">
        <v>714</v>
      </c>
      <c r="H113" s="105">
        <v>818</v>
      </c>
      <c r="I113" s="105" t="s">
        <v>668</v>
      </c>
      <c r="J113" s="105" t="s">
        <v>57</v>
      </c>
      <c r="K113" s="105" t="s">
        <v>666</v>
      </c>
      <c r="L113" s="105" t="s">
        <v>669</v>
      </c>
      <c r="M113" s="105">
        <v>528</v>
      </c>
      <c r="N113" s="105" t="s">
        <v>698</v>
      </c>
      <c r="O113" s="105" t="s">
        <v>60</v>
      </c>
      <c r="P113" s="105">
        <v>0</v>
      </c>
      <c r="Q113" s="105" t="s">
        <v>670</v>
      </c>
      <c r="R113" s="105" t="s">
        <v>23</v>
      </c>
      <c r="S113" s="105" t="s">
        <v>671</v>
      </c>
      <c r="T113" s="105" t="s">
        <v>672</v>
      </c>
      <c r="U113" s="105" t="b">
        <v>1</v>
      </c>
      <c r="V113" s="105" t="s">
        <v>745</v>
      </c>
      <c r="W113" s="105" t="s">
        <v>746</v>
      </c>
      <c r="X113" s="105">
        <v>6</v>
      </c>
      <c r="Y113" s="105" t="b">
        <v>1</v>
      </c>
      <c r="Z113" s="105" t="s">
        <v>675</v>
      </c>
      <c r="AA113" s="105" t="s">
        <v>676</v>
      </c>
      <c r="AB113" s="105" t="s">
        <v>677</v>
      </c>
      <c r="AC113" s="105">
        <v>0</v>
      </c>
      <c r="AD113" s="105" t="s">
        <v>678</v>
      </c>
      <c r="AE113" s="105">
        <v>8</v>
      </c>
      <c r="AF113" s="105" t="s">
        <v>679</v>
      </c>
      <c r="AG113" s="105">
        <v>4.3499999999999996</v>
      </c>
      <c r="AH113" s="105" t="b">
        <v>1</v>
      </c>
      <c r="AI113" s="105">
        <v>-1</v>
      </c>
      <c r="AJ113" s="105" t="s">
        <v>680</v>
      </c>
      <c r="AK113" s="105">
        <v>0</v>
      </c>
      <c r="AL113" s="105" t="b">
        <v>0</v>
      </c>
      <c r="AM113" s="105">
        <v>4.3499999999999996</v>
      </c>
      <c r="AN113" s="105" t="b">
        <v>1</v>
      </c>
      <c r="AO113" s="105">
        <v>0</v>
      </c>
      <c r="AP113" s="105" t="b">
        <v>0</v>
      </c>
      <c r="AQ113" s="105">
        <v>20.998000000000001</v>
      </c>
      <c r="AR113" s="105"/>
      <c r="AS113" s="105">
        <v>20.998000000000001</v>
      </c>
      <c r="AT113" s="105">
        <v>6</v>
      </c>
      <c r="AU113" s="105" t="b">
        <v>1</v>
      </c>
      <c r="AV113" s="105" t="b">
        <v>0</v>
      </c>
    </row>
    <row r="114" spans="1:48" s="46" customFormat="1">
      <c r="A114" s="105"/>
      <c r="B114" s="105" t="s">
        <v>665</v>
      </c>
      <c r="C114" s="105" t="s">
        <v>666</v>
      </c>
      <c r="D114" s="105">
        <v>20230301</v>
      </c>
      <c r="E114" s="105">
        <v>2023</v>
      </c>
      <c r="F114" s="105">
        <v>3</v>
      </c>
      <c r="G114" s="105" t="s">
        <v>714</v>
      </c>
      <c r="H114" s="105">
        <v>818</v>
      </c>
      <c r="I114" s="105" t="s">
        <v>668</v>
      </c>
      <c r="J114" s="105" t="s">
        <v>57</v>
      </c>
      <c r="K114" s="105" t="s">
        <v>666</v>
      </c>
      <c r="L114" s="105" t="s">
        <v>669</v>
      </c>
      <c r="M114" s="105">
        <v>699</v>
      </c>
      <c r="N114" s="105" t="s">
        <v>748</v>
      </c>
      <c r="O114" s="105" t="s">
        <v>0</v>
      </c>
      <c r="P114" s="105">
        <v>0</v>
      </c>
      <c r="Q114" s="105" t="s">
        <v>670</v>
      </c>
      <c r="R114" s="105" t="s">
        <v>23</v>
      </c>
      <c r="S114" s="105" t="s">
        <v>671</v>
      </c>
      <c r="T114" s="105" t="s">
        <v>672</v>
      </c>
      <c r="U114" s="105" t="b">
        <v>1</v>
      </c>
      <c r="V114" s="105" t="s">
        <v>745</v>
      </c>
      <c r="W114" s="105" t="s">
        <v>746</v>
      </c>
      <c r="X114" s="105">
        <v>6</v>
      </c>
      <c r="Y114" s="105" t="b">
        <v>1</v>
      </c>
      <c r="Z114" s="105" t="s">
        <v>675</v>
      </c>
      <c r="AA114" s="105" t="s">
        <v>676</v>
      </c>
      <c r="AB114" s="105" t="s">
        <v>677</v>
      </c>
      <c r="AC114" s="105">
        <v>0</v>
      </c>
      <c r="AD114" s="105" t="s">
        <v>678</v>
      </c>
      <c r="AE114" s="105">
        <v>8</v>
      </c>
      <c r="AF114" s="105" t="s">
        <v>679</v>
      </c>
      <c r="AG114" s="105">
        <v>24076.263999999999</v>
      </c>
      <c r="AH114" s="105" t="b">
        <v>1</v>
      </c>
      <c r="AI114" s="105">
        <v>-1</v>
      </c>
      <c r="AJ114" s="105" t="s">
        <v>680</v>
      </c>
      <c r="AK114" s="105">
        <v>0</v>
      </c>
      <c r="AL114" s="105" t="b">
        <v>0</v>
      </c>
      <c r="AM114" s="105">
        <v>24076.263999999999</v>
      </c>
      <c r="AN114" s="105" t="b">
        <v>1</v>
      </c>
      <c r="AO114" s="105">
        <v>0</v>
      </c>
      <c r="AP114" s="105" t="b">
        <v>0</v>
      </c>
      <c r="AQ114" s="105">
        <v>116212.648</v>
      </c>
      <c r="AR114" s="105"/>
      <c r="AS114" s="105">
        <v>116212.648</v>
      </c>
      <c r="AT114" s="105">
        <v>6</v>
      </c>
      <c r="AU114" s="105" t="b">
        <v>1</v>
      </c>
      <c r="AV114" s="105" t="b">
        <v>0</v>
      </c>
    </row>
    <row r="115" spans="1:48" s="46" customFormat="1">
      <c r="A115" s="105"/>
      <c r="B115" s="105" t="s">
        <v>665</v>
      </c>
      <c r="C115" s="105" t="s">
        <v>666</v>
      </c>
      <c r="D115" s="105">
        <v>20230301</v>
      </c>
      <c r="E115" s="105">
        <v>2023</v>
      </c>
      <c r="F115" s="105">
        <v>3</v>
      </c>
      <c r="G115" s="105" t="s">
        <v>714</v>
      </c>
      <c r="H115" s="105">
        <v>818</v>
      </c>
      <c r="I115" s="105" t="s">
        <v>668</v>
      </c>
      <c r="J115" s="105" t="s">
        <v>57</v>
      </c>
      <c r="K115" s="105" t="s">
        <v>666</v>
      </c>
      <c r="L115" s="105" t="s">
        <v>669</v>
      </c>
      <c r="M115" s="105">
        <v>792</v>
      </c>
      <c r="N115" s="105" t="s">
        <v>691</v>
      </c>
      <c r="O115" s="105" t="s">
        <v>63</v>
      </c>
      <c r="P115" s="105">
        <v>0</v>
      </c>
      <c r="Q115" s="105" t="s">
        <v>670</v>
      </c>
      <c r="R115" s="105" t="s">
        <v>23</v>
      </c>
      <c r="S115" s="105" t="s">
        <v>671</v>
      </c>
      <c r="T115" s="105" t="s">
        <v>672</v>
      </c>
      <c r="U115" s="105" t="b">
        <v>1</v>
      </c>
      <c r="V115" s="105" t="s">
        <v>745</v>
      </c>
      <c r="W115" s="105" t="s">
        <v>746</v>
      </c>
      <c r="X115" s="105">
        <v>6</v>
      </c>
      <c r="Y115" s="105" t="b">
        <v>1</v>
      </c>
      <c r="Z115" s="105" t="s">
        <v>675</v>
      </c>
      <c r="AA115" s="105" t="s">
        <v>676</v>
      </c>
      <c r="AB115" s="105" t="s">
        <v>677</v>
      </c>
      <c r="AC115" s="105">
        <v>0</v>
      </c>
      <c r="AD115" s="105" t="s">
        <v>678</v>
      </c>
      <c r="AE115" s="105">
        <v>8</v>
      </c>
      <c r="AF115" s="105" t="s">
        <v>679</v>
      </c>
      <c r="AG115" s="105">
        <v>8114.683</v>
      </c>
      <c r="AH115" s="105" t="b">
        <v>1</v>
      </c>
      <c r="AI115" s="105">
        <v>-1</v>
      </c>
      <c r="AJ115" s="105" t="s">
        <v>680</v>
      </c>
      <c r="AK115" s="105">
        <v>0</v>
      </c>
      <c r="AL115" s="105" t="b">
        <v>0</v>
      </c>
      <c r="AM115" s="105">
        <v>8114.683</v>
      </c>
      <c r="AN115" s="105" t="b">
        <v>1</v>
      </c>
      <c r="AO115" s="105">
        <v>0</v>
      </c>
      <c r="AP115" s="105" t="b">
        <v>0</v>
      </c>
      <c r="AQ115" s="105">
        <v>39168.400999999998</v>
      </c>
      <c r="AR115" s="105"/>
      <c r="AS115" s="105">
        <v>39168.400999999998</v>
      </c>
      <c r="AT115" s="105">
        <v>6</v>
      </c>
      <c r="AU115" s="105" t="b">
        <v>1</v>
      </c>
      <c r="AV115" s="105" t="b">
        <v>0</v>
      </c>
    </row>
    <row r="116" spans="1:48" s="46" customFormat="1">
      <c r="A116" s="105"/>
      <c r="B116" s="105" t="s">
        <v>665</v>
      </c>
      <c r="C116" s="105" t="s">
        <v>666</v>
      </c>
      <c r="D116" s="105">
        <v>20230301</v>
      </c>
      <c r="E116" s="105">
        <v>2023</v>
      </c>
      <c r="F116" s="105">
        <v>3</v>
      </c>
      <c r="G116" s="105" t="s">
        <v>714</v>
      </c>
      <c r="H116" s="105">
        <v>818</v>
      </c>
      <c r="I116" s="105" t="s">
        <v>668</v>
      </c>
      <c r="J116" s="105" t="s">
        <v>57</v>
      </c>
      <c r="K116" s="105" t="s">
        <v>666</v>
      </c>
      <c r="L116" s="105" t="s">
        <v>669</v>
      </c>
      <c r="M116" s="105">
        <v>842</v>
      </c>
      <c r="N116" s="105" t="s">
        <v>713</v>
      </c>
      <c r="O116" s="105" t="s">
        <v>713</v>
      </c>
      <c r="P116" s="105">
        <v>0</v>
      </c>
      <c r="Q116" s="105" t="s">
        <v>670</v>
      </c>
      <c r="R116" s="105" t="s">
        <v>23</v>
      </c>
      <c r="S116" s="105" t="s">
        <v>671</v>
      </c>
      <c r="T116" s="105" t="s">
        <v>672</v>
      </c>
      <c r="U116" s="105" t="b">
        <v>1</v>
      </c>
      <c r="V116" s="105" t="s">
        <v>745</v>
      </c>
      <c r="W116" s="105" t="s">
        <v>746</v>
      </c>
      <c r="X116" s="105">
        <v>6</v>
      </c>
      <c r="Y116" s="105" t="b">
        <v>1</v>
      </c>
      <c r="Z116" s="105" t="s">
        <v>675</v>
      </c>
      <c r="AA116" s="105" t="s">
        <v>676</v>
      </c>
      <c r="AB116" s="105" t="s">
        <v>677</v>
      </c>
      <c r="AC116" s="105">
        <v>0</v>
      </c>
      <c r="AD116" s="105" t="s">
        <v>678</v>
      </c>
      <c r="AE116" s="105">
        <v>8</v>
      </c>
      <c r="AF116" s="105" t="s">
        <v>679</v>
      </c>
      <c r="AG116" s="105">
        <v>1612.682</v>
      </c>
      <c r="AH116" s="105" t="b">
        <v>1</v>
      </c>
      <c r="AI116" s="105">
        <v>-1</v>
      </c>
      <c r="AJ116" s="105" t="s">
        <v>680</v>
      </c>
      <c r="AK116" s="105">
        <v>0</v>
      </c>
      <c r="AL116" s="105" t="b">
        <v>0</v>
      </c>
      <c r="AM116" s="105">
        <v>1612.682</v>
      </c>
      <c r="AN116" s="105" t="b">
        <v>1</v>
      </c>
      <c r="AO116" s="105">
        <v>0</v>
      </c>
      <c r="AP116" s="105" t="b">
        <v>0</v>
      </c>
      <c r="AQ116" s="105">
        <v>7784.1809999999996</v>
      </c>
      <c r="AR116" s="105"/>
      <c r="AS116" s="105">
        <v>7784.1809999999996</v>
      </c>
      <c r="AT116" s="105">
        <v>6</v>
      </c>
      <c r="AU116" s="105" t="b">
        <v>1</v>
      </c>
      <c r="AV116" s="105" t="b">
        <v>0</v>
      </c>
    </row>
    <row r="117" spans="1:48" s="46" customFormat="1">
      <c r="A117" s="105"/>
      <c r="B117" s="105" t="s">
        <v>665</v>
      </c>
      <c r="C117" s="105" t="s">
        <v>666</v>
      </c>
      <c r="D117" s="105">
        <v>20230301</v>
      </c>
      <c r="E117" s="105">
        <v>2023</v>
      </c>
      <c r="F117" s="105">
        <v>3</v>
      </c>
      <c r="G117" s="105" t="s">
        <v>714</v>
      </c>
      <c r="H117" s="105">
        <v>818</v>
      </c>
      <c r="I117" s="105" t="s">
        <v>668</v>
      </c>
      <c r="J117" s="105" t="s">
        <v>57</v>
      </c>
      <c r="K117" s="105" t="s">
        <v>701</v>
      </c>
      <c r="L117" s="105" t="s">
        <v>702</v>
      </c>
      <c r="M117" s="105">
        <v>0</v>
      </c>
      <c r="N117" s="105" t="s">
        <v>670</v>
      </c>
      <c r="O117" s="105" t="s">
        <v>23</v>
      </c>
      <c r="P117" s="105">
        <v>0</v>
      </c>
      <c r="Q117" s="105" t="s">
        <v>670</v>
      </c>
      <c r="R117" s="105" t="s">
        <v>23</v>
      </c>
      <c r="S117" s="105" t="s">
        <v>671</v>
      </c>
      <c r="T117" s="105" t="s">
        <v>672</v>
      </c>
      <c r="U117" s="105" t="b">
        <v>1</v>
      </c>
      <c r="V117" s="105" t="s">
        <v>745</v>
      </c>
      <c r="W117" s="105" t="s">
        <v>746</v>
      </c>
      <c r="X117" s="105">
        <v>6</v>
      </c>
      <c r="Y117" s="105" t="b">
        <v>1</v>
      </c>
      <c r="Z117" s="105" t="s">
        <v>675</v>
      </c>
      <c r="AA117" s="105" t="s">
        <v>676</v>
      </c>
      <c r="AB117" s="105" t="s">
        <v>677</v>
      </c>
      <c r="AC117" s="105">
        <v>0</v>
      </c>
      <c r="AD117" s="105" t="s">
        <v>678</v>
      </c>
      <c r="AE117" s="105">
        <v>8</v>
      </c>
      <c r="AF117" s="105" t="s">
        <v>679</v>
      </c>
      <c r="AG117" s="105">
        <v>53114.991999999998</v>
      </c>
      <c r="AH117" s="105" t="b">
        <v>1</v>
      </c>
      <c r="AI117" s="105">
        <v>-1</v>
      </c>
      <c r="AJ117" s="105" t="s">
        <v>680</v>
      </c>
      <c r="AK117" s="105">
        <v>0</v>
      </c>
      <c r="AL117" s="105" t="b">
        <v>0</v>
      </c>
      <c r="AM117" s="105">
        <v>53114.991999999998</v>
      </c>
      <c r="AN117" s="105" t="b">
        <v>1</v>
      </c>
      <c r="AO117" s="105">
        <v>0</v>
      </c>
      <c r="AP117" s="105" t="b">
        <v>0</v>
      </c>
      <c r="AQ117" s="105"/>
      <c r="AR117" s="105">
        <v>274812</v>
      </c>
      <c r="AS117" s="105">
        <v>274812</v>
      </c>
      <c r="AT117" s="105">
        <v>6</v>
      </c>
      <c r="AU117" s="105" t="b">
        <v>0</v>
      </c>
      <c r="AV117" s="105" t="b">
        <v>1</v>
      </c>
    </row>
    <row r="118" spans="1:48" s="46" customFormat="1">
      <c r="A118" s="105"/>
      <c r="B118" s="105" t="s">
        <v>665</v>
      </c>
      <c r="C118" s="105" t="s">
        <v>666</v>
      </c>
      <c r="D118" s="105">
        <v>20230301</v>
      </c>
      <c r="E118" s="105">
        <v>2023</v>
      </c>
      <c r="F118" s="105">
        <v>3</v>
      </c>
      <c r="G118" s="105" t="s">
        <v>714</v>
      </c>
      <c r="H118" s="105">
        <v>818</v>
      </c>
      <c r="I118" s="105" t="s">
        <v>668</v>
      </c>
      <c r="J118" s="105" t="s">
        <v>57</v>
      </c>
      <c r="K118" s="105" t="s">
        <v>701</v>
      </c>
      <c r="L118" s="105" t="s">
        <v>702</v>
      </c>
      <c r="M118" s="105">
        <v>729</v>
      </c>
      <c r="N118" s="105" t="s">
        <v>707</v>
      </c>
      <c r="O118" s="105" t="s">
        <v>230</v>
      </c>
      <c r="P118" s="105">
        <v>0</v>
      </c>
      <c r="Q118" s="105" t="s">
        <v>670</v>
      </c>
      <c r="R118" s="105" t="s">
        <v>23</v>
      </c>
      <c r="S118" s="105" t="s">
        <v>671</v>
      </c>
      <c r="T118" s="105" t="s">
        <v>672</v>
      </c>
      <c r="U118" s="105" t="b">
        <v>1</v>
      </c>
      <c r="V118" s="105" t="s">
        <v>745</v>
      </c>
      <c r="W118" s="105" t="s">
        <v>746</v>
      </c>
      <c r="X118" s="105">
        <v>6</v>
      </c>
      <c r="Y118" s="105" t="b">
        <v>1</v>
      </c>
      <c r="Z118" s="105" t="s">
        <v>675</v>
      </c>
      <c r="AA118" s="105" t="s">
        <v>676</v>
      </c>
      <c r="AB118" s="105" t="s">
        <v>677</v>
      </c>
      <c r="AC118" s="105">
        <v>0</v>
      </c>
      <c r="AD118" s="105" t="s">
        <v>678</v>
      </c>
      <c r="AE118" s="105">
        <v>8</v>
      </c>
      <c r="AF118" s="105" t="s">
        <v>679</v>
      </c>
      <c r="AG118" s="105">
        <v>289.916</v>
      </c>
      <c r="AH118" s="105" t="b">
        <v>1</v>
      </c>
      <c r="AI118" s="105">
        <v>-1</v>
      </c>
      <c r="AJ118" s="105" t="s">
        <v>680</v>
      </c>
      <c r="AK118" s="105">
        <v>0</v>
      </c>
      <c r="AL118" s="105" t="b">
        <v>0</v>
      </c>
      <c r="AM118" s="105">
        <v>289.916</v>
      </c>
      <c r="AN118" s="105" t="b">
        <v>1</v>
      </c>
      <c r="AO118" s="105">
        <v>0</v>
      </c>
      <c r="AP118" s="105" t="b">
        <v>0</v>
      </c>
      <c r="AQ118" s="105"/>
      <c r="AR118" s="105">
        <v>1500</v>
      </c>
      <c r="AS118" s="105">
        <v>1500</v>
      </c>
      <c r="AT118" s="105">
        <v>6</v>
      </c>
      <c r="AU118" s="105" t="b">
        <v>1</v>
      </c>
      <c r="AV118" s="105" t="b">
        <v>0</v>
      </c>
    </row>
    <row r="119" spans="1:48" s="46" customFormat="1">
      <c r="A119" s="105"/>
      <c r="B119" s="105" t="s">
        <v>665</v>
      </c>
      <c r="C119" s="105" t="s">
        <v>666</v>
      </c>
      <c r="D119" s="105">
        <v>20230301</v>
      </c>
      <c r="E119" s="105">
        <v>2023</v>
      </c>
      <c r="F119" s="105">
        <v>3</v>
      </c>
      <c r="G119" s="105" t="s">
        <v>714</v>
      </c>
      <c r="H119" s="105">
        <v>818</v>
      </c>
      <c r="I119" s="105" t="s">
        <v>668</v>
      </c>
      <c r="J119" s="105" t="s">
        <v>57</v>
      </c>
      <c r="K119" s="105" t="s">
        <v>701</v>
      </c>
      <c r="L119" s="105" t="s">
        <v>702</v>
      </c>
      <c r="M119" s="105">
        <v>842</v>
      </c>
      <c r="N119" s="105" t="s">
        <v>713</v>
      </c>
      <c r="O119" s="105" t="s">
        <v>713</v>
      </c>
      <c r="P119" s="105">
        <v>0</v>
      </c>
      <c r="Q119" s="105" t="s">
        <v>670</v>
      </c>
      <c r="R119" s="105" t="s">
        <v>23</v>
      </c>
      <c r="S119" s="105" t="s">
        <v>671</v>
      </c>
      <c r="T119" s="105" t="s">
        <v>672</v>
      </c>
      <c r="U119" s="105" t="b">
        <v>1</v>
      </c>
      <c r="V119" s="105" t="s">
        <v>745</v>
      </c>
      <c r="W119" s="105" t="s">
        <v>746</v>
      </c>
      <c r="X119" s="105">
        <v>6</v>
      </c>
      <c r="Y119" s="105" t="b">
        <v>1</v>
      </c>
      <c r="Z119" s="105" t="s">
        <v>675</v>
      </c>
      <c r="AA119" s="105" t="s">
        <v>676</v>
      </c>
      <c r="AB119" s="105" t="s">
        <v>677</v>
      </c>
      <c r="AC119" s="105">
        <v>0</v>
      </c>
      <c r="AD119" s="105" t="s">
        <v>678</v>
      </c>
      <c r="AE119" s="105">
        <v>8</v>
      </c>
      <c r="AF119" s="105" t="s">
        <v>679</v>
      </c>
      <c r="AG119" s="105">
        <v>52825.076000000001</v>
      </c>
      <c r="AH119" s="105" t="b">
        <v>1</v>
      </c>
      <c r="AI119" s="105">
        <v>-1</v>
      </c>
      <c r="AJ119" s="105" t="s">
        <v>680</v>
      </c>
      <c r="AK119" s="105">
        <v>0</v>
      </c>
      <c r="AL119" s="105" t="b">
        <v>0</v>
      </c>
      <c r="AM119" s="105">
        <v>52825.076000000001</v>
      </c>
      <c r="AN119" s="105" t="b">
        <v>1</v>
      </c>
      <c r="AO119" s="105">
        <v>0</v>
      </c>
      <c r="AP119" s="105" t="b">
        <v>0</v>
      </c>
      <c r="AQ119" s="105"/>
      <c r="AR119" s="105">
        <v>273312</v>
      </c>
      <c r="AS119" s="105">
        <v>273312</v>
      </c>
      <c r="AT119" s="105">
        <v>6</v>
      </c>
      <c r="AU119" s="105" t="b">
        <v>1</v>
      </c>
      <c r="AV119" s="105" t="b">
        <v>0</v>
      </c>
    </row>
    <row r="120" spans="1:48" s="46" customFormat="1">
      <c r="A120" s="105"/>
      <c r="B120" s="105" t="s">
        <v>665</v>
      </c>
      <c r="C120" s="105" t="s">
        <v>666</v>
      </c>
      <c r="D120" s="105">
        <v>20230401</v>
      </c>
      <c r="E120" s="105">
        <v>2023</v>
      </c>
      <c r="F120" s="105">
        <v>4</v>
      </c>
      <c r="G120" s="105" t="s">
        <v>715</v>
      </c>
      <c r="H120" s="105">
        <v>818</v>
      </c>
      <c r="I120" s="105" t="s">
        <v>668</v>
      </c>
      <c r="J120" s="105" t="s">
        <v>57</v>
      </c>
      <c r="K120" s="105" t="s">
        <v>666</v>
      </c>
      <c r="L120" s="105" t="s">
        <v>669</v>
      </c>
      <c r="M120" s="105">
        <v>0</v>
      </c>
      <c r="N120" s="105" t="s">
        <v>670</v>
      </c>
      <c r="O120" s="105" t="s">
        <v>23</v>
      </c>
      <c r="P120" s="105">
        <v>0</v>
      </c>
      <c r="Q120" s="105" t="s">
        <v>670</v>
      </c>
      <c r="R120" s="105" t="s">
        <v>23</v>
      </c>
      <c r="S120" s="105" t="s">
        <v>671</v>
      </c>
      <c r="T120" s="105" t="s">
        <v>672</v>
      </c>
      <c r="U120" s="105" t="b">
        <v>1</v>
      </c>
      <c r="V120" s="105" t="s">
        <v>745</v>
      </c>
      <c r="W120" s="105" t="s">
        <v>746</v>
      </c>
      <c r="X120" s="105">
        <v>6</v>
      </c>
      <c r="Y120" s="105" t="b">
        <v>1</v>
      </c>
      <c r="Z120" s="105" t="s">
        <v>675</v>
      </c>
      <c r="AA120" s="105" t="s">
        <v>676</v>
      </c>
      <c r="AB120" s="105" t="s">
        <v>677</v>
      </c>
      <c r="AC120" s="105">
        <v>0</v>
      </c>
      <c r="AD120" s="105" t="s">
        <v>678</v>
      </c>
      <c r="AE120" s="105">
        <v>8</v>
      </c>
      <c r="AF120" s="105" t="s">
        <v>679</v>
      </c>
      <c r="AG120" s="105">
        <v>178739.42600000001</v>
      </c>
      <c r="AH120" s="105" t="b">
        <v>1</v>
      </c>
      <c r="AI120" s="105">
        <v>-1</v>
      </c>
      <c r="AJ120" s="105" t="s">
        <v>680</v>
      </c>
      <c r="AK120" s="105">
        <v>0</v>
      </c>
      <c r="AL120" s="105" t="b">
        <v>0</v>
      </c>
      <c r="AM120" s="105">
        <v>178739.42600000001</v>
      </c>
      <c r="AN120" s="105" t="b">
        <v>1</v>
      </c>
      <c r="AO120" s="105">
        <v>0</v>
      </c>
      <c r="AP120" s="105" t="b">
        <v>0</v>
      </c>
      <c r="AQ120" s="105">
        <v>862749.39300000004</v>
      </c>
      <c r="AR120" s="105"/>
      <c r="AS120" s="105">
        <v>862749.39300000004</v>
      </c>
      <c r="AT120" s="105">
        <v>6</v>
      </c>
      <c r="AU120" s="105" t="b">
        <v>0</v>
      </c>
      <c r="AV120" s="105" t="b">
        <v>1</v>
      </c>
    </row>
    <row r="121" spans="1:48" s="46" customFormat="1">
      <c r="A121" s="105"/>
      <c r="B121" s="105" t="s">
        <v>665</v>
      </c>
      <c r="C121" s="105" t="s">
        <v>666</v>
      </c>
      <c r="D121" s="105">
        <v>20230401</v>
      </c>
      <c r="E121" s="105">
        <v>2023</v>
      </c>
      <c r="F121" s="105">
        <v>4</v>
      </c>
      <c r="G121" s="105" t="s">
        <v>715</v>
      </c>
      <c r="H121" s="105">
        <v>818</v>
      </c>
      <c r="I121" s="105" t="s">
        <v>668</v>
      </c>
      <c r="J121" s="105" t="s">
        <v>57</v>
      </c>
      <c r="K121" s="105" t="s">
        <v>666</v>
      </c>
      <c r="L121" s="105" t="s">
        <v>669</v>
      </c>
      <c r="M121" s="105">
        <v>40</v>
      </c>
      <c r="N121" s="105" t="s">
        <v>750</v>
      </c>
      <c r="O121" s="105" t="s">
        <v>43</v>
      </c>
      <c r="P121" s="105">
        <v>0</v>
      </c>
      <c r="Q121" s="105" t="s">
        <v>670</v>
      </c>
      <c r="R121" s="105" t="s">
        <v>23</v>
      </c>
      <c r="S121" s="105" t="s">
        <v>671</v>
      </c>
      <c r="T121" s="105" t="s">
        <v>672</v>
      </c>
      <c r="U121" s="105" t="b">
        <v>1</v>
      </c>
      <c r="V121" s="105" t="s">
        <v>745</v>
      </c>
      <c r="W121" s="105" t="s">
        <v>746</v>
      </c>
      <c r="X121" s="105">
        <v>6</v>
      </c>
      <c r="Y121" s="105" t="b">
        <v>1</v>
      </c>
      <c r="Z121" s="105" t="s">
        <v>675</v>
      </c>
      <c r="AA121" s="105" t="s">
        <v>676</v>
      </c>
      <c r="AB121" s="105" t="s">
        <v>677</v>
      </c>
      <c r="AC121" s="105">
        <v>0</v>
      </c>
      <c r="AD121" s="105" t="s">
        <v>678</v>
      </c>
      <c r="AE121" s="105">
        <v>8</v>
      </c>
      <c r="AF121" s="105" t="s">
        <v>679</v>
      </c>
      <c r="AG121" s="105">
        <v>1373.7619999999999</v>
      </c>
      <c r="AH121" s="105" t="b">
        <v>1</v>
      </c>
      <c r="AI121" s="105">
        <v>-1</v>
      </c>
      <c r="AJ121" s="105" t="s">
        <v>680</v>
      </c>
      <c r="AK121" s="105">
        <v>0</v>
      </c>
      <c r="AL121" s="105" t="b">
        <v>0</v>
      </c>
      <c r="AM121" s="105">
        <v>1373.7619999999999</v>
      </c>
      <c r="AN121" s="105" t="b">
        <v>1</v>
      </c>
      <c r="AO121" s="105">
        <v>0</v>
      </c>
      <c r="AP121" s="105" t="b">
        <v>0</v>
      </c>
      <c r="AQ121" s="105">
        <v>6630.9520000000002</v>
      </c>
      <c r="AR121" s="105"/>
      <c r="AS121" s="105">
        <v>6630.9520000000002</v>
      </c>
      <c r="AT121" s="105">
        <v>6</v>
      </c>
      <c r="AU121" s="105" t="b">
        <v>1</v>
      </c>
      <c r="AV121" s="105" t="b">
        <v>0</v>
      </c>
    </row>
    <row r="122" spans="1:48" s="46" customFormat="1">
      <c r="A122" s="105"/>
      <c r="B122" s="105" t="s">
        <v>665</v>
      </c>
      <c r="C122" s="105" t="s">
        <v>666</v>
      </c>
      <c r="D122" s="105">
        <v>20230401</v>
      </c>
      <c r="E122" s="105">
        <v>2023</v>
      </c>
      <c r="F122" s="105">
        <v>4</v>
      </c>
      <c r="G122" s="105" t="s">
        <v>715</v>
      </c>
      <c r="H122" s="105">
        <v>818</v>
      </c>
      <c r="I122" s="105" t="s">
        <v>668</v>
      </c>
      <c r="J122" s="105" t="s">
        <v>57</v>
      </c>
      <c r="K122" s="105" t="s">
        <v>666</v>
      </c>
      <c r="L122" s="105" t="s">
        <v>669</v>
      </c>
      <c r="M122" s="105">
        <v>156</v>
      </c>
      <c r="N122" s="105" t="s">
        <v>711</v>
      </c>
      <c r="O122" s="105" t="s">
        <v>29</v>
      </c>
      <c r="P122" s="105">
        <v>0</v>
      </c>
      <c r="Q122" s="105" t="s">
        <v>670</v>
      </c>
      <c r="R122" s="105" t="s">
        <v>23</v>
      </c>
      <c r="S122" s="105" t="s">
        <v>671</v>
      </c>
      <c r="T122" s="105" t="s">
        <v>672</v>
      </c>
      <c r="U122" s="105" t="b">
        <v>1</v>
      </c>
      <c r="V122" s="105" t="s">
        <v>745</v>
      </c>
      <c r="W122" s="105" t="s">
        <v>746</v>
      </c>
      <c r="X122" s="105">
        <v>6</v>
      </c>
      <c r="Y122" s="105" t="b">
        <v>1</v>
      </c>
      <c r="Z122" s="105" t="s">
        <v>675</v>
      </c>
      <c r="AA122" s="105" t="s">
        <v>676</v>
      </c>
      <c r="AB122" s="105" t="s">
        <v>677</v>
      </c>
      <c r="AC122" s="105">
        <v>0</v>
      </c>
      <c r="AD122" s="105" t="s">
        <v>678</v>
      </c>
      <c r="AE122" s="105">
        <v>8</v>
      </c>
      <c r="AF122" s="105" t="s">
        <v>679</v>
      </c>
      <c r="AG122" s="105">
        <v>34539.01</v>
      </c>
      <c r="AH122" s="105" t="b">
        <v>1</v>
      </c>
      <c r="AI122" s="105">
        <v>-1</v>
      </c>
      <c r="AJ122" s="105" t="s">
        <v>680</v>
      </c>
      <c r="AK122" s="105">
        <v>0</v>
      </c>
      <c r="AL122" s="105" t="b">
        <v>0</v>
      </c>
      <c r="AM122" s="105">
        <v>34539.01</v>
      </c>
      <c r="AN122" s="105" t="b">
        <v>1</v>
      </c>
      <c r="AO122" s="105">
        <v>0</v>
      </c>
      <c r="AP122" s="105" t="b">
        <v>0</v>
      </c>
      <c r="AQ122" s="105">
        <v>166714.81400000001</v>
      </c>
      <c r="AR122" s="105"/>
      <c r="AS122" s="105">
        <v>166714.81400000001</v>
      </c>
      <c r="AT122" s="105">
        <v>6</v>
      </c>
      <c r="AU122" s="105" t="b">
        <v>1</v>
      </c>
      <c r="AV122" s="105" t="b">
        <v>0</v>
      </c>
    </row>
    <row r="123" spans="1:48" s="46" customFormat="1">
      <c r="A123" s="105"/>
      <c r="B123" s="105" t="s">
        <v>665</v>
      </c>
      <c r="C123" s="105" t="s">
        <v>666</v>
      </c>
      <c r="D123" s="105">
        <v>20230401</v>
      </c>
      <c r="E123" s="105">
        <v>2023</v>
      </c>
      <c r="F123" s="105">
        <v>4</v>
      </c>
      <c r="G123" s="105" t="s">
        <v>715</v>
      </c>
      <c r="H123" s="105">
        <v>818</v>
      </c>
      <c r="I123" s="105" t="s">
        <v>668</v>
      </c>
      <c r="J123" s="105" t="s">
        <v>57</v>
      </c>
      <c r="K123" s="105" t="s">
        <v>666</v>
      </c>
      <c r="L123" s="105" t="s">
        <v>669</v>
      </c>
      <c r="M123" s="105">
        <v>203</v>
      </c>
      <c r="N123" s="105" t="s">
        <v>752</v>
      </c>
      <c r="O123" s="105" t="s">
        <v>753</v>
      </c>
      <c r="P123" s="105">
        <v>0</v>
      </c>
      <c r="Q123" s="105" t="s">
        <v>670</v>
      </c>
      <c r="R123" s="105" t="s">
        <v>23</v>
      </c>
      <c r="S123" s="105" t="s">
        <v>671</v>
      </c>
      <c r="T123" s="105" t="s">
        <v>672</v>
      </c>
      <c r="U123" s="105" t="b">
        <v>1</v>
      </c>
      <c r="V123" s="105" t="s">
        <v>745</v>
      </c>
      <c r="W123" s="105" t="s">
        <v>746</v>
      </c>
      <c r="X123" s="105">
        <v>6</v>
      </c>
      <c r="Y123" s="105" t="b">
        <v>1</v>
      </c>
      <c r="Z123" s="105" t="s">
        <v>675</v>
      </c>
      <c r="AA123" s="105" t="s">
        <v>676</v>
      </c>
      <c r="AB123" s="105" t="s">
        <v>677</v>
      </c>
      <c r="AC123" s="105">
        <v>0</v>
      </c>
      <c r="AD123" s="105" t="s">
        <v>678</v>
      </c>
      <c r="AE123" s="105">
        <v>8</v>
      </c>
      <c r="AF123" s="105" t="s">
        <v>679</v>
      </c>
      <c r="AG123" s="105">
        <v>19727.519</v>
      </c>
      <c r="AH123" s="105" t="b">
        <v>1</v>
      </c>
      <c r="AI123" s="105">
        <v>-1</v>
      </c>
      <c r="AJ123" s="105" t="s">
        <v>680</v>
      </c>
      <c r="AK123" s="105">
        <v>0</v>
      </c>
      <c r="AL123" s="105" t="b">
        <v>0</v>
      </c>
      <c r="AM123" s="105">
        <v>19727.519</v>
      </c>
      <c r="AN123" s="105" t="b">
        <v>1</v>
      </c>
      <c r="AO123" s="105">
        <v>0</v>
      </c>
      <c r="AP123" s="105" t="b">
        <v>0</v>
      </c>
      <c r="AQ123" s="105">
        <v>95221.883000000002</v>
      </c>
      <c r="AR123" s="105"/>
      <c r="AS123" s="105">
        <v>95221.883000000002</v>
      </c>
      <c r="AT123" s="105">
        <v>6</v>
      </c>
      <c r="AU123" s="105" t="b">
        <v>1</v>
      </c>
      <c r="AV123" s="105" t="b">
        <v>0</v>
      </c>
    </row>
    <row r="124" spans="1:48" s="46" customFormat="1">
      <c r="A124" s="105"/>
      <c r="B124" s="105" t="s">
        <v>665</v>
      </c>
      <c r="C124" s="105" t="s">
        <v>666</v>
      </c>
      <c r="D124" s="105">
        <v>20230401</v>
      </c>
      <c r="E124" s="105">
        <v>2023</v>
      </c>
      <c r="F124" s="105">
        <v>4</v>
      </c>
      <c r="G124" s="105" t="s">
        <v>715</v>
      </c>
      <c r="H124" s="105">
        <v>818</v>
      </c>
      <c r="I124" s="105" t="s">
        <v>668</v>
      </c>
      <c r="J124" s="105" t="s">
        <v>57</v>
      </c>
      <c r="K124" s="105" t="s">
        <v>666</v>
      </c>
      <c r="L124" s="105" t="s">
        <v>669</v>
      </c>
      <c r="M124" s="105">
        <v>276</v>
      </c>
      <c r="N124" s="105" t="s">
        <v>681</v>
      </c>
      <c r="O124" s="105" t="s">
        <v>30</v>
      </c>
      <c r="P124" s="105">
        <v>0</v>
      </c>
      <c r="Q124" s="105" t="s">
        <v>670</v>
      </c>
      <c r="R124" s="105" t="s">
        <v>23</v>
      </c>
      <c r="S124" s="105" t="s">
        <v>671</v>
      </c>
      <c r="T124" s="105" t="s">
        <v>672</v>
      </c>
      <c r="U124" s="105" t="b">
        <v>1</v>
      </c>
      <c r="V124" s="105" t="s">
        <v>745</v>
      </c>
      <c r="W124" s="105" t="s">
        <v>746</v>
      </c>
      <c r="X124" s="105">
        <v>6</v>
      </c>
      <c r="Y124" s="105" t="b">
        <v>1</v>
      </c>
      <c r="Z124" s="105" t="s">
        <v>675</v>
      </c>
      <c r="AA124" s="105" t="s">
        <v>676</v>
      </c>
      <c r="AB124" s="105" t="s">
        <v>677</v>
      </c>
      <c r="AC124" s="105">
        <v>0</v>
      </c>
      <c r="AD124" s="105" t="s">
        <v>678</v>
      </c>
      <c r="AE124" s="105">
        <v>8</v>
      </c>
      <c r="AF124" s="105" t="s">
        <v>679</v>
      </c>
      <c r="AG124" s="105">
        <v>45713.847999999998</v>
      </c>
      <c r="AH124" s="105" t="b">
        <v>1</v>
      </c>
      <c r="AI124" s="105">
        <v>-1</v>
      </c>
      <c r="AJ124" s="105" t="s">
        <v>680</v>
      </c>
      <c r="AK124" s="105">
        <v>0</v>
      </c>
      <c r="AL124" s="105" t="b">
        <v>0</v>
      </c>
      <c r="AM124" s="105">
        <v>45713.847999999998</v>
      </c>
      <c r="AN124" s="105" t="b">
        <v>1</v>
      </c>
      <c r="AO124" s="105">
        <v>0</v>
      </c>
      <c r="AP124" s="105" t="b">
        <v>0</v>
      </c>
      <c r="AQ124" s="105">
        <v>220654.14300000001</v>
      </c>
      <c r="AR124" s="105"/>
      <c r="AS124" s="105">
        <v>220654.14300000001</v>
      </c>
      <c r="AT124" s="105">
        <v>6</v>
      </c>
      <c r="AU124" s="105" t="b">
        <v>1</v>
      </c>
      <c r="AV124" s="105" t="b">
        <v>0</v>
      </c>
    </row>
    <row r="125" spans="1:48" s="46" customFormat="1">
      <c r="A125" s="105"/>
      <c r="B125" s="105" t="s">
        <v>665</v>
      </c>
      <c r="C125" s="105" t="s">
        <v>666</v>
      </c>
      <c r="D125" s="105">
        <v>20230401</v>
      </c>
      <c r="E125" s="105">
        <v>2023</v>
      </c>
      <c r="F125" s="105">
        <v>4</v>
      </c>
      <c r="G125" s="105" t="s">
        <v>715</v>
      </c>
      <c r="H125" s="105">
        <v>818</v>
      </c>
      <c r="I125" s="105" t="s">
        <v>668</v>
      </c>
      <c r="J125" s="105" t="s">
        <v>57</v>
      </c>
      <c r="K125" s="105" t="s">
        <v>666</v>
      </c>
      <c r="L125" s="105" t="s">
        <v>669</v>
      </c>
      <c r="M125" s="105">
        <v>380</v>
      </c>
      <c r="N125" s="105" t="s">
        <v>689</v>
      </c>
      <c r="O125" s="105" t="s">
        <v>71</v>
      </c>
      <c r="P125" s="105">
        <v>0</v>
      </c>
      <c r="Q125" s="105" t="s">
        <v>670</v>
      </c>
      <c r="R125" s="105" t="s">
        <v>23</v>
      </c>
      <c r="S125" s="105" t="s">
        <v>671</v>
      </c>
      <c r="T125" s="105" t="s">
        <v>672</v>
      </c>
      <c r="U125" s="105" t="b">
        <v>1</v>
      </c>
      <c r="V125" s="105" t="s">
        <v>745</v>
      </c>
      <c r="W125" s="105" t="s">
        <v>746</v>
      </c>
      <c r="X125" s="105">
        <v>6</v>
      </c>
      <c r="Y125" s="105" t="b">
        <v>1</v>
      </c>
      <c r="Z125" s="105" t="s">
        <v>675</v>
      </c>
      <c r="AA125" s="105" t="s">
        <v>676</v>
      </c>
      <c r="AB125" s="105" t="s">
        <v>677</v>
      </c>
      <c r="AC125" s="105">
        <v>0</v>
      </c>
      <c r="AD125" s="105" t="s">
        <v>678</v>
      </c>
      <c r="AE125" s="105">
        <v>8</v>
      </c>
      <c r="AF125" s="105" t="s">
        <v>679</v>
      </c>
      <c r="AG125" s="105">
        <v>4546.607</v>
      </c>
      <c r="AH125" s="105" t="b">
        <v>1</v>
      </c>
      <c r="AI125" s="105">
        <v>-1</v>
      </c>
      <c r="AJ125" s="105" t="s">
        <v>680</v>
      </c>
      <c r="AK125" s="105">
        <v>0</v>
      </c>
      <c r="AL125" s="105" t="b">
        <v>0</v>
      </c>
      <c r="AM125" s="105">
        <v>4546.607</v>
      </c>
      <c r="AN125" s="105" t="b">
        <v>1</v>
      </c>
      <c r="AO125" s="105">
        <v>0</v>
      </c>
      <c r="AP125" s="105" t="b">
        <v>0</v>
      </c>
      <c r="AQ125" s="105">
        <v>21945.812999999998</v>
      </c>
      <c r="AR125" s="105"/>
      <c r="AS125" s="105">
        <v>21945.812999999998</v>
      </c>
      <c r="AT125" s="105">
        <v>6</v>
      </c>
      <c r="AU125" s="105" t="b">
        <v>1</v>
      </c>
      <c r="AV125" s="105" t="b">
        <v>0</v>
      </c>
    </row>
    <row r="126" spans="1:48" s="46" customFormat="1">
      <c r="A126" s="105"/>
      <c r="B126" s="105" t="s">
        <v>665</v>
      </c>
      <c r="C126" s="105" t="s">
        <v>666</v>
      </c>
      <c r="D126" s="105">
        <v>20230401</v>
      </c>
      <c r="E126" s="105">
        <v>2023</v>
      </c>
      <c r="F126" s="105">
        <v>4</v>
      </c>
      <c r="G126" s="105" t="s">
        <v>715</v>
      </c>
      <c r="H126" s="105">
        <v>818</v>
      </c>
      <c r="I126" s="105" t="s">
        <v>668</v>
      </c>
      <c r="J126" s="105" t="s">
        <v>57</v>
      </c>
      <c r="K126" s="105" t="s">
        <v>666</v>
      </c>
      <c r="L126" s="105" t="s">
        <v>669</v>
      </c>
      <c r="M126" s="105">
        <v>392</v>
      </c>
      <c r="N126" s="105" t="s">
        <v>747</v>
      </c>
      <c r="O126" s="105" t="s">
        <v>32</v>
      </c>
      <c r="P126" s="105">
        <v>0</v>
      </c>
      <c r="Q126" s="105" t="s">
        <v>670</v>
      </c>
      <c r="R126" s="105" t="s">
        <v>23</v>
      </c>
      <c r="S126" s="105" t="s">
        <v>671</v>
      </c>
      <c r="T126" s="105" t="s">
        <v>672</v>
      </c>
      <c r="U126" s="105" t="b">
        <v>1</v>
      </c>
      <c r="V126" s="105" t="s">
        <v>745</v>
      </c>
      <c r="W126" s="105" t="s">
        <v>746</v>
      </c>
      <c r="X126" s="105">
        <v>6</v>
      </c>
      <c r="Y126" s="105" t="b">
        <v>1</v>
      </c>
      <c r="Z126" s="105" t="s">
        <v>675</v>
      </c>
      <c r="AA126" s="105" t="s">
        <v>676</v>
      </c>
      <c r="AB126" s="105" t="s">
        <v>677</v>
      </c>
      <c r="AC126" s="105">
        <v>0</v>
      </c>
      <c r="AD126" s="105" t="s">
        <v>678</v>
      </c>
      <c r="AE126" s="105">
        <v>8</v>
      </c>
      <c r="AF126" s="105" t="s">
        <v>679</v>
      </c>
      <c r="AG126" s="105">
        <v>33570.699999999997</v>
      </c>
      <c r="AH126" s="105" t="b">
        <v>1</v>
      </c>
      <c r="AI126" s="105">
        <v>-1</v>
      </c>
      <c r="AJ126" s="105" t="s">
        <v>680</v>
      </c>
      <c r="AK126" s="105">
        <v>0</v>
      </c>
      <c r="AL126" s="105" t="b">
        <v>0</v>
      </c>
      <c r="AM126" s="105">
        <v>33570.699999999997</v>
      </c>
      <c r="AN126" s="105" t="b">
        <v>1</v>
      </c>
      <c r="AO126" s="105">
        <v>0</v>
      </c>
      <c r="AP126" s="105" t="b">
        <v>0</v>
      </c>
      <c r="AQ126" s="105">
        <v>162040.92199999999</v>
      </c>
      <c r="AR126" s="105"/>
      <c r="AS126" s="105">
        <v>162040.92199999999</v>
      </c>
      <c r="AT126" s="105">
        <v>6</v>
      </c>
      <c r="AU126" s="105" t="b">
        <v>1</v>
      </c>
      <c r="AV126" s="105" t="b">
        <v>0</v>
      </c>
    </row>
    <row r="127" spans="1:48" s="46" customFormat="1">
      <c r="A127" s="105"/>
      <c r="B127" s="105" t="s">
        <v>665</v>
      </c>
      <c r="C127" s="105" t="s">
        <v>666</v>
      </c>
      <c r="D127" s="105">
        <v>20230401</v>
      </c>
      <c r="E127" s="105">
        <v>2023</v>
      </c>
      <c r="F127" s="105">
        <v>4</v>
      </c>
      <c r="G127" s="105" t="s">
        <v>715</v>
      </c>
      <c r="H127" s="105">
        <v>818</v>
      </c>
      <c r="I127" s="105" t="s">
        <v>668</v>
      </c>
      <c r="J127" s="105" t="s">
        <v>57</v>
      </c>
      <c r="K127" s="105" t="s">
        <v>666</v>
      </c>
      <c r="L127" s="105" t="s">
        <v>669</v>
      </c>
      <c r="M127" s="105">
        <v>410</v>
      </c>
      <c r="N127" s="105" t="s">
        <v>754</v>
      </c>
      <c r="O127" s="105" t="s">
        <v>755</v>
      </c>
      <c r="P127" s="105">
        <v>0</v>
      </c>
      <c r="Q127" s="105" t="s">
        <v>670</v>
      </c>
      <c r="R127" s="105" t="s">
        <v>23</v>
      </c>
      <c r="S127" s="105" t="s">
        <v>671</v>
      </c>
      <c r="T127" s="105" t="s">
        <v>672</v>
      </c>
      <c r="U127" s="105" t="b">
        <v>1</v>
      </c>
      <c r="V127" s="105" t="s">
        <v>745</v>
      </c>
      <c r="W127" s="105" t="s">
        <v>746</v>
      </c>
      <c r="X127" s="105">
        <v>6</v>
      </c>
      <c r="Y127" s="105" t="b">
        <v>1</v>
      </c>
      <c r="Z127" s="105" t="s">
        <v>675</v>
      </c>
      <c r="AA127" s="105" t="s">
        <v>676</v>
      </c>
      <c r="AB127" s="105" t="s">
        <v>677</v>
      </c>
      <c r="AC127" s="105">
        <v>0</v>
      </c>
      <c r="AD127" s="105" t="s">
        <v>678</v>
      </c>
      <c r="AE127" s="105">
        <v>8</v>
      </c>
      <c r="AF127" s="105" t="s">
        <v>679</v>
      </c>
      <c r="AG127" s="105">
        <v>796.60799999999995</v>
      </c>
      <c r="AH127" s="105" t="b">
        <v>1</v>
      </c>
      <c r="AI127" s="105">
        <v>-1</v>
      </c>
      <c r="AJ127" s="105" t="s">
        <v>680</v>
      </c>
      <c r="AK127" s="105">
        <v>0</v>
      </c>
      <c r="AL127" s="105" t="b">
        <v>0</v>
      </c>
      <c r="AM127" s="105">
        <v>796.60799999999995</v>
      </c>
      <c r="AN127" s="105" t="b">
        <v>1</v>
      </c>
      <c r="AO127" s="105">
        <v>0</v>
      </c>
      <c r="AP127" s="105" t="b">
        <v>0</v>
      </c>
      <c r="AQ127" s="105">
        <v>3845.114</v>
      </c>
      <c r="AR127" s="105"/>
      <c r="AS127" s="105">
        <v>3845.114</v>
      </c>
      <c r="AT127" s="105">
        <v>6</v>
      </c>
      <c r="AU127" s="105" t="b">
        <v>1</v>
      </c>
      <c r="AV127" s="105" t="b">
        <v>0</v>
      </c>
    </row>
    <row r="128" spans="1:48" s="46" customFormat="1">
      <c r="A128" s="105"/>
      <c r="B128" s="105" t="s">
        <v>665</v>
      </c>
      <c r="C128" s="105" t="s">
        <v>666</v>
      </c>
      <c r="D128" s="105">
        <v>20230401</v>
      </c>
      <c r="E128" s="105">
        <v>2023</v>
      </c>
      <c r="F128" s="105">
        <v>4</v>
      </c>
      <c r="G128" s="105" t="s">
        <v>715</v>
      </c>
      <c r="H128" s="105">
        <v>818</v>
      </c>
      <c r="I128" s="105" t="s">
        <v>668</v>
      </c>
      <c r="J128" s="105" t="s">
        <v>57</v>
      </c>
      <c r="K128" s="105" t="s">
        <v>666</v>
      </c>
      <c r="L128" s="105" t="s">
        <v>669</v>
      </c>
      <c r="M128" s="105">
        <v>699</v>
      </c>
      <c r="N128" s="105" t="s">
        <v>748</v>
      </c>
      <c r="O128" s="105" t="s">
        <v>0</v>
      </c>
      <c r="P128" s="105">
        <v>0</v>
      </c>
      <c r="Q128" s="105" t="s">
        <v>670</v>
      </c>
      <c r="R128" s="105" t="s">
        <v>23</v>
      </c>
      <c r="S128" s="105" t="s">
        <v>671</v>
      </c>
      <c r="T128" s="105" t="s">
        <v>672</v>
      </c>
      <c r="U128" s="105" t="b">
        <v>1</v>
      </c>
      <c r="V128" s="105" t="s">
        <v>745</v>
      </c>
      <c r="W128" s="105" t="s">
        <v>746</v>
      </c>
      <c r="X128" s="105">
        <v>6</v>
      </c>
      <c r="Y128" s="105" t="b">
        <v>1</v>
      </c>
      <c r="Z128" s="105" t="s">
        <v>675</v>
      </c>
      <c r="AA128" s="105" t="s">
        <v>676</v>
      </c>
      <c r="AB128" s="105" t="s">
        <v>677</v>
      </c>
      <c r="AC128" s="105">
        <v>0</v>
      </c>
      <c r="AD128" s="105" t="s">
        <v>678</v>
      </c>
      <c r="AE128" s="105">
        <v>8</v>
      </c>
      <c r="AF128" s="105" t="s">
        <v>679</v>
      </c>
      <c r="AG128" s="105">
        <v>4353.3980000000001</v>
      </c>
      <c r="AH128" s="105" t="b">
        <v>1</v>
      </c>
      <c r="AI128" s="105">
        <v>-1</v>
      </c>
      <c r="AJ128" s="105" t="s">
        <v>680</v>
      </c>
      <c r="AK128" s="105">
        <v>0</v>
      </c>
      <c r="AL128" s="105" t="b">
        <v>0</v>
      </c>
      <c r="AM128" s="105">
        <v>4353.3980000000001</v>
      </c>
      <c r="AN128" s="105" t="b">
        <v>1</v>
      </c>
      <c r="AO128" s="105">
        <v>0</v>
      </c>
      <c r="AP128" s="105" t="b">
        <v>0</v>
      </c>
      <c r="AQ128" s="105">
        <v>21013.223000000002</v>
      </c>
      <c r="AR128" s="105"/>
      <c r="AS128" s="105">
        <v>21013.223000000002</v>
      </c>
      <c r="AT128" s="105">
        <v>6</v>
      </c>
      <c r="AU128" s="105" t="b">
        <v>1</v>
      </c>
      <c r="AV128" s="105" t="b">
        <v>0</v>
      </c>
    </row>
    <row r="129" spans="1:48" s="46" customFormat="1">
      <c r="A129" s="105"/>
      <c r="B129" s="105" t="s">
        <v>665</v>
      </c>
      <c r="C129" s="105" t="s">
        <v>666</v>
      </c>
      <c r="D129" s="105">
        <v>20230401</v>
      </c>
      <c r="E129" s="105">
        <v>2023</v>
      </c>
      <c r="F129" s="105">
        <v>4</v>
      </c>
      <c r="G129" s="105" t="s">
        <v>715</v>
      </c>
      <c r="H129" s="105">
        <v>818</v>
      </c>
      <c r="I129" s="105" t="s">
        <v>668</v>
      </c>
      <c r="J129" s="105" t="s">
        <v>57</v>
      </c>
      <c r="K129" s="105" t="s">
        <v>666</v>
      </c>
      <c r="L129" s="105" t="s">
        <v>669</v>
      </c>
      <c r="M129" s="105">
        <v>724</v>
      </c>
      <c r="N129" s="105" t="s">
        <v>684</v>
      </c>
      <c r="O129" s="105" t="s">
        <v>51</v>
      </c>
      <c r="P129" s="105">
        <v>0</v>
      </c>
      <c r="Q129" s="105" t="s">
        <v>670</v>
      </c>
      <c r="R129" s="105" t="s">
        <v>23</v>
      </c>
      <c r="S129" s="105" t="s">
        <v>671</v>
      </c>
      <c r="T129" s="105" t="s">
        <v>672</v>
      </c>
      <c r="U129" s="105" t="b">
        <v>1</v>
      </c>
      <c r="V129" s="105" t="s">
        <v>745</v>
      </c>
      <c r="W129" s="105" t="s">
        <v>746</v>
      </c>
      <c r="X129" s="105">
        <v>6</v>
      </c>
      <c r="Y129" s="105" t="b">
        <v>1</v>
      </c>
      <c r="Z129" s="105" t="s">
        <v>675</v>
      </c>
      <c r="AA129" s="105" t="s">
        <v>676</v>
      </c>
      <c r="AB129" s="105" t="s">
        <v>677</v>
      </c>
      <c r="AC129" s="105">
        <v>0</v>
      </c>
      <c r="AD129" s="105" t="s">
        <v>678</v>
      </c>
      <c r="AE129" s="105">
        <v>8</v>
      </c>
      <c r="AF129" s="105" t="s">
        <v>679</v>
      </c>
      <c r="AG129" s="105">
        <v>1503.0219999999999</v>
      </c>
      <c r="AH129" s="105" t="b">
        <v>1</v>
      </c>
      <c r="AI129" s="105">
        <v>-1</v>
      </c>
      <c r="AJ129" s="105" t="s">
        <v>680</v>
      </c>
      <c r="AK129" s="105">
        <v>0</v>
      </c>
      <c r="AL129" s="105" t="b">
        <v>0</v>
      </c>
      <c r="AM129" s="105">
        <v>1503.0219999999999</v>
      </c>
      <c r="AN129" s="105" t="b">
        <v>1</v>
      </c>
      <c r="AO129" s="105">
        <v>0</v>
      </c>
      <c r="AP129" s="105" t="b">
        <v>0</v>
      </c>
      <c r="AQ129" s="105">
        <v>7254.8680000000004</v>
      </c>
      <c r="AR129" s="105"/>
      <c r="AS129" s="105">
        <v>7254.8680000000004</v>
      </c>
      <c r="AT129" s="105">
        <v>6</v>
      </c>
      <c r="AU129" s="105" t="b">
        <v>1</v>
      </c>
      <c r="AV129" s="105" t="b">
        <v>0</v>
      </c>
    </row>
    <row r="130" spans="1:48" s="46" customFormat="1">
      <c r="A130" s="105"/>
      <c r="B130" s="105" t="s">
        <v>665</v>
      </c>
      <c r="C130" s="105" t="s">
        <v>666</v>
      </c>
      <c r="D130" s="105">
        <v>20230401</v>
      </c>
      <c r="E130" s="105">
        <v>2023</v>
      </c>
      <c r="F130" s="105">
        <v>4</v>
      </c>
      <c r="G130" s="105" t="s">
        <v>715</v>
      </c>
      <c r="H130" s="105">
        <v>818</v>
      </c>
      <c r="I130" s="105" t="s">
        <v>668</v>
      </c>
      <c r="J130" s="105" t="s">
        <v>57</v>
      </c>
      <c r="K130" s="105" t="s">
        <v>666</v>
      </c>
      <c r="L130" s="105" t="s">
        <v>669</v>
      </c>
      <c r="M130" s="105">
        <v>764</v>
      </c>
      <c r="N130" s="105" t="s">
        <v>749</v>
      </c>
      <c r="O130" s="105" t="s">
        <v>55</v>
      </c>
      <c r="P130" s="105">
        <v>0</v>
      </c>
      <c r="Q130" s="105" t="s">
        <v>670</v>
      </c>
      <c r="R130" s="105" t="s">
        <v>23</v>
      </c>
      <c r="S130" s="105" t="s">
        <v>671</v>
      </c>
      <c r="T130" s="105" t="s">
        <v>672</v>
      </c>
      <c r="U130" s="105" t="b">
        <v>1</v>
      </c>
      <c r="V130" s="105" t="s">
        <v>745</v>
      </c>
      <c r="W130" s="105" t="s">
        <v>746</v>
      </c>
      <c r="X130" s="105">
        <v>6</v>
      </c>
      <c r="Y130" s="105" t="b">
        <v>1</v>
      </c>
      <c r="Z130" s="105" t="s">
        <v>675</v>
      </c>
      <c r="AA130" s="105" t="s">
        <v>676</v>
      </c>
      <c r="AB130" s="105" t="s">
        <v>677</v>
      </c>
      <c r="AC130" s="105">
        <v>0</v>
      </c>
      <c r="AD130" s="105" t="s">
        <v>678</v>
      </c>
      <c r="AE130" s="105">
        <v>8</v>
      </c>
      <c r="AF130" s="105" t="s">
        <v>679</v>
      </c>
      <c r="AG130" s="105">
        <v>16893.827000000001</v>
      </c>
      <c r="AH130" s="105" t="b">
        <v>1</v>
      </c>
      <c r="AI130" s="105">
        <v>-1</v>
      </c>
      <c r="AJ130" s="105" t="s">
        <v>680</v>
      </c>
      <c r="AK130" s="105">
        <v>0</v>
      </c>
      <c r="AL130" s="105" t="b">
        <v>0</v>
      </c>
      <c r="AM130" s="105">
        <v>16893.827000000001</v>
      </c>
      <c r="AN130" s="105" t="b">
        <v>1</v>
      </c>
      <c r="AO130" s="105">
        <v>0</v>
      </c>
      <c r="AP130" s="105" t="b">
        <v>0</v>
      </c>
      <c r="AQ130" s="105">
        <v>81544.062999999995</v>
      </c>
      <c r="AR130" s="105"/>
      <c r="AS130" s="105">
        <v>81544.062999999995</v>
      </c>
      <c r="AT130" s="105">
        <v>6</v>
      </c>
      <c r="AU130" s="105" t="b">
        <v>1</v>
      </c>
      <c r="AV130" s="105" t="b">
        <v>0</v>
      </c>
    </row>
    <row r="131" spans="1:48" s="46" customFormat="1">
      <c r="A131" s="105"/>
      <c r="B131" s="105" t="s">
        <v>665</v>
      </c>
      <c r="C131" s="105" t="s">
        <v>666</v>
      </c>
      <c r="D131" s="105">
        <v>20230401</v>
      </c>
      <c r="E131" s="105">
        <v>2023</v>
      </c>
      <c r="F131" s="105">
        <v>4</v>
      </c>
      <c r="G131" s="105" t="s">
        <v>715</v>
      </c>
      <c r="H131" s="105">
        <v>818</v>
      </c>
      <c r="I131" s="105" t="s">
        <v>668</v>
      </c>
      <c r="J131" s="105" t="s">
        <v>57</v>
      </c>
      <c r="K131" s="105" t="s">
        <v>666</v>
      </c>
      <c r="L131" s="105" t="s">
        <v>669</v>
      </c>
      <c r="M131" s="105">
        <v>792</v>
      </c>
      <c r="N131" s="105" t="s">
        <v>691</v>
      </c>
      <c r="O131" s="105" t="s">
        <v>63</v>
      </c>
      <c r="P131" s="105">
        <v>0</v>
      </c>
      <c r="Q131" s="105" t="s">
        <v>670</v>
      </c>
      <c r="R131" s="105" t="s">
        <v>23</v>
      </c>
      <c r="S131" s="105" t="s">
        <v>671</v>
      </c>
      <c r="T131" s="105" t="s">
        <v>672</v>
      </c>
      <c r="U131" s="105" t="b">
        <v>1</v>
      </c>
      <c r="V131" s="105" t="s">
        <v>745</v>
      </c>
      <c r="W131" s="105" t="s">
        <v>746</v>
      </c>
      <c r="X131" s="105">
        <v>6</v>
      </c>
      <c r="Y131" s="105" t="b">
        <v>1</v>
      </c>
      <c r="Z131" s="105" t="s">
        <v>675</v>
      </c>
      <c r="AA131" s="105" t="s">
        <v>676</v>
      </c>
      <c r="AB131" s="105" t="s">
        <v>677</v>
      </c>
      <c r="AC131" s="105">
        <v>0</v>
      </c>
      <c r="AD131" s="105" t="s">
        <v>678</v>
      </c>
      <c r="AE131" s="105">
        <v>8</v>
      </c>
      <c r="AF131" s="105" t="s">
        <v>679</v>
      </c>
      <c r="AG131" s="105">
        <v>8972.9850000000006</v>
      </c>
      <c r="AH131" s="105" t="b">
        <v>1</v>
      </c>
      <c r="AI131" s="105">
        <v>-1</v>
      </c>
      <c r="AJ131" s="105" t="s">
        <v>680</v>
      </c>
      <c r="AK131" s="105">
        <v>0</v>
      </c>
      <c r="AL131" s="105" t="b">
        <v>0</v>
      </c>
      <c r="AM131" s="105">
        <v>8972.9850000000006</v>
      </c>
      <c r="AN131" s="105" t="b">
        <v>1</v>
      </c>
      <c r="AO131" s="105">
        <v>0</v>
      </c>
      <c r="AP131" s="105" t="b">
        <v>0</v>
      </c>
      <c r="AQ131" s="105">
        <v>43311.300999999999</v>
      </c>
      <c r="AR131" s="105"/>
      <c r="AS131" s="105">
        <v>43311.300999999999</v>
      </c>
      <c r="AT131" s="105">
        <v>6</v>
      </c>
      <c r="AU131" s="105" t="b">
        <v>1</v>
      </c>
      <c r="AV131" s="105" t="b">
        <v>0</v>
      </c>
    </row>
    <row r="132" spans="1:48" s="46" customFormat="1">
      <c r="A132" s="105"/>
      <c r="B132" s="105" t="s">
        <v>665</v>
      </c>
      <c r="C132" s="105" t="s">
        <v>666</v>
      </c>
      <c r="D132" s="105">
        <v>20230401</v>
      </c>
      <c r="E132" s="105">
        <v>2023</v>
      </c>
      <c r="F132" s="105">
        <v>4</v>
      </c>
      <c r="G132" s="105" t="s">
        <v>715</v>
      </c>
      <c r="H132" s="105">
        <v>818</v>
      </c>
      <c r="I132" s="105" t="s">
        <v>668</v>
      </c>
      <c r="J132" s="105" t="s">
        <v>57</v>
      </c>
      <c r="K132" s="105" t="s">
        <v>666</v>
      </c>
      <c r="L132" s="105" t="s">
        <v>669</v>
      </c>
      <c r="M132" s="105">
        <v>842</v>
      </c>
      <c r="N132" s="105" t="s">
        <v>713</v>
      </c>
      <c r="O132" s="105" t="s">
        <v>713</v>
      </c>
      <c r="P132" s="105">
        <v>0</v>
      </c>
      <c r="Q132" s="105" t="s">
        <v>670</v>
      </c>
      <c r="R132" s="105" t="s">
        <v>23</v>
      </c>
      <c r="S132" s="105" t="s">
        <v>671</v>
      </c>
      <c r="T132" s="105" t="s">
        <v>672</v>
      </c>
      <c r="U132" s="105" t="b">
        <v>1</v>
      </c>
      <c r="V132" s="105" t="s">
        <v>745</v>
      </c>
      <c r="W132" s="105" t="s">
        <v>746</v>
      </c>
      <c r="X132" s="105">
        <v>6</v>
      </c>
      <c r="Y132" s="105" t="b">
        <v>1</v>
      </c>
      <c r="Z132" s="105" t="s">
        <v>675</v>
      </c>
      <c r="AA132" s="105" t="s">
        <v>676</v>
      </c>
      <c r="AB132" s="105" t="s">
        <v>677</v>
      </c>
      <c r="AC132" s="105">
        <v>0</v>
      </c>
      <c r="AD132" s="105" t="s">
        <v>678</v>
      </c>
      <c r="AE132" s="105">
        <v>8</v>
      </c>
      <c r="AF132" s="105" t="s">
        <v>679</v>
      </c>
      <c r="AG132" s="105">
        <v>6748.14</v>
      </c>
      <c r="AH132" s="105" t="b">
        <v>1</v>
      </c>
      <c r="AI132" s="105">
        <v>-1</v>
      </c>
      <c r="AJ132" s="105" t="s">
        <v>680</v>
      </c>
      <c r="AK132" s="105">
        <v>0</v>
      </c>
      <c r="AL132" s="105" t="b">
        <v>0</v>
      </c>
      <c r="AM132" s="105">
        <v>6748.14</v>
      </c>
      <c r="AN132" s="105" t="b">
        <v>1</v>
      </c>
      <c r="AO132" s="105">
        <v>0</v>
      </c>
      <c r="AP132" s="105" t="b">
        <v>0</v>
      </c>
      <c r="AQ132" s="105">
        <v>32572.298999999999</v>
      </c>
      <c r="AR132" s="105"/>
      <c r="AS132" s="105">
        <v>32572.298999999999</v>
      </c>
      <c r="AT132" s="105">
        <v>6</v>
      </c>
      <c r="AU132" s="105" t="b">
        <v>1</v>
      </c>
      <c r="AV132" s="105" t="b">
        <v>0</v>
      </c>
    </row>
    <row r="133" spans="1:48" s="46" customFormat="1">
      <c r="A133" s="105"/>
      <c r="B133" s="105" t="s">
        <v>665</v>
      </c>
      <c r="C133" s="105" t="s">
        <v>666</v>
      </c>
      <c r="D133" s="105">
        <v>20230401</v>
      </c>
      <c r="E133" s="105">
        <v>2023</v>
      </c>
      <c r="F133" s="105">
        <v>4</v>
      </c>
      <c r="G133" s="105" t="s">
        <v>715</v>
      </c>
      <c r="H133" s="105">
        <v>818</v>
      </c>
      <c r="I133" s="105" t="s">
        <v>668</v>
      </c>
      <c r="J133" s="105" t="s">
        <v>57</v>
      </c>
      <c r="K133" s="105" t="s">
        <v>701</v>
      </c>
      <c r="L133" s="105" t="s">
        <v>702</v>
      </c>
      <c r="M133" s="105">
        <v>0</v>
      </c>
      <c r="N133" s="105" t="s">
        <v>670</v>
      </c>
      <c r="O133" s="105" t="s">
        <v>23</v>
      </c>
      <c r="P133" s="105">
        <v>0</v>
      </c>
      <c r="Q133" s="105" t="s">
        <v>670</v>
      </c>
      <c r="R133" s="105" t="s">
        <v>23</v>
      </c>
      <c r="S133" s="105" t="s">
        <v>671</v>
      </c>
      <c r="T133" s="105" t="s">
        <v>672</v>
      </c>
      <c r="U133" s="105" t="b">
        <v>1</v>
      </c>
      <c r="V133" s="105" t="s">
        <v>745</v>
      </c>
      <c r="W133" s="105" t="s">
        <v>746</v>
      </c>
      <c r="X133" s="105">
        <v>6</v>
      </c>
      <c r="Y133" s="105" t="b">
        <v>1</v>
      </c>
      <c r="Z133" s="105" t="s">
        <v>675</v>
      </c>
      <c r="AA133" s="105" t="s">
        <v>676</v>
      </c>
      <c r="AB133" s="105" t="s">
        <v>677</v>
      </c>
      <c r="AC133" s="105">
        <v>0</v>
      </c>
      <c r="AD133" s="105" t="s">
        <v>678</v>
      </c>
      <c r="AE133" s="105">
        <v>8</v>
      </c>
      <c r="AF133" s="105" t="s">
        <v>679</v>
      </c>
      <c r="AG133" s="105">
        <v>13206.269</v>
      </c>
      <c r="AH133" s="105" t="b">
        <v>1</v>
      </c>
      <c r="AI133" s="105">
        <v>-1</v>
      </c>
      <c r="AJ133" s="105" t="s">
        <v>680</v>
      </c>
      <c r="AK133" s="105">
        <v>0</v>
      </c>
      <c r="AL133" s="105" t="b">
        <v>0</v>
      </c>
      <c r="AM133" s="105">
        <v>13206.269</v>
      </c>
      <c r="AN133" s="105" t="b">
        <v>1</v>
      </c>
      <c r="AO133" s="105">
        <v>0</v>
      </c>
      <c r="AP133" s="105" t="b">
        <v>0</v>
      </c>
      <c r="AQ133" s="105"/>
      <c r="AR133" s="105">
        <v>68328</v>
      </c>
      <c r="AS133" s="105">
        <v>68328</v>
      </c>
      <c r="AT133" s="105">
        <v>6</v>
      </c>
      <c r="AU133" s="105" t="b">
        <v>0</v>
      </c>
      <c r="AV133" s="105" t="b">
        <v>1</v>
      </c>
    </row>
    <row r="134" spans="1:48" s="46" customFormat="1">
      <c r="A134" s="105"/>
      <c r="B134" s="105" t="s">
        <v>665</v>
      </c>
      <c r="C134" s="105" t="s">
        <v>666</v>
      </c>
      <c r="D134" s="105">
        <v>20230401</v>
      </c>
      <c r="E134" s="105">
        <v>2023</v>
      </c>
      <c r="F134" s="105">
        <v>4</v>
      </c>
      <c r="G134" s="105" t="s">
        <v>715</v>
      </c>
      <c r="H134" s="105">
        <v>818</v>
      </c>
      <c r="I134" s="105" t="s">
        <v>668</v>
      </c>
      <c r="J134" s="105" t="s">
        <v>57</v>
      </c>
      <c r="K134" s="105" t="s">
        <v>701</v>
      </c>
      <c r="L134" s="105" t="s">
        <v>702</v>
      </c>
      <c r="M134" s="105">
        <v>842</v>
      </c>
      <c r="N134" s="105" t="s">
        <v>713</v>
      </c>
      <c r="O134" s="105" t="s">
        <v>713</v>
      </c>
      <c r="P134" s="105">
        <v>0</v>
      </c>
      <c r="Q134" s="105" t="s">
        <v>670</v>
      </c>
      <c r="R134" s="105" t="s">
        <v>23</v>
      </c>
      <c r="S134" s="105" t="s">
        <v>671</v>
      </c>
      <c r="T134" s="105" t="s">
        <v>672</v>
      </c>
      <c r="U134" s="105" t="b">
        <v>1</v>
      </c>
      <c r="V134" s="105" t="s">
        <v>745</v>
      </c>
      <c r="W134" s="105" t="s">
        <v>746</v>
      </c>
      <c r="X134" s="105">
        <v>6</v>
      </c>
      <c r="Y134" s="105" t="b">
        <v>1</v>
      </c>
      <c r="Z134" s="105" t="s">
        <v>675</v>
      </c>
      <c r="AA134" s="105" t="s">
        <v>676</v>
      </c>
      <c r="AB134" s="105" t="s">
        <v>677</v>
      </c>
      <c r="AC134" s="105">
        <v>0</v>
      </c>
      <c r="AD134" s="105" t="s">
        <v>678</v>
      </c>
      <c r="AE134" s="105">
        <v>8</v>
      </c>
      <c r="AF134" s="105" t="s">
        <v>679</v>
      </c>
      <c r="AG134" s="105">
        <v>13206.269</v>
      </c>
      <c r="AH134" s="105" t="b">
        <v>1</v>
      </c>
      <c r="AI134" s="105">
        <v>-1</v>
      </c>
      <c r="AJ134" s="105" t="s">
        <v>680</v>
      </c>
      <c r="AK134" s="105">
        <v>0</v>
      </c>
      <c r="AL134" s="105" t="b">
        <v>0</v>
      </c>
      <c r="AM134" s="105">
        <v>13206.269</v>
      </c>
      <c r="AN134" s="105" t="b">
        <v>1</v>
      </c>
      <c r="AO134" s="105">
        <v>0</v>
      </c>
      <c r="AP134" s="105" t="b">
        <v>0</v>
      </c>
      <c r="AQ134" s="105"/>
      <c r="AR134" s="105">
        <v>68328</v>
      </c>
      <c r="AS134" s="105">
        <v>68328</v>
      </c>
      <c r="AT134" s="105">
        <v>6</v>
      </c>
      <c r="AU134" s="105" t="b">
        <v>1</v>
      </c>
      <c r="AV134" s="105" t="b">
        <v>0</v>
      </c>
    </row>
    <row r="135" spans="1:48" s="46" customFormat="1">
      <c r="A135" s="105"/>
      <c r="B135" s="105" t="s">
        <v>665</v>
      </c>
      <c r="C135" s="105" t="s">
        <v>666</v>
      </c>
      <c r="D135" s="105">
        <v>20230501</v>
      </c>
      <c r="E135" s="105">
        <v>2023</v>
      </c>
      <c r="F135" s="105">
        <v>5</v>
      </c>
      <c r="G135" s="105" t="s">
        <v>716</v>
      </c>
      <c r="H135" s="105">
        <v>818</v>
      </c>
      <c r="I135" s="105" t="s">
        <v>668</v>
      </c>
      <c r="J135" s="105" t="s">
        <v>57</v>
      </c>
      <c r="K135" s="105" t="s">
        <v>666</v>
      </c>
      <c r="L135" s="105" t="s">
        <v>669</v>
      </c>
      <c r="M135" s="105">
        <v>0</v>
      </c>
      <c r="N135" s="105" t="s">
        <v>670</v>
      </c>
      <c r="O135" s="105" t="s">
        <v>23</v>
      </c>
      <c r="P135" s="105">
        <v>0</v>
      </c>
      <c r="Q135" s="105" t="s">
        <v>670</v>
      </c>
      <c r="R135" s="105" t="s">
        <v>23</v>
      </c>
      <c r="S135" s="105" t="s">
        <v>671</v>
      </c>
      <c r="T135" s="105" t="s">
        <v>672</v>
      </c>
      <c r="U135" s="105" t="b">
        <v>1</v>
      </c>
      <c r="V135" s="105" t="s">
        <v>745</v>
      </c>
      <c r="W135" s="105" t="s">
        <v>746</v>
      </c>
      <c r="X135" s="105">
        <v>6</v>
      </c>
      <c r="Y135" s="105" t="b">
        <v>1</v>
      </c>
      <c r="Z135" s="105" t="s">
        <v>675</v>
      </c>
      <c r="AA135" s="105" t="s">
        <v>676</v>
      </c>
      <c r="AB135" s="105" t="s">
        <v>677</v>
      </c>
      <c r="AC135" s="105">
        <v>0</v>
      </c>
      <c r="AD135" s="105" t="s">
        <v>678</v>
      </c>
      <c r="AE135" s="105">
        <v>8</v>
      </c>
      <c r="AF135" s="105" t="s">
        <v>679</v>
      </c>
      <c r="AG135" s="105">
        <v>95852.967000000004</v>
      </c>
      <c r="AH135" s="105" t="b">
        <v>1</v>
      </c>
      <c r="AI135" s="105">
        <v>-1</v>
      </c>
      <c r="AJ135" s="105" t="s">
        <v>680</v>
      </c>
      <c r="AK135" s="105">
        <v>0</v>
      </c>
      <c r="AL135" s="105" t="b">
        <v>0</v>
      </c>
      <c r="AM135" s="105">
        <v>95852.967000000004</v>
      </c>
      <c r="AN135" s="105" t="b">
        <v>1</v>
      </c>
      <c r="AO135" s="105">
        <v>0</v>
      </c>
      <c r="AP135" s="105" t="b">
        <v>0</v>
      </c>
      <c r="AQ135" s="105">
        <v>462668.42800000001</v>
      </c>
      <c r="AR135" s="105"/>
      <c r="AS135" s="105">
        <v>462668.42800000001</v>
      </c>
      <c r="AT135" s="105">
        <v>6</v>
      </c>
      <c r="AU135" s="105" t="b">
        <v>0</v>
      </c>
      <c r="AV135" s="105" t="b">
        <v>1</v>
      </c>
    </row>
    <row r="136" spans="1:48" s="46" customFormat="1">
      <c r="A136" s="105"/>
      <c r="B136" s="105" t="s">
        <v>665</v>
      </c>
      <c r="C136" s="105" t="s">
        <v>666</v>
      </c>
      <c r="D136" s="105">
        <v>20230501</v>
      </c>
      <c r="E136" s="105">
        <v>2023</v>
      </c>
      <c r="F136" s="105">
        <v>5</v>
      </c>
      <c r="G136" s="105" t="s">
        <v>716</v>
      </c>
      <c r="H136" s="105">
        <v>818</v>
      </c>
      <c r="I136" s="105" t="s">
        <v>668</v>
      </c>
      <c r="J136" s="105" t="s">
        <v>57</v>
      </c>
      <c r="K136" s="105" t="s">
        <v>666</v>
      </c>
      <c r="L136" s="105" t="s">
        <v>669</v>
      </c>
      <c r="M136" s="105">
        <v>40</v>
      </c>
      <c r="N136" s="105" t="s">
        <v>750</v>
      </c>
      <c r="O136" s="105" t="s">
        <v>43</v>
      </c>
      <c r="P136" s="105">
        <v>0</v>
      </c>
      <c r="Q136" s="105" t="s">
        <v>670</v>
      </c>
      <c r="R136" s="105" t="s">
        <v>23</v>
      </c>
      <c r="S136" s="105" t="s">
        <v>671</v>
      </c>
      <c r="T136" s="105" t="s">
        <v>672</v>
      </c>
      <c r="U136" s="105" t="b">
        <v>1</v>
      </c>
      <c r="V136" s="105" t="s">
        <v>745</v>
      </c>
      <c r="W136" s="105" t="s">
        <v>746</v>
      </c>
      <c r="X136" s="105">
        <v>6</v>
      </c>
      <c r="Y136" s="105" t="b">
        <v>1</v>
      </c>
      <c r="Z136" s="105" t="s">
        <v>675</v>
      </c>
      <c r="AA136" s="105" t="s">
        <v>676</v>
      </c>
      <c r="AB136" s="105" t="s">
        <v>677</v>
      </c>
      <c r="AC136" s="105">
        <v>0</v>
      </c>
      <c r="AD136" s="105" t="s">
        <v>678</v>
      </c>
      <c r="AE136" s="105">
        <v>8</v>
      </c>
      <c r="AF136" s="105" t="s">
        <v>679</v>
      </c>
      <c r="AG136" s="105">
        <v>967.65499999999997</v>
      </c>
      <c r="AH136" s="105" t="b">
        <v>1</v>
      </c>
      <c r="AI136" s="105">
        <v>-1</v>
      </c>
      <c r="AJ136" s="105" t="s">
        <v>680</v>
      </c>
      <c r="AK136" s="105">
        <v>0</v>
      </c>
      <c r="AL136" s="105" t="b">
        <v>0</v>
      </c>
      <c r="AM136" s="105">
        <v>967.65499999999997</v>
      </c>
      <c r="AN136" s="105" t="b">
        <v>1</v>
      </c>
      <c r="AO136" s="105">
        <v>0</v>
      </c>
      <c r="AP136" s="105" t="b">
        <v>0</v>
      </c>
      <c r="AQ136" s="105">
        <v>4670.732</v>
      </c>
      <c r="AR136" s="105"/>
      <c r="AS136" s="105">
        <v>4670.732</v>
      </c>
      <c r="AT136" s="105">
        <v>6</v>
      </c>
      <c r="AU136" s="105" t="b">
        <v>1</v>
      </c>
      <c r="AV136" s="105" t="b">
        <v>0</v>
      </c>
    </row>
    <row r="137" spans="1:48" s="46" customFormat="1">
      <c r="A137" s="105"/>
      <c r="B137" s="105" t="s">
        <v>665</v>
      </c>
      <c r="C137" s="105" t="s">
        <v>666</v>
      </c>
      <c r="D137" s="105">
        <v>20230501</v>
      </c>
      <c r="E137" s="105">
        <v>2023</v>
      </c>
      <c r="F137" s="105">
        <v>5</v>
      </c>
      <c r="G137" s="105" t="s">
        <v>716</v>
      </c>
      <c r="H137" s="105">
        <v>818</v>
      </c>
      <c r="I137" s="105" t="s">
        <v>668</v>
      </c>
      <c r="J137" s="105" t="s">
        <v>57</v>
      </c>
      <c r="K137" s="105" t="s">
        <v>666</v>
      </c>
      <c r="L137" s="105" t="s">
        <v>669</v>
      </c>
      <c r="M137" s="105">
        <v>156</v>
      </c>
      <c r="N137" s="105" t="s">
        <v>711</v>
      </c>
      <c r="O137" s="105" t="s">
        <v>29</v>
      </c>
      <c r="P137" s="105">
        <v>0</v>
      </c>
      <c r="Q137" s="105" t="s">
        <v>670</v>
      </c>
      <c r="R137" s="105" t="s">
        <v>23</v>
      </c>
      <c r="S137" s="105" t="s">
        <v>671</v>
      </c>
      <c r="T137" s="105" t="s">
        <v>672</v>
      </c>
      <c r="U137" s="105" t="b">
        <v>1</v>
      </c>
      <c r="V137" s="105" t="s">
        <v>745</v>
      </c>
      <c r="W137" s="105" t="s">
        <v>746</v>
      </c>
      <c r="X137" s="105">
        <v>6</v>
      </c>
      <c r="Y137" s="105" t="b">
        <v>1</v>
      </c>
      <c r="Z137" s="105" t="s">
        <v>675</v>
      </c>
      <c r="AA137" s="105" t="s">
        <v>676</v>
      </c>
      <c r="AB137" s="105" t="s">
        <v>677</v>
      </c>
      <c r="AC137" s="105">
        <v>0</v>
      </c>
      <c r="AD137" s="105" t="s">
        <v>678</v>
      </c>
      <c r="AE137" s="105">
        <v>8</v>
      </c>
      <c r="AF137" s="105" t="s">
        <v>679</v>
      </c>
      <c r="AG137" s="105">
        <v>44687.936999999998</v>
      </c>
      <c r="AH137" s="105" t="b">
        <v>1</v>
      </c>
      <c r="AI137" s="105">
        <v>-1</v>
      </c>
      <c r="AJ137" s="105" t="s">
        <v>680</v>
      </c>
      <c r="AK137" s="105">
        <v>0</v>
      </c>
      <c r="AL137" s="105" t="b">
        <v>0</v>
      </c>
      <c r="AM137" s="105">
        <v>44687.936999999998</v>
      </c>
      <c r="AN137" s="105" t="b">
        <v>1</v>
      </c>
      <c r="AO137" s="105">
        <v>0</v>
      </c>
      <c r="AP137" s="105" t="b">
        <v>0</v>
      </c>
      <c r="AQ137" s="105">
        <v>215702.21900000001</v>
      </c>
      <c r="AR137" s="105"/>
      <c r="AS137" s="105">
        <v>215702.21900000001</v>
      </c>
      <c r="AT137" s="105">
        <v>6</v>
      </c>
      <c r="AU137" s="105" t="b">
        <v>1</v>
      </c>
      <c r="AV137" s="105" t="b">
        <v>0</v>
      </c>
    </row>
    <row r="138" spans="1:48" s="46" customFormat="1">
      <c r="A138" s="105"/>
      <c r="B138" s="105" t="s">
        <v>665</v>
      </c>
      <c r="C138" s="105" t="s">
        <v>666</v>
      </c>
      <c r="D138" s="105">
        <v>20230501</v>
      </c>
      <c r="E138" s="105">
        <v>2023</v>
      </c>
      <c r="F138" s="105">
        <v>5</v>
      </c>
      <c r="G138" s="105" t="s">
        <v>716</v>
      </c>
      <c r="H138" s="105">
        <v>818</v>
      </c>
      <c r="I138" s="105" t="s">
        <v>668</v>
      </c>
      <c r="J138" s="105" t="s">
        <v>57</v>
      </c>
      <c r="K138" s="105" t="s">
        <v>666</v>
      </c>
      <c r="L138" s="105" t="s">
        <v>669</v>
      </c>
      <c r="M138" s="105">
        <v>276</v>
      </c>
      <c r="N138" s="105" t="s">
        <v>681</v>
      </c>
      <c r="O138" s="105" t="s">
        <v>30</v>
      </c>
      <c r="P138" s="105">
        <v>0</v>
      </c>
      <c r="Q138" s="105" t="s">
        <v>670</v>
      </c>
      <c r="R138" s="105" t="s">
        <v>23</v>
      </c>
      <c r="S138" s="105" t="s">
        <v>671</v>
      </c>
      <c r="T138" s="105" t="s">
        <v>672</v>
      </c>
      <c r="U138" s="105" t="b">
        <v>1</v>
      </c>
      <c r="V138" s="105" t="s">
        <v>745</v>
      </c>
      <c r="W138" s="105" t="s">
        <v>746</v>
      </c>
      <c r="X138" s="105">
        <v>6</v>
      </c>
      <c r="Y138" s="105" t="b">
        <v>1</v>
      </c>
      <c r="Z138" s="105" t="s">
        <v>675</v>
      </c>
      <c r="AA138" s="105" t="s">
        <v>676</v>
      </c>
      <c r="AB138" s="105" t="s">
        <v>677</v>
      </c>
      <c r="AC138" s="105">
        <v>0</v>
      </c>
      <c r="AD138" s="105" t="s">
        <v>678</v>
      </c>
      <c r="AE138" s="105">
        <v>8</v>
      </c>
      <c r="AF138" s="105" t="s">
        <v>679</v>
      </c>
      <c r="AG138" s="105">
        <v>295.726</v>
      </c>
      <c r="AH138" s="105" t="b">
        <v>1</v>
      </c>
      <c r="AI138" s="105">
        <v>-1</v>
      </c>
      <c r="AJ138" s="105" t="s">
        <v>680</v>
      </c>
      <c r="AK138" s="105">
        <v>0</v>
      </c>
      <c r="AL138" s="105" t="b">
        <v>0</v>
      </c>
      <c r="AM138" s="105">
        <v>295.726</v>
      </c>
      <c r="AN138" s="105" t="b">
        <v>1</v>
      </c>
      <c r="AO138" s="105">
        <v>0</v>
      </c>
      <c r="AP138" s="105" t="b">
        <v>0</v>
      </c>
      <c r="AQ138" s="105">
        <v>1427.4269999999999</v>
      </c>
      <c r="AR138" s="105"/>
      <c r="AS138" s="105">
        <v>1427.4269999999999</v>
      </c>
      <c r="AT138" s="105">
        <v>6</v>
      </c>
      <c r="AU138" s="105" t="b">
        <v>1</v>
      </c>
      <c r="AV138" s="105" t="b">
        <v>0</v>
      </c>
    </row>
    <row r="139" spans="1:48" s="46" customFormat="1">
      <c r="A139" s="105"/>
      <c r="B139" s="105" t="s">
        <v>665</v>
      </c>
      <c r="C139" s="105" t="s">
        <v>666</v>
      </c>
      <c r="D139" s="105">
        <v>20230501</v>
      </c>
      <c r="E139" s="105">
        <v>2023</v>
      </c>
      <c r="F139" s="105">
        <v>5</v>
      </c>
      <c r="G139" s="105" t="s">
        <v>716</v>
      </c>
      <c r="H139" s="105">
        <v>818</v>
      </c>
      <c r="I139" s="105" t="s">
        <v>668</v>
      </c>
      <c r="J139" s="105" t="s">
        <v>57</v>
      </c>
      <c r="K139" s="105" t="s">
        <v>666</v>
      </c>
      <c r="L139" s="105" t="s">
        <v>669</v>
      </c>
      <c r="M139" s="105">
        <v>380</v>
      </c>
      <c r="N139" s="105" t="s">
        <v>689</v>
      </c>
      <c r="O139" s="105" t="s">
        <v>71</v>
      </c>
      <c r="P139" s="105">
        <v>0</v>
      </c>
      <c r="Q139" s="105" t="s">
        <v>670</v>
      </c>
      <c r="R139" s="105" t="s">
        <v>23</v>
      </c>
      <c r="S139" s="105" t="s">
        <v>671</v>
      </c>
      <c r="T139" s="105" t="s">
        <v>672</v>
      </c>
      <c r="U139" s="105" t="b">
        <v>1</v>
      </c>
      <c r="V139" s="105" t="s">
        <v>745</v>
      </c>
      <c r="W139" s="105" t="s">
        <v>746</v>
      </c>
      <c r="X139" s="105">
        <v>6</v>
      </c>
      <c r="Y139" s="105" t="b">
        <v>1</v>
      </c>
      <c r="Z139" s="105" t="s">
        <v>675</v>
      </c>
      <c r="AA139" s="105" t="s">
        <v>676</v>
      </c>
      <c r="AB139" s="105" t="s">
        <v>677</v>
      </c>
      <c r="AC139" s="105">
        <v>0</v>
      </c>
      <c r="AD139" s="105" t="s">
        <v>678</v>
      </c>
      <c r="AE139" s="105">
        <v>8</v>
      </c>
      <c r="AF139" s="105" t="s">
        <v>679</v>
      </c>
      <c r="AG139" s="105">
        <v>6256.86</v>
      </c>
      <c r="AH139" s="105" t="b">
        <v>1</v>
      </c>
      <c r="AI139" s="105">
        <v>-1</v>
      </c>
      <c r="AJ139" s="105" t="s">
        <v>680</v>
      </c>
      <c r="AK139" s="105">
        <v>0</v>
      </c>
      <c r="AL139" s="105" t="b">
        <v>0</v>
      </c>
      <c r="AM139" s="105">
        <v>6256.86</v>
      </c>
      <c r="AN139" s="105" t="b">
        <v>1</v>
      </c>
      <c r="AO139" s="105">
        <v>0</v>
      </c>
      <c r="AP139" s="105" t="b">
        <v>0</v>
      </c>
      <c r="AQ139" s="105">
        <v>30200.960999999999</v>
      </c>
      <c r="AR139" s="105"/>
      <c r="AS139" s="105">
        <v>30200.960999999999</v>
      </c>
      <c r="AT139" s="105">
        <v>6</v>
      </c>
      <c r="AU139" s="105" t="b">
        <v>1</v>
      </c>
      <c r="AV139" s="105" t="b">
        <v>0</v>
      </c>
    </row>
    <row r="140" spans="1:48" s="46" customFormat="1">
      <c r="A140" s="105"/>
      <c r="B140" s="105" t="s">
        <v>665</v>
      </c>
      <c r="C140" s="105" t="s">
        <v>666</v>
      </c>
      <c r="D140" s="105">
        <v>20230501</v>
      </c>
      <c r="E140" s="105">
        <v>2023</v>
      </c>
      <c r="F140" s="105">
        <v>5</v>
      </c>
      <c r="G140" s="105" t="s">
        <v>716</v>
      </c>
      <c r="H140" s="105">
        <v>818</v>
      </c>
      <c r="I140" s="105" t="s">
        <v>668</v>
      </c>
      <c r="J140" s="105" t="s">
        <v>57</v>
      </c>
      <c r="K140" s="105" t="s">
        <v>666</v>
      </c>
      <c r="L140" s="105" t="s">
        <v>669</v>
      </c>
      <c r="M140" s="105">
        <v>528</v>
      </c>
      <c r="N140" s="105" t="s">
        <v>698</v>
      </c>
      <c r="O140" s="105" t="s">
        <v>60</v>
      </c>
      <c r="P140" s="105">
        <v>0</v>
      </c>
      <c r="Q140" s="105" t="s">
        <v>670</v>
      </c>
      <c r="R140" s="105" t="s">
        <v>23</v>
      </c>
      <c r="S140" s="105" t="s">
        <v>671</v>
      </c>
      <c r="T140" s="105" t="s">
        <v>672</v>
      </c>
      <c r="U140" s="105" t="b">
        <v>1</v>
      </c>
      <c r="V140" s="105" t="s">
        <v>745</v>
      </c>
      <c r="W140" s="105" t="s">
        <v>746</v>
      </c>
      <c r="X140" s="105">
        <v>6</v>
      </c>
      <c r="Y140" s="105" t="b">
        <v>1</v>
      </c>
      <c r="Z140" s="105" t="s">
        <v>675</v>
      </c>
      <c r="AA140" s="105" t="s">
        <v>676</v>
      </c>
      <c r="AB140" s="105" t="s">
        <v>677</v>
      </c>
      <c r="AC140" s="105">
        <v>0</v>
      </c>
      <c r="AD140" s="105" t="s">
        <v>678</v>
      </c>
      <c r="AE140" s="105">
        <v>8</v>
      </c>
      <c r="AF140" s="105" t="s">
        <v>679</v>
      </c>
      <c r="AG140" s="105">
        <v>5165.5469999999996</v>
      </c>
      <c r="AH140" s="105" t="b">
        <v>1</v>
      </c>
      <c r="AI140" s="105">
        <v>-1</v>
      </c>
      <c r="AJ140" s="105" t="s">
        <v>680</v>
      </c>
      <c r="AK140" s="105">
        <v>0</v>
      </c>
      <c r="AL140" s="105" t="b">
        <v>0</v>
      </c>
      <c r="AM140" s="105">
        <v>5165.5469999999996</v>
      </c>
      <c r="AN140" s="105" t="b">
        <v>1</v>
      </c>
      <c r="AO140" s="105">
        <v>0</v>
      </c>
      <c r="AP140" s="105" t="b">
        <v>0</v>
      </c>
      <c r="AQ140" s="105">
        <v>24933.35</v>
      </c>
      <c r="AR140" s="105"/>
      <c r="AS140" s="105">
        <v>24933.35</v>
      </c>
      <c r="AT140" s="105">
        <v>6</v>
      </c>
      <c r="AU140" s="105" t="b">
        <v>1</v>
      </c>
      <c r="AV140" s="105" t="b">
        <v>0</v>
      </c>
    </row>
    <row r="141" spans="1:48" s="46" customFormat="1">
      <c r="A141" s="105"/>
      <c r="B141" s="105" t="s">
        <v>665</v>
      </c>
      <c r="C141" s="105" t="s">
        <v>666</v>
      </c>
      <c r="D141" s="105">
        <v>20230501</v>
      </c>
      <c r="E141" s="105">
        <v>2023</v>
      </c>
      <c r="F141" s="105">
        <v>5</v>
      </c>
      <c r="G141" s="105" t="s">
        <v>716</v>
      </c>
      <c r="H141" s="105">
        <v>818</v>
      </c>
      <c r="I141" s="105" t="s">
        <v>668</v>
      </c>
      <c r="J141" s="105" t="s">
        <v>57</v>
      </c>
      <c r="K141" s="105" t="s">
        <v>666</v>
      </c>
      <c r="L141" s="105" t="s">
        <v>669</v>
      </c>
      <c r="M141" s="105">
        <v>699</v>
      </c>
      <c r="N141" s="105" t="s">
        <v>748</v>
      </c>
      <c r="O141" s="105" t="s">
        <v>0</v>
      </c>
      <c r="P141" s="105">
        <v>0</v>
      </c>
      <c r="Q141" s="105" t="s">
        <v>670</v>
      </c>
      <c r="R141" s="105" t="s">
        <v>23</v>
      </c>
      <c r="S141" s="105" t="s">
        <v>671</v>
      </c>
      <c r="T141" s="105" t="s">
        <v>672</v>
      </c>
      <c r="U141" s="105" t="b">
        <v>1</v>
      </c>
      <c r="V141" s="105" t="s">
        <v>745</v>
      </c>
      <c r="W141" s="105" t="s">
        <v>746</v>
      </c>
      <c r="X141" s="105">
        <v>6</v>
      </c>
      <c r="Y141" s="105" t="b">
        <v>1</v>
      </c>
      <c r="Z141" s="105" t="s">
        <v>675</v>
      </c>
      <c r="AA141" s="105" t="s">
        <v>676</v>
      </c>
      <c r="AB141" s="105" t="s">
        <v>677</v>
      </c>
      <c r="AC141" s="105">
        <v>0</v>
      </c>
      <c r="AD141" s="105" t="s">
        <v>678</v>
      </c>
      <c r="AE141" s="105">
        <v>8</v>
      </c>
      <c r="AF141" s="105" t="s">
        <v>679</v>
      </c>
      <c r="AG141" s="105">
        <v>7549.2560000000003</v>
      </c>
      <c r="AH141" s="105" t="b">
        <v>1</v>
      </c>
      <c r="AI141" s="105">
        <v>-1</v>
      </c>
      <c r="AJ141" s="105" t="s">
        <v>680</v>
      </c>
      <c r="AK141" s="105">
        <v>0</v>
      </c>
      <c r="AL141" s="105" t="b">
        <v>0</v>
      </c>
      <c r="AM141" s="105">
        <v>7549.2560000000003</v>
      </c>
      <c r="AN141" s="105" t="b">
        <v>1</v>
      </c>
      <c r="AO141" s="105">
        <v>0</v>
      </c>
      <c r="AP141" s="105" t="b">
        <v>0</v>
      </c>
      <c r="AQ141" s="105">
        <v>36439.167999999998</v>
      </c>
      <c r="AR141" s="105"/>
      <c r="AS141" s="105">
        <v>36439.167999999998</v>
      </c>
      <c r="AT141" s="105">
        <v>6</v>
      </c>
      <c r="AU141" s="105" t="b">
        <v>1</v>
      </c>
      <c r="AV141" s="105" t="b">
        <v>0</v>
      </c>
    </row>
    <row r="142" spans="1:48" s="46" customFormat="1">
      <c r="A142" s="105"/>
      <c r="B142" s="105" t="s">
        <v>665</v>
      </c>
      <c r="C142" s="105" t="s">
        <v>666</v>
      </c>
      <c r="D142" s="105">
        <v>20230501</v>
      </c>
      <c r="E142" s="105">
        <v>2023</v>
      </c>
      <c r="F142" s="105">
        <v>5</v>
      </c>
      <c r="G142" s="105" t="s">
        <v>716</v>
      </c>
      <c r="H142" s="105">
        <v>818</v>
      </c>
      <c r="I142" s="105" t="s">
        <v>668</v>
      </c>
      <c r="J142" s="105" t="s">
        <v>57</v>
      </c>
      <c r="K142" s="105" t="s">
        <v>666</v>
      </c>
      <c r="L142" s="105" t="s">
        <v>669</v>
      </c>
      <c r="M142" s="105">
        <v>704</v>
      </c>
      <c r="N142" s="105" t="s">
        <v>756</v>
      </c>
      <c r="O142" s="105" t="s">
        <v>59</v>
      </c>
      <c r="P142" s="105">
        <v>0</v>
      </c>
      <c r="Q142" s="105" t="s">
        <v>670</v>
      </c>
      <c r="R142" s="105" t="s">
        <v>23</v>
      </c>
      <c r="S142" s="105" t="s">
        <v>671</v>
      </c>
      <c r="T142" s="105" t="s">
        <v>672</v>
      </c>
      <c r="U142" s="105" t="b">
        <v>1</v>
      </c>
      <c r="V142" s="105" t="s">
        <v>745</v>
      </c>
      <c r="W142" s="105" t="s">
        <v>746</v>
      </c>
      <c r="X142" s="105">
        <v>6</v>
      </c>
      <c r="Y142" s="105" t="b">
        <v>1</v>
      </c>
      <c r="Z142" s="105" t="s">
        <v>675</v>
      </c>
      <c r="AA142" s="105" t="s">
        <v>676</v>
      </c>
      <c r="AB142" s="105" t="s">
        <v>677</v>
      </c>
      <c r="AC142" s="105">
        <v>0</v>
      </c>
      <c r="AD142" s="105" t="s">
        <v>678</v>
      </c>
      <c r="AE142" s="105">
        <v>8</v>
      </c>
      <c r="AF142" s="105" t="s">
        <v>679</v>
      </c>
      <c r="AG142" s="105">
        <v>7910.326</v>
      </c>
      <c r="AH142" s="105" t="b">
        <v>1</v>
      </c>
      <c r="AI142" s="105">
        <v>-1</v>
      </c>
      <c r="AJ142" s="105" t="s">
        <v>680</v>
      </c>
      <c r="AK142" s="105">
        <v>0</v>
      </c>
      <c r="AL142" s="105" t="b">
        <v>0</v>
      </c>
      <c r="AM142" s="105">
        <v>7910.326</v>
      </c>
      <c r="AN142" s="105" t="b">
        <v>1</v>
      </c>
      <c r="AO142" s="105">
        <v>0</v>
      </c>
      <c r="AP142" s="105" t="b">
        <v>0</v>
      </c>
      <c r="AQ142" s="105">
        <v>38182</v>
      </c>
      <c r="AR142" s="105"/>
      <c r="AS142" s="105">
        <v>38182</v>
      </c>
      <c r="AT142" s="105">
        <v>6</v>
      </c>
      <c r="AU142" s="105" t="b">
        <v>1</v>
      </c>
      <c r="AV142" s="105" t="b">
        <v>0</v>
      </c>
    </row>
    <row r="143" spans="1:48" s="46" customFormat="1">
      <c r="A143" s="105"/>
      <c r="B143" s="105" t="s">
        <v>665</v>
      </c>
      <c r="C143" s="105" t="s">
        <v>666</v>
      </c>
      <c r="D143" s="105">
        <v>20230501</v>
      </c>
      <c r="E143" s="105">
        <v>2023</v>
      </c>
      <c r="F143" s="105">
        <v>5</v>
      </c>
      <c r="G143" s="105" t="s">
        <v>716</v>
      </c>
      <c r="H143" s="105">
        <v>818</v>
      </c>
      <c r="I143" s="105" t="s">
        <v>668</v>
      </c>
      <c r="J143" s="105" t="s">
        <v>57</v>
      </c>
      <c r="K143" s="105" t="s">
        <v>666</v>
      </c>
      <c r="L143" s="105" t="s">
        <v>669</v>
      </c>
      <c r="M143" s="105">
        <v>792</v>
      </c>
      <c r="N143" s="105" t="s">
        <v>691</v>
      </c>
      <c r="O143" s="105" t="s">
        <v>63</v>
      </c>
      <c r="P143" s="105">
        <v>0</v>
      </c>
      <c r="Q143" s="105" t="s">
        <v>670</v>
      </c>
      <c r="R143" s="105" t="s">
        <v>23</v>
      </c>
      <c r="S143" s="105" t="s">
        <v>671</v>
      </c>
      <c r="T143" s="105" t="s">
        <v>672</v>
      </c>
      <c r="U143" s="105" t="b">
        <v>1</v>
      </c>
      <c r="V143" s="105" t="s">
        <v>745</v>
      </c>
      <c r="W143" s="105" t="s">
        <v>746</v>
      </c>
      <c r="X143" s="105">
        <v>6</v>
      </c>
      <c r="Y143" s="105" t="b">
        <v>1</v>
      </c>
      <c r="Z143" s="105" t="s">
        <v>675</v>
      </c>
      <c r="AA143" s="105" t="s">
        <v>676</v>
      </c>
      <c r="AB143" s="105" t="s">
        <v>677</v>
      </c>
      <c r="AC143" s="105">
        <v>0</v>
      </c>
      <c r="AD143" s="105" t="s">
        <v>678</v>
      </c>
      <c r="AE143" s="105">
        <v>8</v>
      </c>
      <c r="AF143" s="105" t="s">
        <v>679</v>
      </c>
      <c r="AG143" s="105">
        <v>6524.3180000000002</v>
      </c>
      <c r="AH143" s="105" t="b">
        <v>1</v>
      </c>
      <c r="AI143" s="105">
        <v>-1</v>
      </c>
      <c r="AJ143" s="105" t="s">
        <v>680</v>
      </c>
      <c r="AK143" s="105">
        <v>0</v>
      </c>
      <c r="AL143" s="105" t="b">
        <v>0</v>
      </c>
      <c r="AM143" s="105">
        <v>6524.3180000000002</v>
      </c>
      <c r="AN143" s="105" t="b">
        <v>1</v>
      </c>
      <c r="AO143" s="105">
        <v>0</v>
      </c>
      <c r="AP143" s="105" t="b">
        <v>0</v>
      </c>
      <c r="AQ143" s="105">
        <v>31491.940999999999</v>
      </c>
      <c r="AR143" s="105"/>
      <c r="AS143" s="105">
        <v>31491.940999999999</v>
      </c>
      <c r="AT143" s="105">
        <v>6</v>
      </c>
      <c r="AU143" s="105" t="b">
        <v>1</v>
      </c>
      <c r="AV143" s="105" t="b">
        <v>0</v>
      </c>
    </row>
    <row r="144" spans="1:48" s="46" customFormat="1">
      <c r="A144" s="105"/>
      <c r="B144" s="105" t="s">
        <v>665</v>
      </c>
      <c r="C144" s="105" t="s">
        <v>666</v>
      </c>
      <c r="D144" s="105">
        <v>20230501</v>
      </c>
      <c r="E144" s="105">
        <v>2023</v>
      </c>
      <c r="F144" s="105">
        <v>5</v>
      </c>
      <c r="G144" s="105" t="s">
        <v>716</v>
      </c>
      <c r="H144" s="105">
        <v>818</v>
      </c>
      <c r="I144" s="105" t="s">
        <v>668</v>
      </c>
      <c r="J144" s="105" t="s">
        <v>57</v>
      </c>
      <c r="K144" s="105" t="s">
        <v>666</v>
      </c>
      <c r="L144" s="105" t="s">
        <v>669</v>
      </c>
      <c r="M144" s="105">
        <v>826</v>
      </c>
      <c r="N144" s="105" t="s">
        <v>685</v>
      </c>
      <c r="O144" s="105" t="s">
        <v>64</v>
      </c>
      <c r="P144" s="105">
        <v>0</v>
      </c>
      <c r="Q144" s="105" t="s">
        <v>670</v>
      </c>
      <c r="R144" s="105" t="s">
        <v>23</v>
      </c>
      <c r="S144" s="105" t="s">
        <v>671</v>
      </c>
      <c r="T144" s="105" t="s">
        <v>672</v>
      </c>
      <c r="U144" s="105" t="b">
        <v>1</v>
      </c>
      <c r="V144" s="105" t="s">
        <v>745</v>
      </c>
      <c r="W144" s="105" t="s">
        <v>746</v>
      </c>
      <c r="X144" s="105">
        <v>6</v>
      </c>
      <c r="Y144" s="105" t="b">
        <v>1</v>
      </c>
      <c r="Z144" s="105" t="s">
        <v>675</v>
      </c>
      <c r="AA144" s="105" t="s">
        <v>676</v>
      </c>
      <c r="AB144" s="105" t="s">
        <v>677</v>
      </c>
      <c r="AC144" s="105">
        <v>0</v>
      </c>
      <c r="AD144" s="105" t="s">
        <v>678</v>
      </c>
      <c r="AE144" s="105">
        <v>8</v>
      </c>
      <c r="AF144" s="105" t="s">
        <v>679</v>
      </c>
      <c r="AG144" s="105">
        <v>16495.341</v>
      </c>
      <c r="AH144" s="105" t="b">
        <v>1</v>
      </c>
      <c r="AI144" s="105">
        <v>-1</v>
      </c>
      <c r="AJ144" s="105" t="s">
        <v>680</v>
      </c>
      <c r="AK144" s="105">
        <v>0</v>
      </c>
      <c r="AL144" s="105" t="b">
        <v>0</v>
      </c>
      <c r="AM144" s="105">
        <v>16495.341</v>
      </c>
      <c r="AN144" s="105" t="b">
        <v>1</v>
      </c>
      <c r="AO144" s="105">
        <v>0</v>
      </c>
      <c r="AP144" s="105" t="b">
        <v>0</v>
      </c>
      <c r="AQ144" s="105">
        <v>79620.63</v>
      </c>
      <c r="AR144" s="105"/>
      <c r="AS144" s="105">
        <v>79620.63</v>
      </c>
      <c r="AT144" s="105">
        <v>6</v>
      </c>
      <c r="AU144" s="105" t="b">
        <v>1</v>
      </c>
      <c r="AV144" s="105" t="b">
        <v>0</v>
      </c>
    </row>
    <row r="145" spans="1:48" s="46" customFormat="1">
      <c r="A145" s="105"/>
      <c r="B145" s="105" t="s">
        <v>665</v>
      </c>
      <c r="C145" s="105" t="s">
        <v>666</v>
      </c>
      <c r="D145" s="105">
        <v>20230501</v>
      </c>
      <c r="E145" s="105">
        <v>2023</v>
      </c>
      <c r="F145" s="105">
        <v>5</v>
      </c>
      <c r="G145" s="105" t="s">
        <v>716</v>
      </c>
      <c r="H145" s="105">
        <v>818</v>
      </c>
      <c r="I145" s="105" t="s">
        <v>668</v>
      </c>
      <c r="J145" s="105" t="s">
        <v>57</v>
      </c>
      <c r="K145" s="105" t="s">
        <v>701</v>
      </c>
      <c r="L145" s="105" t="s">
        <v>702</v>
      </c>
      <c r="M145" s="105">
        <v>0</v>
      </c>
      <c r="N145" s="105" t="s">
        <v>670</v>
      </c>
      <c r="O145" s="105" t="s">
        <v>23</v>
      </c>
      <c r="P145" s="105">
        <v>0</v>
      </c>
      <c r="Q145" s="105" t="s">
        <v>670</v>
      </c>
      <c r="R145" s="105" t="s">
        <v>23</v>
      </c>
      <c r="S145" s="105" t="s">
        <v>671</v>
      </c>
      <c r="T145" s="105" t="s">
        <v>672</v>
      </c>
      <c r="U145" s="105" t="b">
        <v>1</v>
      </c>
      <c r="V145" s="105" t="s">
        <v>745</v>
      </c>
      <c r="W145" s="105" t="s">
        <v>746</v>
      </c>
      <c r="X145" s="105">
        <v>6</v>
      </c>
      <c r="Y145" s="105" t="b">
        <v>1</v>
      </c>
      <c r="Z145" s="105" t="s">
        <v>675</v>
      </c>
      <c r="AA145" s="105" t="s">
        <v>676</v>
      </c>
      <c r="AB145" s="105" t="s">
        <v>677</v>
      </c>
      <c r="AC145" s="105">
        <v>0</v>
      </c>
      <c r="AD145" s="105" t="s">
        <v>678</v>
      </c>
      <c r="AE145" s="105">
        <v>8</v>
      </c>
      <c r="AF145" s="105" t="s">
        <v>679</v>
      </c>
      <c r="AG145" s="105">
        <v>26412.538</v>
      </c>
      <c r="AH145" s="105" t="b">
        <v>1</v>
      </c>
      <c r="AI145" s="105">
        <v>-1</v>
      </c>
      <c r="AJ145" s="105" t="s">
        <v>680</v>
      </c>
      <c r="AK145" s="105">
        <v>0</v>
      </c>
      <c r="AL145" s="105" t="b">
        <v>0</v>
      </c>
      <c r="AM145" s="105">
        <v>26412.538</v>
      </c>
      <c r="AN145" s="105" t="b">
        <v>1</v>
      </c>
      <c r="AO145" s="105">
        <v>0</v>
      </c>
      <c r="AP145" s="105" t="b">
        <v>0</v>
      </c>
      <c r="AQ145" s="105"/>
      <c r="AR145" s="105">
        <v>136656</v>
      </c>
      <c r="AS145" s="105">
        <v>136656</v>
      </c>
      <c r="AT145" s="105">
        <v>6</v>
      </c>
      <c r="AU145" s="105" t="b">
        <v>0</v>
      </c>
      <c r="AV145" s="105" t="b">
        <v>1</v>
      </c>
    </row>
    <row r="146" spans="1:48" s="46" customFormat="1">
      <c r="A146" s="105"/>
      <c r="B146" s="105" t="s">
        <v>665</v>
      </c>
      <c r="C146" s="105" t="s">
        <v>666</v>
      </c>
      <c r="D146" s="105">
        <v>20230501</v>
      </c>
      <c r="E146" s="105">
        <v>2023</v>
      </c>
      <c r="F146" s="105">
        <v>5</v>
      </c>
      <c r="G146" s="105" t="s">
        <v>716</v>
      </c>
      <c r="H146" s="105">
        <v>818</v>
      </c>
      <c r="I146" s="105" t="s">
        <v>668</v>
      </c>
      <c r="J146" s="105" t="s">
        <v>57</v>
      </c>
      <c r="K146" s="105" t="s">
        <v>701</v>
      </c>
      <c r="L146" s="105" t="s">
        <v>702</v>
      </c>
      <c r="M146" s="105">
        <v>842</v>
      </c>
      <c r="N146" s="105" t="s">
        <v>713</v>
      </c>
      <c r="O146" s="105" t="s">
        <v>713</v>
      </c>
      <c r="P146" s="105">
        <v>0</v>
      </c>
      <c r="Q146" s="105" t="s">
        <v>670</v>
      </c>
      <c r="R146" s="105" t="s">
        <v>23</v>
      </c>
      <c r="S146" s="105" t="s">
        <v>671</v>
      </c>
      <c r="T146" s="105" t="s">
        <v>672</v>
      </c>
      <c r="U146" s="105" t="b">
        <v>1</v>
      </c>
      <c r="V146" s="105" t="s">
        <v>745</v>
      </c>
      <c r="W146" s="105" t="s">
        <v>746</v>
      </c>
      <c r="X146" s="105">
        <v>6</v>
      </c>
      <c r="Y146" s="105" t="b">
        <v>1</v>
      </c>
      <c r="Z146" s="105" t="s">
        <v>675</v>
      </c>
      <c r="AA146" s="105" t="s">
        <v>676</v>
      </c>
      <c r="AB146" s="105" t="s">
        <v>677</v>
      </c>
      <c r="AC146" s="105">
        <v>0</v>
      </c>
      <c r="AD146" s="105" t="s">
        <v>678</v>
      </c>
      <c r="AE146" s="105">
        <v>8</v>
      </c>
      <c r="AF146" s="105" t="s">
        <v>679</v>
      </c>
      <c r="AG146" s="105">
        <v>26412.538</v>
      </c>
      <c r="AH146" s="105" t="b">
        <v>1</v>
      </c>
      <c r="AI146" s="105">
        <v>-1</v>
      </c>
      <c r="AJ146" s="105" t="s">
        <v>680</v>
      </c>
      <c r="AK146" s="105">
        <v>0</v>
      </c>
      <c r="AL146" s="105" t="b">
        <v>0</v>
      </c>
      <c r="AM146" s="105">
        <v>26412.538</v>
      </c>
      <c r="AN146" s="105" t="b">
        <v>1</v>
      </c>
      <c r="AO146" s="105">
        <v>0</v>
      </c>
      <c r="AP146" s="105" t="b">
        <v>0</v>
      </c>
      <c r="AQ146" s="105"/>
      <c r="AR146" s="105">
        <v>136656</v>
      </c>
      <c r="AS146" s="105">
        <v>136656</v>
      </c>
      <c r="AT146" s="105">
        <v>6</v>
      </c>
      <c r="AU146" s="105" t="b">
        <v>1</v>
      </c>
      <c r="AV146" s="105" t="b">
        <v>0</v>
      </c>
    </row>
    <row r="147" spans="1:48" s="46" customFormat="1">
      <c r="A147" s="105"/>
      <c r="B147" s="105" t="s">
        <v>665</v>
      </c>
      <c r="C147" s="105" t="s">
        <v>666</v>
      </c>
      <c r="D147" s="105">
        <v>20230601</v>
      </c>
      <c r="E147" s="105">
        <v>2023</v>
      </c>
      <c r="F147" s="105">
        <v>6</v>
      </c>
      <c r="G147" s="105" t="s">
        <v>717</v>
      </c>
      <c r="H147" s="105">
        <v>818</v>
      </c>
      <c r="I147" s="105" t="s">
        <v>668</v>
      </c>
      <c r="J147" s="105" t="s">
        <v>57</v>
      </c>
      <c r="K147" s="105" t="s">
        <v>666</v>
      </c>
      <c r="L147" s="105" t="s">
        <v>669</v>
      </c>
      <c r="M147" s="105">
        <v>0</v>
      </c>
      <c r="N147" s="105" t="s">
        <v>670</v>
      </c>
      <c r="O147" s="105" t="s">
        <v>23</v>
      </c>
      <c r="P147" s="105">
        <v>0</v>
      </c>
      <c r="Q147" s="105" t="s">
        <v>670</v>
      </c>
      <c r="R147" s="105" t="s">
        <v>23</v>
      </c>
      <c r="S147" s="105" t="s">
        <v>671</v>
      </c>
      <c r="T147" s="105" t="s">
        <v>672</v>
      </c>
      <c r="U147" s="105" t="b">
        <v>1</v>
      </c>
      <c r="V147" s="105" t="s">
        <v>745</v>
      </c>
      <c r="W147" s="105" t="s">
        <v>746</v>
      </c>
      <c r="X147" s="105">
        <v>6</v>
      </c>
      <c r="Y147" s="105" t="b">
        <v>1</v>
      </c>
      <c r="Z147" s="105" t="s">
        <v>675</v>
      </c>
      <c r="AA147" s="105" t="s">
        <v>676</v>
      </c>
      <c r="AB147" s="105" t="s">
        <v>677</v>
      </c>
      <c r="AC147" s="105">
        <v>0</v>
      </c>
      <c r="AD147" s="105" t="s">
        <v>678</v>
      </c>
      <c r="AE147" s="105">
        <v>8</v>
      </c>
      <c r="AF147" s="105" t="s">
        <v>679</v>
      </c>
      <c r="AG147" s="105">
        <v>173018.486</v>
      </c>
      <c r="AH147" s="105" t="b">
        <v>1</v>
      </c>
      <c r="AI147" s="105">
        <v>-1</v>
      </c>
      <c r="AJ147" s="105" t="s">
        <v>680</v>
      </c>
      <c r="AK147" s="105">
        <v>0</v>
      </c>
      <c r="AL147" s="105" t="b">
        <v>0</v>
      </c>
      <c r="AM147" s="105">
        <v>173018.486</v>
      </c>
      <c r="AN147" s="105" t="b">
        <v>1</v>
      </c>
      <c r="AO147" s="105">
        <v>0</v>
      </c>
      <c r="AP147" s="105" t="b">
        <v>0</v>
      </c>
      <c r="AQ147" s="105">
        <v>835135.24399999995</v>
      </c>
      <c r="AR147" s="105"/>
      <c r="AS147" s="105">
        <v>835135.24399999995</v>
      </c>
      <c r="AT147" s="105">
        <v>6</v>
      </c>
      <c r="AU147" s="105" t="b">
        <v>0</v>
      </c>
      <c r="AV147" s="105" t="b">
        <v>1</v>
      </c>
    </row>
    <row r="148" spans="1:48" s="46" customFormat="1">
      <c r="A148" s="105"/>
      <c r="B148" s="105" t="s">
        <v>665</v>
      </c>
      <c r="C148" s="105" t="s">
        <v>666</v>
      </c>
      <c r="D148" s="105">
        <v>20230601</v>
      </c>
      <c r="E148" s="105">
        <v>2023</v>
      </c>
      <c r="F148" s="105">
        <v>6</v>
      </c>
      <c r="G148" s="105" t="s">
        <v>717</v>
      </c>
      <c r="H148" s="105">
        <v>818</v>
      </c>
      <c r="I148" s="105" t="s">
        <v>668</v>
      </c>
      <c r="J148" s="105" t="s">
        <v>57</v>
      </c>
      <c r="K148" s="105" t="s">
        <v>666</v>
      </c>
      <c r="L148" s="105" t="s">
        <v>669</v>
      </c>
      <c r="M148" s="105">
        <v>56</v>
      </c>
      <c r="N148" s="105" t="s">
        <v>696</v>
      </c>
      <c r="O148" s="105" t="s">
        <v>74</v>
      </c>
      <c r="P148" s="105">
        <v>0</v>
      </c>
      <c r="Q148" s="105" t="s">
        <v>670</v>
      </c>
      <c r="R148" s="105" t="s">
        <v>23</v>
      </c>
      <c r="S148" s="105" t="s">
        <v>671</v>
      </c>
      <c r="T148" s="105" t="s">
        <v>672</v>
      </c>
      <c r="U148" s="105" t="b">
        <v>1</v>
      </c>
      <c r="V148" s="105" t="s">
        <v>745</v>
      </c>
      <c r="W148" s="105" t="s">
        <v>746</v>
      </c>
      <c r="X148" s="105">
        <v>6</v>
      </c>
      <c r="Y148" s="105" t="b">
        <v>1</v>
      </c>
      <c r="Z148" s="105" t="s">
        <v>675</v>
      </c>
      <c r="AA148" s="105" t="s">
        <v>676</v>
      </c>
      <c r="AB148" s="105" t="s">
        <v>677</v>
      </c>
      <c r="AC148" s="105">
        <v>0</v>
      </c>
      <c r="AD148" s="105" t="s">
        <v>678</v>
      </c>
      <c r="AE148" s="105">
        <v>8</v>
      </c>
      <c r="AF148" s="105" t="s">
        <v>679</v>
      </c>
      <c r="AG148" s="105">
        <v>38299.332000000002</v>
      </c>
      <c r="AH148" s="105" t="b">
        <v>1</v>
      </c>
      <c r="AI148" s="105">
        <v>-1</v>
      </c>
      <c r="AJ148" s="105" t="s">
        <v>680</v>
      </c>
      <c r="AK148" s="105">
        <v>0</v>
      </c>
      <c r="AL148" s="105" t="b">
        <v>0</v>
      </c>
      <c r="AM148" s="105">
        <v>38299.332000000002</v>
      </c>
      <c r="AN148" s="105" t="b">
        <v>1</v>
      </c>
      <c r="AO148" s="105">
        <v>0</v>
      </c>
      <c r="AP148" s="105" t="b">
        <v>0</v>
      </c>
      <c r="AQ148" s="105">
        <v>184865.34400000001</v>
      </c>
      <c r="AR148" s="105"/>
      <c r="AS148" s="105">
        <v>184865.34400000001</v>
      </c>
      <c r="AT148" s="105">
        <v>6</v>
      </c>
      <c r="AU148" s="105" t="b">
        <v>1</v>
      </c>
      <c r="AV148" s="105" t="b">
        <v>0</v>
      </c>
    </row>
    <row r="149" spans="1:48" s="46" customFormat="1">
      <c r="A149" s="105"/>
      <c r="B149" s="105" t="s">
        <v>665</v>
      </c>
      <c r="C149" s="105" t="s">
        <v>666</v>
      </c>
      <c r="D149" s="105">
        <v>20230601</v>
      </c>
      <c r="E149" s="105">
        <v>2023</v>
      </c>
      <c r="F149" s="105">
        <v>6</v>
      </c>
      <c r="G149" s="105" t="s">
        <v>717</v>
      </c>
      <c r="H149" s="105">
        <v>818</v>
      </c>
      <c r="I149" s="105" t="s">
        <v>668</v>
      </c>
      <c r="J149" s="105" t="s">
        <v>57</v>
      </c>
      <c r="K149" s="105" t="s">
        <v>666</v>
      </c>
      <c r="L149" s="105" t="s">
        <v>669</v>
      </c>
      <c r="M149" s="105">
        <v>156</v>
      </c>
      <c r="N149" s="105" t="s">
        <v>711</v>
      </c>
      <c r="O149" s="105" t="s">
        <v>29</v>
      </c>
      <c r="P149" s="105">
        <v>0</v>
      </c>
      <c r="Q149" s="105" t="s">
        <v>670</v>
      </c>
      <c r="R149" s="105" t="s">
        <v>23</v>
      </c>
      <c r="S149" s="105" t="s">
        <v>671</v>
      </c>
      <c r="T149" s="105" t="s">
        <v>672</v>
      </c>
      <c r="U149" s="105" t="b">
        <v>1</v>
      </c>
      <c r="V149" s="105" t="s">
        <v>745</v>
      </c>
      <c r="W149" s="105" t="s">
        <v>746</v>
      </c>
      <c r="X149" s="105">
        <v>6</v>
      </c>
      <c r="Y149" s="105" t="b">
        <v>1</v>
      </c>
      <c r="Z149" s="105" t="s">
        <v>675</v>
      </c>
      <c r="AA149" s="105" t="s">
        <v>676</v>
      </c>
      <c r="AB149" s="105" t="s">
        <v>677</v>
      </c>
      <c r="AC149" s="105">
        <v>0</v>
      </c>
      <c r="AD149" s="105" t="s">
        <v>678</v>
      </c>
      <c r="AE149" s="105">
        <v>8</v>
      </c>
      <c r="AF149" s="105" t="s">
        <v>679</v>
      </c>
      <c r="AG149" s="105">
        <v>11051.214</v>
      </c>
      <c r="AH149" s="105" t="b">
        <v>1</v>
      </c>
      <c r="AI149" s="105">
        <v>-1</v>
      </c>
      <c r="AJ149" s="105" t="s">
        <v>680</v>
      </c>
      <c r="AK149" s="105">
        <v>0</v>
      </c>
      <c r="AL149" s="105" t="b">
        <v>0</v>
      </c>
      <c r="AM149" s="105">
        <v>11051.214</v>
      </c>
      <c r="AN149" s="105" t="b">
        <v>1</v>
      </c>
      <c r="AO149" s="105">
        <v>0</v>
      </c>
      <c r="AP149" s="105" t="b">
        <v>0</v>
      </c>
      <c r="AQ149" s="105">
        <v>53342.610999999997</v>
      </c>
      <c r="AR149" s="105"/>
      <c r="AS149" s="105">
        <v>53342.610999999997</v>
      </c>
      <c r="AT149" s="105">
        <v>6</v>
      </c>
      <c r="AU149" s="105" t="b">
        <v>1</v>
      </c>
      <c r="AV149" s="105" t="b">
        <v>0</v>
      </c>
    </row>
    <row r="150" spans="1:48" s="46" customFormat="1">
      <c r="A150" s="105"/>
      <c r="B150" s="105" t="s">
        <v>665</v>
      </c>
      <c r="C150" s="105" t="s">
        <v>666</v>
      </c>
      <c r="D150" s="105">
        <v>20230601</v>
      </c>
      <c r="E150" s="105">
        <v>2023</v>
      </c>
      <c r="F150" s="105">
        <v>6</v>
      </c>
      <c r="G150" s="105" t="s">
        <v>717</v>
      </c>
      <c r="H150" s="105">
        <v>818</v>
      </c>
      <c r="I150" s="105" t="s">
        <v>668</v>
      </c>
      <c r="J150" s="105" t="s">
        <v>57</v>
      </c>
      <c r="K150" s="105" t="s">
        <v>666</v>
      </c>
      <c r="L150" s="105" t="s">
        <v>669</v>
      </c>
      <c r="M150" s="105">
        <v>276</v>
      </c>
      <c r="N150" s="105" t="s">
        <v>681</v>
      </c>
      <c r="O150" s="105" t="s">
        <v>30</v>
      </c>
      <c r="P150" s="105">
        <v>0</v>
      </c>
      <c r="Q150" s="105" t="s">
        <v>670</v>
      </c>
      <c r="R150" s="105" t="s">
        <v>23</v>
      </c>
      <c r="S150" s="105" t="s">
        <v>671</v>
      </c>
      <c r="T150" s="105" t="s">
        <v>672</v>
      </c>
      <c r="U150" s="105" t="b">
        <v>1</v>
      </c>
      <c r="V150" s="105" t="s">
        <v>745</v>
      </c>
      <c r="W150" s="105" t="s">
        <v>746</v>
      </c>
      <c r="X150" s="105">
        <v>6</v>
      </c>
      <c r="Y150" s="105" t="b">
        <v>1</v>
      </c>
      <c r="Z150" s="105" t="s">
        <v>675</v>
      </c>
      <c r="AA150" s="105" t="s">
        <v>676</v>
      </c>
      <c r="AB150" s="105" t="s">
        <v>677</v>
      </c>
      <c r="AC150" s="105">
        <v>0</v>
      </c>
      <c r="AD150" s="105" t="s">
        <v>678</v>
      </c>
      <c r="AE150" s="105">
        <v>8</v>
      </c>
      <c r="AF150" s="105" t="s">
        <v>679</v>
      </c>
      <c r="AG150" s="105">
        <v>28706.062999999998</v>
      </c>
      <c r="AH150" s="105" t="b">
        <v>1</v>
      </c>
      <c r="AI150" s="105">
        <v>-1</v>
      </c>
      <c r="AJ150" s="105" t="s">
        <v>680</v>
      </c>
      <c r="AK150" s="105">
        <v>0</v>
      </c>
      <c r="AL150" s="105" t="b">
        <v>0</v>
      </c>
      <c r="AM150" s="105">
        <v>28706.062999999998</v>
      </c>
      <c r="AN150" s="105" t="b">
        <v>1</v>
      </c>
      <c r="AO150" s="105">
        <v>0</v>
      </c>
      <c r="AP150" s="105" t="b">
        <v>0</v>
      </c>
      <c r="AQ150" s="105">
        <v>138560.019</v>
      </c>
      <c r="AR150" s="105"/>
      <c r="AS150" s="105">
        <v>138560.019</v>
      </c>
      <c r="AT150" s="105">
        <v>6</v>
      </c>
      <c r="AU150" s="105" t="b">
        <v>1</v>
      </c>
      <c r="AV150" s="105" t="b">
        <v>0</v>
      </c>
    </row>
    <row r="151" spans="1:48" s="46" customFormat="1">
      <c r="A151" s="105"/>
      <c r="B151" s="105" t="s">
        <v>665</v>
      </c>
      <c r="C151" s="105" t="s">
        <v>666</v>
      </c>
      <c r="D151" s="105">
        <v>20230601</v>
      </c>
      <c r="E151" s="105">
        <v>2023</v>
      </c>
      <c r="F151" s="105">
        <v>6</v>
      </c>
      <c r="G151" s="105" t="s">
        <v>717</v>
      </c>
      <c r="H151" s="105">
        <v>818</v>
      </c>
      <c r="I151" s="105" t="s">
        <v>668</v>
      </c>
      <c r="J151" s="105" t="s">
        <v>57</v>
      </c>
      <c r="K151" s="105" t="s">
        <v>666</v>
      </c>
      <c r="L151" s="105" t="s">
        <v>669</v>
      </c>
      <c r="M151" s="105">
        <v>348</v>
      </c>
      <c r="N151" s="105" t="s">
        <v>757</v>
      </c>
      <c r="O151" s="105" t="s">
        <v>82</v>
      </c>
      <c r="P151" s="105">
        <v>0</v>
      </c>
      <c r="Q151" s="105" t="s">
        <v>670</v>
      </c>
      <c r="R151" s="105" t="s">
        <v>23</v>
      </c>
      <c r="S151" s="105" t="s">
        <v>671</v>
      </c>
      <c r="T151" s="105" t="s">
        <v>672</v>
      </c>
      <c r="U151" s="105" t="b">
        <v>1</v>
      </c>
      <c r="V151" s="105" t="s">
        <v>745</v>
      </c>
      <c r="W151" s="105" t="s">
        <v>746</v>
      </c>
      <c r="X151" s="105">
        <v>6</v>
      </c>
      <c r="Y151" s="105" t="b">
        <v>1</v>
      </c>
      <c r="Z151" s="105" t="s">
        <v>675</v>
      </c>
      <c r="AA151" s="105" t="s">
        <v>676</v>
      </c>
      <c r="AB151" s="105" t="s">
        <v>677</v>
      </c>
      <c r="AC151" s="105">
        <v>0</v>
      </c>
      <c r="AD151" s="105" t="s">
        <v>678</v>
      </c>
      <c r="AE151" s="105">
        <v>8</v>
      </c>
      <c r="AF151" s="105" t="s">
        <v>679</v>
      </c>
      <c r="AG151" s="105">
        <v>11867.778</v>
      </c>
      <c r="AH151" s="105" t="b">
        <v>1</v>
      </c>
      <c r="AI151" s="105">
        <v>-1</v>
      </c>
      <c r="AJ151" s="105" t="s">
        <v>680</v>
      </c>
      <c r="AK151" s="105">
        <v>0</v>
      </c>
      <c r="AL151" s="105" t="b">
        <v>0</v>
      </c>
      <c r="AM151" s="105">
        <v>11867.778</v>
      </c>
      <c r="AN151" s="105" t="b">
        <v>1</v>
      </c>
      <c r="AO151" s="105">
        <v>0</v>
      </c>
      <c r="AP151" s="105" t="b">
        <v>0</v>
      </c>
      <c r="AQ151" s="105">
        <v>57284.050999999999</v>
      </c>
      <c r="AR151" s="105"/>
      <c r="AS151" s="105">
        <v>57284.050999999999</v>
      </c>
      <c r="AT151" s="105">
        <v>6</v>
      </c>
      <c r="AU151" s="105" t="b">
        <v>1</v>
      </c>
      <c r="AV151" s="105" t="b">
        <v>0</v>
      </c>
    </row>
    <row r="152" spans="1:48" s="46" customFormat="1">
      <c r="A152" s="105"/>
      <c r="B152" s="105" t="s">
        <v>665</v>
      </c>
      <c r="C152" s="105" t="s">
        <v>666</v>
      </c>
      <c r="D152" s="105">
        <v>20230601</v>
      </c>
      <c r="E152" s="105">
        <v>2023</v>
      </c>
      <c r="F152" s="105">
        <v>6</v>
      </c>
      <c r="G152" s="105" t="s">
        <v>717</v>
      </c>
      <c r="H152" s="105">
        <v>818</v>
      </c>
      <c r="I152" s="105" t="s">
        <v>668</v>
      </c>
      <c r="J152" s="105" t="s">
        <v>57</v>
      </c>
      <c r="K152" s="105" t="s">
        <v>666</v>
      </c>
      <c r="L152" s="105" t="s">
        <v>669</v>
      </c>
      <c r="M152" s="105">
        <v>380</v>
      </c>
      <c r="N152" s="105" t="s">
        <v>689</v>
      </c>
      <c r="O152" s="105" t="s">
        <v>71</v>
      </c>
      <c r="P152" s="105">
        <v>0</v>
      </c>
      <c r="Q152" s="105" t="s">
        <v>670</v>
      </c>
      <c r="R152" s="105" t="s">
        <v>23</v>
      </c>
      <c r="S152" s="105" t="s">
        <v>671</v>
      </c>
      <c r="T152" s="105" t="s">
        <v>672</v>
      </c>
      <c r="U152" s="105" t="b">
        <v>1</v>
      </c>
      <c r="V152" s="105" t="s">
        <v>745</v>
      </c>
      <c r="W152" s="105" t="s">
        <v>746</v>
      </c>
      <c r="X152" s="105">
        <v>6</v>
      </c>
      <c r="Y152" s="105" t="b">
        <v>1</v>
      </c>
      <c r="Z152" s="105" t="s">
        <v>675</v>
      </c>
      <c r="AA152" s="105" t="s">
        <v>676</v>
      </c>
      <c r="AB152" s="105" t="s">
        <v>677</v>
      </c>
      <c r="AC152" s="105">
        <v>0</v>
      </c>
      <c r="AD152" s="105" t="s">
        <v>678</v>
      </c>
      <c r="AE152" s="105">
        <v>8</v>
      </c>
      <c r="AF152" s="105" t="s">
        <v>679</v>
      </c>
      <c r="AG152" s="105">
        <v>3603.8440000000001</v>
      </c>
      <c r="AH152" s="105" t="b">
        <v>1</v>
      </c>
      <c r="AI152" s="105">
        <v>-1</v>
      </c>
      <c r="AJ152" s="105" t="s">
        <v>680</v>
      </c>
      <c r="AK152" s="105">
        <v>0</v>
      </c>
      <c r="AL152" s="105" t="b">
        <v>0</v>
      </c>
      <c r="AM152" s="105">
        <v>3603.8440000000001</v>
      </c>
      <c r="AN152" s="105" t="b">
        <v>1</v>
      </c>
      <c r="AO152" s="105">
        <v>0</v>
      </c>
      <c r="AP152" s="105" t="b">
        <v>0</v>
      </c>
      <c r="AQ152" s="105">
        <v>17395.237000000001</v>
      </c>
      <c r="AR152" s="105"/>
      <c r="AS152" s="105">
        <v>17395.237000000001</v>
      </c>
      <c r="AT152" s="105">
        <v>6</v>
      </c>
      <c r="AU152" s="105" t="b">
        <v>1</v>
      </c>
      <c r="AV152" s="105" t="b">
        <v>0</v>
      </c>
    </row>
    <row r="153" spans="1:48" s="46" customFormat="1">
      <c r="A153" s="105"/>
      <c r="B153" s="105" t="s">
        <v>665</v>
      </c>
      <c r="C153" s="105" t="s">
        <v>666</v>
      </c>
      <c r="D153" s="105">
        <v>20230601</v>
      </c>
      <c r="E153" s="105">
        <v>2023</v>
      </c>
      <c r="F153" s="105">
        <v>6</v>
      </c>
      <c r="G153" s="105" t="s">
        <v>717</v>
      </c>
      <c r="H153" s="105">
        <v>818</v>
      </c>
      <c r="I153" s="105" t="s">
        <v>668</v>
      </c>
      <c r="J153" s="105" t="s">
        <v>57</v>
      </c>
      <c r="K153" s="105" t="s">
        <v>666</v>
      </c>
      <c r="L153" s="105" t="s">
        <v>669</v>
      </c>
      <c r="M153" s="105">
        <v>682</v>
      </c>
      <c r="N153" s="105" t="s">
        <v>758</v>
      </c>
      <c r="O153" s="105" t="s">
        <v>39</v>
      </c>
      <c r="P153" s="105">
        <v>0</v>
      </c>
      <c r="Q153" s="105" t="s">
        <v>670</v>
      </c>
      <c r="R153" s="105" t="s">
        <v>23</v>
      </c>
      <c r="S153" s="105" t="s">
        <v>671</v>
      </c>
      <c r="T153" s="105" t="s">
        <v>672</v>
      </c>
      <c r="U153" s="105" t="b">
        <v>1</v>
      </c>
      <c r="V153" s="105" t="s">
        <v>745</v>
      </c>
      <c r="W153" s="105" t="s">
        <v>746</v>
      </c>
      <c r="X153" s="105">
        <v>6</v>
      </c>
      <c r="Y153" s="105" t="b">
        <v>1</v>
      </c>
      <c r="Z153" s="105" t="s">
        <v>675</v>
      </c>
      <c r="AA153" s="105" t="s">
        <v>676</v>
      </c>
      <c r="AB153" s="105" t="s">
        <v>677</v>
      </c>
      <c r="AC153" s="105">
        <v>0</v>
      </c>
      <c r="AD153" s="105" t="s">
        <v>678</v>
      </c>
      <c r="AE153" s="105">
        <v>8</v>
      </c>
      <c r="AF153" s="105" t="s">
        <v>679</v>
      </c>
      <c r="AG153" s="105">
        <v>24100.578000000001</v>
      </c>
      <c r="AH153" s="105" t="b">
        <v>1</v>
      </c>
      <c r="AI153" s="105">
        <v>-1</v>
      </c>
      <c r="AJ153" s="105" t="s">
        <v>680</v>
      </c>
      <c r="AK153" s="105">
        <v>0</v>
      </c>
      <c r="AL153" s="105" t="b">
        <v>0</v>
      </c>
      <c r="AM153" s="105">
        <v>24100.578000000001</v>
      </c>
      <c r="AN153" s="105" t="b">
        <v>1</v>
      </c>
      <c r="AO153" s="105">
        <v>0</v>
      </c>
      <c r="AP153" s="105" t="b">
        <v>0</v>
      </c>
      <c r="AQ153" s="105">
        <v>116330.008</v>
      </c>
      <c r="AR153" s="105"/>
      <c r="AS153" s="105">
        <v>116330.008</v>
      </c>
      <c r="AT153" s="105">
        <v>6</v>
      </c>
      <c r="AU153" s="105" t="b">
        <v>1</v>
      </c>
      <c r="AV153" s="105" t="b">
        <v>0</v>
      </c>
    </row>
    <row r="154" spans="1:48" s="46" customFormat="1">
      <c r="A154" s="105"/>
      <c r="B154" s="105" t="s">
        <v>665</v>
      </c>
      <c r="C154" s="105" t="s">
        <v>666</v>
      </c>
      <c r="D154" s="105">
        <v>20230601</v>
      </c>
      <c r="E154" s="105">
        <v>2023</v>
      </c>
      <c r="F154" s="105">
        <v>6</v>
      </c>
      <c r="G154" s="105" t="s">
        <v>717</v>
      </c>
      <c r="H154" s="105">
        <v>818</v>
      </c>
      <c r="I154" s="105" t="s">
        <v>668</v>
      </c>
      <c r="J154" s="105" t="s">
        <v>57</v>
      </c>
      <c r="K154" s="105" t="s">
        <v>666</v>
      </c>
      <c r="L154" s="105" t="s">
        <v>669</v>
      </c>
      <c r="M154" s="105">
        <v>764</v>
      </c>
      <c r="N154" s="105" t="s">
        <v>749</v>
      </c>
      <c r="O154" s="105" t="s">
        <v>55</v>
      </c>
      <c r="P154" s="105">
        <v>0</v>
      </c>
      <c r="Q154" s="105" t="s">
        <v>670</v>
      </c>
      <c r="R154" s="105" t="s">
        <v>23</v>
      </c>
      <c r="S154" s="105" t="s">
        <v>671</v>
      </c>
      <c r="T154" s="105" t="s">
        <v>672</v>
      </c>
      <c r="U154" s="105" t="b">
        <v>1</v>
      </c>
      <c r="V154" s="105" t="s">
        <v>745</v>
      </c>
      <c r="W154" s="105" t="s">
        <v>746</v>
      </c>
      <c r="X154" s="105">
        <v>6</v>
      </c>
      <c r="Y154" s="105" t="b">
        <v>1</v>
      </c>
      <c r="Z154" s="105" t="s">
        <v>675</v>
      </c>
      <c r="AA154" s="105" t="s">
        <v>676</v>
      </c>
      <c r="AB154" s="105" t="s">
        <v>677</v>
      </c>
      <c r="AC154" s="105">
        <v>0</v>
      </c>
      <c r="AD154" s="105" t="s">
        <v>678</v>
      </c>
      <c r="AE154" s="105">
        <v>8</v>
      </c>
      <c r="AF154" s="105" t="s">
        <v>679</v>
      </c>
      <c r="AG154" s="105">
        <v>6753.0870000000004</v>
      </c>
      <c r="AH154" s="105" t="b">
        <v>1</v>
      </c>
      <c r="AI154" s="105">
        <v>-1</v>
      </c>
      <c r="AJ154" s="105" t="s">
        <v>680</v>
      </c>
      <c r="AK154" s="105">
        <v>0</v>
      </c>
      <c r="AL154" s="105" t="b">
        <v>0</v>
      </c>
      <c r="AM154" s="105">
        <v>6753.0870000000004</v>
      </c>
      <c r="AN154" s="105" t="b">
        <v>1</v>
      </c>
      <c r="AO154" s="105">
        <v>0</v>
      </c>
      <c r="AP154" s="105" t="b">
        <v>0</v>
      </c>
      <c r="AQ154" s="105">
        <v>32596.178</v>
      </c>
      <c r="AR154" s="105"/>
      <c r="AS154" s="105">
        <v>32596.178</v>
      </c>
      <c r="AT154" s="105">
        <v>6</v>
      </c>
      <c r="AU154" s="105" t="b">
        <v>1</v>
      </c>
      <c r="AV154" s="105" t="b">
        <v>0</v>
      </c>
    </row>
    <row r="155" spans="1:48" s="46" customFormat="1">
      <c r="A155" s="105"/>
      <c r="B155" s="105" t="s">
        <v>665</v>
      </c>
      <c r="C155" s="105" t="s">
        <v>666</v>
      </c>
      <c r="D155" s="105">
        <v>20230601</v>
      </c>
      <c r="E155" s="105">
        <v>2023</v>
      </c>
      <c r="F155" s="105">
        <v>6</v>
      </c>
      <c r="G155" s="105" t="s">
        <v>717</v>
      </c>
      <c r="H155" s="105">
        <v>818</v>
      </c>
      <c r="I155" s="105" t="s">
        <v>668</v>
      </c>
      <c r="J155" s="105" t="s">
        <v>57</v>
      </c>
      <c r="K155" s="105" t="s">
        <v>666</v>
      </c>
      <c r="L155" s="105" t="s">
        <v>669</v>
      </c>
      <c r="M155" s="105">
        <v>784</v>
      </c>
      <c r="N155" s="105" t="s">
        <v>694</v>
      </c>
      <c r="O155" s="105" t="s">
        <v>25</v>
      </c>
      <c r="P155" s="105">
        <v>0</v>
      </c>
      <c r="Q155" s="105" t="s">
        <v>670</v>
      </c>
      <c r="R155" s="105" t="s">
        <v>23</v>
      </c>
      <c r="S155" s="105" t="s">
        <v>671</v>
      </c>
      <c r="T155" s="105" t="s">
        <v>672</v>
      </c>
      <c r="U155" s="105" t="b">
        <v>1</v>
      </c>
      <c r="V155" s="105" t="s">
        <v>745</v>
      </c>
      <c r="W155" s="105" t="s">
        <v>746</v>
      </c>
      <c r="X155" s="105">
        <v>6</v>
      </c>
      <c r="Y155" s="105" t="b">
        <v>1</v>
      </c>
      <c r="Z155" s="105" t="s">
        <v>675</v>
      </c>
      <c r="AA155" s="105" t="s">
        <v>676</v>
      </c>
      <c r="AB155" s="105" t="s">
        <v>677</v>
      </c>
      <c r="AC155" s="105">
        <v>0</v>
      </c>
      <c r="AD155" s="105" t="s">
        <v>678</v>
      </c>
      <c r="AE155" s="105">
        <v>8</v>
      </c>
      <c r="AF155" s="105" t="s">
        <v>679</v>
      </c>
      <c r="AG155" s="105">
        <v>6516.4089999999997</v>
      </c>
      <c r="AH155" s="105" t="b">
        <v>1</v>
      </c>
      <c r="AI155" s="105">
        <v>-1</v>
      </c>
      <c r="AJ155" s="105" t="s">
        <v>680</v>
      </c>
      <c r="AK155" s="105">
        <v>0</v>
      </c>
      <c r="AL155" s="105" t="b">
        <v>0</v>
      </c>
      <c r="AM155" s="105">
        <v>6516.4089999999997</v>
      </c>
      <c r="AN155" s="105" t="b">
        <v>1</v>
      </c>
      <c r="AO155" s="105">
        <v>0</v>
      </c>
      <c r="AP155" s="105" t="b">
        <v>0</v>
      </c>
      <c r="AQ155" s="105">
        <v>31453.766</v>
      </c>
      <c r="AR155" s="105"/>
      <c r="AS155" s="105">
        <v>31453.766</v>
      </c>
      <c r="AT155" s="105">
        <v>6</v>
      </c>
      <c r="AU155" s="105" t="b">
        <v>1</v>
      </c>
      <c r="AV155" s="105" t="b">
        <v>0</v>
      </c>
    </row>
    <row r="156" spans="1:48" s="46" customFormat="1">
      <c r="A156" s="105"/>
      <c r="B156" s="105" t="s">
        <v>665</v>
      </c>
      <c r="C156" s="105" t="s">
        <v>666</v>
      </c>
      <c r="D156" s="105">
        <v>20230601</v>
      </c>
      <c r="E156" s="105">
        <v>2023</v>
      </c>
      <c r="F156" s="105">
        <v>6</v>
      </c>
      <c r="G156" s="105" t="s">
        <v>717</v>
      </c>
      <c r="H156" s="105">
        <v>818</v>
      </c>
      <c r="I156" s="105" t="s">
        <v>668</v>
      </c>
      <c r="J156" s="105" t="s">
        <v>57</v>
      </c>
      <c r="K156" s="105" t="s">
        <v>666</v>
      </c>
      <c r="L156" s="105" t="s">
        <v>669</v>
      </c>
      <c r="M156" s="105">
        <v>842</v>
      </c>
      <c r="N156" s="105" t="s">
        <v>713</v>
      </c>
      <c r="O156" s="105" t="s">
        <v>713</v>
      </c>
      <c r="P156" s="105">
        <v>0</v>
      </c>
      <c r="Q156" s="105" t="s">
        <v>670</v>
      </c>
      <c r="R156" s="105" t="s">
        <v>23</v>
      </c>
      <c r="S156" s="105" t="s">
        <v>671</v>
      </c>
      <c r="T156" s="105" t="s">
        <v>672</v>
      </c>
      <c r="U156" s="105" t="b">
        <v>1</v>
      </c>
      <c r="V156" s="105" t="s">
        <v>745</v>
      </c>
      <c r="W156" s="105" t="s">
        <v>746</v>
      </c>
      <c r="X156" s="105">
        <v>6</v>
      </c>
      <c r="Y156" s="105" t="b">
        <v>1</v>
      </c>
      <c r="Z156" s="105" t="s">
        <v>675</v>
      </c>
      <c r="AA156" s="105" t="s">
        <v>676</v>
      </c>
      <c r="AB156" s="105" t="s">
        <v>677</v>
      </c>
      <c r="AC156" s="105">
        <v>0</v>
      </c>
      <c r="AD156" s="105" t="s">
        <v>678</v>
      </c>
      <c r="AE156" s="105">
        <v>8</v>
      </c>
      <c r="AF156" s="105" t="s">
        <v>679</v>
      </c>
      <c r="AG156" s="105">
        <v>42120.180999999997</v>
      </c>
      <c r="AH156" s="105" t="b">
        <v>1</v>
      </c>
      <c r="AI156" s="105">
        <v>-1</v>
      </c>
      <c r="AJ156" s="105" t="s">
        <v>680</v>
      </c>
      <c r="AK156" s="105">
        <v>0</v>
      </c>
      <c r="AL156" s="105" t="b">
        <v>0</v>
      </c>
      <c r="AM156" s="105">
        <v>42120.180999999997</v>
      </c>
      <c r="AN156" s="105" t="b">
        <v>1</v>
      </c>
      <c r="AO156" s="105">
        <v>0</v>
      </c>
      <c r="AP156" s="105" t="b">
        <v>0</v>
      </c>
      <c r="AQ156" s="105">
        <v>203308.03099999999</v>
      </c>
      <c r="AR156" s="105"/>
      <c r="AS156" s="105">
        <v>203308.03099999999</v>
      </c>
      <c r="AT156" s="105">
        <v>6</v>
      </c>
      <c r="AU156" s="105" t="b">
        <v>1</v>
      </c>
      <c r="AV156" s="105" t="b">
        <v>0</v>
      </c>
    </row>
    <row r="157" spans="1:48" s="46" customFormat="1">
      <c r="A157" s="105" t="s">
        <v>510</v>
      </c>
      <c r="B157" s="105" t="s">
        <v>665</v>
      </c>
      <c r="C157" s="105" t="s">
        <v>666</v>
      </c>
      <c r="D157" s="105">
        <v>20230701</v>
      </c>
      <c r="E157" s="105">
        <v>2023</v>
      </c>
      <c r="F157" s="105">
        <v>7</v>
      </c>
      <c r="G157" s="105" t="s">
        <v>718</v>
      </c>
      <c r="H157" s="105">
        <v>818</v>
      </c>
      <c r="I157" s="105" t="s">
        <v>668</v>
      </c>
      <c r="J157" s="105" t="s">
        <v>57</v>
      </c>
      <c r="K157" s="105" t="s">
        <v>666</v>
      </c>
      <c r="L157" s="105" t="s">
        <v>669</v>
      </c>
      <c r="M157" s="105">
        <v>0</v>
      </c>
      <c r="N157" s="105" t="s">
        <v>670</v>
      </c>
      <c r="O157" s="105" t="s">
        <v>23</v>
      </c>
      <c r="P157" s="105">
        <v>0</v>
      </c>
      <c r="Q157" s="105" t="s">
        <v>670</v>
      </c>
      <c r="R157" s="105" t="s">
        <v>23</v>
      </c>
      <c r="S157" s="105" t="s">
        <v>671</v>
      </c>
      <c r="T157" s="105" t="s">
        <v>672</v>
      </c>
      <c r="U157" s="105" t="b">
        <v>1</v>
      </c>
      <c r="V157" s="105" t="s">
        <v>745</v>
      </c>
      <c r="W157" s="105" t="s">
        <v>746</v>
      </c>
      <c r="X157" s="105">
        <v>6</v>
      </c>
      <c r="Y157" s="105" t="b">
        <v>1</v>
      </c>
      <c r="Z157" s="105" t="s">
        <v>675</v>
      </c>
      <c r="AA157" s="105" t="s">
        <v>676</v>
      </c>
      <c r="AB157" s="105" t="s">
        <v>677</v>
      </c>
      <c r="AC157" s="105">
        <v>0</v>
      </c>
      <c r="AD157" s="105" t="s">
        <v>678</v>
      </c>
      <c r="AE157" s="105">
        <v>8</v>
      </c>
      <c r="AF157" s="105" t="s">
        <v>679</v>
      </c>
      <c r="AG157" s="105">
        <v>148866.28</v>
      </c>
      <c r="AH157" s="105" t="b">
        <v>1</v>
      </c>
      <c r="AI157" s="105">
        <v>-1</v>
      </c>
      <c r="AJ157" s="105" t="s">
        <v>680</v>
      </c>
      <c r="AK157" s="105">
        <v>0</v>
      </c>
      <c r="AL157" s="105" t="b">
        <v>0</v>
      </c>
      <c r="AM157" s="105">
        <v>148866.28</v>
      </c>
      <c r="AN157" s="105" t="b">
        <v>1</v>
      </c>
      <c r="AO157" s="105">
        <v>0</v>
      </c>
      <c r="AP157" s="105" t="b">
        <v>0</v>
      </c>
      <c r="AQ157" s="105">
        <v>718556.03200000001</v>
      </c>
      <c r="AR157" s="105"/>
      <c r="AS157" s="105">
        <v>718556.03200000001</v>
      </c>
      <c r="AT157" s="105">
        <v>6</v>
      </c>
      <c r="AU157" s="105" t="b">
        <v>0</v>
      </c>
      <c r="AV157" s="105" t="b">
        <v>1</v>
      </c>
    </row>
    <row r="158" spans="1:48" s="46" customFormat="1">
      <c r="A158" s="105" t="s">
        <v>510</v>
      </c>
      <c r="B158" s="105" t="s">
        <v>665</v>
      </c>
      <c r="C158" s="105" t="s">
        <v>666</v>
      </c>
      <c r="D158" s="105">
        <v>20230701</v>
      </c>
      <c r="E158" s="105">
        <v>2023</v>
      </c>
      <c r="F158" s="105">
        <v>7</v>
      </c>
      <c r="G158" s="105" t="s">
        <v>718</v>
      </c>
      <c r="H158" s="105">
        <v>818</v>
      </c>
      <c r="I158" s="105" t="s">
        <v>668</v>
      </c>
      <c r="J158" s="105" t="s">
        <v>57</v>
      </c>
      <c r="K158" s="105" t="s">
        <v>666</v>
      </c>
      <c r="L158" s="105" t="s">
        <v>669</v>
      </c>
      <c r="M158" s="105">
        <v>156</v>
      </c>
      <c r="N158" s="105" t="s">
        <v>711</v>
      </c>
      <c r="O158" s="105" t="s">
        <v>29</v>
      </c>
      <c r="P158" s="105">
        <v>0</v>
      </c>
      <c r="Q158" s="105" t="s">
        <v>670</v>
      </c>
      <c r="R158" s="105" t="s">
        <v>23</v>
      </c>
      <c r="S158" s="105" t="s">
        <v>671</v>
      </c>
      <c r="T158" s="105" t="s">
        <v>672</v>
      </c>
      <c r="U158" s="105" t="b">
        <v>1</v>
      </c>
      <c r="V158" s="105" t="s">
        <v>745</v>
      </c>
      <c r="W158" s="105" t="s">
        <v>746</v>
      </c>
      <c r="X158" s="105">
        <v>6</v>
      </c>
      <c r="Y158" s="105" t="b">
        <v>1</v>
      </c>
      <c r="Z158" s="105" t="s">
        <v>675</v>
      </c>
      <c r="AA158" s="105" t="s">
        <v>676</v>
      </c>
      <c r="AB158" s="105" t="s">
        <v>677</v>
      </c>
      <c r="AC158" s="105">
        <v>0</v>
      </c>
      <c r="AD158" s="105" t="s">
        <v>678</v>
      </c>
      <c r="AE158" s="105">
        <v>8</v>
      </c>
      <c r="AF158" s="105" t="s">
        <v>679</v>
      </c>
      <c r="AG158" s="105">
        <v>60470.218000000001</v>
      </c>
      <c r="AH158" s="105" t="b">
        <v>1</v>
      </c>
      <c r="AI158" s="105">
        <v>-1</v>
      </c>
      <c r="AJ158" s="105" t="s">
        <v>680</v>
      </c>
      <c r="AK158" s="105">
        <v>0</v>
      </c>
      <c r="AL158" s="105" t="b">
        <v>0</v>
      </c>
      <c r="AM158" s="105">
        <v>60470.218000000001</v>
      </c>
      <c r="AN158" s="105" t="b">
        <v>1</v>
      </c>
      <c r="AO158" s="105">
        <v>0</v>
      </c>
      <c r="AP158" s="105" t="b">
        <v>0</v>
      </c>
      <c r="AQ158" s="105">
        <v>291881.00799999997</v>
      </c>
      <c r="AR158" s="105"/>
      <c r="AS158" s="105">
        <v>291881.00799999997</v>
      </c>
      <c r="AT158" s="105">
        <v>6</v>
      </c>
      <c r="AU158" s="105" t="b">
        <v>1</v>
      </c>
      <c r="AV158" s="105" t="b">
        <v>0</v>
      </c>
    </row>
    <row r="159" spans="1:48" s="46" customFormat="1">
      <c r="A159" s="105" t="s">
        <v>510</v>
      </c>
      <c r="B159" s="105" t="s">
        <v>665</v>
      </c>
      <c r="C159" s="105" t="s">
        <v>666</v>
      </c>
      <c r="D159" s="105">
        <v>20230701</v>
      </c>
      <c r="E159" s="105">
        <v>2023</v>
      </c>
      <c r="F159" s="105">
        <v>7</v>
      </c>
      <c r="G159" s="105" t="s">
        <v>718</v>
      </c>
      <c r="H159" s="105">
        <v>818</v>
      </c>
      <c r="I159" s="105" t="s">
        <v>668</v>
      </c>
      <c r="J159" s="105" t="s">
        <v>57</v>
      </c>
      <c r="K159" s="105" t="s">
        <v>666</v>
      </c>
      <c r="L159" s="105" t="s">
        <v>669</v>
      </c>
      <c r="M159" s="105">
        <v>276</v>
      </c>
      <c r="N159" s="105" t="s">
        <v>681</v>
      </c>
      <c r="O159" s="105" t="s">
        <v>30</v>
      </c>
      <c r="P159" s="105">
        <v>0</v>
      </c>
      <c r="Q159" s="105" t="s">
        <v>670</v>
      </c>
      <c r="R159" s="105" t="s">
        <v>23</v>
      </c>
      <c r="S159" s="105" t="s">
        <v>671</v>
      </c>
      <c r="T159" s="105" t="s">
        <v>672</v>
      </c>
      <c r="U159" s="105" t="b">
        <v>1</v>
      </c>
      <c r="V159" s="105" t="s">
        <v>745</v>
      </c>
      <c r="W159" s="105" t="s">
        <v>746</v>
      </c>
      <c r="X159" s="105">
        <v>6</v>
      </c>
      <c r="Y159" s="105" t="b">
        <v>1</v>
      </c>
      <c r="Z159" s="105" t="s">
        <v>675</v>
      </c>
      <c r="AA159" s="105" t="s">
        <v>676</v>
      </c>
      <c r="AB159" s="105" t="s">
        <v>677</v>
      </c>
      <c r="AC159" s="105">
        <v>0</v>
      </c>
      <c r="AD159" s="105" t="s">
        <v>678</v>
      </c>
      <c r="AE159" s="105">
        <v>8</v>
      </c>
      <c r="AF159" s="105" t="s">
        <v>679</v>
      </c>
      <c r="AG159" s="105">
        <v>13200.08</v>
      </c>
      <c r="AH159" s="105" t="b">
        <v>1</v>
      </c>
      <c r="AI159" s="105">
        <v>-1</v>
      </c>
      <c r="AJ159" s="105" t="s">
        <v>680</v>
      </c>
      <c r="AK159" s="105">
        <v>0</v>
      </c>
      <c r="AL159" s="105" t="b">
        <v>0</v>
      </c>
      <c r="AM159" s="105">
        <v>13200.08</v>
      </c>
      <c r="AN159" s="105" t="b">
        <v>1</v>
      </c>
      <c r="AO159" s="105">
        <v>0</v>
      </c>
      <c r="AP159" s="105" t="b">
        <v>0</v>
      </c>
      <c r="AQ159" s="105">
        <v>63714.881999999998</v>
      </c>
      <c r="AR159" s="105"/>
      <c r="AS159" s="105">
        <v>63714.881999999998</v>
      </c>
      <c r="AT159" s="105">
        <v>6</v>
      </c>
      <c r="AU159" s="105" t="b">
        <v>1</v>
      </c>
      <c r="AV159" s="105" t="b">
        <v>0</v>
      </c>
    </row>
    <row r="160" spans="1:48" s="46" customFormat="1">
      <c r="A160" s="105" t="s">
        <v>510</v>
      </c>
      <c r="B160" s="105" t="s">
        <v>665</v>
      </c>
      <c r="C160" s="105" t="s">
        <v>666</v>
      </c>
      <c r="D160" s="105">
        <v>20230701</v>
      </c>
      <c r="E160" s="105">
        <v>2023</v>
      </c>
      <c r="F160" s="105">
        <v>7</v>
      </c>
      <c r="G160" s="105" t="s">
        <v>718</v>
      </c>
      <c r="H160" s="105">
        <v>818</v>
      </c>
      <c r="I160" s="105" t="s">
        <v>668</v>
      </c>
      <c r="J160" s="105" t="s">
        <v>57</v>
      </c>
      <c r="K160" s="105" t="s">
        <v>666</v>
      </c>
      <c r="L160" s="105" t="s">
        <v>669</v>
      </c>
      <c r="M160" s="105">
        <v>380</v>
      </c>
      <c r="N160" s="105" t="s">
        <v>689</v>
      </c>
      <c r="O160" s="105" t="s">
        <v>71</v>
      </c>
      <c r="P160" s="105">
        <v>0</v>
      </c>
      <c r="Q160" s="105" t="s">
        <v>670</v>
      </c>
      <c r="R160" s="105" t="s">
        <v>23</v>
      </c>
      <c r="S160" s="105" t="s">
        <v>671</v>
      </c>
      <c r="T160" s="105" t="s">
        <v>672</v>
      </c>
      <c r="U160" s="105" t="b">
        <v>1</v>
      </c>
      <c r="V160" s="105" t="s">
        <v>745</v>
      </c>
      <c r="W160" s="105" t="s">
        <v>746</v>
      </c>
      <c r="X160" s="105">
        <v>6</v>
      </c>
      <c r="Y160" s="105" t="b">
        <v>1</v>
      </c>
      <c r="Z160" s="105" t="s">
        <v>675</v>
      </c>
      <c r="AA160" s="105" t="s">
        <v>676</v>
      </c>
      <c r="AB160" s="105" t="s">
        <v>677</v>
      </c>
      <c r="AC160" s="105">
        <v>0</v>
      </c>
      <c r="AD160" s="105" t="s">
        <v>678</v>
      </c>
      <c r="AE160" s="105">
        <v>8</v>
      </c>
      <c r="AF160" s="105" t="s">
        <v>679</v>
      </c>
      <c r="AG160" s="105">
        <v>1581.4760000000001</v>
      </c>
      <c r="AH160" s="105" t="b">
        <v>1</v>
      </c>
      <c r="AI160" s="105">
        <v>-1</v>
      </c>
      <c r="AJ160" s="105" t="s">
        <v>680</v>
      </c>
      <c r="AK160" s="105">
        <v>0</v>
      </c>
      <c r="AL160" s="105" t="b">
        <v>0</v>
      </c>
      <c r="AM160" s="105">
        <v>1581.4760000000001</v>
      </c>
      <c r="AN160" s="105" t="b">
        <v>1</v>
      </c>
      <c r="AO160" s="105">
        <v>0</v>
      </c>
      <c r="AP160" s="105" t="b">
        <v>0</v>
      </c>
      <c r="AQ160" s="105">
        <v>7633.5569999999998</v>
      </c>
      <c r="AR160" s="105"/>
      <c r="AS160" s="105">
        <v>7633.5569999999998</v>
      </c>
      <c r="AT160" s="105">
        <v>6</v>
      </c>
      <c r="AU160" s="105" t="b">
        <v>1</v>
      </c>
      <c r="AV160" s="105" t="b">
        <v>0</v>
      </c>
    </row>
    <row r="161" spans="1:48" s="46" customFormat="1">
      <c r="A161" s="105" t="s">
        <v>510</v>
      </c>
      <c r="B161" s="105" t="s">
        <v>665</v>
      </c>
      <c r="C161" s="105" t="s">
        <v>666</v>
      </c>
      <c r="D161" s="105">
        <v>20230701</v>
      </c>
      <c r="E161" s="105">
        <v>2023</v>
      </c>
      <c r="F161" s="105">
        <v>7</v>
      </c>
      <c r="G161" s="105" t="s">
        <v>718</v>
      </c>
      <c r="H161" s="105">
        <v>818</v>
      </c>
      <c r="I161" s="105" t="s">
        <v>668</v>
      </c>
      <c r="J161" s="105" t="s">
        <v>57</v>
      </c>
      <c r="K161" s="105" t="s">
        <v>666</v>
      </c>
      <c r="L161" s="105" t="s">
        <v>669</v>
      </c>
      <c r="M161" s="105">
        <v>410</v>
      </c>
      <c r="N161" s="105" t="s">
        <v>754</v>
      </c>
      <c r="O161" s="105" t="s">
        <v>755</v>
      </c>
      <c r="P161" s="105">
        <v>0</v>
      </c>
      <c r="Q161" s="105" t="s">
        <v>670</v>
      </c>
      <c r="R161" s="105" t="s">
        <v>23</v>
      </c>
      <c r="S161" s="105" t="s">
        <v>671</v>
      </c>
      <c r="T161" s="105" t="s">
        <v>672</v>
      </c>
      <c r="U161" s="105" t="b">
        <v>1</v>
      </c>
      <c r="V161" s="105" t="s">
        <v>745</v>
      </c>
      <c r="W161" s="105" t="s">
        <v>746</v>
      </c>
      <c r="X161" s="105">
        <v>6</v>
      </c>
      <c r="Y161" s="105" t="b">
        <v>1</v>
      </c>
      <c r="Z161" s="105" t="s">
        <v>675</v>
      </c>
      <c r="AA161" s="105" t="s">
        <v>676</v>
      </c>
      <c r="AB161" s="105" t="s">
        <v>677</v>
      </c>
      <c r="AC161" s="105">
        <v>0</v>
      </c>
      <c r="AD161" s="105" t="s">
        <v>678</v>
      </c>
      <c r="AE161" s="105">
        <v>8</v>
      </c>
      <c r="AF161" s="105" t="s">
        <v>679</v>
      </c>
      <c r="AG161" s="105">
        <v>1088.1500000000001</v>
      </c>
      <c r="AH161" s="105" t="b">
        <v>1</v>
      </c>
      <c r="AI161" s="105">
        <v>-1</v>
      </c>
      <c r="AJ161" s="105" t="s">
        <v>680</v>
      </c>
      <c r="AK161" s="105">
        <v>0</v>
      </c>
      <c r="AL161" s="105" t="b">
        <v>0</v>
      </c>
      <c r="AM161" s="105">
        <v>1088.1500000000001</v>
      </c>
      <c r="AN161" s="105" t="b">
        <v>1</v>
      </c>
      <c r="AO161" s="105">
        <v>0</v>
      </c>
      <c r="AP161" s="105" t="b">
        <v>0</v>
      </c>
      <c r="AQ161" s="105">
        <v>5252.3419999999996</v>
      </c>
      <c r="AR161" s="105"/>
      <c r="AS161" s="105">
        <v>5252.3419999999996</v>
      </c>
      <c r="AT161" s="105">
        <v>6</v>
      </c>
      <c r="AU161" s="105" t="b">
        <v>1</v>
      </c>
      <c r="AV161" s="105" t="b">
        <v>0</v>
      </c>
    </row>
    <row r="162" spans="1:48" s="46" customFormat="1">
      <c r="A162" s="105" t="s">
        <v>510</v>
      </c>
      <c r="B162" s="105" t="s">
        <v>665</v>
      </c>
      <c r="C162" s="105" t="s">
        <v>666</v>
      </c>
      <c r="D162" s="105">
        <v>20230701</v>
      </c>
      <c r="E162" s="105">
        <v>2023</v>
      </c>
      <c r="F162" s="105">
        <v>7</v>
      </c>
      <c r="G162" s="105" t="s">
        <v>718</v>
      </c>
      <c r="H162" s="105">
        <v>818</v>
      </c>
      <c r="I162" s="105" t="s">
        <v>668</v>
      </c>
      <c r="J162" s="105" t="s">
        <v>57</v>
      </c>
      <c r="K162" s="105" t="s">
        <v>666</v>
      </c>
      <c r="L162" s="105" t="s">
        <v>669</v>
      </c>
      <c r="M162" s="105">
        <v>699</v>
      </c>
      <c r="N162" s="105" t="s">
        <v>748</v>
      </c>
      <c r="O162" s="105" t="s">
        <v>0</v>
      </c>
      <c r="P162" s="105">
        <v>0</v>
      </c>
      <c r="Q162" s="105" t="s">
        <v>670</v>
      </c>
      <c r="R162" s="105" t="s">
        <v>23</v>
      </c>
      <c r="S162" s="105" t="s">
        <v>671</v>
      </c>
      <c r="T162" s="105" t="s">
        <v>672</v>
      </c>
      <c r="U162" s="105" t="b">
        <v>1</v>
      </c>
      <c r="V162" s="105" t="s">
        <v>745</v>
      </c>
      <c r="W162" s="105" t="s">
        <v>746</v>
      </c>
      <c r="X162" s="105">
        <v>6</v>
      </c>
      <c r="Y162" s="105" t="b">
        <v>1</v>
      </c>
      <c r="Z162" s="105" t="s">
        <v>675</v>
      </c>
      <c r="AA162" s="105" t="s">
        <v>676</v>
      </c>
      <c r="AB162" s="105" t="s">
        <v>677</v>
      </c>
      <c r="AC162" s="105">
        <v>0</v>
      </c>
      <c r="AD162" s="105" t="s">
        <v>678</v>
      </c>
      <c r="AE162" s="105">
        <v>8</v>
      </c>
      <c r="AF162" s="105" t="s">
        <v>679</v>
      </c>
      <c r="AG162" s="105">
        <v>575.97299999999996</v>
      </c>
      <c r="AH162" s="105" t="b">
        <v>1</v>
      </c>
      <c r="AI162" s="105">
        <v>-1</v>
      </c>
      <c r="AJ162" s="105" t="s">
        <v>680</v>
      </c>
      <c r="AK162" s="105">
        <v>0</v>
      </c>
      <c r="AL162" s="105" t="b">
        <v>0</v>
      </c>
      <c r="AM162" s="105">
        <v>575.97299999999996</v>
      </c>
      <c r="AN162" s="105" t="b">
        <v>1</v>
      </c>
      <c r="AO162" s="105">
        <v>0</v>
      </c>
      <c r="AP162" s="105" t="b">
        <v>0</v>
      </c>
      <c r="AQ162" s="105">
        <v>2780.1370000000002</v>
      </c>
      <c r="AR162" s="105"/>
      <c r="AS162" s="105">
        <v>2780.1370000000002</v>
      </c>
      <c r="AT162" s="105">
        <v>6</v>
      </c>
      <c r="AU162" s="105" t="b">
        <v>1</v>
      </c>
      <c r="AV162" s="105" t="b">
        <v>0</v>
      </c>
    </row>
    <row r="163" spans="1:48" s="46" customFormat="1">
      <c r="A163" s="105" t="s">
        <v>510</v>
      </c>
      <c r="B163" s="105" t="s">
        <v>665</v>
      </c>
      <c r="C163" s="105" t="s">
        <v>666</v>
      </c>
      <c r="D163" s="105">
        <v>20230701</v>
      </c>
      <c r="E163" s="105">
        <v>2023</v>
      </c>
      <c r="F163" s="105">
        <v>7</v>
      </c>
      <c r="G163" s="105" t="s">
        <v>718</v>
      </c>
      <c r="H163" s="105">
        <v>818</v>
      </c>
      <c r="I163" s="105" t="s">
        <v>668</v>
      </c>
      <c r="J163" s="105" t="s">
        <v>57</v>
      </c>
      <c r="K163" s="105" t="s">
        <v>666</v>
      </c>
      <c r="L163" s="105" t="s">
        <v>669</v>
      </c>
      <c r="M163" s="105">
        <v>724</v>
      </c>
      <c r="N163" s="105" t="s">
        <v>684</v>
      </c>
      <c r="O163" s="105" t="s">
        <v>51</v>
      </c>
      <c r="P163" s="105">
        <v>0</v>
      </c>
      <c r="Q163" s="105" t="s">
        <v>670</v>
      </c>
      <c r="R163" s="105" t="s">
        <v>23</v>
      </c>
      <c r="S163" s="105" t="s">
        <v>671</v>
      </c>
      <c r="T163" s="105" t="s">
        <v>672</v>
      </c>
      <c r="U163" s="105" t="b">
        <v>1</v>
      </c>
      <c r="V163" s="105" t="s">
        <v>745</v>
      </c>
      <c r="W163" s="105" t="s">
        <v>746</v>
      </c>
      <c r="X163" s="105">
        <v>6</v>
      </c>
      <c r="Y163" s="105" t="b">
        <v>1</v>
      </c>
      <c r="Z163" s="105" t="s">
        <v>675</v>
      </c>
      <c r="AA163" s="105" t="s">
        <v>676</v>
      </c>
      <c r="AB163" s="105" t="s">
        <v>677</v>
      </c>
      <c r="AC163" s="105">
        <v>0</v>
      </c>
      <c r="AD163" s="105" t="s">
        <v>678</v>
      </c>
      <c r="AE163" s="105">
        <v>8</v>
      </c>
      <c r="AF163" s="105" t="s">
        <v>679</v>
      </c>
      <c r="AG163" s="105">
        <v>23806.866000000002</v>
      </c>
      <c r="AH163" s="105" t="b">
        <v>1</v>
      </c>
      <c r="AI163" s="105">
        <v>-1</v>
      </c>
      <c r="AJ163" s="105" t="s">
        <v>680</v>
      </c>
      <c r="AK163" s="105">
        <v>0</v>
      </c>
      <c r="AL163" s="105" t="b">
        <v>0</v>
      </c>
      <c r="AM163" s="105">
        <v>23806.866000000002</v>
      </c>
      <c r="AN163" s="105" t="b">
        <v>1</v>
      </c>
      <c r="AO163" s="105">
        <v>0</v>
      </c>
      <c r="AP163" s="105" t="b">
        <v>0</v>
      </c>
      <c r="AQ163" s="105">
        <v>114912.30499999999</v>
      </c>
      <c r="AR163" s="105"/>
      <c r="AS163" s="105">
        <v>114912.30499999999</v>
      </c>
      <c r="AT163" s="105">
        <v>6</v>
      </c>
      <c r="AU163" s="105" t="b">
        <v>1</v>
      </c>
      <c r="AV163" s="105" t="b">
        <v>0</v>
      </c>
    </row>
    <row r="164" spans="1:48" s="46" customFormat="1">
      <c r="A164" s="105" t="s">
        <v>510</v>
      </c>
      <c r="B164" s="105" t="s">
        <v>665</v>
      </c>
      <c r="C164" s="105" t="s">
        <v>666</v>
      </c>
      <c r="D164" s="105">
        <v>20230701</v>
      </c>
      <c r="E164" s="105">
        <v>2023</v>
      </c>
      <c r="F164" s="105">
        <v>7</v>
      </c>
      <c r="G164" s="105" t="s">
        <v>718</v>
      </c>
      <c r="H164" s="105">
        <v>818</v>
      </c>
      <c r="I164" s="105" t="s">
        <v>668</v>
      </c>
      <c r="J164" s="105" t="s">
        <v>57</v>
      </c>
      <c r="K164" s="105" t="s">
        <v>666</v>
      </c>
      <c r="L164" s="105" t="s">
        <v>669</v>
      </c>
      <c r="M164" s="105">
        <v>826</v>
      </c>
      <c r="N164" s="105" t="s">
        <v>685</v>
      </c>
      <c r="O164" s="105" t="s">
        <v>64</v>
      </c>
      <c r="P164" s="105">
        <v>0</v>
      </c>
      <c r="Q164" s="105" t="s">
        <v>670</v>
      </c>
      <c r="R164" s="105" t="s">
        <v>23</v>
      </c>
      <c r="S164" s="105" t="s">
        <v>671</v>
      </c>
      <c r="T164" s="105" t="s">
        <v>672</v>
      </c>
      <c r="U164" s="105" t="b">
        <v>1</v>
      </c>
      <c r="V164" s="105" t="s">
        <v>745</v>
      </c>
      <c r="W164" s="105" t="s">
        <v>746</v>
      </c>
      <c r="X164" s="105">
        <v>6</v>
      </c>
      <c r="Y164" s="105" t="b">
        <v>1</v>
      </c>
      <c r="Z164" s="105" t="s">
        <v>675</v>
      </c>
      <c r="AA164" s="105" t="s">
        <v>676</v>
      </c>
      <c r="AB164" s="105" t="s">
        <v>677</v>
      </c>
      <c r="AC164" s="105">
        <v>0</v>
      </c>
      <c r="AD164" s="105" t="s">
        <v>678</v>
      </c>
      <c r="AE164" s="105">
        <v>8</v>
      </c>
      <c r="AF164" s="105" t="s">
        <v>679</v>
      </c>
      <c r="AG164" s="105">
        <v>6019.192</v>
      </c>
      <c r="AH164" s="105" t="b">
        <v>1</v>
      </c>
      <c r="AI164" s="105">
        <v>-1</v>
      </c>
      <c r="AJ164" s="105" t="s">
        <v>680</v>
      </c>
      <c r="AK164" s="105">
        <v>0</v>
      </c>
      <c r="AL164" s="105" t="b">
        <v>0</v>
      </c>
      <c r="AM164" s="105">
        <v>6019.192</v>
      </c>
      <c r="AN164" s="105" t="b">
        <v>1</v>
      </c>
      <c r="AO164" s="105">
        <v>0</v>
      </c>
      <c r="AP164" s="105" t="b">
        <v>0</v>
      </c>
      <c r="AQ164" s="105">
        <v>29053.77</v>
      </c>
      <c r="AR164" s="105"/>
      <c r="AS164" s="105">
        <v>29053.77</v>
      </c>
      <c r="AT164" s="105">
        <v>6</v>
      </c>
      <c r="AU164" s="105" t="b">
        <v>1</v>
      </c>
      <c r="AV164" s="105" t="b">
        <v>0</v>
      </c>
    </row>
    <row r="165" spans="1:48" s="46" customFormat="1">
      <c r="A165" s="105" t="s">
        <v>510</v>
      </c>
      <c r="B165" s="105" t="s">
        <v>665</v>
      </c>
      <c r="C165" s="105" t="s">
        <v>666</v>
      </c>
      <c r="D165" s="105">
        <v>20230701</v>
      </c>
      <c r="E165" s="105">
        <v>2023</v>
      </c>
      <c r="F165" s="105">
        <v>7</v>
      </c>
      <c r="G165" s="105" t="s">
        <v>718</v>
      </c>
      <c r="H165" s="105">
        <v>818</v>
      </c>
      <c r="I165" s="105" t="s">
        <v>668</v>
      </c>
      <c r="J165" s="105" t="s">
        <v>57</v>
      </c>
      <c r="K165" s="105" t="s">
        <v>666</v>
      </c>
      <c r="L165" s="105" t="s">
        <v>669</v>
      </c>
      <c r="M165" s="105">
        <v>842</v>
      </c>
      <c r="N165" s="105" t="s">
        <v>713</v>
      </c>
      <c r="O165" s="105" t="s">
        <v>713</v>
      </c>
      <c r="P165" s="105">
        <v>0</v>
      </c>
      <c r="Q165" s="105" t="s">
        <v>670</v>
      </c>
      <c r="R165" s="105" t="s">
        <v>23</v>
      </c>
      <c r="S165" s="105" t="s">
        <v>671</v>
      </c>
      <c r="T165" s="105" t="s">
        <v>672</v>
      </c>
      <c r="U165" s="105" t="b">
        <v>1</v>
      </c>
      <c r="V165" s="105" t="s">
        <v>745</v>
      </c>
      <c r="W165" s="105" t="s">
        <v>746</v>
      </c>
      <c r="X165" s="105">
        <v>6</v>
      </c>
      <c r="Y165" s="105" t="b">
        <v>1</v>
      </c>
      <c r="Z165" s="105" t="s">
        <v>675</v>
      </c>
      <c r="AA165" s="105" t="s">
        <v>676</v>
      </c>
      <c r="AB165" s="105" t="s">
        <v>677</v>
      </c>
      <c r="AC165" s="105">
        <v>0</v>
      </c>
      <c r="AD165" s="105" t="s">
        <v>678</v>
      </c>
      <c r="AE165" s="105">
        <v>8</v>
      </c>
      <c r="AF165" s="105" t="s">
        <v>679</v>
      </c>
      <c r="AG165" s="105">
        <v>42124.324999999997</v>
      </c>
      <c r="AH165" s="105" t="b">
        <v>1</v>
      </c>
      <c r="AI165" s="105">
        <v>-1</v>
      </c>
      <c r="AJ165" s="105" t="s">
        <v>680</v>
      </c>
      <c r="AK165" s="105">
        <v>0</v>
      </c>
      <c r="AL165" s="105" t="b">
        <v>0</v>
      </c>
      <c r="AM165" s="105">
        <v>42124.324999999997</v>
      </c>
      <c r="AN165" s="105" t="b">
        <v>1</v>
      </c>
      <c r="AO165" s="105">
        <v>0</v>
      </c>
      <c r="AP165" s="105" t="b">
        <v>0</v>
      </c>
      <c r="AQ165" s="105">
        <v>203328.03099999999</v>
      </c>
      <c r="AR165" s="105"/>
      <c r="AS165" s="105">
        <v>203328.03099999999</v>
      </c>
      <c r="AT165" s="105">
        <v>6</v>
      </c>
      <c r="AU165" s="105" t="b">
        <v>1</v>
      </c>
      <c r="AV165" s="105" t="b">
        <v>0</v>
      </c>
    </row>
    <row r="166" spans="1:48" s="46" customFormat="1">
      <c r="A166" s="105" t="s">
        <v>510</v>
      </c>
      <c r="B166" s="105" t="s">
        <v>665</v>
      </c>
      <c r="C166" s="105" t="s">
        <v>666</v>
      </c>
      <c r="D166" s="105">
        <v>20230701</v>
      </c>
      <c r="E166" s="105">
        <v>2023</v>
      </c>
      <c r="F166" s="105">
        <v>7</v>
      </c>
      <c r="G166" s="105" t="s">
        <v>718</v>
      </c>
      <c r="H166" s="105">
        <v>818</v>
      </c>
      <c r="I166" s="105" t="s">
        <v>668</v>
      </c>
      <c r="J166" s="105" t="s">
        <v>57</v>
      </c>
      <c r="K166" s="105" t="s">
        <v>701</v>
      </c>
      <c r="L166" s="105" t="s">
        <v>702</v>
      </c>
      <c r="M166" s="105">
        <v>0</v>
      </c>
      <c r="N166" s="105" t="s">
        <v>670</v>
      </c>
      <c r="O166" s="105" t="s">
        <v>23</v>
      </c>
      <c r="P166" s="105">
        <v>0</v>
      </c>
      <c r="Q166" s="105" t="s">
        <v>670</v>
      </c>
      <c r="R166" s="105" t="s">
        <v>23</v>
      </c>
      <c r="S166" s="105" t="s">
        <v>671</v>
      </c>
      <c r="T166" s="105" t="s">
        <v>672</v>
      </c>
      <c r="U166" s="105" t="b">
        <v>1</v>
      </c>
      <c r="V166" s="105" t="s">
        <v>745</v>
      </c>
      <c r="W166" s="105" t="s">
        <v>746</v>
      </c>
      <c r="X166" s="105">
        <v>6</v>
      </c>
      <c r="Y166" s="105" t="b">
        <v>1</v>
      </c>
      <c r="Z166" s="105" t="s">
        <v>675</v>
      </c>
      <c r="AA166" s="105" t="s">
        <v>676</v>
      </c>
      <c r="AB166" s="105" t="s">
        <v>677</v>
      </c>
      <c r="AC166" s="105">
        <v>0</v>
      </c>
      <c r="AD166" s="105" t="s">
        <v>678</v>
      </c>
      <c r="AE166" s="105">
        <v>8</v>
      </c>
      <c r="AF166" s="105" t="s">
        <v>679</v>
      </c>
      <c r="AG166" s="105">
        <v>39618.807000000001</v>
      </c>
      <c r="AH166" s="105" t="b">
        <v>1</v>
      </c>
      <c r="AI166" s="105">
        <v>-1</v>
      </c>
      <c r="AJ166" s="105" t="s">
        <v>680</v>
      </c>
      <c r="AK166" s="105">
        <v>0</v>
      </c>
      <c r="AL166" s="105" t="b">
        <v>0</v>
      </c>
      <c r="AM166" s="105">
        <v>39618.807000000001</v>
      </c>
      <c r="AN166" s="105" t="b">
        <v>1</v>
      </c>
      <c r="AO166" s="105">
        <v>0</v>
      </c>
      <c r="AP166" s="105" t="b">
        <v>0</v>
      </c>
      <c r="AQ166" s="105"/>
      <c r="AR166" s="105">
        <v>204984</v>
      </c>
      <c r="AS166" s="105">
        <v>204984</v>
      </c>
      <c r="AT166" s="105">
        <v>6</v>
      </c>
      <c r="AU166" s="105" t="b">
        <v>0</v>
      </c>
      <c r="AV166" s="105" t="b">
        <v>1</v>
      </c>
    </row>
    <row r="167" spans="1:48" s="46" customFormat="1">
      <c r="A167" s="105" t="s">
        <v>510</v>
      </c>
      <c r="B167" s="105" t="s">
        <v>665</v>
      </c>
      <c r="C167" s="105" t="s">
        <v>666</v>
      </c>
      <c r="D167" s="105">
        <v>20230701</v>
      </c>
      <c r="E167" s="105">
        <v>2023</v>
      </c>
      <c r="F167" s="105">
        <v>7</v>
      </c>
      <c r="G167" s="105" t="s">
        <v>718</v>
      </c>
      <c r="H167" s="105">
        <v>818</v>
      </c>
      <c r="I167" s="105" t="s">
        <v>668</v>
      </c>
      <c r="J167" s="105" t="s">
        <v>57</v>
      </c>
      <c r="K167" s="105" t="s">
        <v>701</v>
      </c>
      <c r="L167" s="105" t="s">
        <v>702</v>
      </c>
      <c r="M167" s="105">
        <v>842</v>
      </c>
      <c r="N167" s="105" t="s">
        <v>713</v>
      </c>
      <c r="O167" s="105" t="s">
        <v>713</v>
      </c>
      <c r="P167" s="105">
        <v>0</v>
      </c>
      <c r="Q167" s="105" t="s">
        <v>670</v>
      </c>
      <c r="R167" s="105" t="s">
        <v>23</v>
      </c>
      <c r="S167" s="105" t="s">
        <v>671</v>
      </c>
      <c r="T167" s="105" t="s">
        <v>672</v>
      </c>
      <c r="U167" s="105" t="b">
        <v>1</v>
      </c>
      <c r="V167" s="105" t="s">
        <v>745</v>
      </c>
      <c r="W167" s="105" t="s">
        <v>746</v>
      </c>
      <c r="X167" s="105">
        <v>6</v>
      </c>
      <c r="Y167" s="105" t="b">
        <v>1</v>
      </c>
      <c r="Z167" s="105" t="s">
        <v>675</v>
      </c>
      <c r="AA167" s="105" t="s">
        <v>676</v>
      </c>
      <c r="AB167" s="105" t="s">
        <v>677</v>
      </c>
      <c r="AC167" s="105">
        <v>0</v>
      </c>
      <c r="AD167" s="105" t="s">
        <v>678</v>
      </c>
      <c r="AE167" s="105">
        <v>8</v>
      </c>
      <c r="AF167" s="105" t="s">
        <v>679</v>
      </c>
      <c r="AG167" s="105">
        <v>39618.807000000001</v>
      </c>
      <c r="AH167" s="105" t="b">
        <v>1</v>
      </c>
      <c r="AI167" s="105">
        <v>-1</v>
      </c>
      <c r="AJ167" s="105" t="s">
        <v>680</v>
      </c>
      <c r="AK167" s="105">
        <v>0</v>
      </c>
      <c r="AL167" s="105" t="b">
        <v>0</v>
      </c>
      <c r="AM167" s="105">
        <v>39618.807000000001</v>
      </c>
      <c r="AN167" s="105" t="b">
        <v>1</v>
      </c>
      <c r="AO167" s="105">
        <v>0</v>
      </c>
      <c r="AP167" s="105" t="b">
        <v>0</v>
      </c>
      <c r="AQ167" s="105"/>
      <c r="AR167" s="105">
        <v>204984</v>
      </c>
      <c r="AS167" s="105">
        <v>204984</v>
      </c>
      <c r="AT167" s="105">
        <v>6</v>
      </c>
      <c r="AU167" s="105" t="b">
        <v>1</v>
      </c>
      <c r="AV167" s="105" t="b">
        <v>0</v>
      </c>
    </row>
    <row r="168" spans="1:48" s="46" customFormat="1">
      <c r="A168" s="105" t="s">
        <v>510</v>
      </c>
      <c r="B168" s="105" t="s">
        <v>665</v>
      </c>
      <c r="C168" s="105" t="s">
        <v>666</v>
      </c>
      <c r="D168" s="105">
        <v>20230801</v>
      </c>
      <c r="E168" s="105">
        <v>2023</v>
      </c>
      <c r="F168" s="105">
        <v>8</v>
      </c>
      <c r="G168" s="105" t="s">
        <v>721</v>
      </c>
      <c r="H168" s="105">
        <v>818</v>
      </c>
      <c r="I168" s="105" t="s">
        <v>668</v>
      </c>
      <c r="J168" s="105" t="s">
        <v>57</v>
      </c>
      <c r="K168" s="105" t="s">
        <v>666</v>
      </c>
      <c r="L168" s="105" t="s">
        <v>669</v>
      </c>
      <c r="M168" s="105">
        <v>0</v>
      </c>
      <c r="N168" s="105" t="s">
        <v>670</v>
      </c>
      <c r="O168" s="105" t="s">
        <v>23</v>
      </c>
      <c r="P168" s="105">
        <v>0</v>
      </c>
      <c r="Q168" s="105" t="s">
        <v>670</v>
      </c>
      <c r="R168" s="105" t="s">
        <v>23</v>
      </c>
      <c r="S168" s="105" t="s">
        <v>671</v>
      </c>
      <c r="T168" s="105" t="s">
        <v>672</v>
      </c>
      <c r="U168" s="105" t="b">
        <v>1</v>
      </c>
      <c r="V168" s="105" t="s">
        <v>745</v>
      </c>
      <c r="W168" s="105" t="s">
        <v>746</v>
      </c>
      <c r="X168" s="105">
        <v>6</v>
      </c>
      <c r="Y168" s="105" t="b">
        <v>1</v>
      </c>
      <c r="Z168" s="105" t="s">
        <v>675</v>
      </c>
      <c r="AA168" s="105" t="s">
        <v>676</v>
      </c>
      <c r="AB168" s="105" t="s">
        <v>677</v>
      </c>
      <c r="AC168" s="105">
        <v>0</v>
      </c>
      <c r="AD168" s="105" t="s">
        <v>678</v>
      </c>
      <c r="AE168" s="105">
        <v>8</v>
      </c>
      <c r="AF168" s="105" t="s">
        <v>679</v>
      </c>
      <c r="AG168" s="105">
        <v>242976.81200000001</v>
      </c>
      <c r="AH168" s="105" t="b">
        <v>1</v>
      </c>
      <c r="AI168" s="105">
        <v>-1</v>
      </c>
      <c r="AJ168" s="105" t="s">
        <v>680</v>
      </c>
      <c r="AK168" s="105">
        <v>0</v>
      </c>
      <c r="AL168" s="105" t="b">
        <v>0</v>
      </c>
      <c r="AM168" s="105">
        <v>242976.81200000001</v>
      </c>
      <c r="AN168" s="105" t="b">
        <v>1</v>
      </c>
      <c r="AO168" s="105">
        <v>0</v>
      </c>
      <c r="AP168" s="105" t="b">
        <v>0</v>
      </c>
      <c r="AQ168" s="105">
        <v>1172813.977</v>
      </c>
      <c r="AR168" s="105"/>
      <c r="AS168" s="105">
        <v>1172813.977</v>
      </c>
      <c r="AT168" s="105">
        <v>6</v>
      </c>
      <c r="AU168" s="105" t="b">
        <v>0</v>
      </c>
      <c r="AV168" s="105" t="b">
        <v>1</v>
      </c>
    </row>
    <row r="169" spans="1:48" s="46" customFormat="1">
      <c r="A169" s="105" t="s">
        <v>510</v>
      </c>
      <c r="B169" s="105" t="s">
        <v>665</v>
      </c>
      <c r="C169" s="105" t="s">
        <v>666</v>
      </c>
      <c r="D169" s="105">
        <v>20230801</v>
      </c>
      <c r="E169" s="105">
        <v>2023</v>
      </c>
      <c r="F169" s="105">
        <v>8</v>
      </c>
      <c r="G169" s="105" t="s">
        <v>721</v>
      </c>
      <c r="H169" s="105">
        <v>818</v>
      </c>
      <c r="I169" s="105" t="s">
        <v>668</v>
      </c>
      <c r="J169" s="105" t="s">
        <v>57</v>
      </c>
      <c r="K169" s="105" t="s">
        <v>666</v>
      </c>
      <c r="L169" s="105" t="s">
        <v>669</v>
      </c>
      <c r="M169" s="105">
        <v>56</v>
      </c>
      <c r="N169" s="105" t="s">
        <v>696</v>
      </c>
      <c r="O169" s="105" t="s">
        <v>74</v>
      </c>
      <c r="P169" s="105">
        <v>0</v>
      </c>
      <c r="Q169" s="105" t="s">
        <v>670</v>
      </c>
      <c r="R169" s="105" t="s">
        <v>23</v>
      </c>
      <c r="S169" s="105" t="s">
        <v>671</v>
      </c>
      <c r="T169" s="105" t="s">
        <v>672</v>
      </c>
      <c r="U169" s="105" t="b">
        <v>1</v>
      </c>
      <c r="V169" s="105" t="s">
        <v>745</v>
      </c>
      <c r="W169" s="105" t="s">
        <v>746</v>
      </c>
      <c r="X169" s="105">
        <v>6</v>
      </c>
      <c r="Y169" s="105" t="b">
        <v>1</v>
      </c>
      <c r="Z169" s="105" t="s">
        <v>675</v>
      </c>
      <c r="AA169" s="105" t="s">
        <v>676</v>
      </c>
      <c r="AB169" s="105" t="s">
        <v>677</v>
      </c>
      <c r="AC169" s="105">
        <v>0</v>
      </c>
      <c r="AD169" s="105" t="s">
        <v>678</v>
      </c>
      <c r="AE169" s="105">
        <v>8</v>
      </c>
      <c r="AF169" s="105" t="s">
        <v>679</v>
      </c>
      <c r="AG169" s="105">
        <v>1926.2850000000001</v>
      </c>
      <c r="AH169" s="105" t="b">
        <v>1</v>
      </c>
      <c r="AI169" s="105">
        <v>-1</v>
      </c>
      <c r="AJ169" s="105" t="s">
        <v>680</v>
      </c>
      <c r="AK169" s="105">
        <v>0</v>
      </c>
      <c r="AL169" s="105" t="b">
        <v>0</v>
      </c>
      <c r="AM169" s="105">
        <v>1926.2850000000001</v>
      </c>
      <c r="AN169" s="105" t="b">
        <v>1</v>
      </c>
      <c r="AO169" s="105">
        <v>0</v>
      </c>
      <c r="AP169" s="105" t="b">
        <v>0</v>
      </c>
      <c r="AQ169" s="105">
        <v>9297.9009999999998</v>
      </c>
      <c r="AR169" s="105"/>
      <c r="AS169" s="105">
        <v>9297.9009999999998</v>
      </c>
      <c r="AT169" s="105">
        <v>6</v>
      </c>
      <c r="AU169" s="105" t="b">
        <v>1</v>
      </c>
      <c r="AV169" s="105" t="b">
        <v>0</v>
      </c>
    </row>
    <row r="170" spans="1:48" s="46" customFormat="1">
      <c r="A170" s="105" t="s">
        <v>510</v>
      </c>
      <c r="B170" s="105" t="s">
        <v>665</v>
      </c>
      <c r="C170" s="105" t="s">
        <v>666</v>
      </c>
      <c r="D170" s="105">
        <v>20230801</v>
      </c>
      <c r="E170" s="105">
        <v>2023</v>
      </c>
      <c r="F170" s="105">
        <v>8</v>
      </c>
      <c r="G170" s="105" t="s">
        <v>721</v>
      </c>
      <c r="H170" s="105">
        <v>818</v>
      </c>
      <c r="I170" s="105" t="s">
        <v>668</v>
      </c>
      <c r="J170" s="105" t="s">
        <v>57</v>
      </c>
      <c r="K170" s="105" t="s">
        <v>666</v>
      </c>
      <c r="L170" s="105" t="s">
        <v>669</v>
      </c>
      <c r="M170" s="105">
        <v>156</v>
      </c>
      <c r="N170" s="105" t="s">
        <v>711</v>
      </c>
      <c r="O170" s="105" t="s">
        <v>29</v>
      </c>
      <c r="P170" s="105">
        <v>0</v>
      </c>
      <c r="Q170" s="105" t="s">
        <v>670</v>
      </c>
      <c r="R170" s="105" t="s">
        <v>23</v>
      </c>
      <c r="S170" s="105" t="s">
        <v>671</v>
      </c>
      <c r="T170" s="105" t="s">
        <v>672</v>
      </c>
      <c r="U170" s="105" t="b">
        <v>1</v>
      </c>
      <c r="V170" s="105" t="s">
        <v>745</v>
      </c>
      <c r="W170" s="105" t="s">
        <v>746</v>
      </c>
      <c r="X170" s="105">
        <v>6</v>
      </c>
      <c r="Y170" s="105" t="b">
        <v>1</v>
      </c>
      <c r="Z170" s="105" t="s">
        <v>675</v>
      </c>
      <c r="AA170" s="105" t="s">
        <v>676</v>
      </c>
      <c r="AB170" s="105" t="s">
        <v>677</v>
      </c>
      <c r="AC170" s="105">
        <v>0</v>
      </c>
      <c r="AD170" s="105" t="s">
        <v>678</v>
      </c>
      <c r="AE170" s="105">
        <v>8</v>
      </c>
      <c r="AF170" s="105" t="s">
        <v>679</v>
      </c>
      <c r="AG170" s="105">
        <v>125472.412</v>
      </c>
      <c r="AH170" s="105" t="b">
        <v>1</v>
      </c>
      <c r="AI170" s="105">
        <v>-1</v>
      </c>
      <c r="AJ170" s="105" t="s">
        <v>680</v>
      </c>
      <c r="AK170" s="105">
        <v>0</v>
      </c>
      <c r="AL170" s="105" t="b">
        <v>0</v>
      </c>
      <c r="AM170" s="105">
        <v>125472.412</v>
      </c>
      <c r="AN170" s="105" t="b">
        <v>1</v>
      </c>
      <c r="AO170" s="105">
        <v>0</v>
      </c>
      <c r="AP170" s="105" t="b">
        <v>0</v>
      </c>
      <c r="AQ170" s="105">
        <v>605637.20799999998</v>
      </c>
      <c r="AR170" s="105"/>
      <c r="AS170" s="105">
        <v>605637.20799999998</v>
      </c>
      <c r="AT170" s="105">
        <v>6</v>
      </c>
      <c r="AU170" s="105" t="b">
        <v>1</v>
      </c>
      <c r="AV170" s="105" t="b">
        <v>0</v>
      </c>
    </row>
    <row r="171" spans="1:48" s="46" customFormat="1">
      <c r="A171" s="105" t="s">
        <v>510</v>
      </c>
      <c r="B171" s="105" t="s">
        <v>665</v>
      </c>
      <c r="C171" s="105" t="s">
        <v>666</v>
      </c>
      <c r="D171" s="105">
        <v>20230801</v>
      </c>
      <c r="E171" s="105">
        <v>2023</v>
      </c>
      <c r="F171" s="105">
        <v>8</v>
      </c>
      <c r="G171" s="105" t="s">
        <v>721</v>
      </c>
      <c r="H171" s="105">
        <v>818</v>
      </c>
      <c r="I171" s="105" t="s">
        <v>668</v>
      </c>
      <c r="J171" s="105" t="s">
        <v>57</v>
      </c>
      <c r="K171" s="105" t="s">
        <v>666</v>
      </c>
      <c r="L171" s="105" t="s">
        <v>669</v>
      </c>
      <c r="M171" s="105">
        <v>276</v>
      </c>
      <c r="N171" s="105" t="s">
        <v>681</v>
      </c>
      <c r="O171" s="105" t="s">
        <v>30</v>
      </c>
      <c r="P171" s="105">
        <v>0</v>
      </c>
      <c r="Q171" s="105" t="s">
        <v>670</v>
      </c>
      <c r="R171" s="105" t="s">
        <v>23</v>
      </c>
      <c r="S171" s="105" t="s">
        <v>671</v>
      </c>
      <c r="T171" s="105" t="s">
        <v>672</v>
      </c>
      <c r="U171" s="105" t="b">
        <v>1</v>
      </c>
      <c r="V171" s="105" t="s">
        <v>745</v>
      </c>
      <c r="W171" s="105" t="s">
        <v>746</v>
      </c>
      <c r="X171" s="105">
        <v>6</v>
      </c>
      <c r="Y171" s="105" t="b">
        <v>1</v>
      </c>
      <c r="Z171" s="105" t="s">
        <v>675</v>
      </c>
      <c r="AA171" s="105" t="s">
        <v>676</v>
      </c>
      <c r="AB171" s="105" t="s">
        <v>677</v>
      </c>
      <c r="AC171" s="105">
        <v>0</v>
      </c>
      <c r="AD171" s="105" t="s">
        <v>678</v>
      </c>
      <c r="AE171" s="105">
        <v>8</v>
      </c>
      <c r="AF171" s="105" t="s">
        <v>679</v>
      </c>
      <c r="AG171" s="105">
        <v>2135.7579999999998</v>
      </c>
      <c r="AH171" s="105" t="b">
        <v>1</v>
      </c>
      <c r="AI171" s="105">
        <v>-1</v>
      </c>
      <c r="AJ171" s="105" t="s">
        <v>680</v>
      </c>
      <c r="AK171" s="105">
        <v>0</v>
      </c>
      <c r="AL171" s="105" t="b">
        <v>0</v>
      </c>
      <c r="AM171" s="105">
        <v>2135.7579999999998</v>
      </c>
      <c r="AN171" s="105" t="b">
        <v>1</v>
      </c>
      <c r="AO171" s="105">
        <v>0</v>
      </c>
      <c r="AP171" s="105" t="b">
        <v>0</v>
      </c>
      <c r="AQ171" s="105">
        <v>10308.993</v>
      </c>
      <c r="AR171" s="105"/>
      <c r="AS171" s="105">
        <v>10308.993</v>
      </c>
      <c r="AT171" s="105">
        <v>6</v>
      </c>
      <c r="AU171" s="105" t="b">
        <v>1</v>
      </c>
      <c r="AV171" s="105" t="b">
        <v>0</v>
      </c>
    </row>
    <row r="172" spans="1:48" s="46" customFormat="1">
      <c r="A172" s="105" t="s">
        <v>510</v>
      </c>
      <c r="B172" s="105" t="s">
        <v>665</v>
      </c>
      <c r="C172" s="105" t="s">
        <v>666</v>
      </c>
      <c r="D172" s="105">
        <v>20230801</v>
      </c>
      <c r="E172" s="105">
        <v>2023</v>
      </c>
      <c r="F172" s="105">
        <v>8</v>
      </c>
      <c r="G172" s="105" t="s">
        <v>721</v>
      </c>
      <c r="H172" s="105">
        <v>818</v>
      </c>
      <c r="I172" s="105" t="s">
        <v>668</v>
      </c>
      <c r="J172" s="105" t="s">
        <v>57</v>
      </c>
      <c r="K172" s="105" t="s">
        <v>666</v>
      </c>
      <c r="L172" s="105" t="s">
        <v>669</v>
      </c>
      <c r="M172" s="105">
        <v>380</v>
      </c>
      <c r="N172" s="105" t="s">
        <v>689</v>
      </c>
      <c r="O172" s="105" t="s">
        <v>71</v>
      </c>
      <c r="P172" s="105">
        <v>0</v>
      </c>
      <c r="Q172" s="105" t="s">
        <v>670</v>
      </c>
      <c r="R172" s="105" t="s">
        <v>23</v>
      </c>
      <c r="S172" s="105" t="s">
        <v>671</v>
      </c>
      <c r="T172" s="105" t="s">
        <v>672</v>
      </c>
      <c r="U172" s="105" t="b">
        <v>1</v>
      </c>
      <c r="V172" s="105" t="s">
        <v>745</v>
      </c>
      <c r="W172" s="105" t="s">
        <v>746</v>
      </c>
      <c r="X172" s="105">
        <v>6</v>
      </c>
      <c r="Y172" s="105" t="b">
        <v>1</v>
      </c>
      <c r="Z172" s="105" t="s">
        <v>675</v>
      </c>
      <c r="AA172" s="105" t="s">
        <v>676</v>
      </c>
      <c r="AB172" s="105" t="s">
        <v>677</v>
      </c>
      <c r="AC172" s="105">
        <v>0</v>
      </c>
      <c r="AD172" s="105" t="s">
        <v>678</v>
      </c>
      <c r="AE172" s="105">
        <v>8</v>
      </c>
      <c r="AF172" s="105" t="s">
        <v>679</v>
      </c>
      <c r="AG172" s="105">
        <v>1660.6590000000001</v>
      </c>
      <c r="AH172" s="105" t="b">
        <v>1</v>
      </c>
      <c r="AI172" s="105">
        <v>-1</v>
      </c>
      <c r="AJ172" s="105" t="s">
        <v>680</v>
      </c>
      <c r="AK172" s="105">
        <v>0</v>
      </c>
      <c r="AL172" s="105" t="b">
        <v>0</v>
      </c>
      <c r="AM172" s="105">
        <v>1660.6590000000001</v>
      </c>
      <c r="AN172" s="105" t="b">
        <v>1</v>
      </c>
      <c r="AO172" s="105">
        <v>0</v>
      </c>
      <c r="AP172" s="105" t="b">
        <v>0</v>
      </c>
      <c r="AQ172" s="105">
        <v>8015.7619999999997</v>
      </c>
      <c r="AR172" s="105"/>
      <c r="AS172" s="105">
        <v>8015.7619999999997</v>
      </c>
      <c r="AT172" s="105">
        <v>6</v>
      </c>
      <c r="AU172" s="105" t="b">
        <v>1</v>
      </c>
      <c r="AV172" s="105" t="b">
        <v>0</v>
      </c>
    </row>
    <row r="173" spans="1:48" s="46" customFormat="1">
      <c r="A173" s="105" t="s">
        <v>510</v>
      </c>
      <c r="B173" s="105" t="s">
        <v>665</v>
      </c>
      <c r="C173" s="105" t="s">
        <v>666</v>
      </c>
      <c r="D173" s="105">
        <v>20230801</v>
      </c>
      <c r="E173" s="105">
        <v>2023</v>
      </c>
      <c r="F173" s="105">
        <v>8</v>
      </c>
      <c r="G173" s="105" t="s">
        <v>721</v>
      </c>
      <c r="H173" s="105">
        <v>818</v>
      </c>
      <c r="I173" s="105" t="s">
        <v>668</v>
      </c>
      <c r="J173" s="105" t="s">
        <v>57</v>
      </c>
      <c r="K173" s="105" t="s">
        <v>666</v>
      </c>
      <c r="L173" s="105" t="s">
        <v>669</v>
      </c>
      <c r="M173" s="105">
        <v>682</v>
      </c>
      <c r="N173" s="105" t="s">
        <v>758</v>
      </c>
      <c r="O173" s="105" t="s">
        <v>39</v>
      </c>
      <c r="P173" s="105">
        <v>0</v>
      </c>
      <c r="Q173" s="105" t="s">
        <v>670</v>
      </c>
      <c r="R173" s="105" t="s">
        <v>23</v>
      </c>
      <c r="S173" s="105" t="s">
        <v>671</v>
      </c>
      <c r="T173" s="105" t="s">
        <v>672</v>
      </c>
      <c r="U173" s="105" t="b">
        <v>1</v>
      </c>
      <c r="V173" s="105" t="s">
        <v>745</v>
      </c>
      <c r="W173" s="105" t="s">
        <v>746</v>
      </c>
      <c r="X173" s="105">
        <v>6</v>
      </c>
      <c r="Y173" s="105" t="b">
        <v>1</v>
      </c>
      <c r="Z173" s="105" t="s">
        <v>675</v>
      </c>
      <c r="AA173" s="105" t="s">
        <v>676</v>
      </c>
      <c r="AB173" s="105" t="s">
        <v>677</v>
      </c>
      <c r="AC173" s="105">
        <v>0</v>
      </c>
      <c r="AD173" s="105" t="s">
        <v>678</v>
      </c>
      <c r="AE173" s="105">
        <v>8</v>
      </c>
      <c r="AF173" s="105" t="s">
        <v>679</v>
      </c>
      <c r="AG173" s="105">
        <v>15859.173000000001</v>
      </c>
      <c r="AH173" s="105" t="b">
        <v>1</v>
      </c>
      <c r="AI173" s="105">
        <v>-1</v>
      </c>
      <c r="AJ173" s="105" t="s">
        <v>680</v>
      </c>
      <c r="AK173" s="105">
        <v>0</v>
      </c>
      <c r="AL173" s="105" t="b">
        <v>0</v>
      </c>
      <c r="AM173" s="105">
        <v>15859.173000000001</v>
      </c>
      <c r="AN173" s="105" t="b">
        <v>1</v>
      </c>
      <c r="AO173" s="105">
        <v>0</v>
      </c>
      <c r="AP173" s="105" t="b">
        <v>0</v>
      </c>
      <c r="AQ173" s="105">
        <v>76549.937999999995</v>
      </c>
      <c r="AR173" s="105"/>
      <c r="AS173" s="105">
        <v>76549.937999999995</v>
      </c>
      <c r="AT173" s="105">
        <v>6</v>
      </c>
      <c r="AU173" s="105" t="b">
        <v>1</v>
      </c>
      <c r="AV173" s="105" t="b">
        <v>0</v>
      </c>
    </row>
    <row r="174" spans="1:48" s="46" customFormat="1">
      <c r="A174" s="105" t="s">
        <v>510</v>
      </c>
      <c r="B174" s="105" t="s">
        <v>665</v>
      </c>
      <c r="C174" s="105" t="s">
        <v>666</v>
      </c>
      <c r="D174" s="105">
        <v>20230801</v>
      </c>
      <c r="E174" s="105">
        <v>2023</v>
      </c>
      <c r="F174" s="105">
        <v>8</v>
      </c>
      <c r="G174" s="105" t="s">
        <v>721</v>
      </c>
      <c r="H174" s="105">
        <v>818</v>
      </c>
      <c r="I174" s="105" t="s">
        <v>668</v>
      </c>
      <c r="J174" s="105" t="s">
        <v>57</v>
      </c>
      <c r="K174" s="105" t="s">
        <v>666</v>
      </c>
      <c r="L174" s="105" t="s">
        <v>669</v>
      </c>
      <c r="M174" s="105">
        <v>699</v>
      </c>
      <c r="N174" s="105" t="s">
        <v>748</v>
      </c>
      <c r="O174" s="105" t="s">
        <v>0</v>
      </c>
      <c r="P174" s="105">
        <v>0</v>
      </c>
      <c r="Q174" s="105" t="s">
        <v>670</v>
      </c>
      <c r="R174" s="105" t="s">
        <v>23</v>
      </c>
      <c r="S174" s="105" t="s">
        <v>671</v>
      </c>
      <c r="T174" s="105" t="s">
        <v>672</v>
      </c>
      <c r="U174" s="105" t="b">
        <v>1</v>
      </c>
      <c r="V174" s="105" t="s">
        <v>745</v>
      </c>
      <c r="W174" s="105" t="s">
        <v>746</v>
      </c>
      <c r="X174" s="105">
        <v>6</v>
      </c>
      <c r="Y174" s="105" t="b">
        <v>1</v>
      </c>
      <c r="Z174" s="105" t="s">
        <v>675</v>
      </c>
      <c r="AA174" s="105" t="s">
        <v>676</v>
      </c>
      <c r="AB174" s="105" t="s">
        <v>677</v>
      </c>
      <c r="AC174" s="105">
        <v>0</v>
      </c>
      <c r="AD174" s="105" t="s">
        <v>678</v>
      </c>
      <c r="AE174" s="105">
        <v>8</v>
      </c>
      <c r="AF174" s="105" t="s">
        <v>679</v>
      </c>
      <c r="AG174" s="105">
        <v>11221.22</v>
      </c>
      <c r="AH174" s="105" t="b">
        <v>1</v>
      </c>
      <c r="AI174" s="105">
        <v>-1</v>
      </c>
      <c r="AJ174" s="105" t="s">
        <v>680</v>
      </c>
      <c r="AK174" s="105">
        <v>0</v>
      </c>
      <c r="AL174" s="105" t="b">
        <v>0</v>
      </c>
      <c r="AM174" s="105">
        <v>11221.22</v>
      </c>
      <c r="AN174" s="105" t="b">
        <v>1</v>
      </c>
      <c r="AO174" s="105">
        <v>0</v>
      </c>
      <c r="AP174" s="105" t="b">
        <v>0</v>
      </c>
      <c r="AQ174" s="105">
        <v>54163.207999999999</v>
      </c>
      <c r="AR174" s="105"/>
      <c r="AS174" s="105">
        <v>54163.207999999999</v>
      </c>
      <c r="AT174" s="105">
        <v>6</v>
      </c>
      <c r="AU174" s="105" t="b">
        <v>1</v>
      </c>
      <c r="AV174" s="105" t="b">
        <v>0</v>
      </c>
    </row>
    <row r="175" spans="1:48" s="46" customFormat="1">
      <c r="A175" s="105" t="s">
        <v>510</v>
      </c>
      <c r="B175" s="105" t="s">
        <v>665</v>
      </c>
      <c r="C175" s="105" t="s">
        <v>666</v>
      </c>
      <c r="D175" s="105">
        <v>20230801</v>
      </c>
      <c r="E175" s="105">
        <v>2023</v>
      </c>
      <c r="F175" s="105">
        <v>8</v>
      </c>
      <c r="G175" s="105" t="s">
        <v>721</v>
      </c>
      <c r="H175" s="105">
        <v>818</v>
      </c>
      <c r="I175" s="105" t="s">
        <v>668</v>
      </c>
      <c r="J175" s="105" t="s">
        <v>57</v>
      </c>
      <c r="K175" s="105" t="s">
        <v>666</v>
      </c>
      <c r="L175" s="105" t="s">
        <v>669</v>
      </c>
      <c r="M175" s="105">
        <v>792</v>
      </c>
      <c r="N175" s="105" t="s">
        <v>691</v>
      </c>
      <c r="O175" s="105" t="s">
        <v>63</v>
      </c>
      <c r="P175" s="105">
        <v>0</v>
      </c>
      <c r="Q175" s="105" t="s">
        <v>670</v>
      </c>
      <c r="R175" s="105" t="s">
        <v>23</v>
      </c>
      <c r="S175" s="105" t="s">
        <v>671</v>
      </c>
      <c r="T175" s="105" t="s">
        <v>672</v>
      </c>
      <c r="U175" s="105" t="b">
        <v>1</v>
      </c>
      <c r="V175" s="105" t="s">
        <v>745</v>
      </c>
      <c r="W175" s="105" t="s">
        <v>746</v>
      </c>
      <c r="X175" s="105">
        <v>6</v>
      </c>
      <c r="Y175" s="105" t="b">
        <v>1</v>
      </c>
      <c r="Z175" s="105" t="s">
        <v>675</v>
      </c>
      <c r="AA175" s="105" t="s">
        <v>676</v>
      </c>
      <c r="AB175" s="105" t="s">
        <v>677</v>
      </c>
      <c r="AC175" s="105">
        <v>0</v>
      </c>
      <c r="AD175" s="105" t="s">
        <v>678</v>
      </c>
      <c r="AE175" s="105">
        <v>8</v>
      </c>
      <c r="AF175" s="105" t="s">
        <v>679</v>
      </c>
      <c r="AG175" s="105">
        <v>216.97200000000001</v>
      </c>
      <c r="AH175" s="105" t="b">
        <v>1</v>
      </c>
      <c r="AI175" s="105">
        <v>-1</v>
      </c>
      <c r="AJ175" s="105" t="s">
        <v>680</v>
      </c>
      <c r="AK175" s="105">
        <v>0</v>
      </c>
      <c r="AL175" s="105" t="b">
        <v>0</v>
      </c>
      <c r="AM175" s="105">
        <v>216.97200000000001</v>
      </c>
      <c r="AN175" s="105" t="b">
        <v>1</v>
      </c>
      <c r="AO175" s="105">
        <v>0</v>
      </c>
      <c r="AP175" s="105" t="b">
        <v>0</v>
      </c>
      <c r="AQ175" s="105">
        <v>1047.2909999999999</v>
      </c>
      <c r="AR175" s="105"/>
      <c r="AS175" s="105">
        <v>1047.2909999999999</v>
      </c>
      <c r="AT175" s="105">
        <v>6</v>
      </c>
      <c r="AU175" s="105" t="b">
        <v>1</v>
      </c>
      <c r="AV175" s="105" t="b">
        <v>0</v>
      </c>
    </row>
    <row r="176" spans="1:48" s="46" customFormat="1">
      <c r="A176" s="105" t="s">
        <v>510</v>
      </c>
      <c r="B176" s="105" t="s">
        <v>665</v>
      </c>
      <c r="C176" s="105" t="s">
        <v>666</v>
      </c>
      <c r="D176" s="105">
        <v>20230801</v>
      </c>
      <c r="E176" s="105">
        <v>2023</v>
      </c>
      <c r="F176" s="105">
        <v>8</v>
      </c>
      <c r="G176" s="105" t="s">
        <v>721</v>
      </c>
      <c r="H176" s="105">
        <v>818</v>
      </c>
      <c r="I176" s="105" t="s">
        <v>668</v>
      </c>
      <c r="J176" s="105" t="s">
        <v>57</v>
      </c>
      <c r="K176" s="105" t="s">
        <v>666</v>
      </c>
      <c r="L176" s="105" t="s">
        <v>669</v>
      </c>
      <c r="M176" s="105">
        <v>826</v>
      </c>
      <c r="N176" s="105" t="s">
        <v>685</v>
      </c>
      <c r="O176" s="105" t="s">
        <v>64</v>
      </c>
      <c r="P176" s="105">
        <v>0</v>
      </c>
      <c r="Q176" s="105" t="s">
        <v>670</v>
      </c>
      <c r="R176" s="105" t="s">
        <v>23</v>
      </c>
      <c r="S176" s="105" t="s">
        <v>671</v>
      </c>
      <c r="T176" s="105" t="s">
        <v>672</v>
      </c>
      <c r="U176" s="105" t="b">
        <v>1</v>
      </c>
      <c r="V176" s="105" t="s">
        <v>745</v>
      </c>
      <c r="W176" s="105" t="s">
        <v>746</v>
      </c>
      <c r="X176" s="105">
        <v>6</v>
      </c>
      <c r="Y176" s="105" t="b">
        <v>1</v>
      </c>
      <c r="Z176" s="105" t="s">
        <v>675</v>
      </c>
      <c r="AA176" s="105" t="s">
        <v>676</v>
      </c>
      <c r="AB176" s="105" t="s">
        <v>677</v>
      </c>
      <c r="AC176" s="105">
        <v>0</v>
      </c>
      <c r="AD176" s="105" t="s">
        <v>678</v>
      </c>
      <c r="AE176" s="105">
        <v>8</v>
      </c>
      <c r="AF176" s="105" t="s">
        <v>679</v>
      </c>
      <c r="AG176" s="105">
        <v>55105.968000000001</v>
      </c>
      <c r="AH176" s="105" t="b">
        <v>1</v>
      </c>
      <c r="AI176" s="105">
        <v>-1</v>
      </c>
      <c r="AJ176" s="105" t="s">
        <v>680</v>
      </c>
      <c r="AK176" s="105">
        <v>0</v>
      </c>
      <c r="AL176" s="105" t="b">
        <v>0</v>
      </c>
      <c r="AM176" s="105">
        <v>55105.968000000001</v>
      </c>
      <c r="AN176" s="105" t="b">
        <v>1</v>
      </c>
      <c r="AO176" s="105">
        <v>0</v>
      </c>
      <c r="AP176" s="105" t="b">
        <v>0</v>
      </c>
      <c r="AQ176" s="105">
        <v>265988.54599999997</v>
      </c>
      <c r="AR176" s="105"/>
      <c r="AS176" s="105">
        <v>265988.54599999997</v>
      </c>
      <c r="AT176" s="105">
        <v>6</v>
      </c>
      <c r="AU176" s="105" t="b">
        <v>1</v>
      </c>
      <c r="AV176" s="105" t="b">
        <v>0</v>
      </c>
    </row>
    <row r="177" spans="1:48" s="46" customFormat="1">
      <c r="A177" s="105" t="s">
        <v>510</v>
      </c>
      <c r="B177" s="105" t="s">
        <v>665</v>
      </c>
      <c r="C177" s="105" t="s">
        <v>666</v>
      </c>
      <c r="D177" s="105">
        <v>20230801</v>
      </c>
      <c r="E177" s="105">
        <v>2023</v>
      </c>
      <c r="F177" s="105">
        <v>8</v>
      </c>
      <c r="G177" s="105" t="s">
        <v>721</v>
      </c>
      <c r="H177" s="105">
        <v>818</v>
      </c>
      <c r="I177" s="105" t="s">
        <v>668</v>
      </c>
      <c r="J177" s="105" t="s">
        <v>57</v>
      </c>
      <c r="K177" s="105" t="s">
        <v>666</v>
      </c>
      <c r="L177" s="105" t="s">
        <v>669</v>
      </c>
      <c r="M177" s="105">
        <v>842</v>
      </c>
      <c r="N177" s="105" t="s">
        <v>713</v>
      </c>
      <c r="O177" s="105" t="s">
        <v>713</v>
      </c>
      <c r="P177" s="105">
        <v>0</v>
      </c>
      <c r="Q177" s="105" t="s">
        <v>670</v>
      </c>
      <c r="R177" s="105" t="s">
        <v>23</v>
      </c>
      <c r="S177" s="105" t="s">
        <v>671</v>
      </c>
      <c r="T177" s="105" t="s">
        <v>672</v>
      </c>
      <c r="U177" s="105" t="b">
        <v>1</v>
      </c>
      <c r="V177" s="105" t="s">
        <v>745</v>
      </c>
      <c r="W177" s="105" t="s">
        <v>746</v>
      </c>
      <c r="X177" s="105">
        <v>6</v>
      </c>
      <c r="Y177" s="105" t="b">
        <v>1</v>
      </c>
      <c r="Z177" s="105" t="s">
        <v>675</v>
      </c>
      <c r="AA177" s="105" t="s">
        <v>676</v>
      </c>
      <c r="AB177" s="105" t="s">
        <v>677</v>
      </c>
      <c r="AC177" s="105">
        <v>0</v>
      </c>
      <c r="AD177" s="105" t="s">
        <v>678</v>
      </c>
      <c r="AE177" s="105">
        <v>8</v>
      </c>
      <c r="AF177" s="105" t="s">
        <v>679</v>
      </c>
      <c r="AG177" s="105">
        <v>29378.366000000002</v>
      </c>
      <c r="AH177" s="105" t="b">
        <v>1</v>
      </c>
      <c r="AI177" s="105">
        <v>-1</v>
      </c>
      <c r="AJ177" s="105" t="s">
        <v>680</v>
      </c>
      <c r="AK177" s="105">
        <v>0</v>
      </c>
      <c r="AL177" s="105" t="b">
        <v>0</v>
      </c>
      <c r="AM177" s="105">
        <v>29378.366000000002</v>
      </c>
      <c r="AN177" s="105" t="b">
        <v>1</v>
      </c>
      <c r="AO177" s="105">
        <v>0</v>
      </c>
      <c r="AP177" s="105" t="b">
        <v>0</v>
      </c>
      <c r="AQ177" s="105">
        <v>141805.13</v>
      </c>
      <c r="AR177" s="105"/>
      <c r="AS177" s="105">
        <v>141805.13</v>
      </c>
      <c r="AT177" s="105">
        <v>6</v>
      </c>
      <c r="AU177" s="105" t="b">
        <v>1</v>
      </c>
      <c r="AV177" s="105" t="b">
        <v>0</v>
      </c>
    </row>
    <row r="178" spans="1:48" s="46" customFormat="1">
      <c r="A178" s="105" t="s">
        <v>510</v>
      </c>
      <c r="B178" s="105" t="s">
        <v>665</v>
      </c>
      <c r="C178" s="105" t="s">
        <v>666</v>
      </c>
      <c r="D178" s="105">
        <v>20230801</v>
      </c>
      <c r="E178" s="105">
        <v>2023</v>
      </c>
      <c r="F178" s="105">
        <v>8</v>
      </c>
      <c r="G178" s="105" t="s">
        <v>721</v>
      </c>
      <c r="H178" s="105">
        <v>818</v>
      </c>
      <c r="I178" s="105" t="s">
        <v>668</v>
      </c>
      <c r="J178" s="105" t="s">
        <v>57</v>
      </c>
      <c r="K178" s="105" t="s">
        <v>701</v>
      </c>
      <c r="L178" s="105" t="s">
        <v>702</v>
      </c>
      <c r="M178" s="105">
        <v>0</v>
      </c>
      <c r="N178" s="105" t="s">
        <v>670</v>
      </c>
      <c r="O178" s="105" t="s">
        <v>23</v>
      </c>
      <c r="P178" s="105">
        <v>0</v>
      </c>
      <c r="Q178" s="105" t="s">
        <v>670</v>
      </c>
      <c r="R178" s="105" t="s">
        <v>23</v>
      </c>
      <c r="S178" s="105" t="s">
        <v>671</v>
      </c>
      <c r="T178" s="105" t="s">
        <v>672</v>
      </c>
      <c r="U178" s="105" t="b">
        <v>1</v>
      </c>
      <c r="V178" s="105" t="s">
        <v>745</v>
      </c>
      <c r="W178" s="105" t="s">
        <v>746</v>
      </c>
      <c r="X178" s="105">
        <v>6</v>
      </c>
      <c r="Y178" s="105" t="b">
        <v>1</v>
      </c>
      <c r="Z178" s="105" t="s">
        <v>675</v>
      </c>
      <c r="AA178" s="105" t="s">
        <v>676</v>
      </c>
      <c r="AB178" s="105" t="s">
        <v>677</v>
      </c>
      <c r="AC178" s="105">
        <v>0</v>
      </c>
      <c r="AD178" s="105" t="s">
        <v>678</v>
      </c>
      <c r="AE178" s="105">
        <v>8</v>
      </c>
      <c r="AF178" s="105" t="s">
        <v>679</v>
      </c>
      <c r="AG178" s="105">
        <v>10019.509</v>
      </c>
      <c r="AH178" s="105" t="b">
        <v>1</v>
      </c>
      <c r="AI178" s="105">
        <v>-1</v>
      </c>
      <c r="AJ178" s="105" t="s">
        <v>680</v>
      </c>
      <c r="AK178" s="105">
        <v>0</v>
      </c>
      <c r="AL178" s="105" t="b">
        <v>0</v>
      </c>
      <c r="AM178" s="105">
        <v>10019.509</v>
      </c>
      <c r="AN178" s="105" t="b">
        <v>1</v>
      </c>
      <c r="AO178" s="105">
        <v>0</v>
      </c>
      <c r="AP178" s="105" t="b">
        <v>0</v>
      </c>
      <c r="AQ178" s="105"/>
      <c r="AR178" s="105">
        <v>51840</v>
      </c>
      <c r="AS178" s="105">
        <v>51840</v>
      </c>
      <c r="AT178" s="105">
        <v>6</v>
      </c>
      <c r="AU178" s="105" t="b">
        <v>0</v>
      </c>
      <c r="AV178" s="105" t="b">
        <v>1</v>
      </c>
    </row>
    <row r="179" spans="1:48" s="46" customFormat="1">
      <c r="A179" s="105" t="s">
        <v>510</v>
      </c>
      <c r="B179" s="105" t="s">
        <v>665</v>
      </c>
      <c r="C179" s="105" t="s">
        <v>666</v>
      </c>
      <c r="D179" s="105">
        <v>20230801</v>
      </c>
      <c r="E179" s="105">
        <v>2023</v>
      </c>
      <c r="F179" s="105">
        <v>8</v>
      </c>
      <c r="G179" s="105" t="s">
        <v>721</v>
      </c>
      <c r="H179" s="105">
        <v>818</v>
      </c>
      <c r="I179" s="105" t="s">
        <v>668</v>
      </c>
      <c r="J179" s="105" t="s">
        <v>57</v>
      </c>
      <c r="K179" s="105" t="s">
        <v>701</v>
      </c>
      <c r="L179" s="105" t="s">
        <v>702</v>
      </c>
      <c r="M179" s="105">
        <v>682</v>
      </c>
      <c r="N179" s="105" t="s">
        <v>758</v>
      </c>
      <c r="O179" s="105" t="s">
        <v>39</v>
      </c>
      <c r="P179" s="105">
        <v>0</v>
      </c>
      <c r="Q179" s="105" t="s">
        <v>670</v>
      </c>
      <c r="R179" s="105" t="s">
        <v>23</v>
      </c>
      <c r="S179" s="105" t="s">
        <v>671</v>
      </c>
      <c r="T179" s="105" t="s">
        <v>672</v>
      </c>
      <c r="U179" s="105" t="b">
        <v>1</v>
      </c>
      <c r="V179" s="105" t="s">
        <v>745</v>
      </c>
      <c r="W179" s="105" t="s">
        <v>746</v>
      </c>
      <c r="X179" s="105">
        <v>6</v>
      </c>
      <c r="Y179" s="105" t="b">
        <v>1</v>
      </c>
      <c r="Z179" s="105" t="s">
        <v>675</v>
      </c>
      <c r="AA179" s="105" t="s">
        <v>676</v>
      </c>
      <c r="AB179" s="105" t="s">
        <v>677</v>
      </c>
      <c r="AC179" s="105">
        <v>0</v>
      </c>
      <c r="AD179" s="105" t="s">
        <v>678</v>
      </c>
      <c r="AE179" s="105">
        <v>8</v>
      </c>
      <c r="AF179" s="105" t="s">
        <v>679</v>
      </c>
      <c r="AG179" s="105">
        <v>10019.509</v>
      </c>
      <c r="AH179" s="105" t="b">
        <v>1</v>
      </c>
      <c r="AI179" s="105">
        <v>-1</v>
      </c>
      <c r="AJ179" s="105" t="s">
        <v>680</v>
      </c>
      <c r="AK179" s="105">
        <v>0</v>
      </c>
      <c r="AL179" s="105" t="b">
        <v>0</v>
      </c>
      <c r="AM179" s="105">
        <v>10019.509</v>
      </c>
      <c r="AN179" s="105" t="b">
        <v>1</v>
      </c>
      <c r="AO179" s="105">
        <v>0</v>
      </c>
      <c r="AP179" s="105" t="b">
        <v>0</v>
      </c>
      <c r="AQ179" s="105"/>
      <c r="AR179" s="105">
        <v>51840</v>
      </c>
      <c r="AS179" s="105">
        <v>51840</v>
      </c>
      <c r="AT179" s="105">
        <v>6</v>
      </c>
      <c r="AU179" s="105" t="b">
        <v>1</v>
      </c>
      <c r="AV179" s="105" t="b">
        <v>0</v>
      </c>
    </row>
    <row r="180" spans="1:48" s="46" customFormat="1">
      <c r="A180" s="105" t="s">
        <v>510</v>
      </c>
      <c r="B180" s="105" t="s">
        <v>665</v>
      </c>
      <c r="C180" s="105" t="s">
        <v>666</v>
      </c>
      <c r="D180" s="105">
        <v>20230901</v>
      </c>
      <c r="E180" s="105">
        <v>2023</v>
      </c>
      <c r="F180" s="105">
        <v>9</v>
      </c>
      <c r="G180" s="105" t="s">
        <v>723</v>
      </c>
      <c r="H180" s="105">
        <v>818</v>
      </c>
      <c r="I180" s="105" t="s">
        <v>668</v>
      </c>
      <c r="J180" s="105" t="s">
        <v>57</v>
      </c>
      <c r="K180" s="105" t="s">
        <v>666</v>
      </c>
      <c r="L180" s="105" t="s">
        <v>669</v>
      </c>
      <c r="M180" s="105">
        <v>0</v>
      </c>
      <c r="N180" s="105" t="s">
        <v>670</v>
      </c>
      <c r="O180" s="105" t="s">
        <v>23</v>
      </c>
      <c r="P180" s="105">
        <v>0</v>
      </c>
      <c r="Q180" s="105" t="s">
        <v>670</v>
      </c>
      <c r="R180" s="105" t="s">
        <v>23</v>
      </c>
      <c r="S180" s="105" t="s">
        <v>671</v>
      </c>
      <c r="T180" s="105" t="s">
        <v>672</v>
      </c>
      <c r="U180" s="105" t="b">
        <v>1</v>
      </c>
      <c r="V180" s="105" t="s">
        <v>745</v>
      </c>
      <c r="W180" s="105" t="s">
        <v>746</v>
      </c>
      <c r="X180" s="105">
        <v>6</v>
      </c>
      <c r="Y180" s="105" t="b">
        <v>1</v>
      </c>
      <c r="Z180" s="105" t="s">
        <v>675</v>
      </c>
      <c r="AA180" s="105" t="s">
        <v>676</v>
      </c>
      <c r="AB180" s="105" t="s">
        <v>677</v>
      </c>
      <c r="AC180" s="105">
        <v>0</v>
      </c>
      <c r="AD180" s="105" t="s">
        <v>678</v>
      </c>
      <c r="AE180" s="105">
        <v>8</v>
      </c>
      <c r="AF180" s="105" t="s">
        <v>679</v>
      </c>
      <c r="AG180" s="105">
        <v>238958.90299999999</v>
      </c>
      <c r="AH180" s="105" t="b">
        <v>1</v>
      </c>
      <c r="AI180" s="105">
        <v>-1</v>
      </c>
      <c r="AJ180" s="105" t="s">
        <v>680</v>
      </c>
      <c r="AK180" s="105">
        <v>0</v>
      </c>
      <c r="AL180" s="105" t="b">
        <v>0</v>
      </c>
      <c r="AM180" s="105">
        <v>238958.90299999999</v>
      </c>
      <c r="AN180" s="105" t="b">
        <v>1</v>
      </c>
      <c r="AO180" s="105">
        <v>0</v>
      </c>
      <c r="AP180" s="105" t="b">
        <v>0</v>
      </c>
      <c r="AQ180" s="105">
        <v>1153420.108</v>
      </c>
      <c r="AR180" s="105"/>
      <c r="AS180" s="105">
        <v>1153420.108</v>
      </c>
      <c r="AT180" s="105">
        <v>6</v>
      </c>
      <c r="AU180" s="105" t="b">
        <v>0</v>
      </c>
      <c r="AV180" s="105" t="b">
        <v>1</v>
      </c>
    </row>
    <row r="181" spans="1:48" s="46" customFormat="1">
      <c r="A181" s="105" t="s">
        <v>510</v>
      </c>
      <c r="B181" s="105" t="s">
        <v>665</v>
      </c>
      <c r="C181" s="105" t="s">
        <v>666</v>
      </c>
      <c r="D181" s="105">
        <v>20230901</v>
      </c>
      <c r="E181" s="105">
        <v>2023</v>
      </c>
      <c r="F181" s="105">
        <v>9</v>
      </c>
      <c r="G181" s="105" t="s">
        <v>723</v>
      </c>
      <c r="H181" s="105">
        <v>818</v>
      </c>
      <c r="I181" s="105" t="s">
        <v>668</v>
      </c>
      <c r="J181" s="105" t="s">
        <v>57</v>
      </c>
      <c r="K181" s="105" t="s">
        <v>666</v>
      </c>
      <c r="L181" s="105" t="s">
        <v>669</v>
      </c>
      <c r="M181" s="105">
        <v>56</v>
      </c>
      <c r="N181" s="105" t="s">
        <v>696</v>
      </c>
      <c r="O181" s="105" t="s">
        <v>74</v>
      </c>
      <c r="P181" s="105">
        <v>0</v>
      </c>
      <c r="Q181" s="105" t="s">
        <v>670</v>
      </c>
      <c r="R181" s="105" t="s">
        <v>23</v>
      </c>
      <c r="S181" s="105" t="s">
        <v>671</v>
      </c>
      <c r="T181" s="105" t="s">
        <v>672</v>
      </c>
      <c r="U181" s="105" t="b">
        <v>1</v>
      </c>
      <c r="V181" s="105" t="s">
        <v>745</v>
      </c>
      <c r="W181" s="105" t="s">
        <v>746</v>
      </c>
      <c r="X181" s="105">
        <v>6</v>
      </c>
      <c r="Y181" s="105" t="b">
        <v>1</v>
      </c>
      <c r="Z181" s="105" t="s">
        <v>675</v>
      </c>
      <c r="AA181" s="105" t="s">
        <v>676</v>
      </c>
      <c r="AB181" s="105" t="s">
        <v>677</v>
      </c>
      <c r="AC181" s="105">
        <v>0</v>
      </c>
      <c r="AD181" s="105" t="s">
        <v>678</v>
      </c>
      <c r="AE181" s="105">
        <v>8</v>
      </c>
      <c r="AF181" s="105" t="s">
        <v>679</v>
      </c>
      <c r="AG181" s="105">
        <v>17235.185000000001</v>
      </c>
      <c r="AH181" s="105" t="b">
        <v>1</v>
      </c>
      <c r="AI181" s="105">
        <v>-1</v>
      </c>
      <c r="AJ181" s="105" t="s">
        <v>680</v>
      </c>
      <c r="AK181" s="105">
        <v>0</v>
      </c>
      <c r="AL181" s="105" t="b">
        <v>0</v>
      </c>
      <c r="AM181" s="105">
        <v>17235.185000000001</v>
      </c>
      <c r="AN181" s="105" t="b">
        <v>1</v>
      </c>
      <c r="AO181" s="105">
        <v>0</v>
      </c>
      <c r="AP181" s="105" t="b">
        <v>0</v>
      </c>
      <c r="AQ181" s="105">
        <v>83191.75</v>
      </c>
      <c r="AR181" s="105"/>
      <c r="AS181" s="105">
        <v>83191.75</v>
      </c>
      <c r="AT181" s="105">
        <v>6</v>
      </c>
      <c r="AU181" s="105" t="b">
        <v>1</v>
      </c>
      <c r="AV181" s="105" t="b">
        <v>0</v>
      </c>
    </row>
    <row r="182" spans="1:48" s="46" customFormat="1">
      <c r="A182" s="105" t="s">
        <v>510</v>
      </c>
      <c r="B182" s="105" t="s">
        <v>665</v>
      </c>
      <c r="C182" s="105" t="s">
        <v>666</v>
      </c>
      <c r="D182" s="105">
        <v>20230901</v>
      </c>
      <c r="E182" s="105">
        <v>2023</v>
      </c>
      <c r="F182" s="105">
        <v>9</v>
      </c>
      <c r="G182" s="105" t="s">
        <v>723</v>
      </c>
      <c r="H182" s="105">
        <v>818</v>
      </c>
      <c r="I182" s="105" t="s">
        <v>668</v>
      </c>
      <c r="J182" s="105" t="s">
        <v>57</v>
      </c>
      <c r="K182" s="105" t="s">
        <v>666</v>
      </c>
      <c r="L182" s="105" t="s">
        <v>669</v>
      </c>
      <c r="M182" s="105">
        <v>156</v>
      </c>
      <c r="N182" s="105" t="s">
        <v>711</v>
      </c>
      <c r="O182" s="105" t="s">
        <v>29</v>
      </c>
      <c r="P182" s="105">
        <v>0</v>
      </c>
      <c r="Q182" s="105" t="s">
        <v>670</v>
      </c>
      <c r="R182" s="105" t="s">
        <v>23</v>
      </c>
      <c r="S182" s="105" t="s">
        <v>671</v>
      </c>
      <c r="T182" s="105" t="s">
        <v>672</v>
      </c>
      <c r="U182" s="105" t="b">
        <v>1</v>
      </c>
      <c r="V182" s="105" t="s">
        <v>745</v>
      </c>
      <c r="W182" s="105" t="s">
        <v>746</v>
      </c>
      <c r="X182" s="105">
        <v>6</v>
      </c>
      <c r="Y182" s="105" t="b">
        <v>1</v>
      </c>
      <c r="Z182" s="105" t="s">
        <v>675</v>
      </c>
      <c r="AA182" s="105" t="s">
        <v>676</v>
      </c>
      <c r="AB182" s="105" t="s">
        <v>677</v>
      </c>
      <c r="AC182" s="105">
        <v>0</v>
      </c>
      <c r="AD182" s="105" t="s">
        <v>678</v>
      </c>
      <c r="AE182" s="105">
        <v>8</v>
      </c>
      <c r="AF182" s="105" t="s">
        <v>679</v>
      </c>
      <c r="AG182" s="105">
        <v>66745.385999999999</v>
      </c>
      <c r="AH182" s="105" t="b">
        <v>1</v>
      </c>
      <c r="AI182" s="105">
        <v>-1</v>
      </c>
      <c r="AJ182" s="105" t="s">
        <v>680</v>
      </c>
      <c r="AK182" s="105">
        <v>0</v>
      </c>
      <c r="AL182" s="105" t="b">
        <v>0</v>
      </c>
      <c r="AM182" s="105">
        <v>66745.385999999999</v>
      </c>
      <c r="AN182" s="105" t="b">
        <v>1</v>
      </c>
      <c r="AO182" s="105">
        <v>0</v>
      </c>
      <c r="AP182" s="105" t="b">
        <v>0</v>
      </c>
      <c r="AQ182" s="105">
        <v>322170.33799999999</v>
      </c>
      <c r="AR182" s="105"/>
      <c r="AS182" s="105">
        <v>322170.33799999999</v>
      </c>
      <c r="AT182" s="105">
        <v>6</v>
      </c>
      <c r="AU182" s="105" t="b">
        <v>1</v>
      </c>
      <c r="AV182" s="105" t="b">
        <v>0</v>
      </c>
    </row>
    <row r="183" spans="1:48" s="46" customFormat="1">
      <c r="A183" s="105" t="s">
        <v>510</v>
      </c>
      <c r="B183" s="105" t="s">
        <v>665</v>
      </c>
      <c r="C183" s="105" t="s">
        <v>666</v>
      </c>
      <c r="D183" s="105">
        <v>20230901</v>
      </c>
      <c r="E183" s="105">
        <v>2023</v>
      </c>
      <c r="F183" s="105">
        <v>9</v>
      </c>
      <c r="G183" s="105" t="s">
        <v>723</v>
      </c>
      <c r="H183" s="105">
        <v>818</v>
      </c>
      <c r="I183" s="105" t="s">
        <v>668</v>
      </c>
      <c r="J183" s="105" t="s">
        <v>57</v>
      </c>
      <c r="K183" s="105" t="s">
        <v>666</v>
      </c>
      <c r="L183" s="105" t="s">
        <v>669</v>
      </c>
      <c r="M183" s="105">
        <v>203</v>
      </c>
      <c r="N183" s="105" t="s">
        <v>752</v>
      </c>
      <c r="O183" s="105" t="s">
        <v>753</v>
      </c>
      <c r="P183" s="105">
        <v>0</v>
      </c>
      <c r="Q183" s="105" t="s">
        <v>670</v>
      </c>
      <c r="R183" s="105" t="s">
        <v>23</v>
      </c>
      <c r="S183" s="105" t="s">
        <v>671</v>
      </c>
      <c r="T183" s="105" t="s">
        <v>672</v>
      </c>
      <c r="U183" s="105" t="b">
        <v>1</v>
      </c>
      <c r="V183" s="105" t="s">
        <v>745</v>
      </c>
      <c r="W183" s="105" t="s">
        <v>746</v>
      </c>
      <c r="X183" s="105">
        <v>6</v>
      </c>
      <c r="Y183" s="105" t="b">
        <v>1</v>
      </c>
      <c r="Z183" s="105" t="s">
        <v>675</v>
      </c>
      <c r="AA183" s="105" t="s">
        <v>676</v>
      </c>
      <c r="AB183" s="105" t="s">
        <v>677</v>
      </c>
      <c r="AC183" s="105">
        <v>0</v>
      </c>
      <c r="AD183" s="105" t="s">
        <v>678</v>
      </c>
      <c r="AE183" s="105">
        <v>8</v>
      </c>
      <c r="AF183" s="105" t="s">
        <v>679</v>
      </c>
      <c r="AG183" s="105">
        <v>19509.245999999999</v>
      </c>
      <c r="AH183" s="105" t="b">
        <v>1</v>
      </c>
      <c r="AI183" s="105">
        <v>-1</v>
      </c>
      <c r="AJ183" s="105" t="s">
        <v>680</v>
      </c>
      <c r="AK183" s="105">
        <v>0</v>
      </c>
      <c r="AL183" s="105" t="b">
        <v>0</v>
      </c>
      <c r="AM183" s="105">
        <v>19509.245999999999</v>
      </c>
      <c r="AN183" s="105" t="b">
        <v>1</v>
      </c>
      <c r="AO183" s="105">
        <v>0</v>
      </c>
      <c r="AP183" s="105" t="b">
        <v>0</v>
      </c>
      <c r="AQ183" s="105">
        <v>94168.312999999995</v>
      </c>
      <c r="AR183" s="105"/>
      <c r="AS183" s="105">
        <v>94168.312999999995</v>
      </c>
      <c r="AT183" s="105">
        <v>6</v>
      </c>
      <c r="AU183" s="105" t="b">
        <v>1</v>
      </c>
      <c r="AV183" s="105" t="b">
        <v>0</v>
      </c>
    </row>
    <row r="184" spans="1:48" s="46" customFormat="1">
      <c r="A184" s="105" t="s">
        <v>510</v>
      </c>
      <c r="B184" s="105" t="s">
        <v>665</v>
      </c>
      <c r="C184" s="105" t="s">
        <v>666</v>
      </c>
      <c r="D184" s="105">
        <v>20230901</v>
      </c>
      <c r="E184" s="105">
        <v>2023</v>
      </c>
      <c r="F184" s="105">
        <v>9</v>
      </c>
      <c r="G184" s="105" t="s">
        <v>723</v>
      </c>
      <c r="H184" s="105">
        <v>818</v>
      </c>
      <c r="I184" s="105" t="s">
        <v>668</v>
      </c>
      <c r="J184" s="105" t="s">
        <v>57</v>
      </c>
      <c r="K184" s="105" t="s">
        <v>666</v>
      </c>
      <c r="L184" s="105" t="s">
        <v>669</v>
      </c>
      <c r="M184" s="105">
        <v>276</v>
      </c>
      <c r="N184" s="105" t="s">
        <v>681</v>
      </c>
      <c r="O184" s="105" t="s">
        <v>30</v>
      </c>
      <c r="P184" s="105">
        <v>0</v>
      </c>
      <c r="Q184" s="105" t="s">
        <v>670</v>
      </c>
      <c r="R184" s="105" t="s">
        <v>23</v>
      </c>
      <c r="S184" s="105" t="s">
        <v>671</v>
      </c>
      <c r="T184" s="105" t="s">
        <v>672</v>
      </c>
      <c r="U184" s="105" t="b">
        <v>1</v>
      </c>
      <c r="V184" s="105" t="s">
        <v>745</v>
      </c>
      <c r="W184" s="105" t="s">
        <v>746</v>
      </c>
      <c r="X184" s="105">
        <v>6</v>
      </c>
      <c r="Y184" s="105" t="b">
        <v>1</v>
      </c>
      <c r="Z184" s="105" t="s">
        <v>675</v>
      </c>
      <c r="AA184" s="105" t="s">
        <v>676</v>
      </c>
      <c r="AB184" s="105" t="s">
        <v>677</v>
      </c>
      <c r="AC184" s="105">
        <v>0</v>
      </c>
      <c r="AD184" s="105" t="s">
        <v>678</v>
      </c>
      <c r="AE184" s="105">
        <v>8</v>
      </c>
      <c r="AF184" s="105" t="s">
        <v>679</v>
      </c>
      <c r="AG184" s="105">
        <v>32506.109</v>
      </c>
      <c r="AH184" s="105" t="b">
        <v>1</v>
      </c>
      <c r="AI184" s="105">
        <v>-1</v>
      </c>
      <c r="AJ184" s="105" t="s">
        <v>680</v>
      </c>
      <c r="AK184" s="105">
        <v>0</v>
      </c>
      <c r="AL184" s="105" t="b">
        <v>0</v>
      </c>
      <c r="AM184" s="105">
        <v>32506.109</v>
      </c>
      <c r="AN184" s="105" t="b">
        <v>1</v>
      </c>
      <c r="AO184" s="105">
        <v>0</v>
      </c>
      <c r="AP184" s="105" t="b">
        <v>0</v>
      </c>
      <c r="AQ184" s="105">
        <v>156902.29399999999</v>
      </c>
      <c r="AR184" s="105"/>
      <c r="AS184" s="105">
        <v>156902.29399999999</v>
      </c>
      <c r="AT184" s="105">
        <v>6</v>
      </c>
      <c r="AU184" s="105" t="b">
        <v>1</v>
      </c>
      <c r="AV184" s="105" t="b">
        <v>0</v>
      </c>
    </row>
    <row r="185" spans="1:48" s="46" customFormat="1">
      <c r="A185" s="105" t="s">
        <v>510</v>
      </c>
      <c r="B185" s="105" t="s">
        <v>665</v>
      </c>
      <c r="C185" s="105" t="s">
        <v>666</v>
      </c>
      <c r="D185" s="105">
        <v>20230901</v>
      </c>
      <c r="E185" s="105">
        <v>2023</v>
      </c>
      <c r="F185" s="105">
        <v>9</v>
      </c>
      <c r="G185" s="105" t="s">
        <v>723</v>
      </c>
      <c r="H185" s="105">
        <v>818</v>
      </c>
      <c r="I185" s="105" t="s">
        <v>668</v>
      </c>
      <c r="J185" s="105" t="s">
        <v>57</v>
      </c>
      <c r="K185" s="105" t="s">
        <v>666</v>
      </c>
      <c r="L185" s="105" t="s">
        <v>669</v>
      </c>
      <c r="M185" s="105">
        <v>380</v>
      </c>
      <c r="N185" s="105" t="s">
        <v>689</v>
      </c>
      <c r="O185" s="105" t="s">
        <v>71</v>
      </c>
      <c r="P185" s="105">
        <v>0</v>
      </c>
      <c r="Q185" s="105" t="s">
        <v>670</v>
      </c>
      <c r="R185" s="105" t="s">
        <v>23</v>
      </c>
      <c r="S185" s="105" t="s">
        <v>671</v>
      </c>
      <c r="T185" s="105" t="s">
        <v>672</v>
      </c>
      <c r="U185" s="105" t="b">
        <v>1</v>
      </c>
      <c r="V185" s="105" t="s">
        <v>745</v>
      </c>
      <c r="W185" s="105" t="s">
        <v>746</v>
      </c>
      <c r="X185" s="105">
        <v>6</v>
      </c>
      <c r="Y185" s="105" t="b">
        <v>1</v>
      </c>
      <c r="Z185" s="105" t="s">
        <v>675</v>
      </c>
      <c r="AA185" s="105" t="s">
        <v>676</v>
      </c>
      <c r="AB185" s="105" t="s">
        <v>677</v>
      </c>
      <c r="AC185" s="105">
        <v>0</v>
      </c>
      <c r="AD185" s="105" t="s">
        <v>678</v>
      </c>
      <c r="AE185" s="105">
        <v>8</v>
      </c>
      <c r="AF185" s="105" t="s">
        <v>679</v>
      </c>
      <c r="AG185" s="105">
        <v>993.90499999999997</v>
      </c>
      <c r="AH185" s="105" t="b">
        <v>1</v>
      </c>
      <c r="AI185" s="105">
        <v>-1</v>
      </c>
      <c r="AJ185" s="105" t="s">
        <v>680</v>
      </c>
      <c r="AK185" s="105">
        <v>0</v>
      </c>
      <c r="AL185" s="105" t="b">
        <v>0</v>
      </c>
      <c r="AM185" s="105">
        <v>993.90499999999997</v>
      </c>
      <c r="AN185" s="105" t="b">
        <v>1</v>
      </c>
      <c r="AO185" s="105">
        <v>0</v>
      </c>
      <c r="AP185" s="105" t="b">
        <v>0</v>
      </c>
      <c r="AQ185" s="105">
        <v>4797.4369999999999</v>
      </c>
      <c r="AR185" s="105"/>
      <c r="AS185" s="105">
        <v>4797.4369999999999</v>
      </c>
      <c r="AT185" s="105">
        <v>6</v>
      </c>
      <c r="AU185" s="105" t="b">
        <v>1</v>
      </c>
      <c r="AV185" s="105" t="b">
        <v>0</v>
      </c>
    </row>
    <row r="186" spans="1:48" s="46" customFormat="1">
      <c r="A186" s="105" t="s">
        <v>510</v>
      </c>
      <c r="B186" s="105" t="s">
        <v>665</v>
      </c>
      <c r="C186" s="105" t="s">
        <v>666</v>
      </c>
      <c r="D186" s="105">
        <v>20230901</v>
      </c>
      <c r="E186" s="105">
        <v>2023</v>
      </c>
      <c r="F186" s="105">
        <v>9</v>
      </c>
      <c r="G186" s="105" t="s">
        <v>723</v>
      </c>
      <c r="H186" s="105">
        <v>818</v>
      </c>
      <c r="I186" s="105" t="s">
        <v>668</v>
      </c>
      <c r="J186" s="105" t="s">
        <v>57</v>
      </c>
      <c r="K186" s="105" t="s">
        <v>666</v>
      </c>
      <c r="L186" s="105" t="s">
        <v>669</v>
      </c>
      <c r="M186" s="105">
        <v>392</v>
      </c>
      <c r="N186" s="105" t="s">
        <v>747</v>
      </c>
      <c r="O186" s="105" t="s">
        <v>32</v>
      </c>
      <c r="P186" s="105">
        <v>0</v>
      </c>
      <c r="Q186" s="105" t="s">
        <v>670</v>
      </c>
      <c r="R186" s="105" t="s">
        <v>23</v>
      </c>
      <c r="S186" s="105" t="s">
        <v>671</v>
      </c>
      <c r="T186" s="105" t="s">
        <v>672</v>
      </c>
      <c r="U186" s="105" t="b">
        <v>1</v>
      </c>
      <c r="V186" s="105" t="s">
        <v>745</v>
      </c>
      <c r="W186" s="105" t="s">
        <v>746</v>
      </c>
      <c r="X186" s="105">
        <v>6</v>
      </c>
      <c r="Y186" s="105" t="b">
        <v>1</v>
      </c>
      <c r="Z186" s="105" t="s">
        <v>675</v>
      </c>
      <c r="AA186" s="105" t="s">
        <v>676</v>
      </c>
      <c r="AB186" s="105" t="s">
        <v>677</v>
      </c>
      <c r="AC186" s="105">
        <v>0</v>
      </c>
      <c r="AD186" s="105" t="s">
        <v>678</v>
      </c>
      <c r="AE186" s="105">
        <v>8</v>
      </c>
      <c r="AF186" s="105" t="s">
        <v>679</v>
      </c>
      <c r="AG186" s="105">
        <v>33910.737999999998</v>
      </c>
      <c r="AH186" s="105" t="b">
        <v>1</v>
      </c>
      <c r="AI186" s="105">
        <v>-1</v>
      </c>
      <c r="AJ186" s="105" t="s">
        <v>680</v>
      </c>
      <c r="AK186" s="105">
        <v>0</v>
      </c>
      <c r="AL186" s="105" t="b">
        <v>0</v>
      </c>
      <c r="AM186" s="105">
        <v>33910.737999999998</v>
      </c>
      <c r="AN186" s="105" t="b">
        <v>1</v>
      </c>
      <c r="AO186" s="105">
        <v>0</v>
      </c>
      <c r="AP186" s="105" t="b">
        <v>0</v>
      </c>
      <c r="AQ186" s="105">
        <v>163682.234</v>
      </c>
      <c r="AR186" s="105"/>
      <c r="AS186" s="105">
        <v>163682.234</v>
      </c>
      <c r="AT186" s="105">
        <v>6</v>
      </c>
      <c r="AU186" s="105" t="b">
        <v>1</v>
      </c>
      <c r="AV186" s="105" t="b">
        <v>0</v>
      </c>
    </row>
    <row r="187" spans="1:48" s="46" customFormat="1">
      <c r="A187" s="105" t="s">
        <v>510</v>
      </c>
      <c r="B187" s="105" t="s">
        <v>665</v>
      </c>
      <c r="C187" s="105" t="s">
        <v>666</v>
      </c>
      <c r="D187" s="105">
        <v>20230901</v>
      </c>
      <c r="E187" s="105">
        <v>2023</v>
      </c>
      <c r="F187" s="105">
        <v>9</v>
      </c>
      <c r="G187" s="105" t="s">
        <v>723</v>
      </c>
      <c r="H187" s="105">
        <v>818</v>
      </c>
      <c r="I187" s="105" t="s">
        <v>668</v>
      </c>
      <c r="J187" s="105" t="s">
        <v>57</v>
      </c>
      <c r="K187" s="105" t="s">
        <v>666</v>
      </c>
      <c r="L187" s="105" t="s">
        <v>669</v>
      </c>
      <c r="M187" s="105">
        <v>442</v>
      </c>
      <c r="N187" s="105" t="s">
        <v>759</v>
      </c>
      <c r="O187" s="105" t="s">
        <v>89</v>
      </c>
      <c r="P187" s="105">
        <v>0</v>
      </c>
      <c r="Q187" s="105" t="s">
        <v>670</v>
      </c>
      <c r="R187" s="105" t="s">
        <v>23</v>
      </c>
      <c r="S187" s="105" t="s">
        <v>671</v>
      </c>
      <c r="T187" s="105" t="s">
        <v>672</v>
      </c>
      <c r="U187" s="105" t="b">
        <v>1</v>
      </c>
      <c r="V187" s="105" t="s">
        <v>745</v>
      </c>
      <c r="W187" s="105" t="s">
        <v>746</v>
      </c>
      <c r="X187" s="105">
        <v>6</v>
      </c>
      <c r="Y187" s="105" t="b">
        <v>1</v>
      </c>
      <c r="Z187" s="105" t="s">
        <v>675</v>
      </c>
      <c r="AA187" s="105" t="s">
        <v>676</v>
      </c>
      <c r="AB187" s="105" t="s">
        <v>677</v>
      </c>
      <c r="AC187" s="105">
        <v>0</v>
      </c>
      <c r="AD187" s="105" t="s">
        <v>678</v>
      </c>
      <c r="AE187" s="105">
        <v>8</v>
      </c>
      <c r="AF187" s="105" t="s">
        <v>679</v>
      </c>
      <c r="AG187" s="105">
        <v>19444.268</v>
      </c>
      <c r="AH187" s="105" t="b">
        <v>1</v>
      </c>
      <c r="AI187" s="105">
        <v>-1</v>
      </c>
      <c r="AJ187" s="105" t="s">
        <v>680</v>
      </c>
      <c r="AK187" s="105">
        <v>0</v>
      </c>
      <c r="AL187" s="105" t="b">
        <v>0</v>
      </c>
      <c r="AM187" s="105">
        <v>19444.268</v>
      </c>
      <c r="AN187" s="105" t="b">
        <v>1</v>
      </c>
      <c r="AO187" s="105">
        <v>0</v>
      </c>
      <c r="AP187" s="105" t="b">
        <v>0</v>
      </c>
      <c r="AQ187" s="105">
        <v>93854.672000000006</v>
      </c>
      <c r="AR187" s="105"/>
      <c r="AS187" s="105">
        <v>93854.672000000006</v>
      </c>
      <c r="AT187" s="105">
        <v>6</v>
      </c>
      <c r="AU187" s="105" t="b">
        <v>1</v>
      </c>
      <c r="AV187" s="105" t="b">
        <v>0</v>
      </c>
    </row>
    <row r="188" spans="1:48" s="46" customFormat="1">
      <c r="A188" s="105" t="s">
        <v>510</v>
      </c>
      <c r="B188" s="105" t="s">
        <v>665</v>
      </c>
      <c r="C188" s="105" t="s">
        <v>666</v>
      </c>
      <c r="D188" s="105">
        <v>20230901</v>
      </c>
      <c r="E188" s="105">
        <v>2023</v>
      </c>
      <c r="F188" s="105">
        <v>9</v>
      </c>
      <c r="G188" s="105" t="s">
        <v>723</v>
      </c>
      <c r="H188" s="105">
        <v>818</v>
      </c>
      <c r="I188" s="105" t="s">
        <v>668</v>
      </c>
      <c r="J188" s="105" t="s">
        <v>57</v>
      </c>
      <c r="K188" s="105" t="s">
        <v>666</v>
      </c>
      <c r="L188" s="105" t="s">
        <v>669</v>
      </c>
      <c r="M188" s="105">
        <v>682</v>
      </c>
      <c r="N188" s="105" t="s">
        <v>758</v>
      </c>
      <c r="O188" s="105" t="s">
        <v>39</v>
      </c>
      <c r="P188" s="105">
        <v>0</v>
      </c>
      <c r="Q188" s="105" t="s">
        <v>670</v>
      </c>
      <c r="R188" s="105" t="s">
        <v>23</v>
      </c>
      <c r="S188" s="105" t="s">
        <v>671</v>
      </c>
      <c r="T188" s="105" t="s">
        <v>672</v>
      </c>
      <c r="U188" s="105" t="b">
        <v>1</v>
      </c>
      <c r="V188" s="105" t="s">
        <v>745</v>
      </c>
      <c r="W188" s="105" t="s">
        <v>746</v>
      </c>
      <c r="X188" s="105">
        <v>6</v>
      </c>
      <c r="Y188" s="105" t="b">
        <v>1</v>
      </c>
      <c r="Z188" s="105" t="s">
        <v>675</v>
      </c>
      <c r="AA188" s="105" t="s">
        <v>676</v>
      </c>
      <c r="AB188" s="105" t="s">
        <v>677</v>
      </c>
      <c r="AC188" s="105">
        <v>0</v>
      </c>
      <c r="AD188" s="105" t="s">
        <v>678</v>
      </c>
      <c r="AE188" s="105">
        <v>8</v>
      </c>
      <c r="AF188" s="105" t="s">
        <v>679</v>
      </c>
      <c r="AG188" s="105">
        <v>916.08600000000001</v>
      </c>
      <c r="AH188" s="105" t="b">
        <v>1</v>
      </c>
      <c r="AI188" s="105">
        <v>-1</v>
      </c>
      <c r="AJ188" s="105" t="s">
        <v>680</v>
      </c>
      <c r="AK188" s="105">
        <v>0</v>
      </c>
      <c r="AL188" s="105" t="b">
        <v>0</v>
      </c>
      <c r="AM188" s="105">
        <v>916.08600000000001</v>
      </c>
      <c r="AN188" s="105" t="b">
        <v>1</v>
      </c>
      <c r="AO188" s="105">
        <v>0</v>
      </c>
      <c r="AP188" s="105" t="b">
        <v>0</v>
      </c>
      <c r="AQ188" s="105">
        <v>4421.8130000000001</v>
      </c>
      <c r="AR188" s="105"/>
      <c r="AS188" s="105">
        <v>4421.8130000000001</v>
      </c>
      <c r="AT188" s="105">
        <v>6</v>
      </c>
      <c r="AU188" s="105" t="b">
        <v>1</v>
      </c>
      <c r="AV188" s="105" t="b">
        <v>0</v>
      </c>
    </row>
    <row r="189" spans="1:48" s="46" customFormat="1">
      <c r="A189" s="105" t="s">
        <v>510</v>
      </c>
      <c r="B189" s="105" t="s">
        <v>665</v>
      </c>
      <c r="C189" s="105" t="s">
        <v>666</v>
      </c>
      <c r="D189" s="105">
        <v>20230901</v>
      </c>
      <c r="E189" s="105">
        <v>2023</v>
      </c>
      <c r="F189" s="105">
        <v>9</v>
      </c>
      <c r="G189" s="105" t="s">
        <v>723</v>
      </c>
      <c r="H189" s="105">
        <v>818</v>
      </c>
      <c r="I189" s="105" t="s">
        <v>668</v>
      </c>
      <c r="J189" s="105" t="s">
        <v>57</v>
      </c>
      <c r="K189" s="105" t="s">
        <v>666</v>
      </c>
      <c r="L189" s="105" t="s">
        <v>669</v>
      </c>
      <c r="M189" s="105">
        <v>699</v>
      </c>
      <c r="N189" s="105" t="s">
        <v>748</v>
      </c>
      <c r="O189" s="105" t="s">
        <v>0</v>
      </c>
      <c r="P189" s="105">
        <v>0</v>
      </c>
      <c r="Q189" s="105" t="s">
        <v>670</v>
      </c>
      <c r="R189" s="105" t="s">
        <v>23</v>
      </c>
      <c r="S189" s="105" t="s">
        <v>671</v>
      </c>
      <c r="T189" s="105" t="s">
        <v>672</v>
      </c>
      <c r="U189" s="105" t="b">
        <v>1</v>
      </c>
      <c r="V189" s="105" t="s">
        <v>745</v>
      </c>
      <c r="W189" s="105" t="s">
        <v>746</v>
      </c>
      <c r="X189" s="105">
        <v>6</v>
      </c>
      <c r="Y189" s="105" t="b">
        <v>1</v>
      </c>
      <c r="Z189" s="105" t="s">
        <v>675</v>
      </c>
      <c r="AA189" s="105" t="s">
        <v>676</v>
      </c>
      <c r="AB189" s="105" t="s">
        <v>677</v>
      </c>
      <c r="AC189" s="105">
        <v>0</v>
      </c>
      <c r="AD189" s="105" t="s">
        <v>678</v>
      </c>
      <c r="AE189" s="105">
        <v>8</v>
      </c>
      <c r="AF189" s="105" t="s">
        <v>679</v>
      </c>
      <c r="AG189" s="105">
        <v>1.3380000000000001</v>
      </c>
      <c r="AH189" s="105" t="b">
        <v>1</v>
      </c>
      <c r="AI189" s="105">
        <v>-1</v>
      </c>
      <c r="AJ189" s="105" t="s">
        <v>680</v>
      </c>
      <c r="AK189" s="105">
        <v>0</v>
      </c>
      <c r="AL189" s="105" t="b">
        <v>0</v>
      </c>
      <c r="AM189" s="105">
        <v>1.3380000000000001</v>
      </c>
      <c r="AN189" s="105" t="b">
        <v>1</v>
      </c>
      <c r="AO189" s="105">
        <v>0</v>
      </c>
      <c r="AP189" s="105" t="b">
        <v>0</v>
      </c>
      <c r="AQ189" s="105">
        <v>6.46</v>
      </c>
      <c r="AR189" s="105"/>
      <c r="AS189" s="105">
        <v>6.46</v>
      </c>
      <c r="AT189" s="105">
        <v>6</v>
      </c>
      <c r="AU189" s="105" t="b">
        <v>1</v>
      </c>
      <c r="AV189" s="105" t="b">
        <v>0</v>
      </c>
    </row>
    <row r="190" spans="1:48" s="46" customFormat="1">
      <c r="A190" s="105" t="s">
        <v>510</v>
      </c>
      <c r="B190" s="105" t="s">
        <v>665</v>
      </c>
      <c r="C190" s="105" t="s">
        <v>666</v>
      </c>
      <c r="D190" s="105">
        <v>20230901</v>
      </c>
      <c r="E190" s="105">
        <v>2023</v>
      </c>
      <c r="F190" s="105">
        <v>9</v>
      </c>
      <c r="G190" s="105" t="s">
        <v>723</v>
      </c>
      <c r="H190" s="105">
        <v>818</v>
      </c>
      <c r="I190" s="105" t="s">
        <v>668</v>
      </c>
      <c r="J190" s="105" t="s">
        <v>57</v>
      </c>
      <c r="K190" s="105" t="s">
        <v>666</v>
      </c>
      <c r="L190" s="105" t="s">
        <v>669</v>
      </c>
      <c r="M190" s="105">
        <v>704</v>
      </c>
      <c r="N190" s="105" t="s">
        <v>756</v>
      </c>
      <c r="O190" s="105" t="s">
        <v>59</v>
      </c>
      <c r="P190" s="105">
        <v>0</v>
      </c>
      <c r="Q190" s="105" t="s">
        <v>670</v>
      </c>
      <c r="R190" s="105" t="s">
        <v>23</v>
      </c>
      <c r="S190" s="105" t="s">
        <v>671</v>
      </c>
      <c r="T190" s="105" t="s">
        <v>672</v>
      </c>
      <c r="U190" s="105" t="b">
        <v>1</v>
      </c>
      <c r="V190" s="105" t="s">
        <v>745</v>
      </c>
      <c r="W190" s="105" t="s">
        <v>746</v>
      </c>
      <c r="X190" s="105">
        <v>6</v>
      </c>
      <c r="Y190" s="105" t="b">
        <v>1</v>
      </c>
      <c r="Z190" s="105" t="s">
        <v>675</v>
      </c>
      <c r="AA190" s="105" t="s">
        <v>676</v>
      </c>
      <c r="AB190" s="105" t="s">
        <v>677</v>
      </c>
      <c r="AC190" s="105">
        <v>0</v>
      </c>
      <c r="AD190" s="105" t="s">
        <v>678</v>
      </c>
      <c r="AE190" s="105">
        <v>8</v>
      </c>
      <c r="AF190" s="105" t="s">
        <v>679</v>
      </c>
      <c r="AG190" s="105">
        <v>15570.589</v>
      </c>
      <c r="AH190" s="105" t="b">
        <v>1</v>
      </c>
      <c r="AI190" s="105">
        <v>-1</v>
      </c>
      <c r="AJ190" s="105" t="s">
        <v>680</v>
      </c>
      <c r="AK190" s="105">
        <v>0</v>
      </c>
      <c r="AL190" s="105" t="b">
        <v>0</v>
      </c>
      <c r="AM190" s="105">
        <v>15570.589</v>
      </c>
      <c r="AN190" s="105" t="b">
        <v>1</v>
      </c>
      <c r="AO190" s="105">
        <v>0</v>
      </c>
      <c r="AP190" s="105" t="b">
        <v>0</v>
      </c>
      <c r="AQ190" s="105">
        <v>75156.983999999997</v>
      </c>
      <c r="AR190" s="105"/>
      <c r="AS190" s="105">
        <v>75156.983999999997</v>
      </c>
      <c r="AT190" s="105">
        <v>6</v>
      </c>
      <c r="AU190" s="105" t="b">
        <v>1</v>
      </c>
      <c r="AV190" s="105" t="b">
        <v>0</v>
      </c>
    </row>
    <row r="191" spans="1:48" s="46" customFormat="1">
      <c r="A191" s="105" t="s">
        <v>510</v>
      </c>
      <c r="B191" s="105" t="s">
        <v>665</v>
      </c>
      <c r="C191" s="105" t="s">
        <v>666</v>
      </c>
      <c r="D191" s="105">
        <v>20230901</v>
      </c>
      <c r="E191" s="105">
        <v>2023</v>
      </c>
      <c r="F191" s="105">
        <v>9</v>
      </c>
      <c r="G191" s="105" t="s">
        <v>723</v>
      </c>
      <c r="H191" s="105">
        <v>818</v>
      </c>
      <c r="I191" s="105" t="s">
        <v>668</v>
      </c>
      <c r="J191" s="105" t="s">
        <v>57</v>
      </c>
      <c r="K191" s="105" t="s">
        <v>666</v>
      </c>
      <c r="L191" s="105" t="s">
        <v>669</v>
      </c>
      <c r="M191" s="105">
        <v>784</v>
      </c>
      <c r="N191" s="105" t="s">
        <v>694</v>
      </c>
      <c r="O191" s="105" t="s">
        <v>25</v>
      </c>
      <c r="P191" s="105">
        <v>0</v>
      </c>
      <c r="Q191" s="105" t="s">
        <v>670</v>
      </c>
      <c r="R191" s="105" t="s">
        <v>23</v>
      </c>
      <c r="S191" s="105" t="s">
        <v>671</v>
      </c>
      <c r="T191" s="105" t="s">
        <v>672</v>
      </c>
      <c r="U191" s="105" t="b">
        <v>1</v>
      </c>
      <c r="V191" s="105" t="s">
        <v>745</v>
      </c>
      <c r="W191" s="105" t="s">
        <v>746</v>
      </c>
      <c r="X191" s="105">
        <v>6</v>
      </c>
      <c r="Y191" s="105" t="b">
        <v>1</v>
      </c>
      <c r="Z191" s="105" t="s">
        <v>675</v>
      </c>
      <c r="AA191" s="105" t="s">
        <v>676</v>
      </c>
      <c r="AB191" s="105" t="s">
        <v>677</v>
      </c>
      <c r="AC191" s="105">
        <v>0</v>
      </c>
      <c r="AD191" s="105" t="s">
        <v>678</v>
      </c>
      <c r="AE191" s="105">
        <v>8</v>
      </c>
      <c r="AF191" s="105" t="s">
        <v>679</v>
      </c>
      <c r="AG191" s="105">
        <v>312.19099999999997</v>
      </c>
      <c r="AH191" s="105" t="b">
        <v>1</v>
      </c>
      <c r="AI191" s="105">
        <v>-1</v>
      </c>
      <c r="AJ191" s="105" t="s">
        <v>680</v>
      </c>
      <c r="AK191" s="105">
        <v>0</v>
      </c>
      <c r="AL191" s="105" t="b">
        <v>0</v>
      </c>
      <c r="AM191" s="105">
        <v>312.19099999999997</v>
      </c>
      <c r="AN191" s="105" t="b">
        <v>1</v>
      </c>
      <c r="AO191" s="105">
        <v>0</v>
      </c>
      <c r="AP191" s="105" t="b">
        <v>0</v>
      </c>
      <c r="AQ191" s="105">
        <v>1506.8989999999999</v>
      </c>
      <c r="AR191" s="105"/>
      <c r="AS191" s="105">
        <v>1506.8989999999999</v>
      </c>
      <c r="AT191" s="105">
        <v>6</v>
      </c>
      <c r="AU191" s="105" t="b">
        <v>1</v>
      </c>
      <c r="AV191" s="105" t="b">
        <v>0</v>
      </c>
    </row>
    <row r="192" spans="1:48" s="46" customFormat="1">
      <c r="A192" s="105" t="s">
        <v>510</v>
      </c>
      <c r="B192" s="105" t="s">
        <v>665</v>
      </c>
      <c r="C192" s="105" t="s">
        <v>666</v>
      </c>
      <c r="D192" s="105">
        <v>20230901</v>
      </c>
      <c r="E192" s="105">
        <v>2023</v>
      </c>
      <c r="F192" s="105">
        <v>9</v>
      </c>
      <c r="G192" s="105" t="s">
        <v>723</v>
      </c>
      <c r="H192" s="105">
        <v>818</v>
      </c>
      <c r="I192" s="105" t="s">
        <v>668</v>
      </c>
      <c r="J192" s="105" t="s">
        <v>57</v>
      </c>
      <c r="K192" s="105" t="s">
        <v>666</v>
      </c>
      <c r="L192" s="105" t="s">
        <v>669</v>
      </c>
      <c r="M192" s="105">
        <v>792</v>
      </c>
      <c r="N192" s="105" t="s">
        <v>691</v>
      </c>
      <c r="O192" s="105" t="s">
        <v>63</v>
      </c>
      <c r="P192" s="105">
        <v>0</v>
      </c>
      <c r="Q192" s="105" t="s">
        <v>670</v>
      </c>
      <c r="R192" s="105" t="s">
        <v>23</v>
      </c>
      <c r="S192" s="105" t="s">
        <v>671</v>
      </c>
      <c r="T192" s="105" t="s">
        <v>672</v>
      </c>
      <c r="U192" s="105" t="b">
        <v>1</v>
      </c>
      <c r="V192" s="105" t="s">
        <v>745</v>
      </c>
      <c r="W192" s="105" t="s">
        <v>746</v>
      </c>
      <c r="X192" s="105">
        <v>6</v>
      </c>
      <c r="Y192" s="105" t="b">
        <v>1</v>
      </c>
      <c r="Z192" s="105" t="s">
        <v>675</v>
      </c>
      <c r="AA192" s="105" t="s">
        <v>676</v>
      </c>
      <c r="AB192" s="105" t="s">
        <v>677</v>
      </c>
      <c r="AC192" s="105">
        <v>0</v>
      </c>
      <c r="AD192" s="105" t="s">
        <v>678</v>
      </c>
      <c r="AE192" s="105">
        <v>8</v>
      </c>
      <c r="AF192" s="105" t="s">
        <v>679</v>
      </c>
      <c r="AG192" s="105">
        <v>2496.0729999999999</v>
      </c>
      <c r="AH192" s="105" t="b">
        <v>1</v>
      </c>
      <c r="AI192" s="105">
        <v>-1</v>
      </c>
      <c r="AJ192" s="105" t="s">
        <v>680</v>
      </c>
      <c r="AK192" s="105">
        <v>0</v>
      </c>
      <c r="AL192" s="105" t="b">
        <v>0</v>
      </c>
      <c r="AM192" s="105">
        <v>2496.0729999999999</v>
      </c>
      <c r="AN192" s="105" t="b">
        <v>1</v>
      </c>
      <c r="AO192" s="105">
        <v>0</v>
      </c>
      <c r="AP192" s="105" t="b">
        <v>0</v>
      </c>
      <c r="AQ192" s="105">
        <v>12048.183999999999</v>
      </c>
      <c r="AR192" s="105"/>
      <c r="AS192" s="105">
        <v>12048.183999999999</v>
      </c>
      <c r="AT192" s="105">
        <v>6</v>
      </c>
      <c r="AU192" s="105" t="b">
        <v>1</v>
      </c>
      <c r="AV192" s="105" t="b">
        <v>0</v>
      </c>
    </row>
    <row r="193" spans="1:48" s="46" customFormat="1">
      <c r="A193" s="105" t="s">
        <v>510</v>
      </c>
      <c r="B193" s="105" t="s">
        <v>665</v>
      </c>
      <c r="C193" s="105" t="s">
        <v>666</v>
      </c>
      <c r="D193" s="105">
        <v>20230901</v>
      </c>
      <c r="E193" s="105">
        <v>2023</v>
      </c>
      <c r="F193" s="105">
        <v>9</v>
      </c>
      <c r="G193" s="105" t="s">
        <v>723</v>
      </c>
      <c r="H193" s="105">
        <v>818</v>
      </c>
      <c r="I193" s="105" t="s">
        <v>668</v>
      </c>
      <c r="J193" s="105" t="s">
        <v>57</v>
      </c>
      <c r="K193" s="105" t="s">
        <v>666</v>
      </c>
      <c r="L193" s="105" t="s">
        <v>669</v>
      </c>
      <c r="M193" s="105">
        <v>826</v>
      </c>
      <c r="N193" s="105" t="s">
        <v>685</v>
      </c>
      <c r="O193" s="105" t="s">
        <v>64</v>
      </c>
      <c r="P193" s="105">
        <v>0</v>
      </c>
      <c r="Q193" s="105" t="s">
        <v>670</v>
      </c>
      <c r="R193" s="105" t="s">
        <v>23</v>
      </c>
      <c r="S193" s="105" t="s">
        <v>671</v>
      </c>
      <c r="T193" s="105" t="s">
        <v>672</v>
      </c>
      <c r="U193" s="105" t="b">
        <v>1</v>
      </c>
      <c r="V193" s="105" t="s">
        <v>745</v>
      </c>
      <c r="W193" s="105" t="s">
        <v>746</v>
      </c>
      <c r="X193" s="105">
        <v>6</v>
      </c>
      <c r="Y193" s="105" t="b">
        <v>1</v>
      </c>
      <c r="Z193" s="105" t="s">
        <v>675</v>
      </c>
      <c r="AA193" s="105" t="s">
        <v>676</v>
      </c>
      <c r="AB193" s="105" t="s">
        <v>677</v>
      </c>
      <c r="AC193" s="105">
        <v>0</v>
      </c>
      <c r="AD193" s="105" t="s">
        <v>678</v>
      </c>
      <c r="AE193" s="105">
        <v>8</v>
      </c>
      <c r="AF193" s="105" t="s">
        <v>679</v>
      </c>
      <c r="AG193" s="105">
        <v>1313.6420000000001</v>
      </c>
      <c r="AH193" s="105" t="b">
        <v>1</v>
      </c>
      <c r="AI193" s="105">
        <v>-1</v>
      </c>
      <c r="AJ193" s="105" t="s">
        <v>680</v>
      </c>
      <c r="AK193" s="105">
        <v>0</v>
      </c>
      <c r="AL193" s="105" t="b">
        <v>0</v>
      </c>
      <c r="AM193" s="105">
        <v>1313.6420000000001</v>
      </c>
      <c r="AN193" s="105" t="b">
        <v>1</v>
      </c>
      <c r="AO193" s="105">
        <v>0</v>
      </c>
      <c r="AP193" s="105" t="b">
        <v>0</v>
      </c>
      <c r="AQ193" s="105">
        <v>6340.7610000000004</v>
      </c>
      <c r="AR193" s="105"/>
      <c r="AS193" s="105">
        <v>6340.7610000000004</v>
      </c>
      <c r="AT193" s="105">
        <v>6</v>
      </c>
      <c r="AU193" s="105" t="b">
        <v>1</v>
      </c>
      <c r="AV193" s="105" t="b">
        <v>0</v>
      </c>
    </row>
    <row r="194" spans="1:48" s="46" customFormat="1">
      <c r="A194" s="105" t="s">
        <v>510</v>
      </c>
      <c r="B194" s="105" t="s">
        <v>665</v>
      </c>
      <c r="C194" s="105" t="s">
        <v>666</v>
      </c>
      <c r="D194" s="105">
        <v>20230901</v>
      </c>
      <c r="E194" s="105">
        <v>2023</v>
      </c>
      <c r="F194" s="105">
        <v>9</v>
      </c>
      <c r="G194" s="105" t="s">
        <v>723</v>
      </c>
      <c r="H194" s="105">
        <v>818</v>
      </c>
      <c r="I194" s="105" t="s">
        <v>668</v>
      </c>
      <c r="J194" s="105" t="s">
        <v>57</v>
      </c>
      <c r="K194" s="105" t="s">
        <v>666</v>
      </c>
      <c r="L194" s="105" t="s">
        <v>669</v>
      </c>
      <c r="M194" s="105">
        <v>842</v>
      </c>
      <c r="N194" s="105" t="s">
        <v>713</v>
      </c>
      <c r="O194" s="105" t="s">
        <v>713</v>
      </c>
      <c r="P194" s="105">
        <v>0</v>
      </c>
      <c r="Q194" s="105" t="s">
        <v>670</v>
      </c>
      <c r="R194" s="105" t="s">
        <v>23</v>
      </c>
      <c r="S194" s="105" t="s">
        <v>671</v>
      </c>
      <c r="T194" s="105" t="s">
        <v>672</v>
      </c>
      <c r="U194" s="105" t="b">
        <v>1</v>
      </c>
      <c r="V194" s="105" t="s">
        <v>745</v>
      </c>
      <c r="W194" s="105" t="s">
        <v>746</v>
      </c>
      <c r="X194" s="105">
        <v>6</v>
      </c>
      <c r="Y194" s="105" t="b">
        <v>1</v>
      </c>
      <c r="Z194" s="105" t="s">
        <v>675</v>
      </c>
      <c r="AA194" s="105" t="s">
        <v>676</v>
      </c>
      <c r="AB194" s="105" t="s">
        <v>677</v>
      </c>
      <c r="AC194" s="105">
        <v>0</v>
      </c>
      <c r="AD194" s="105" t="s">
        <v>678</v>
      </c>
      <c r="AE194" s="105">
        <v>8</v>
      </c>
      <c r="AF194" s="105" t="s">
        <v>679</v>
      </c>
      <c r="AG194" s="105">
        <v>28004.146000000001</v>
      </c>
      <c r="AH194" s="105" t="b">
        <v>1</v>
      </c>
      <c r="AI194" s="105">
        <v>-1</v>
      </c>
      <c r="AJ194" s="105" t="s">
        <v>680</v>
      </c>
      <c r="AK194" s="105">
        <v>0</v>
      </c>
      <c r="AL194" s="105" t="b">
        <v>0</v>
      </c>
      <c r="AM194" s="105">
        <v>28004.146000000001</v>
      </c>
      <c r="AN194" s="105" t="b">
        <v>1</v>
      </c>
      <c r="AO194" s="105">
        <v>0</v>
      </c>
      <c r="AP194" s="105" t="b">
        <v>0</v>
      </c>
      <c r="AQ194" s="105">
        <v>135171.96900000001</v>
      </c>
      <c r="AR194" s="105"/>
      <c r="AS194" s="105">
        <v>135171.96900000001</v>
      </c>
      <c r="AT194" s="105">
        <v>6</v>
      </c>
      <c r="AU194" s="105" t="b">
        <v>1</v>
      </c>
      <c r="AV194" s="105" t="b">
        <v>0</v>
      </c>
    </row>
    <row r="195" spans="1:48" s="46" customFormat="1">
      <c r="A195" s="105" t="s">
        <v>510</v>
      </c>
      <c r="B195" s="105" t="s">
        <v>665</v>
      </c>
      <c r="C195" s="105" t="s">
        <v>666</v>
      </c>
      <c r="D195" s="105">
        <v>20230901</v>
      </c>
      <c r="E195" s="105">
        <v>2023</v>
      </c>
      <c r="F195" s="105">
        <v>9</v>
      </c>
      <c r="G195" s="105" t="s">
        <v>723</v>
      </c>
      <c r="H195" s="105">
        <v>818</v>
      </c>
      <c r="I195" s="105" t="s">
        <v>668</v>
      </c>
      <c r="J195" s="105" t="s">
        <v>57</v>
      </c>
      <c r="K195" s="105" t="s">
        <v>701</v>
      </c>
      <c r="L195" s="105" t="s">
        <v>702</v>
      </c>
      <c r="M195" s="105">
        <v>0</v>
      </c>
      <c r="N195" s="105" t="s">
        <v>670</v>
      </c>
      <c r="O195" s="105" t="s">
        <v>23</v>
      </c>
      <c r="P195" s="105">
        <v>0</v>
      </c>
      <c r="Q195" s="105" t="s">
        <v>670</v>
      </c>
      <c r="R195" s="105" t="s">
        <v>23</v>
      </c>
      <c r="S195" s="105" t="s">
        <v>671</v>
      </c>
      <c r="T195" s="105" t="s">
        <v>672</v>
      </c>
      <c r="U195" s="105" t="b">
        <v>1</v>
      </c>
      <c r="V195" s="105" t="s">
        <v>745</v>
      </c>
      <c r="W195" s="105" t="s">
        <v>746</v>
      </c>
      <c r="X195" s="105">
        <v>6</v>
      </c>
      <c r="Y195" s="105" t="b">
        <v>1</v>
      </c>
      <c r="Z195" s="105" t="s">
        <v>675</v>
      </c>
      <c r="AA195" s="105" t="s">
        <v>676</v>
      </c>
      <c r="AB195" s="105" t="s">
        <v>677</v>
      </c>
      <c r="AC195" s="105">
        <v>0</v>
      </c>
      <c r="AD195" s="105" t="s">
        <v>678</v>
      </c>
      <c r="AE195" s="105">
        <v>8</v>
      </c>
      <c r="AF195" s="105" t="s">
        <v>679</v>
      </c>
      <c r="AG195" s="105">
        <v>715.12699999999995</v>
      </c>
      <c r="AH195" s="105" t="b">
        <v>1</v>
      </c>
      <c r="AI195" s="105">
        <v>-1</v>
      </c>
      <c r="AJ195" s="105" t="s">
        <v>680</v>
      </c>
      <c r="AK195" s="105">
        <v>0</v>
      </c>
      <c r="AL195" s="105" t="b">
        <v>0</v>
      </c>
      <c r="AM195" s="105">
        <v>715.12699999999995</v>
      </c>
      <c r="AN195" s="105" t="b">
        <v>1</v>
      </c>
      <c r="AO195" s="105">
        <v>0</v>
      </c>
      <c r="AP195" s="105" t="b">
        <v>0</v>
      </c>
      <c r="AQ195" s="105"/>
      <c r="AR195" s="105">
        <v>3700</v>
      </c>
      <c r="AS195" s="105">
        <v>3700</v>
      </c>
      <c r="AT195" s="105">
        <v>6</v>
      </c>
      <c r="AU195" s="105" t="b">
        <v>0</v>
      </c>
      <c r="AV195" s="105" t="b">
        <v>1</v>
      </c>
    </row>
    <row r="196" spans="1:48" s="46" customFormat="1">
      <c r="A196" s="105" t="s">
        <v>510</v>
      </c>
      <c r="B196" s="105" t="s">
        <v>665</v>
      </c>
      <c r="C196" s="105" t="s">
        <v>666</v>
      </c>
      <c r="D196" s="105">
        <v>20230901</v>
      </c>
      <c r="E196" s="105">
        <v>2023</v>
      </c>
      <c r="F196" s="105">
        <v>9</v>
      </c>
      <c r="G196" s="105" t="s">
        <v>723</v>
      </c>
      <c r="H196" s="105">
        <v>818</v>
      </c>
      <c r="I196" s="105" t="s">
        <v>668</v>
      </c>
      <c r="J196" s="105" t="s">
        <v>57</v>
      </c>
      <c r="K196" s="105" t="s">
        <v>701</v>
      </c>
      <c r="L196" s="105" t="s">
        <v>702</v>
      </c>
      <c r="M196" s="105">
        <v>512</v>
      </c>
      <c r="N196" s="105" t="s">
        <v>760</v>
      </c>
      <c r="O196" s="105" t="s">
        <v>35</v>
      </c>
      <c r="P196" s="105">
        <v>0</v>
      </c>
      <c r="Q196" s="105" t="s">
        <v>670</v>
      </c>
      <c r="R196" s="105" t="s">
        <v>23</v>
      </c>
      <c r="S196" s="105" t="s">
        <v>671</v>
      </c>
      <c r="T196" s="105" t="s">
        <v>672</v>
      </c>
      <c r="U196" s="105" t="b">
        <v>1</v>
      </c>
      <c r="V196" s="105" t="s">
        <v>745</v>
      </c>
      <c r="W196" s="105" t="s">
        <v>746</v>
      </c>
      <c r="X196" s="105">
        <v>6</v>
      </c>
      <c r="Y196" s="105" t="b">
        <v>1</v>
      </c>
      <c r="Z196" s="105" t="s">
        <v>675</v>
      </c>
      <c r="AA196" s="105" t="s">
        <v>676</v>
      </c>
      <c r="AB196" s="105" t="s">
        <v>677</v>
      </c>
      <c r="AC196" s="105">
        <v>0</v>
      </c>
      <c r="AD196" s="105" t="s">
        <v>678</v>
      </c>
      <c r="AE196" s="105">
        <v>8</v>
      </c>
      <c r="AF196" s="105" t="s">
        <v>679</v>
      </c>
      <c r="AG196" s="105">
        <v>715.12699999999995</v>
      </c>
      <c r="AH196" s="105" t="b">
        <v>1</v>
      </c>
      <c r="AI196" s="105">
        <v>-1</v>
      </c>
      <c r="AJ196" s="105" t="s">
        <v>680</v>
      </c>
      <c r="AK196" s="105">
        <v>0</v>
      </c>
      <c r="AL196" s="105" t="b">
        <v>0</v>
      </c>
      <c r="AM196" s="105">
        <v>715.12699999999995</v>
      </c>
      <c r="AN196" s="105" t="b">
        <v>1</v>
      </c>
      <c r="AO196" s="105">
        <v>0</v>
      </c>
      <c r="AP196" s="105" t="b">
        <v>0</v>
      </c>
      <c r="AQ196" s="105"/>
      <c r="AR196" s="105">
        <v>3700</v>
      </c>
      <c r="AS196" s="105">
        <v>3700</v>
      </c>
      <c r="AT196" s="105">
        <v>6</v>
      </c>
      <c r="AU196" s="105" t="b">
        <v>1</v>
      </c>
      <c r="AV196" s="105" t="b">
        <v>0</v>
      </c>
    </row>
    <row r="197" spans="1:48" s="46" customFormat="1">
      <c r="A197" s="105" t="s">
        <v>510</v>
      </c>
      <c r="B197" s="105" t="s">
        <v>665</v>
      </c>
      <c r="C197" s="105" t="s">
        <v>666</v>
      </c>
      <c r="D197" s="105">
        <v>20231001</v>
      </c>
      <c r="E197" s="105">
        <v>2023</v>
      </c>
      <c r="F197" s="105">
        <v>10</v>
      </c>
      <c r="G197" s="105" t="s">
        <v>724</v>
      </c>
      <c r="H197" s="105">
        <v>818</v>
      </c>
      <c r="I197" s="105" t="s">
        <v>668</v>
      </c>
      <c r="J197" s="105" t="s">
        <v>57</v>
      </c>
      <c r="K197" s="105" t="s">
        <v>666</v>
      </c>
      <c r="L197" s="105" t="s">
        <v>669</v>
      </c>
      <c r="M197" s="105">
        <v>0</v>
      </c>
      <c r="N197" s="105" t="s">
        <v>670</v>
      </c>
      <c r="O197" s="105" t="s">
        <v>23</v>
      </c>
      <c r="P197" s="105">
        <v>0</v>
      </c>
      <c r="Q197" s="105" t="s">
        <v>670</v>
      </c>
      <c r="R197" s="105" t="s">
        <v>23</v>
      </c>
      <c r="S197" s="105" t="s">
        <v>671</v>
      </c>
      <c r="T197" s="105" t="s">
        <v>672</v>
      </c>
      <c r="U197" s="105" t="b">
        <v>1</v>
      </c>
      <c r="V197" s="105" t="s">
        <v>745</v>
      </c>
      <c r="W197" s="105" t="s">
        <v>746</v>
      </c>
      <c r="X197" s="105">
        <v>6</v>
      </c>
      <c r="Y197" s="105" t="b">
        <v>1</v>
      </c>
      <c r="Z197" s="105" t="s">
        <v>675</v>
      </c>
      <c r="AA197" s="105" t="s">
        <v>676</v>
      </c>
      <c r="AB197" s="105" t="s">
        <v>677</v>
      </c>
      <c r="AC197" s="105">
        <v>0</v>
      </c>
      <c r="AD197" s="105" t="s">
        <v>678</v>
      </c>
      <c r="AE197" s="105">
        <v>8</v>
      </c>
      <c r="AF197" s="105" t="s">
        <v>679</v>
      </c>
      <c r="AG197" s="105">
        <v>138007.976</v>
      </c>
      <c r="AH197" s="105" t="b">
        <v>1</v>
      </c>
      <c r="AI197" s="105">
        <v>-1</v>
      </c>
      <c r="AJ197" s="105" t="s">
        <v>680</v>
      </c>
      <c r="AK197" s="105">
        <v>0</v>
      </c>
      <c r="AL197" s="105" t="b">
        <v>0</v>
      </c>
      <c r="AM197" s="105">
        <v>138007.976</v>
      </c>
      <c r="AN197" s="105" t="b">
        <v>1</v>
      </c>
      <c r="AO197" s="105">
        <v>0</v>
      </c>
      <c r="AP197" s="105" t="b">
        <v>0</v>
      </c>
      <c r="AQ197" s="105">
        <v>666144.56599999999</v>
      </c>
      <c r="AR197" s="105"/>
      <c r="AS197" s="105">
        <v>666144.56599999999</v>
      </c>
      <c r="AT197" s="105">
        <v>6</v>
      </c>
      <c r="AU197" s="105" t="b">
        <v>0</v>
      </c>
      <c r="AV197" s="105" t="b">
        <v>1</v>
      </c>
    </row>
    <row r="198" spans="1:48" s="46" customFormat="1">
      <c r="A198" s="105" t="s">
        <v>510</v>
      </c>
      <c r="B198" s="105" t="s">
        <v>665</v>
      </c>
      <c r="C198" s="105" t="s">
        <v>666</v>
      </c>
      <c r="D198" s="105">
        <v>20231001</v>
      </c>
      <c r="E198" s="105">
        <v>2023</v>
      </c>
      <c r="F198" s="105">
        <v>10</v>
      </c>
      <c r="G198" s="105" t="s">
        <v>724</v>
      </c>
      <c r="H198" s="105">
        <v>818</v>
      </c>
      <c r="I198" s="105" t="s">
        <v>668</v>
      </c>
      <c r="J198" s="105" t="s">
        <v>57</v>
      </c>
      <c r="K198" s="105" t="s">
        <v>666</v>
      </c>
      <c r="L198" s="105" t="s">
        <v>669</v>
      </c>
      <c r="M198" s="105">
        <v>40</v>
      </c>
      <c r="N198" s="105" t="s">
        <v>750</v>
      </c>
      <c r="O198" s="105" t="s">
        <v>43</v>
      </c>
      <c r="P198" s="105">
        <v>0</v>
      </c>
      <c r="Q198" s="105" t="s">
        <v>670</v>
      </c>
      <c r="R198" s="105" t="s">
        <v>23</v>
      </c>
      <c r="S198" s="105" t="s">
        <v>671</v>
      </c>
      <c r="T198" s="105" t="s">
        <v>672</v>
      </c>
      <c r="U198" s="105" t="b">
        <v>1</v>
      </c>
      <c r="V198" s="105" t="s">
        <v>745</v>
      </c>
      <c r="W198" s="105" t="s">
        <v>746</v>
      </c>
      <c r="X198" s="105">
        <v>6</v>
      </c>
      <c r="Y198" s="105" t="b">
        <v>1</v>
      </c>
      <c r="Z198" s="105" t="s">
        <v>675</v>
      </c>
      <c r="AA198" s="105" t="s">
        <v>676</v>
      </c>
      <c r="AB198" s="105" t="s">
        <v>677</v>
      </c>
      <c r="AC198" s="105">
        <v>0</v>
      </c>
      <c r="AD198" s="105" t="s">
        <v>678</v>
      </c>
      <c r="AE198" s="105">
        <v>8</v>
      </c>
      <c r="AF198" s="105" t="s">
        <v>679</v>
      </c>
      <c r="AG198" s="105">
        <v>1219.049</v>
      </c>
      <c r="AH198" s="105" t="b">
        <v>1</v>
      </c>
      <c r="AI198" s="105">
        <v>-1</v>
      </c>
      <c r="AJ198" s="105" t="s">
        <v>680</v>
      </c>
      <c r="AK198" s="105">
        <v>0</v>
      </c>
      <c r="AL198" s="105" t="b">
        <v>0</v>
      </c>
      <c r="AM198" s="105">
        <v>1219.049</v>
      </c>
      <c r="AN198" s="105" t="b">
        <v>1</v>
      </c>
      <c r="AO198" s="105">
        <v>0</v>
      </c>
      <c r="AP198" s="105" t="b">
        <v>0</v>
      </c>
      <c r="AQ198" s="105">
        <v>5884.1719999999996</v>
      </c>
      <c r="AR198" s="105"/>
      <c r="AS198" s="105">
        <v>5884.1719999999996</v>
      </c>
      <c r="AT198" s="105">
        <v>6</v>
      </c>
      <c r="AU198" s="105" t="b">
        <v>1</v>
      </c>
      <c r="AV198" s="105" t="b">
        <v>0</v>
      </c>
    </row>
    <row r="199" spans="1:48" s="46" customFormat="1">
      <c r="A199" s="105" t="s">
        <v>510</v>
      </c>
      <c r="B199" s="105" t="s">
        <v>665</v>
      </c>
      <c r="C199" s="105" t="s">
        <v>666</v>
      </c>
      <c r="D199" s="105">
        <v>20231001</v>
      </c>
      <c r="E199" s="105">
        <v>2023</v>
      </c>
      <c r="F199" s="105">
        <v>10</v>
      </c>
      <c r="G199" s="105" t="s">
        <v>724</v>
      </c>
      <c r="H199" s="105">
        <v>818</v>
      </c>
      <c r="I199" s="105" t="s">
        <v>668</v>
      </c>
      <c r="J199" s="105" t="s">
        <v>57</v>
      </c>
      <c r="K199" s="105" t="s">
        <v>666</v>
      </c>
      <c r="L199" s="105" t="s">
        <v>669</v>
      </c>
      <c r="M199" s="105">
        <v>156</v>
      </c>
      <c r="N199" s="105" t="s">
        <v>711</v>
      </c>
      <c r="O199" s="105" t="s">
        <v>29</v>
      </c>
      <c r="P199" s="105">
        <v>0</v>
      </c>
      <c r="Q199" s="105" t="s">
        <v>670</v>
      </c>
      <c r="R199" s="105" t="s">
        <v>23</v>
      </c>
      <c r="S199" s="105" t="s">
        <v>671</v>
      </c>
      <c r="T199" s="105" t="s">
        <v>672</v>
      </c>
      <c r="U199" s="105" t="b">
        <v>1</v>
      </c>
      <c r="V199" s="105" t="s">
        <v>745</v>
      </c>
      <c r="W199" s="105" t="s">
        <v>746</v>
      </c>
      <c r="X199" s="105">
        <v>6</v>
      </c>
      <c r="Y199" s="105" t="b">
        <v>1</v>
      </c>
      <c r="Z199" s="105" t="s">
        <v>675</v>
      </c>
      <c r="AA199" s="105" t="s">
        <v>676</v>
      </c>
      <c r="AB199" s="105" t="s">
        <v>677</v>
      </c>
      <c r="AC199" s="105">
        <v>0</v>
      </c>
      <c r="AD199" s="105" t="s">
        <v>678</v>
      </c>
      <c r="AE199" s="105">
        <v>8</v>
      </c>
      <c r="AF199" s="105" t="s">
        <v>679</v>
      </c>
      <c r="AG199" s="105">
        <v>28837.53</v>
      </c>
      <c r="AH199" s="105" t="b">
        <v>1</v>
      </c>
      <c r="AI199" s="105">
        <v>-1</v>
      </c>
      <c r="AJ199" s="105" t="s">
        <v>680</v>
      </c>
      <c r="AK199" s="105">
        <v>0</v>
      </c>
      <c r="AL199" s="105" t="b">
        <v>0</v>
      </c>
      <c r="AM199" s="105">
        <v>28837.53</v>
      </c>
      <c r="AN199" s="105" t="b">
        <v>1</v>
      </c>
      <c r="AO199" s="105">
        <v>0</v>
      </c>
      <c r="AP199" s="105" t="b">
        <v>0</v>
      </c>
      <c r="AQ199" s="105">
        <v>139194.59400000001</v>
      </c>
      <c r="AR199" s="105"/>
      <c r="AS199" s="105">
        <v>139194.59400000001</v>
      </c>
      <c r="AT199" s="105">
        <v>6</v>
      </c>
      <c r="AU199" s="105" t="b">
        <v>1</v>
      </c>
      <c r="AV199" s="105" t="b">
        <v>0</v>
      </c>
    </row>
    <row r="200" spans="1:48" s="46" customFormat="1">
      <c r="A200" s="105" t="s">
        <v>510</v>
      </c>
      <c r="B200" s="105" t="s">
        <v>665</v>
      </c>
      <c r="C200" s="105" t="s">
        <v>666</v>
      </c>
      <c r="D200" s="105">
        <v>20231001</v>
      </c>
      <c r="E200" s="105">
        <v>2023</v>
      </c>
      <c r="F200" s="105">
        <v>10</v>
      </c>
      <c r="G200" s="105" t="s">
        <v>724</v>
      </c>
      <c r="H200" s="105">
        <v>818</v>
      </c>
      <c r="I200" s="105" t="s">
        <v>668</v>
      </c>
      <c r="J200" s="105" t="s">
        <v>57</v>
      </c>
      <c r="K200" s="105" t="s">
        <v>666</v>
      </c>
      <c r="L200" s="105" t="s">
        <v>669</v>
      </c>
      <c r="M200" s="105">
        <v>276</v>
      </c>
      <c r="N200" s="105" t="s">
        <v>681</v>
      </c>
      <c r="O200" s="105" t="s">
        <v>30</v>
      </c>
      <c r="P200" s="105">
        <v>0</v>
      </c>
      <c r="Q200" s="105" t="s">
        <v>670</v>
      </c>
      <c r="R200" s="105" t="s">
        <v>23</v>
      </c>
      <c r="S200" s="105" t="s">
        <v>671</v>
      </c>
      <c r="T200" s="105" t="s">
        <v>672</v>
      </c>
      <c r="U200" s="105" t="b">
        <v>1</v>
      </c>
      <c r="V200" s="105" t="s">
        <v>745</v>
      </c>
      <c r="W200" s="105" t="s">
        <v>746</v>
      </c>
      <c r="X200" s="105">
        <v>6</v>
      </c>
      <c r="Y200" s="105" t="b">
        <v>1</v>
      </c>
      <c r="Z200" s="105" t="s">
        <v>675</v>
      </c>
      <c r="AA200" s="105" t="s">
        <v>676</v>
      </c>
      <c r="AB200" s="105" t="s">
        <v>677</v>
      </c>
      <c r="AC200" s="105">
        <v>0</v>
      </c>
      <c r="AD200" s="105" t="s">
        <v>678</v>
      </c>
      <c r="AE200" s="105">
        <v>8</v>
      </c>
      <c r="AF200" s="105" t="s">
        <v>679</v>
      </c>
      <c r="AG200" s="105">
        <v>1853.604</v>
      </c>
      <c r="AH200" s="105" t="b">
        <v>1</v>
      </c>
      <c r="AI200" s="105">
        <v>-1</v>
      </c>
      <c r="AJ200" s="105" t="s">
        <v>680</v>
      </c>
      <c r="AK200" s="105">
        <v>0</v>
      </c>
      <c r="AL200" s="105" t="b">
        <v>0</v>
      </c>
      <c r="AM200" s="105">
        <v>1853.604</v>
      </c>
      <c r="AN200" s="105" t="b">
        <v>1</v>
      </c>
      <c r="AO200" s="105">
        <v>0</v>
      </c>
      <c r="AP200" s="105" t="b">
        <v>0</v>
      </c>
      <c r="AQ200" s="105">
        <v>8947.0810000000001</v>
      </c>
      <c r="AR200" s="105"/>
      <c r="AS200" s="105">
        <v>8947.0810000000001</v>
      </c>
      <c r="AT200" s="105">
        <v>6</v>
      </c>
      <c r="AU200" s="105" t="b">
        <v>1</v>
      </c>
      <c r="AV200" s="105" t="b">
        <v>0</v>
      </c>
    </row>
    <row r="201" spans="1:48" s="46" customFormat="1">
      <c r="A201" s="105" t="s">
        <v>510</v>
      </c>
      <c r="B201" s="105" t="s">
        <v>665</v>
      </c>
      <c r="C201" s="105" t="s">
        <v>666</v>
      </c>
      <c r="D201" s="105">
        <v>20231001</v>
      </c>
      <c r="E201" s="105">
        <v>2023</v>
      </c>
      <c r="F201" s="105">
        <v>10</v>
      </c>
      <c r="G201" s="105" t="s">
        <v>724</v>
      </c>
      <c r="H201" s="105">
        <v>818</v>
      </c>
      <c r="I201" s="105" t="s">
        <v>668</v>
      </c>
      <c r="J201" s="105" t="s">
        <v>57</v>
      </c>
      <c r="K201" s="105" t="s">
        <v>666</v>
      </c>
      <c r="L201" s="105" t="s">
        <v>669</v>
      </c>
      <c r="M201" s="105">
        <v>380</v>
      </c>
      <c r="N201" s="105" t="s">
        <v>689</v>
      </c>
      <c r="O201" s="105" t="s">
        <v>71</v>
      </c>
      <c r="P201" s="105">
        <v>0</v>
      </c>
      <c r="Q201" s="105" t="s">
        <v>670</v>
      </c>
      <c r="R201" s="105" t="s">
        <v>23</v>
      </c>
      <c r="S201" s="105" t="s">
        <v>671</v>
      </c>
      <c r="T201" s="105" t="s">
        <v>672</v>
      </c>
      <c r="U201" s="105" t="b">
        <v>1</v>
      </c>
      <c r="V201" s="105" t="s">
        <v>745</v>
      </c>
      <c r="W201" s="105" t="s">
        <v>746</v>
      </c>
      <c r="X201" s="105">
        <v>6</v>
      </c>
      <c r="Y201" s="105" t="b">
        <v>1</v>
      </c>
      <c r="Z201" s="105" t="s">
        <v>675</v>
      </c>
      <c r="AA201" s="105" t="s">
        <v>676</v>
      </c>
      <c r="AB201" s="105" t="s">
        <v>677</v>
      </c>
      <c r="AC201" s="105">
        <v>0</v>
      </c>
      <c r="AD201" s="105" t="s">
        <v>678</v>
      </c>
      <c r="AE201" s="105">
        <v>8</v>
      </c>
      <c r="AF201" s="105" t="s">
        <v>679</v>
      </c>
      <c r="AG201" s="105">
        <v>391.435</v>
      </c>
      <c r="AH201" s="105" t="b">
        <v>1</v>
      </c>
      <c r="AI201" s="105">
        <v>-1</v>
      </c>
      <c r="AJ201" s="105" t="s">
        <v>680</v>
      </c>
      <c r="AK201" s="105">
        <v>0</v>
      </c>
      <c r="AL201" s="105" t="b">
        <v>0</v>
      </c>
      <c r="AM201" s="105">
        <v>391.435</v>
      </c>
      <c r="AN201" s="105" t="b">
        <v>1</v>
      </c>
      <c r="AO201" s="105">
        <v>0</v>
      </c>
      <c r="AP201" s="105" t="b">
        <v>0</v>
      </c>
      <c r="AQ201" s="105">
        <v>1889.3979999999999</v>
      </c>
      <c r="AR201" s="105"/>
      <c r="AS201" s="105">
        <v>1889.3979999999999</v>
      </c>
      <c r="AT201" s="105">
        <v>6</v>
      </c>
      <c r="AU201" s="105" t="b">
        <v>1</v>
      </c>
      <c r="AV201" s="105" t="b">
        <v>0</v>
      </c>
    </row>
    <row r="202" spans="1:48" s="46" customFormat="1">
      <c r="A202" s="105" t="s">
        <v>510</v>
      </c>
      <c r="B202" s="105" t="s">
        <v>665</v>
      </c>
      <c r="C202" s="105" t="s">
        <v>666</v>
      </c>
      <c r="D202" s="105">
        <v>20231001</v>
      </c>
      <c r="E202" s="105">
        <v>2023</v>
      </c>
      <c r="F202" s="105">
        <v>10</v>
      </c>
      <c r="G202" s="105" t="s">
        <v>724</v>
      </c>
      <c r="H202" s="105">
        <v>818</v>
      </c>
      <c r="I202" s="105" t="s">
        <v>668</v>
      </c>
      <c r="J202" s="105" t="s">
        <v>57</v>
      </c>
      <c r="K202" s="105" t="s">
        <v>666</v>
      </c>
      <c r="L202" s="105" t="s">
        <v>669</v>
      </c>
      <c r="M202" s="105">
        <v>410</v>
      </c>
      <c r="N202" s="105" t="s">
        <v>754</v>
      </c>
      <c r="O202" s="105" t="s">
        <v>755</v>
      </c>
      <c r="P202" s="105">
        <v>0</v>
      </c>
      <c r="Q202" s="105" t="s">
        <v>670</v>
      </c>
      <c r="R202" s="105" t="s">
        <v>23</v>
      </c>
      <c r="S202" s="105" t="s">
        <v>671</v>
      </c>
      <c r="T202" s="105" t="s">
        <v>672</v>
      </c>
      <c r="U202" s="105" t="b">
        <v>1</v>
      </c>
      <c r="V202" s="105" t="s">
        <v>745</v>
      </c>
      <c r="W202" s="105" t="s">
        <v>746</v>
      </c>
      <c r="X202" s="105">
        <v>6</v>
      </c>
      <c r="Y202" s="105" t="b">
        <v>1</v>
      </c>
      <c r="Z202" s="105" t="s">
        <v>675</v>
      </c>
      <c r="AA202" s="105" t="s">
        <v>676</v>
      </c>
      <c r="AB202" s="105" t="s">
        <v>677</v>
      </c>
      <c r="AC202" s="105">
        <v>0</v>
      </c>
      <c r="AD202" s="105" t="s">
        <v>678</v>
      </c>
      <c r="AE202" s="105">
        <v>8</v>
      </c>
      <c r="AF202" s="105" t="s">
        <v>679</v>
      </c>
      <c r="AG202" s="105">
        <v>602.77300000000002</v>
      </c>
      <c r="AH202" s="105" t="b">
        <v>1</v>
      </c>
      <c r="AI202" s="105">
        <v>-1</v>
      </c>
      <c r="AJ202" s="105" t="s">
        <v>680</v>
      </c>
      <c r="AK202" s="105">
        <v>0</v>
      </c>
      <c r="AL202" s="105" t="b">
        <v>0</v>
      </c>
      <c r="AM202" s="105">
        <v>602.77300000000002</v>
      </c>
      <c r="AN202" s="105" t="b">
        <v>1</v>
      </c>
      <c r="AO202" s="105">
        <v>0</v>
      </c>
      <c r="AP202" s="105" t="b">
        <v>0</v>
      </c>
      <c r="AQ202" s="105">
        <v>2909.4969999999998</v>
      </c>
      <c r="AR202" s="105"/>
      <c r="AS202" s="105">
        <v>2909.4969999999998</v>
      </c>
      <c r="AT202" s="105">
        <v>6</v>
      </c>
      <c r="AU202" s="105" t="b">
        <v>1</v>
      </c>
      <c r="AV202" s="105" t="b">
        <v>0</v>
      </c>
    </row>
    <row r="203" spans="1:48" s="46" customFormat="1">
      <c r="A203" s="105" t="s">
        <v>510</v>
      </c>
      <c r="B203" s="105" t="s">
        <v>665</v>
      </c>
      <c r="C203" s="105" t="s">
        <v>666</v>
      </c>
      <c r="D203" s="105">
        <v>20231001</v>
      </c>
      <c r="E203" s="105">
        <v>2023</v>
      </c>
      <c r="F203" s="105">
        <v>10</v>
      </c>
      <c r="G203" s="105" t="s">
        <v>724</v>
      </c>
      <c r="H203" s="105">
        <v>818</v>
      </c>
      <c r="I203" s="105" t="s">
        <v>668</v>
      </c>
      <c r="J203" s="105" t="s">
        <v>57</v>
      </c>
      <c r="K203" s="105" t="s">
        <v>666</v>
      </c>
      <c r="L203" s="105" t="s">
        <v>669</v>
      </c>
      <c r="M203" s="105">
        <v>442</v>
      </c>
      <c r="N203" s="105" t="s">
        <v>759</v>
      </c>
      <c r="O203" s="105" t="s">
        <v>89</v>
      </c>
      <c r="P203" s="105">
        <v>0</v>
      </c>
      <c r="Q203" s="105" t="s">
        <v>670</v>
      </c>
      <c r="R203" s="105" t="s">
        <v>23</v>
      </c>
      <c r="S203" s="105" t="s">
        <v>671</v>
      </c>
      <c r="T203" s="105" t="s">
        <v>672</v>
      </c>
      <c r="U203" s="105" t="b">
        <v>1</v>
      </c>
      <c r="V203" s="105" t="s">
        <v>745</v>
      </c>
      <c r="W203" s="105" t="s">
        <v>746</v>
      </c>
      <c r="X203" s="105">
        <v>6</v>
      </c>
      <c r="Y203" s="105" t="b">
        <v>1</v>
      </c>
      <c r="Z203" s="105" t="s">
        <v>675</v>
      </c>
      <c r="AA203" s="105" t="s">
        <v>676</v>
      </c>
      <c r="AB203" s="105" t="s">
        <v>677</v>
      </c>
      <c r="AC203" s="105">
        <v>0</v>
      </c>
      <c r="AD203" s="105" t="s">
        <v>678</v>
      </c>
      <c r="AE203" s="105">
        <v>8</v>
      </c>
      <c r="AF203" s="105" t="s">
        <v>679</v>
      </c>
      <c r="AG203" s="105">
        <v>15747.175999999999</v>
      </c>
      <c r="AH203" s="105" t="b">
        <v>1</v>
      </c>
      <c r="AI203" s="105">
        <v>-1</v>
      </c>
      <c r="AJ203" s="105" t="s">
        <v>680</v>
      </c>
      <c r="AK203" s="105">
        <v>0</v>
      </c>
      <c r="AL203" s="105" t="b">
        <v>0</v>
      </c>
      <c r="AM203" s="105">
        <v>15747.175999999999</v>
      </c>
      <c r="AN203" s="105" t="b">
        <v>1</v>
      </c>
      <c r="AO203" s="105">
        <v>0</v>
      </c>
      <c r="AP203" s="105" t="b">
        <v>0</v>
      </c>
      <c r="AQ203" s="105">
        <v>76009.342000000004</v>
      </c>
      <c r="AR203" s="105"/>
      <c r="AS203" s="105">
        <v>76009.342000000004</v>
      </c>
      <c r="AT203" s="105">
        <v>6</v>
      </c>
      <c r="AU203" s="105" t="b">
        <v>1</v>
      </c>
      <c r="AV203" s="105" t="b">
        <v>0</v>
      </c>
    </row>
    <row r="204" spans="1:48" s="46" customFormat="1">
      <c r="A204" s="105" t="s">
        <v>510</v>
      </c>
      <c r="B204" s="105" t="s">
        <v>665</v>
      </c>
      <c r="C204" s="105" t="s">
        <v>666</v>
      </c>
      <c r="D204" s="105">
        <v>20231001</v>
      </c>
      <c r="E204" s="105">
        <v>2023</v>
      </c>
      <c r="F204" s="105">
        <v>10</v>
      </c>
      <c r="G204" s="105" t="s">
        <v>724</v>
      </c>
      <c r="H204" s="105">
        <v>818</v>
      </c>
      <c r="I204" s="105" t="s">
        <v>668</v>
      </c>
      <c r="J204" s="105" t="s">
        <v>57</v>
      </c>
      <c r="K204" s="105" t="s">
        <v>666</v>
      </c>
      <c r="L204" s="105" t="s">
        <v>669</v>
      </c>
      <c r="M204" s="105">
        <v>699</v>
      </c>
      <c r="N204" s="105" t="s">
        <v>748</v>
      </c>
      <c r="O204" s="105" t="s">
        <v>0</v>
      </c>
      <c r="P204" s="105">
        <v>0</v>
      </c>
      <c r="Q204" s="105" t="s">
        <v>670</v>
      </c>
      <c r="R204" s="105" t="s">
        <v>23</v>
      </c>
      <c r="S204" s="105" t="s">
        <v>671</v>
      </c>
      <c r="T204" s="105" t="s">
        <v>672</v>
      </c>
      <c r="U204" s="105" t="b">
        <v>1</v>
      </c>
      <c r="V204" s="105" t="s">
        <v>745</v>
      </c>
      <c r="W204" s="105" t="s">
        <v>746</v>
      </c>
      <c r="X204" s="105">
        <v>6</v>
      </c>
      <c r="Y204" s="105" t="b">
        <v>1</v>
      </c>
      <c r="Z204" s="105" t="s">
        <v>675</v>
      </c>
      <c r="AA204" s="105" t="s">
        <v>676</v>
      </c>
      <c r="AB204" s="105" t="s">
        <v>677</v>
      </c>
      <c r="AC204" s="105">
        <v>0</v>
      </c>
      <c r="AD204" s="105" t="s">
        <v>678</v>
      </c>
      <c r="AE204" s="105">
        <v>8</v>
      </c>
      <c r="AF204" s="105" t="s">
        <v>679</v>
      </c>
      <c r="AG204" s="105">
        <v>6845.9589999999998</v>
      </c>
      <c r="AH204" s="105" t="b">
        <v>1</v>
      </c>
      <c r="AI204" s="105">
        <v>-1</v>
      </c>
      <c r="AJ204" s="105" t="s">
        <v>680</v>
      </c>
      <c r="AK204" s="105">
        <v>0</v>
      </c>
      <c r="AL204" s="105" t="b">
        <v>0</v>
      </c>
      <c r="AM204" s="105">
        <v>6845.9589999999998</v>
      </c>
      <c r="AN204" s="105" t="b">
        <v>1</v>
      </c>
      <c r="AO204" s="105">
        <v>0</v>
      </c>
      <c r="AP204" s="105" t="b">
        <v>0</v>
      </c>
      <c r="AQ204" s="105">
        <v>33044.453000000001</v>
      </c>
      <c r="AR204" s="105"/>
      <c r="AS204" s="105">
        <v>33044.453000000001</v>
      </c>
      <c r="AT204" s="105">
        <v>6</v>
      </c>
      <c r="AU204" s="105" t="b">
        <v>1</v>
      </c>
      <c r="AV204" s="105" t="b">
        <v>0</v>
      </c>
    </row>
    <row r="205" spans="1:48" s="46" customFormat="1">
      <c r="A205" s="105" t="s">
        <v>510</v>
      </c>
      <c r="B205" s="105" t="s">
        <v>665</v>
      </c>
      <c r="C205" s="105" t="s">
        <v>666</v>
      </c>
      <c r="D205" s="105">
        <v>20231001</v>
      </c>
      <c r="E205" s="105">
        <v>2023</v>
      </c>
      <c r="F205" s="105">
        <v>10</v>
      </c>
      <c r="G205" s="105" t="s">
        <v>724</v>
      </c>
      <c r="H205" s="105">
        <v>818</v>
      </c>
      <c r="I205" s="105" t="s">
        <v>668</v>
      </c>
      <c r="J205" s="105" t="s">
        <v>57</v>
      </c>
      <c r="K205" s="105" t="s">
        <v>666</v>
      </c>
      <c r="L205" s="105" t="s">
        <v>669</v>
      </c>
      <c r="M205" s="105">
        <v>764</v>
      </c>
      <c r="N205" s="105" t="s">
        <v>749</v>
      </c>
      <c r="O205" s="105" t="s">
        <v>55</v>
      </c>
      <c r="P205" s="105">
        <v>0</v>
      </c>
      <c r="Q205" s="105" t="s">
        <v>670</v>
      </c>
      <c r="R205" s="105" t="s">
        <v>23</v>
      </c>
      <c r="S205" s="105" t="s">
        <v>671</v>
      </c>
      <c r="T205" s="105" t="s">
        <v>672</v>
      </c>
      <c r="U205" s="105" t="b">
        <v>1</v>
      </c>
      <c r="V205" s="105" t="s">
        <v>745</v>
      </c>
      <c r="W205" s="105" t="s">
        <v>746</v>
      </c>
      <c r="X205" s="105">
        <v>6</v>
      </c>
      <c r="Y205" s="105" t="b">
        <v>1</v>
      </c>
      <c r="Z205" s="105" t="s">
        <v>675</v>
      </c>
      <c r="AA205" s="105" t="s">
        <v>676</v>
      </c>
      <c r="AB205" s="105" t="s">
        <v>677</v>
      </c>
      <c r="AC205" s="105">
        <v>0</v>
      </c>
      <c r="AD205" s="105" t="s">
        <v>678</v>
      </c>
      <c r="AE205" s="105">
        <v>8</v>
      </c>
      <c r="AF205" s="105" t="s">
        <v>679</v>
      </c>
      <c r="AG205" s="105">
        <v>29062.582999999999</v>
      </c>
      <c r="AH205" s="105" t="b">
        <v>1</v>
      </c>
      <c r="AI205" s="105">
        <v>-1</v>
      </c>
      <c r="AJ205" s="105" t="s">
        <v>680</v>
      </c>
      <c r="AK205" s="105">
        <v>0</v>
      </c>
      <c r="AL205" s="105" t="b">
        <v>0</v>
      </c>
      <c r="AM205" s="105">
        <v>29062.582999999999</v>
      </c>
      <c r="AN205" s="105" t="b">
        <v>1</v>
      </c>
      <c r="AO205" s="105">
        <v>0</v>
      </c>
      <c r="AP205" s="105" t="b">
        <v>0</v>
      </c>
      <c r="AQ205" s="105">
        <v>140280.891</v>
      </c>
      <c r="AR205" s="105"/>
      <c r="AS205" s="105">
        <v>140280.891</v>
      </c>
      <c r="AT205" s="105">
        <v>6</v>
      </c>
      <c r="AU205" s="105" t="b">
        <v>1</v>
      </c>
      <c r="AV205" s="105" t="b">
        <v>0</v>
      </c>
    </row>
    <row r="206" spans="1:48" s="46" customFormat="1">
      <c r="A206" s="105" t="s">
        <v>510</v>
      </c>
      <c r="B206" s="105" t="s">
        <v>665</v>
      </c>
      <c r="C206" s="105" t="s">
        <v>666</v>
      </c>
      <c r="D206" s="105">
        <v>20231001</v>
      </c>
      <c r="E206" s="105">
        <v>2023</v>
      </c>
      <c r="F206" s="105">
        <v>10</v>
      </c>
      <c r="G206" s="105" t="s">
        <v>724</v>
      </c>
      <c r="H206" s="105">
        <v>818</v>
      </c>
      <c r="I206" s="105" t="s">
        <v>668</v>
      </c>
      <c r="J206" s="105" t="s">
        <v>57</v>
      </c>
      <c r="K206" s="105" t="s">
        <v>666</v>
      </c>
      <c r="L206" s="105" t="s">
        <v>669</v>
      </c>
      <c r="M206" s="105">
        <v>826</v>
      </c>
      <c r="N206" s="105" t="s">
        <v>685</v>
      </c>
      <c r="O206" s="105" t="s">
        <v>64</v>
      </c>
      <c r="P206" s="105">
        <v>0</v>
      </c>
      <c r="Q206" s="105" t="s">
        <v>670</v>
      </c>
      <c r="R206" s="105" t="s">
        <v>23</v>
      </c>
      <c r="S206" s="105" t="s">
        <v>671</v>
      </c>
      <c r="T206" s="105" t="s">
        <v>672</v>
      </c>
      <c r="U206" s="105" t="b">
        <v>1</v>
      </c>
      <c r="V206" s="105" t="s">
        <v>745</v>
      </c>
      <c r="W206" s="105" t="s">
        <v>746</v>
      </c>
      <c r="X206" s="105">
        <v>6</v>
      </c>
      <c r="Y206" s="105" t="b">
        <v>1</v>
      </c>
      <c r="Z206" s="105" t="s">
        <v>675</v>
      </c>
      <c r="AA206" s="105" t="s">
        <v>676</v>
      </c>
      <c r="AB206" s="105" t="s">
        <v>677</v>
      </c>
      <c r="AC206" s="105">
        <v>0</v>
      </c>
      <c r="AD206" s="105" t="s">
        <v>678</v>
      </c>
      <c r="AE206" s="105">
        <v>8</v>
      </c>
      <c r="AF206" s="105" t="s">
        <v>679</v>
      </c>
      <c r="AG206" s="105">
        <v>26718.026000000002</v>
      </c>
      <c r="AH206" s="105" t="b">
        <v>1</v>
      </c>
      <c r="AI206" s="105">
        <v>-1</v>
      </c>
      <c r="AJ206" s="105" t="s">
        <v>680</v>
      </c>
      <c r="AK206" s="105">
        <v>0</v>
      </c>
      <c r="AL206" s="105" t="b">
        <v>0</v>
      </c>
      <c r="AM206" s="105">
        <v>26718.026000000002</v>
      </c>
      <c r="AN206" s="105" t="b">
        <v>1</v>
      </c>
      <c r="AO206" s="105">
        <v>0</v>
      </c>
      <c r="AP206" s="105" t="b">
        <v>0</v>
      </c>
      <c r="AQ206" s="105">
        <v>128964.053</v>
      </c>
      <c r="AR206" s="105"/>
      <c r="AS206" s="105">
        <v>128964.053</v>
      </c>
      <c r="AT206" s="105">
        <v>6</v>
      </c>
      <c r="AU206" s="105" t="b">
        <v>1</v>
      </c>
      <c r="AV206" s="105" t="b">
        <v>0</v>
      </c>
    </row>
    <row r="207" spans="1:48" s="46" customFormat="1">
      <c r="A207" s="105" t="s">
        <v>510</v>
      </c>
      <c r="B207" s="105" t="s">
        <v>665</v>
      </c>
      <c r="C207" s="105" t="s">
        <v>666</v>
      </c>
      <c r="D207" s="105">
        <v>20231001</v>
      </c>
      <c r="E207" s="105">
        <v>2023</v>
      </c>
      <c r="F207" s="105">
        <v>10</v>
      </c>
      <c r="G207" s="105" t="s">
        <v>724</v>
      </c>
      <c r="H207" s="105">
        <v>818</v>
      </c>
      <c r="I207" s="105" t="s">
        <v>668</v>
      </c>
      <c r="J207" s="105" t="s">
        <v>57</v>
      </c>
      <c r="K207" s="105" t="s">
        <v>666</v>
      </c>
      <c r="L207" s="105" t="s">
        <v>669</v>
      </c>
      <c r="M207" s="105">
        <v>842</v>
      </c>
      <c r="N207" s="105" t="s">
        <v>713</v>
      </c>
      <c r="O207" s="105" t="s">
        <v>713</v>
      </c>
      <c r="P207" s="105">
        <v>0</v>
      </c>
      <c r="Q207" s="105" t="s">
        <v>670</v>
      </c>
      <c r="R207" s="105" t="s">
        <v>23</v>
      </c>
      <c r="S207" s="105" t="s">
        <v>671</v>
      </c>
      <c r="T207" s="105" t="s">
        <v>672</v>
      </c>
      <c r="U207" s="105" t="b">
        <v>1</v>
      </c>
      <c r="V207" s="105" t="s">
        <v>745</v>
      </c>
      <c r="W207" s="105" t="s">
        <v>746</v>
      </c>
      <c r="X207" s="105">
        <v>6</v>
      </c>
      <c r="Y207" s="105" t="b">
        <v>1</v>
      </c>
      <c r="Z207" s="105" t="s">
        <v>675</v>
      </c>
      <c r="AA207" s="105" t="s">
        <v>676</v>
      </c>
      <c r="AB207" s="105" t="s">
        <v>677</v>
      </c>
      <c r="AC207" s="105">
        <v>0</v>
      </c>
      <c r="AD207" s="105" t="s">
        <v>678</v>
      </c>
      <c r="AE207" s="105">
        <v>8</v>
      </c>
      <c r="AF207" s="105" t="s">
        <v>679</v>
      </c>
      <c r="AG207" s="105">
        <v>26729.842000000001</v>
      </c>
      <c r="AH207" s="105" t="b">
        <v>1</v>
      </c>
      <c r="AI207" s="105">
        <v>-1</v>
      </c>
      <c r="AJ207" s="105" t="s">
        <v>680</v>
      </c>
      <c r="AK207" s="105">
        <v>0</v>
      </c>
      <c r="AL207" s="105" t="b">
        <v>0</v>
      </c>
      <c r="AM207" s="105">
        <v>26729.842000000001</v>
      </c>
      <c r="AN207" s="105" t="b">
        <v>1</v>
      </c>
      <c r="AO207" s="105">
        <v>0</v>
      </c>
      <c r="AP207" s="105" t="b">
        <v>0</v>
      </c>
      <c r="AQ207" s="105">
        <v>129021.087</v>
      </c>
      <c r="AR207" s="105"/>
      <c r="AS207" s="105">
        <v>129021.087</v>
      </c>
      <c r="AT207" s="105">
        <v>6</v>
      </c>
      <c r="AU207" s="105" t="b">
        <v>1</v>
      </c>
      <c r="AV207" s="105" t="b">
        <v>0</v>
      </c>
    </row>
    <row r="208" spans="1:48" s="46" customFormat="1">
      <c r="A208" s="105" t="s">
        <v>510</v>
      </c>
      <c r="B208" s="105" t="s">
        <v>665</v>
      </c>
      <c r="C208" s="105" t="s">
        <v>666</v>
      </c>
      <c r="D208" s="105">
        <v>20231101</v>
      </c>
      <c r="E208" s="105">
        <v>2023</v>
      </c>
      <c r="F208" s="105">
        <v>11</v>
      </c>
      <c r="G208" s="105" t="s">
        <v>725</v>
      </c>
      <c r="H208" s="105">
        <v>818</v>
      </c>
      <c r="I208" s="105" t="s">
        <v>668</v>
      </c>
      <c r="J208" s="105" t="s">
        <v>57</v>
      </c>
      <c r="K208" s="105" t="s">
        <v>666</v>
      </c>
      <c r="L208" s="105" t="s">
        <v>669</v>
      </c>
      <c r="M208" s="105">
        <v>0</v>
      </c>
      <c r="N208" s="105" t="s">
        <v>670</v>
      </c>
      <c r="O208" s="105" t="s">
        <v>23</v>
      </c>
      <c r="P208" s="105">
        <v>0</v>
      </c>
      <c r="Q208" s="105" t="s">
        <v>670</v>
      </c>
      <c r="R208" s="105" t="s">
        <v>23</v>
      </c>
      <c r="S208" s="105" t="s">
        <v>671</v>
      </c>
      <c r="T208" s="105" t="s">
        <v>672</v>
      </c>
      <c r="U208" s="105" t="b">
        <v>1</v>
      </c>
      <c r="V208" s="105" t="s">
        <v>745</v>
      </c>
      <c r="W208" s="105" t="s">
        <v>746</v>
      </c>
      <c r="X208" s="105">
        <v>6</v>
      </c>
      <c r="Y208" s="105" t="b">
        <v>1</v>
      </c>
      <c r="Z208" s="105" t="s">
        <v>675</v>
      </c>
      <c r="AA208" s="105" t="s">
        <v>676</v>
      </c>
      <c r="AB208" s="105" t="s">
        <v>677</v>
      </c>
      <c r="AC208" s="105">
        <v>0</v>
      </c>
      <c r="AD208" s="105" t="s">
        <v>678</v>
      </c>
      <c r="AE208" s="105">
        <v>8</v>
      </c>
      <c r="AF208" s="105" t="s">
        <v>679</v>
      </c>
      <c r="AG208" s="105">
        <v>194562.94200000001</v>
      </c>
      <c r="AH208" s="105" t="b">
        <v>1</v>
      </c>
      <c r="AI208" s="105">
        <v>-1</v>
      </c>
      <c r="AJ208" s="105" t="s">
        <v>680</v>
      </c>
      <c r="AK208" s="105">
        <v>0</v>
      </c>
      <c r="AL208" s="105" t="b">
        <v>0</v>
      </c>
      <c r="AM208" s="105">
        <v>194562.94200000001</v>
      </c>
      <c r="AN208" s="105" t="b">
        <v>1</v>
      </c>
      <c r="AO208" s="105">
        <v>0</v>
      </c>
      <c r="AP208" s="105" t="b">
        <v>0</v>
      </c>
      <c r="AQ208" s="105">
        <v>939127.21799999999</v>
      </c>
      <c r="AR208" s="105"/>
      <c r="AS208" s="105">
        <v>939127.21799999999</v>
      </c>
      <c r="AT208" s="105">
        <v>6</v>
      </c>
      <c r="AU208" s="105" t="b">
        <v>0</v>
      </c>
      <c r="AV208" s="105" t="b">
        <v>1</v>
      </c>
    </row>
    <row r="209" spans="1:48" s="46" customFormat="1">
      <c r="A209" s="105" t="s">
        <v>510</v>
      </c>
      <c r="B209" s="105" t="s">
        <v>665</v>
      </c>
      <c r="C209" s="105" t="s">
        <v>666</v>
      </c>
      <c r="D209" s="105">
        <v>20231101</v>
      </c>
      <c r="E209" s="105">
        <v>2023</v>
      </c>
      <c r="F209" s="105">
        <v>11</v>
      </c>
      <c r="G209" s="105" t="s">
        <v>725</v>
      </c>
      <c r="H209" s="105">
        <v>818</v>
      </c>
      <c r="I209" s="105" t="s">
        <v>668</v>
      </c>
      <c r="J209" s="105" t="s">
        <v>57</v>
      </c>
      <c r="K209" s="105" t="s">
        <v>666</v>
      </c>
      <c r="L209" s="105" t="s">
        <v>669</v>
      </c>
      <c r="M209" s="105">
        <v>40</v>
      </c>
      <c r="N209" s="105" t="s">
        <v>750</v>
      </c>
      <c r="O209" s="105" t="s">
        <v>43</v>
      </c>
      <c r="P209" s="105">
        <v>0</v>
      </c>
      <c r="Q209" s="105" t="s">
        <v>670</v>
      </c>
      <c r="R209" s="105" t="s">
        <v>23</v>
      </c>
      <c r="S209" s="105" t="s">
        <v>671</v>
      </c>
      <c r="T209" s="105" t="s">
        <v>672</v>
      </c>
      <c r="U209" s="105" t="b">
        <v>1</v>
      </c>
      <c r="V209" s="105" t="s">
        <v>745</v>
      </c>
      <c r="W209" s="105" t="s">
        <v>746</v>
      </c>
      <c r="X209" s="105">
        <v>6</v>
      </c>
      <c r="Y209" s="105" t="b">
        <v>1</v>
      </c>
      <c r="Z209" s="105" t="s">
        <v>675</v>
      </c>
      <c r="AA209" s="105" t="s">
        <v>676</v>
      </c>
      <c r="AB209" s="105" t="s">
        <v>677</v>
      </c>
      <c r="AC209" s="105">
        <v>0</v>
      </c>
      <c r="AD209" s="105" t="s">
        <v>678</v>
      </c>
      <c r="AE209" s="105">
        <v>8</v>
      </c>
      <c r="AF209" s="105" t="s">
        <v>679</v>
      </c>
      <c r="AG209" s="105">
        <v>136.62799999999999</v>
      </c>
      <c r="AH209" s="105" t="b">
        <v>1</v>
      </c>
      <c r="AI209" s="105">
        <v>-1</v>
      </c>
      <c r="AJ209" s="105" t="s">
        <v>680</v>
      </c>
      <c r="AK209" s="105">
        <v>0</v>
      </c>
      <c r="AL209" s="105" t="b">
        <v>0</v>
      </c>
      <c r="AM209" s="105">
        <v>136.62799999999999</v>
      </c>
      <c r="AN209" s="105" t="b">
        <v>1</v>
      </c>
      <c r="AO209" s="105">
        <v>0</v>
      </c>
      <c r="AP209" s="105" t="b">
        <v>0</v>
      </c>
      <c r="AQ209" s="105">
        <v>659.48199999999997</v>
      </c>
      <c r="AR209" s="105"/>
      <c r="AS209" s="105">
        <v>659.48199999999997</v>
      </c>
      <c r="AT209" s="105">
        <v>6</v>
      </c>
      <c r="AU209" s="105" t="b">
        <v>1</v>
      </c>
      <c r="AV209" s="105" t="b">
        <v>0</v>
      </c>
    </row>
    <row r="210" spans="1:48" s="46" customFormat="1">
      <c r="A210" s="105" t="s">
        <v>510</v>
      </c>
      <c r="B210" s="105" t="s">
        <v>665</v>
      </c>
      <c r="C210" s="105" t="s">
        <v>666</v>
      </c>
      <c r="D210" s="105">
        <v>20231101</v>
      </c>
      <c r="E210" s="105">
        <v>2023</v>
      </c>
      <c r="F210" s="105">
        <v>11</v>
      </c>
      <c r="G210" s="105" t="s">
        <v>725</v>
      </c>
      <c r="H210" s="105">
        <v>818</v>
      </c>
      <c r="I210" s="105" t="s">
        <v>668</v>
      </c>
      <c r="J210" s="105" t="s">
        <v>57</v>
      </c>
      <c r="K210" s="105" t="s">
        <v>666</v>
      </c>
      <c r="L210" s="105" t="s">
        <v>669</v>
      </c>
      <c r="M210" s="105">
        <v>56</v>
      </c>
      <c r="N210" s="105" t="s">
        <v>696</v>
      </c>
      <c r="O210" s="105" t="s">
        <v>74</v>
      </c>
      <c r="P210" s="105">
        <v>0</v>
      </c>
      <c r="Q210" s="105" t="s">
        <v>670</v>
      </c>
      <c r="R210" s="105" t="s">
        <v>23</v>
      </c>
      <c r="S210" s="105" t="s">
        <v>671</v>
      </c>
      <c r="T210" s="105" t="s">
        <v>672</v>
      </c>
      <c r="U210" s="105" t="b">
        <v>1</v>
      </c>
      <c r="V210" s="105" t="s">
        <v>745</v>
      </c>
      <c r="W210" s="105" t="s">
        <v>746</v>
      </c>
      <c r="X210" s="105">
        <v>6</v>
      </c>
      <c r="Y210" s="105" t="b">
        <v>1</v>
      </c>
      <c r="Z210" s="105" t="s">
        <v>675</v>
      </c>
      <c r="AA210" s="105" t="s">
        <v>676</v>
      </c>
      <c r="AB210" s="105" t="s">
        <v>677</v>
      </c>
      <c r="AC210" s="105">
        <v>0</v>
      </c>
      <c r="AD210" s="105" t="s">
        <v>678</v>
      </c>
      <c r="AE210" s="105">
        <v>8</v>
      </c>
      <c r="AF210" s="105" t="s">
        <v>679</v>
      </c>
      <c r="AG210" s="105">
        <v>11192.427</v>
      </c>
      <c r="AH210" s="105" t="b">
        <v>1</v>
      </c>
      <c r="AI210" s="105">
        <v>-1</v>
      </c>
      <c r="AJ210" s="105" t="s">
        <v>680</v>
      </c>
      <c r="AK210" s="105">
        <v>0</v>
      </c>
      <c r="AL210" s="105" t="b">
        <v>0</v>
      </c>
      <c r="AM210" s="105">
        <v>11192.427</v>
      </c>
      <c r="AN210" s="105" t="b">
        <v>1</v>
      </c>
      <c r="AO210" s="105">
        <v>0</v>
      </c>
      <c r="AP210" s="105" t="b">
        <v>0</v>
      </c>
      <c r="AQ210" s="105">
        <v>54024.23</v>
      </c>
      <c r="AR210" s="105"/>
      <c r="AS210" s="105">
        <v>54024.23</v>
      </c>
      <c r="AT210" s="105">
        <v>6</v>
      </c>
      <c r="AU210" s="105" t="b">
        <v>1</v>
      </c>
      <c r="AV210" s="105" t="b">
        <v>0</v>
      </c>
    </row>
    <row r="211" spans="1:48" s="46" customFormat="1">
      <c r="A211" s="105" t="s">
        <v>510</v>
      </c>
      <c r="B211" s="105" t="s">
        <v>665</v>
      </c>
      <c r="C211" s="105" t="s">
        <v>666</v>
      </c>
      <c r="D211" s="105">
        <v>20231101</v>
      </c>
      <c r="E211" s="105">
        <v>2023</v>
      </c>
      <c r="F211" s="105">
        <v>11</v>
      </c>
      <c r="G211" s="105" t="s">
        <v>725</v>
      </c>
      <c r="H211" s="105">
        <v>818</v>
      </c>
      <c r="I211" s="105" t="s">
        <v>668</v>
      </c>
      <c r="J211" s="105" t="s">
        <v>57</v>
      </c>
      <c r="K211" s="105" t="s">
        <v>666</v>
      </c>
      <c r="L211" s="105" t="s">
        <v>669</v>
      </c>
      <c r="M211" s="105">
        <v>156</v>
      </c>
      <c r="N211" s="105" t="s">
        <v>711</v>
      </c>
      <c r="O211" s="105" t="s">
        <v>29</v>
      </c>
      <c r="P211" s="105">
        <v>0</v>
      </c>
      <c r="Q211" s="105" t="s">
        <v>670</v>
      </c>
      <c r="R211" s="105" t="s">
        <v>23</v>
      </c>
      <c r="S211" s="105" t="s">
        <v>671</v>
      </c>
      <c r="T211" s="105" t="s">
        <v>672</v>
      </c>
      <c r="U211" s="105" t="b">
        <v>1</v>
      </c>
      <c r="V211" s="105" t="s">
        <v>745</v>
      </c>
      <c r="W211" s="105" t="s">
        <v>746</v>
      </c>
      <c r="X211" s="105">
        <v>6</v>
      </c>
      <c r="Y211" s="105" t="b">
        <v>1</v>
      </c>
      <c r="Z211" s="105" t="s">
        <v>675</v>
      </c>
      <c r="AA211" s="105" t="s">
        <v>676</v>
      </c>
      <c r="AB211" s="105" t="s">
        <v>677</v>
      </c>
      <c r="AC211" s="105">
        <v>0</v>
      </c>
      <c r="AD211" s="105" t="s">
        <v>678</v>
      </c>
      <c r="AE211" s="105">
        <v>8</v>
      </c>
      <c r="AF211" s="105" t="s">
        <v>679</v>
      </c>
      <c r="AG211" s="105">
        <v>88164.406000000003</v>
      </c>
      <c r="AH211" s="105" t="b">
        <v>1</v>
      </c>
      <c r="AI211" s="105">
        <v>-1</v>
      </c>
      <c r="AJ211" s="105" t="s">
        <v>680</v>
      </c>
      <c r="AK211" s="105">
        <v>0</v>
      </c>
      <c r="AL211" s="105" t="b">
        <v>0</v>
      </c>
      <c r="AM211" s="105">
        <v>88164.406000000003</v>
      </c>
      <c r="AN211" s="105" t="b">
        <v>1</v>
      </c>
      <c r="AO211" s="105">
        <v>0</v>
      </c>
      <c r="AP211" s="105" t="b">
        <v>0</v>
      </c>
      <c r="AQ211" s="105">
        <v>425556.85399999999</v>
      </c>
      <c r="AR211" s="105"/>
      <c r="AS211" s="105">
        <v>425556.85399999999</v>
      </c>
      <c r="AT211" s="105">
        <v>6</v>
      </c>
      <c r="AU211" s="105" t="b">
        <v>1</v>
      </c>
      <c r="AV211" s="105" t="b">
        <v>0</v>
      </c>
    </row>
    <row r="212" spans="1:48" s="46" customFormat="1">
      <c r="A212" s="105" t="s">
        <v>510</v>
      </c>
      <c r="B212" s="105" t="s">
        <v>665</v>
      </c>
      <c r="C212" s="105" t="s">
        <v>666</v>
      </c>
      <c r="D212" s="105">
        <v>20231101</v>
      </c>
      <c r="E212" s="105">
        <v>2023</v>
      </c>
      <c r="F212" s="105">
        <v>11</v>
      </c>
      <c r="G212" s="105" t="s">
        <v>725</v>
      </c>
      <c r="H212" s="105">
        <v>818</v>
      </c>
      <c r="I212" s="105" t="s">
        <v>668</v>
      </c>
      <c r="J212" s="105" t="s">
        <v>57</v>
      </c>
      <c r="K212" s="105" t="s">
        <v>666</v>
      </c>
      <c r="L212" s="105" t="s">
        <v>669</v>
      </c>
      <c r="M212" s="105">
        <v>276</v>
      </c>
      <c r="N212" s="105" t="s">
        <v>681</v>
      </c>
      <c r="O212" s="105" t="s">
        <v>30</v>
      </c>
      <c r="P212" s="105">
        <v>0</v>
      </c>
      <c r="Q212" s="105" t="s">
        <v>670</v>
      </c>
      <c r="R212" s="105" t="s">
        <v>23</v>
      </c>
      <c r="S212" s="105" t="s">
        <v>671</v>
      </c>
      <c r="T212" s="105" t="s">
        <v>672</v>
      </c>
      <c r="U212" s="105" t="b">
        <v>1</v>
      </c>
      <c r="V212" s="105" t="s">
        <v>745</v>
      </c>
      <c r="W212" s="105" t="s">
        <v>746</v>
      </c>
      <c r="X212" s="105">
        <v>6</v>
      </c>
      <c r="Y212" s="105" t="b">
        <v>1</v>
      </c>
      <c r="Z212" s="105" t="s">
        <v>675</v>
      </c>
      <c r="AA212" s="105" t="s">
        <v>676</v>
      </c>
      <c r="AB212" s="105" t="s">
        <v>677</v>
      </c>
      <c r="AC212" s="105">
        <v>0</v>
      </c>
      <c r="AD212" s="105" t="s">
        <v>678</v>
      </c>
      <c r="AE212" s="105">
        <v>8</v>
      </c>
      <c r="AF212" s="105" t="s">
        <v>679</v>
      </c>
      <c r="AG212" s="105">
        <v>30878.744999999999</v>
      </c>
      <c r="AH212" s="105" t="b">
        <v>1</v>
      </c>
      <c r="AI212" s="105">
        <v>-1</v>
      </c>
      <c r="AJ212" s="105" t="s">
        <v>680</v>
      </c>
      <c r="AK212" s="105">
        <v>0</v>
      </c>
      <c r="AL212" s="105" t="b">
        <v>0</v>
      </c>
      <c r="AM212" s="105">
        <v>30878.744999999999</v>
      </c>
      <c r="AN212" s="105" t="b">
        <v>1</v>
      </c>
      <c r="AO212" s="105">
        <v>0</v>
      </c>
      <c r="AP212" s="105" t="b">
        <v>0</v>
      </c>
      <c r="AQ212" s="105">
        <v>149047.24</v>
      </c>
      <c r="AR212" s="105"/>
      <c r="AS212" s="105">
        <v>149047.24</v>
      </c>
      <c r="AT212" s="105">
        <v>6</v>
      </c>
      <c r="AU212" s="105" t="b">
        <v>1</v>
      </c>
      <c r="AV212" s="105" t="b">
        <v>0</v>
      </c>
    </row>
    <row r="213" spans="1:48" s="46" customFormat="1">
      <c r="A213" s="105" t="s">
        <v>510</v>
      </c>
      <c r="B213" s="105" t="s">
        <v>665</v>
      </c>
      <c r="C213" s="105" t="s">
        <v>666</v>
      </c>
      <c r="D213" s="105">
        <v>20231101</v>
      </c>
      <c r="E213" s="105">
        <v>2023</v>
      </c>
      <c r="F213" s="105">
        <v>11</v>
      </c>
      <c r="G213" s="105" t="s">
        <v>725</v>
      </c>
      <c r="H213" s="105">
        <v>818</v>
      </c>
      <c r="I213" s="105" t="s">
        <v>668</v>
      </c>
      <c r="J213" s="105" t="s">
        <v>57</v>
      </c>
      <c r="K213" s="105" t="s">
        <v>666</v>
      </c>
      <c r="L213" s="105" t="s">
        <v>669</v>
      </c>
      <c r="M213" s="105">
        <v>380</v>
      </c>
      <c r="N213" s="105" t="s">
        <v>689</v>
      </c>
      <c r="O213" s="105" t="s">
        <v>71</v>
      </c>
      <c r="P213" s="105">
        <v>0</v>
      </c>
      <c r="Q213" s="105" t="s">
        <v>670</v>
      </c>
      <c r="R213" s="105" t="s">
        <v>23</v>
      </c>
      <c r="S213" s="105" t="s">
        <v>671</v>
      </c>
      <c r="T213" s="105" t="s">
        <v>672</v>
      </c>
      <c r="U213" s="105" t="b">
        <v>1</v>
      </c>
      <c r="V213" s="105" t="s">
        <v>745</v>
      </c>
      <c r="W213" s="105" t="s">
        <v>746</v>
      </c>
      <c r="X213" s="105">
        <v>6</v>
      </c>
      <c r="Y213" s="105" t="b">
        <v>1</v>
      </c>
      <c r="Z213" s="105" t="s">
        <v>675</v>
      </c>
      <c r="AA213" s="105" t="s">
        <v>676</v>
      </c>
      <c r="AB213" s="105" t="s">
        <v>677</v>
      </c>
      <c r="AC213" s="105">
        <v>0</v>
      </c>
      <c r="AD213" s="105" t="s">
        <v>678</v>
      </c>
      <c r="AE213" s="105">
        <v>8</v>
      </c>
      <c r="AF213" s="105" t="s">
        <v>679</v>
      </c>
      <c r="AG213" s="105">
        <v>1203.221</v>
      </c>
      <c r="AH213" s="105" t="b">
        <v>1</v>
      </c>
      <c r="AI213" s="105">
        <v>-1</v>
      </c>
      <c r="AJ213" s="105" t="s">
        <v>680</v>
      </c>
      <c r="AK213" s="105">
        <v>0</v>
      </c>
      <c r="AL213" s="105" t="b">
        <v>0</v>
      </c>
      <c r="AM213" s="105">
        <v>1203.221</v>
      </c>
      <c r="AN213" s="105" t="b">
        <v>1</v>
      </c>
      <c r="AO213" s="105">
        <v>0</v>
      </c>
      <c r="AP213" s="105" t="b">
        <v>0</v>
      </c>
      <c r="AQ213" s="105">
        <v>5807.7730000000001</v>
      </c>
      <c r="AR213" s="105"/>
      <c r="AS213" s="105">
        <v>5807.7730000000001</v>
      </c>
      <c r="AT213" s="105">
        <v>6</v>
      </c>
      <c r="AU213" s="105" t="b">
        <v>1</v>
      </c>
      <c r="AV213" s="105" t="b">
        <v>0</v>
      </c>
    </row>
    <row r="214" spans="1:48" s="46" customFormat="1">
      <c r="A214" s="105" t="s">
        <v>510</v>
      </c>
      <c r="B214" s="105" t="s">
        <v>665</v>
      </c>
      <c r="C214" s="105" t="s">
        <v>666</v>
      </c>
      <c r="D214" s="105">
        <v>20231101</v>
      </c>
      <c r="E214" s="105">
        <v>2023</v>
      </c>
      <c r="F214" s="105">
        <v>11</v>
      </c>
      <c r="G214" s="105" t="s">
        <v>725</v>
      </c>
      <c r="H214" s="105">
        <v>818</v>
      </c>
      <c r="I214" s="105" t="s">
        <v>668</v>
      </c>
      <c r="J214" s="105" t="s">
        <v>57</v>
      </c>
      <c r="K214" s="105" t="s">
        <v>666</v>
      </c>
      <c r="L214" s="105" t="s">
        <v>669</v>
      </c>
      <c r="M214" s="105">
        <v>392</v>
      </c>
      <c r="N214" s="105" t="s">
        <v>747</v>
      </c>
      <c r="O214" s="105" t="s">
        <v>32</v>
      </c>
      <c r="P214" s="105">
        <v>0</v>
      </c>
      <c r="Q214" s="105" t="s">
        <v>670</v>
      </c>
      <c r="R214" s="105" t="s">
        <v>23</v>
      </c>
      <c r="S214" s="105" t="s">
        <v>671</v>
      </c>
      <c r="T214" s="105" t="s">
        <v>672</v>
      </c>
      <c r="U214" s="105" t="b">
        <v>1</v>
      </c>
      <c r="V214" s="105" t="s">
        <v>745</v>
      </c>
      <c r="W214" s="105" t="s">
        <v>746</v>
      </c>
      <c r="X214" s="105">
        <v>6</v>
      </c>
      <c r="Y214" s="105" t="b">
        <v>1</v>
      </c>
      <c r="Z214" s="105" t="s">
        <v>675</v>
      </c>
      <c r="AA214" s="105" t="s">
        <v>676</v>
      </c>
      <c r="AB214" s="105" t="s">
        <v>677</v>
      </c>
      <c r="AC214" s="105">
        <v>0</v>
      </c>
      <c r="AD214" s="105" t="s">
        <v>678</v>
      </c>
      <c r="AE214" s="105">
        <v>8</v>
      </c>
      <c r="AF214" s="105" t="s">
        <v>679</v>
      </c>
      <c r="AG214" s="105">
        <v>38905.606</v>
      </c>
      <c r="AH214" s="105" t="b">
        <v>1</v>
      </c>
      <c r="AI214" s="105">
        <v>-1</v>
      </c>
      <c r="AJ214" s="105" t="s">
        <v>680</v>
      </c>
      <c r="AK214" s="105">
        <v>0</v>
      </c>
      <c r="AL214" s="105" t="b">
        <v>0</v>
      </c>
      <c r="AM214" s="105">
        <v>38905.606</v>
      </c>
      <c r="AN214" s="105" t="b">
        <v>1</v>
      </c>
      <c r="AO214" s="105">
        <v>0</v>
      </c>
      <c r="AP214" s="105" t="b">
        <v>0</v>
      </c>
      <c r="AQ214" s="105">
        <v>187791.742</v>
      </c>
      <c r="AR214" s="105"/>
      <c r="AS214" s="105">
        <v>187791.742</v>
      </c>
      <c r="AT214" s="105">
        <v>6</v>
      </c>
      <c r="AU214" s="105" t="b">
        <v>1</v>
      </c>
      <c r="AV214" s="105" t="b">
        <v>0</v>
      </c>
    </row>
    <row r="215" spans="1:48" s="46" customFormat="1">
      <c r="A215" s="105" t="s">
        <v>510</v>
      </c>
      <c r="B215" s="105" t="s">
        <v>665</v>
      </c>
      <c r="C215" s="105" t="s">
        <v>666</v>
      </c>
      <c r="D215" s="105">
        <v>20231101</v>
      </c>
      <c r="E215" s="105">
        <v>2023</v>
      </c>
      <c r="F215" s="105">
        <v>11</v>
      </c>
      <c r="G215" s="105" t="s">
        <v>725</v>
      </c>
      <c r="H215" s="105">
        <v>818</v>
      </c>
      <c r="I215" s="105" t="s">
        <v>668</v>
      </c>
      <c r="J215" s="105" t="s">
        <v>57</v>
      </c>
      <c r="K215" s="105" t="s">
        <v>666</v>
      </c>
      <c r="L215" s="105" t="s">
        <v>669</v>
      </c>
      <c r="M215" s="105">
        <v>643</v>
      </c>
      <c r="N215" s="105" t="s">
        <v>761</v>
      </c>
      <c r="O215" s="105" t="s">
        <v>38</v>
      </c>
      <c r="P215" s="105">
        <v>0</v>
      </c>
      <c r="Q215" s="105" t="s">
        <v>670</v>
      </c>
      <c r="R215" s="105" t="s">
        <v>23</v>
      </c>
      <c r="S215" s="105" t="s">
        <v>671</v>
      </c>
      <c r="T215" s="105" t="s">
        <v>672</v>
      </c>
      <c r="U215" s="105" t="b">
        <v>1</v>
      </c>
      <c r="V215" s="105" t="s">
        <v>745</v>
      </c>
      <c r="W215" s="105" t="s">
        <v>746</v>
      </c>
      <c r="X215" s="105">
        <v>6</v>
      </c>
      <c r="Y215" s="105" t="b">
        <v>1</v>
      </c>
      <c r="Z215" s="105" t="s">
        <v>675</v>
      </c>
      <c r="AA215" s="105" t="s">
        <v>676</v>
      </c>
      <c r="AB215" s="105" t="s">
        <v>677</v>
      </c>
      <c r="AC215" s="105">
        <v>0</v>
      </c>
      <c r="AD215" s="105" t="s">
        <v>678</v>
      </c>
      <c r="AE215" s="105">
        <v>8</v>
      </c>
      <c r="AF215" s="105" t="s">
        <v>679</v>
      </c>
      <c r="AG215" s="105">
        <v>1018.519</v>
      </c>
      <c r="AH215" s="105" t="b">
        <v>1</v>
      </c>
      <c r="AI215" s="105">
        <v>-1</v>
      </c>
      <c r="AJ215" s="105" t="s">
        <v>680</v>
      </c>
      <c r="AK215" s="105">
        <v>0</v>
      </c>
      <c r="AL215" s="105" t="b">
        <v>0</v>
      </c>
      <c r="AM215" s="105">
        <v>1018.519</v>
      </c>
      <c r="AN215" s="105" t="b">
        <v>1</v>
      </c>
      <c r="AO215" s="105">
        <v>0</v>
      </c>
      <c r="AP215" s="105" t="b">
        <v>0</v>
      </c>
      <c r="AQ215" s="105">
        <v>4916.2430000000004</v>
      </c>
      <c r="AR215" s="105"/>
      <c r="AS215" s="105">
        <v>4916.2430000000004</v>
      </c>
      <c r="AT215" s="105">
        <v>6</v>
      </c>
      <c r="AU215" s="105" t="b">
        <v>1</v>
      </c>
      <c r="AV215" s="105" t="b">
        <v>0</v>
      </c>
    </row>
    <row r="216" spans="1:48" s="46" customFormat="1">
      <c r="A216" s="105" t="s">
        <v>510</v>
      </c>
      <c r="B216" s="105" t="s">
        <v>665</v>
      </c>
      <c r="C216" s="105" t="s">
        <v>666</v>
      </c>
      <c r="D216" s="105">
        <v>20231101</v>
      </c>
      <c r="E216" s="105">
        <v>2023</v>
      </c>
      <c r="F216" s="105">
        <v>11</v>
      </c>
      <c r="G216" s="105" t="s">
        <v>725</v>
      </c>
      <c r="H216" s="105">
        <v>818</v>
      </c>
      <c r="I216" s="105" t="s">
        <v>668</v>
      </c>
      <c r="J216" s="105" t="s">
        <v>57</v>
      </c>
      <c r="K216" s="105" t="s">
        <v>666</v>
      </c>
      <c r="L216" s="105" t="s">
        <v>669</v>
      </c>
      <c r="M216" s="105">
        <v>699</v>
      </c>
      <c r="N216" s="105" t="s">
        <v>748</v>
      </c>
      <c r="O216" s="105" t="s">
        <v>0</v>
      </c>
      <c r="P216" s="105">
        <v>0</v>
      </c>
      <c r="Q216" s="105" t="s">
        <v>670</v>
      </c>
      <c r="R216" s="105" t="s">
        <v>23</v>
      </c>
      <c r="S216" s="105" t="s">
        <v>671</v>
      </c>
      <c r="T216" s="105" t="s">
        <v>672</v>
      </c>
      <c r="U216" s="105" t="b">
        <v>1</v>
      </c>
      <c r="V216" s="105" t="s">
        <v>745</v>
      </c>
      <c r="W216" s="105" t="s">
        <v>746</v>
      </c>
      <c r="X216" s="105">
        <v>6</v>
      </c>
      <c r="Y216" s="105" t="b">
        <v>1</v>
      </c>
      <c r="Z216" s="105" t="s">
        <v>675</v>
      </c>
      <c r="AA216" s="105" t="s">
        <v>676</v>
      </c>
      <c r="AB216" s="105" t="s">
        <v>677</v>
      </c>
      <c r="AC216" s="105">
        <v>0</v>
      </c>
      <c r="AD216" s="105" t="s">
        <v>678</v>
      </c>
      <c r="AE216" s="105">
        <v>8</v>
      </c>
      <c r="AF216" s="105" t="s">
        <v>679</v>
      </c>
      <c r="AG216" s="105">
        <v>7528.6210000000001</v>
      </c>
      <c r="AH216" s="105" t="b">
        <v>1</v>
      </c>
      <c r="AI216" s="105">
        <v>-1</v>
      </c>
      <c r="AJ216" s="105" t="s">
        <v>680</v>
      </c>
      <c r="AK216" s="105">
        <v>0</v>
      </c>
      <c r="AL216" s="105" t="b">
        <v>0</v>
      </c>
      <c r="AM216" s="105">
        <v>7528.6210000000001</v>
      </c>
      <c r="AN216" s="105" t="b">
        <v>1</v>
      </c>
      <c r="AO216" s="105">
        <v>0</v>
      </c>
      <c r="AP216" s="105" t="b">
        <v>0</v>
      </c>
      <c r="AQ216" s="105">
        <v>36339.565999999999</v>
      </c>
      <c r="AR216" s="105"/>
      <c r="AS216" s="105">
        <v>36339.565999999999</v>
      </c>
      <c r="AT216" s="105">
        <v>6</v>
      </c>
      <c r="AU216" s="105" t="b">
        <v>1</v>
      </c>
      <c r="AV216" s="105" t="b">
        <v>0</v>
      </c>
    </row>
    <row r="217" spans="1:48" s="46" customFormat="1">
      <c r="A217" s="105" t="s">
        <v>510</v>
      </c>
      <c r="B217" s="105" t="s">
        <v>665</v>
      </c>
      <c r="C217" s="105" t="s">
        <v>666</v>
      </c>
      <c r="D217" s="105">
        <v>20231101</v>
      </c>
      <c r="E217" s="105">
        <v>2023</v>
      </c>
      <c r="F217" s="105">
        <v>11</v>
      </c>
      <c r="G217" s="105" t="s">
        <v>725</v>
      </c>
      <c r="H217" s="105">
        <v>818</v>
      </c>
      <c r="I217" s="105" t="s">
        <v>668</v>
      </c>
      <c r="J217" s="105" t="s">
        <v>57</v>
      </c>
      <c r="K217" s="105" t="s">
        <v>666</v>
      </c>
      <c r="L217" s="105" t="s">
        <v>669</v>
      </c>
      <c r="M217" s="105">
        <v>792</v>
      </c>
      <c r="N217" s="105" t="s">
        <v>691</v>
      </c>
      <c r="O217" s="105" t="s">
        <v>63</v>
      </c>
      <c r="P217" s="105">
        <v>0</v>
      </c>
      <c r="Q217" s="105" t="s">
        <v>670</v>
      </c>
      <c r="R217" s="105" t="s">
        <v>23</v>
      </c>
      <c r="S217" s="105" t="s">
        <v>671</v>
      </c>
      <c r="T217" s="105" t="s">
        <v>672</v>
      </c>
      <c r="U217" s="105" t="b">
        <v>1</v>
      </c>
      <c r="V217" s="105" t="s">
        <v>745</v>
      </c>
      <c r="W217" s="105" t="s">
        <v>746</v>
      </c>
      <c r="X217" s="105">
        <v>6</v>
      </c>
      <c r="Y217" s="105" t="b">
        <v>1</v>
      </c>
      <c r="Z217" s="105" t="s">
        <v>675</v>
      </c>
      <c r="AA217" s="105" t="s">
        <v>676</v>
      </c>
      <c r="AB217" s="105" t="s">
        <v>677</v>
      </c>
      <c r="AC217" s="105">
        <v>0</v>
      </c>
      <c r="AD217" s="105" t="s">
        <v>678</v>
      </c>
      <c r="AE217" s="105">
        <v>8</v>
      </c>
      <c r="AF217" s="105" t="s">
        <v>679</v>
      </c>
      <c r="AG217" s="105">
        <v>7937.1019999999999</v>
      </c>
      <c r="AH217" s="105" t="b">
        <v>1</v>
      </c>
      <c r="AI217" s="105">
        <v>-1</v>
      </c>
      <c r="AJ217" s="105" t="s">
        <v>680</v>
      </c>
      <c r="AK217" s="105">
        <v>0</v>
      </c>
      <c r="AL217" s="105" t="b">
        <v>0</v>
      </c>
      <c r="AM217" s="105">
        <v>7937.1019999999999</v>
      </c>
      <c r="AN217" s="105" t="b">
        <v>1</v>
      </c>
      <c r="AO217" s="105">
        <v>0</v>
      </c>
      <c r="AP217" s="105" t="b">
        <v>0</v>
      </c>
      <c r="AQ217" s="105">
        <v>38311.243999999999</v>
      </c>
      <c r="AR217" s="105"/>
      <c r="AS217" s="105">
        <v>38311.243999999999</v>
      </c>
      <c r="AT217" s="105">
        <v>6</v>
      </c>
      <c r="AU217" s="105" t="b">
        <v>1</v>
      </c>
      <c r="AV217" s="105" t="b">
        <v>0</v>
      </c>
    </row>
    <row r="218" spans="1:48" s="46" customFormat="1">
      <c r="A218" s="105" t="s">
        <v>510</v>
      </c>
      <c r="B218" s="105" t="s">
        <v>665</v>
      </c>
      <c r="C218" s="105" t="s">
        <v>666</v>
      </c>
      <c r="D218" s="105">
        <v>20231101</v>
      </c>
      <c r="E218" s="105">
        <v>2023</v>
      </c>
      <c r="F218" s="105">
        <v>11</v>
      </c>
      <c r="G218" s="105" t="s">
        <v>725</v>
      </c>
      <c r="H218" s="105">
        <v>818</v>
      </c>
      <c r="I218" s="105" t="s">
        <v>668</v>
      </c>
      <c r="J218" s="105" t="s">
        <v>57</v>
      </c>
      <c r="K218" s="105" t="s">
        <v>666</v>
      </c>
      <c r="L218" s="105" t="s">
        <v>669</v>
      </c>
      <c r="M218" s="105">
        <v>826</v>
      </c>
      <c r="N218" s="105" t="s">
        <v>685</v>
      </c>
      <c r="O218" s="105" t="s">
        <v>64</v>
      </c>
      <c r="P218" s="105">
        <v>0</v>
      </c>
      <c r="Q218" s="105" t="s">
        <v>670</v>
      </c>
      <c r="R218" s="105" t="s">
        <v>23</v>
      </c>
      <c r="S218" s="105" t="s">
        <v>671</v>
      </c>
      <c r="T218" s="105" t="s">
        <v>672</v>
      </c>
      <c r="U218" s="105" t="b">
        <v>1</v>
      </c>
      <c r="V218" s="105" t="s">
        <v>745</v>
      </c>
      <c r="W218" s="105" t="s">
        <v>746</v>
      </c>
      <c r="X218" s="105">
        <v>6</v>
      </c>
      <c r="Y218" s="105" t="b">
        <v>1</v>
      </c>
      <c r="Z218" s="105" t="s">
        <v>675</v>
      </c>
      <c r="AA218" s="105" t="s">
        <v>676</v>
      </c>
      <c r="AB218" s="105" t="s">
        <v>677</v>
      </c>
      <c r="AC218" s="105">
        <v>0</v>
      </c>
      <c r="AD218" s="105" t="s">
        <v>678</v>
      </c>
      <c r="AE218" s="105">
        <v>8</v>
      </c>
      <c r="AF218" s="105" t="s">
        <v>679</v>
      </c>
      <c r="AG218" s="105">
        <v>7597.6670000000004</v>
      </c>
      <c r="AH218" s="105" t="b">
        <v>1</v>
      </c>
      <c r="AI218" s="105">
        <v>-1</v>
      </c>
      <c r="AJ218" s="105" t="s">
        <v>680</v>
      </c>
      <c r="AK218" s="105">
        <v>0</v>
      </c>
      <c r="AL218" s="105" t="b">
        <v>0</v>
      </c>
      <c r="AM218" s="105">
        <v>7597.6670000000004</v>
      </c>
      <c r="AN218" s="105" t="b">
        <v>1</v>
      </c>
      <c r="AO218" s="105">
        <v>0</v>
      </c>
      <c r="AP218" s="105" t="b">
        <v>0</v>
      </c>
      <c r="AQ218" s="105">
        <v>36672.843999999997</v>
      </c>
      <c r="AR218" s="105"/>
      <c r="AS218" s="105">
        <v>36672.843999999997</v>
      </c>
      <c r="AT218" s="105">
        <v>6</v>
      </c>
      <c r="AU218" s="105" t="b">
        <v>1</v>
      </c>
      <c r="AV218" s="105" t="b">
        <v>0</v>
      </c>
    </row>
    <row r="219" spans="1:48" s="46" customFormat="1">
      <c r="A219" s="105" t="s">
        <v>510</v>
      </c>
      <c r="B219" s="105" t="s">
        <v>665</v>
      </c>
      <c r="C219" s="105" t="s">
        <v>666</v>
      </c>
      <c r="D219" s="105">
        <v>20231201</v>
      </c>
      <c r="E219" s="105">
        <v>2023</v>
      </c>
      <c r="F219" s="105">
        <v>12</v>
      </c>
      <c r="G219" s="105" t="s">
        <v>726</v>
      </c>
      <c r="H219" s="105">
        <v>818</v>
      </c>
      <c r="I219" s="105" t="s">
        <v>668</v>
      </c>
      <c r="J219" s="105" t="s">
        <v>57</v>
      </c>
      <c r="K219" s="105" t="s">
        <v>666</v>
      </c>
      <c r="L219" s="105" t="s">
        <v>669</v>
      </c>
      <c r="M219" s="105">
        <v>0</v>
      </c>
      <c r="N219" s="105" t="s">
        <v>670</v>
      </c>
      <c r="O219" s="105" t="s">
        <v>23</v>
      </c>
      <c r="P219" s="105">
        <v>0</v>
      </c>
      <c r="Q219" s="105" t="s">
        <v>670</v>
      </c>
      <c r="R219" s="105" t="s">
        <v>23</v>
      </c>
      <c r="S219" s="105" t="s">
        <v>671</v>
      </c>
      <c r="T219" s="105" t="s">
        <v>672</v>
      </c>
      <c r="U219" s="105" t="b">
        <v>1</v>
      </c>
      <c r="V219" s="105" t="s">
        <v>745</v>
      </c>
      <c r="W219" s="105" t="s">
        <v>746</v>
      </c>
      <c r="X219" s="105">
        <v>6</v>
      </c>
      <c r="Y219" s="105" t="b">
        <v>1</v>
      </c>
      <c r="Z219" s="105" t="s">
        <v>675</v>
      </c>
      <c r="AA219" s="105" t="s">
        <v>676</v>
      </c>
      <c r="AB219" s="105" t="s">
        <v>677</v>
      </c>
      <c r="AC219" s="105">
        <v>0</v>
      </c>
      <c r="AD219" s="105" t="s">
        <v>678</v>
      </c>
      <c r="AE219" s="105">
        <v>8</v>
      </c>
      <c r="AF219" s="105" t="s">
        <v>679</v>
      </c>
      <c r="AG219" s="105">
        <v>88182.323000000004</v>
      </c>
      <c r="AH219" s="105" t="b">
        <v>1</v>
      </c>
      <c r="AI219" s="105">
        <v>-1</v>
      </c>
      <c r="AJ219" s="105" t="s">
        <v>680</v>
      </c>
      <c r="AK219" s="105">
        <v>0</v>
      </c>
      <c r="AL219" s="105" t="b">
        <v>0</v>
      </c>
      <c r="AM219" s="105">
        <v>88182.323000000004</v>
      </c>
      <c r="AN219" s="105" t="b">
        <v>1</v>
      </c>
      <c r="AO219" s="105">
        <v>0</v>
      </c>
      <c r="AP219" s="105" t="b">
        <v>0</v>
      </c>
      <c r="AQ219" s="105">
        <v>425643.33399999997</v>
      </c>
      <c r="AR219" s="105"/>
      <c r="AS219" s="105">
        <v>425643.33399999997</v>
      </c>
      <c r="AT219" s="105">
        <v>6</v>
      </c>
      <c r="AU219" s="105" t="b">
        <v>0</v>
      </c>
      <c r="AV219" s="105" t="b">
        <v>1</v>
      </c>
    </row>
    <row r="220" spans="1:48" s="46" customFormat="1">
      <c r="A220" s="105" t="s">
        <v>510</v>
      </c>
      <c r="B220" s="105" t="s">
        <v>665</v>
      </c>
      <c r="C220" s="105" t="s">
        <v>666</v>
      </c>
      <c r="D220" s="105">
        <v>20231201</v>
      </c>
      <c r="E220" s="105">
        <v>2023</v>
      </c>
      <c r="F220" s="105">
        <v>12</v>
      </c>
      <c r="G220" s="105" t="s">
        <v>726</v>
      </c>
      <c r="H220" s="105">
        <v>818</v>
      </c>
      <c r="I220" s="105" t="s">
        <v>668</v>
      </c>
      <c r="J220" s="105" t="s">
        <v>57</v>
      </c>
      <c r="K220" s="105" t="s">
        <v>666</v>
      </c>
      <c r="L220" s="105" t="s">
        <v>669</v>
      </c>
      <c r="M220" s="105">
        <v>156</v>
      </c>
      <c r="N220" s="105" t="s">
        <v>711</v>
      </c>
      <c r="O220" s="105" t="s">
        <v>29</v>
      </c>
      <c r="P220" s="105">
        <v>0</v>
      </c>
      <c r="Q220" s="105" t="s">
        <v>670</v>
      </c>
      <c r="R220" s="105" t="s">
        <v>23</v>
      </c>
      <c r="S220" s="105" t="s">
        <v>671</v>
      </c>
      <c r="T220" s="105" t="s">
        <v>672</v>
      </c>
      <c r="U220" s="105" t="b">
        <v>1</v>
      </c>
      <c r="V220" s="105" t="s">
        <v>745</v>
      </c>
      <c r="W220" s="105" t="s">
        <v>746</v>
      </c>
      <c r="X220" s="105">
        <v>6</v>
      </c>
      <c r="Y220" s="105" t="b">
        <v>1</v>
      </c>
      <c r="Z220" s="105" t="s">
        <v>675</v>
      </c>
      <c r="AA220" s="105" t="s">
        <v>676</v>
      </c>
      <c r="AB220" s="105" t="s">
        <v>677</v>
      </c>
      <c r="AC220" s="105">
        <v>0</v>
      </c>
      <c r="AD220" s="105" t="s">
        <v>678</v>
      </c>
      <c r="AE220" s="105">
        <v>8</v>
      </c>
      <c r="AF220" s="105" t="s">
        <v>679</v>
      </c>
      <c r="AG220" s="105">
        <v>23120.346000000001</v>
      </c>
      <c r="AH220" s="105" t="b">
        <v>1</v>
      </c>
      <c r="AI220" s="105">
        <v>-1</v>
      </c>
      <c r="AJ220" s="105" t="s">
        <v>680</v>
      </c>
      <c r="AK220" s="105">
        <v>0</v>
      </c>
      <c r="AL220" s="105" t="b">
        <v>0</v>
      </c>
      <c r="AM220" s="105">
        <v>23120.346000000001</v>
      </c>
      <c r="AN220" s="105" t="b">
        <v>1</v>
      </c>
      <c r="AO220" s="105">
        <v>0</v>
      </c>
      <c r="AP220" s="105" t="b">
        <v>0</v>
      </c>
      <c r="AQ220" s="105">
        <v>111598.573</v>
      </c>
      <c r="AR220" s="105"/>
      <c r="AS220" s="105">
        <v>111598.573</v>
      </c>
      <c r="AT220" s="105">
        <v>6</v>
      </c>
      <c r="AU220" s="105" t="b">
        <v>1</v>
      </c>
      <c r="AV220" s="105" t="b">
        <v>0</v>
      </c>
    </row>
    <row r="221" spans="1:48" s="46" customFormat="1">
      <c r="A221" s="105" t="s">
        <v>510</v>
      </c>
      <c r="B221" s="105" t="s">
        <v>665</v>
      </c>
      <c r="C221" s="105" t="s">
        <v>666</v>
      </c>
      <c r="D221" s="105">
        <v>20231201</v>
      </c>
      <c r="E221" s="105">
        <v>2023</v>
      </c>
      <c r="F221" s="105">
        <v>12</v>
      </c>
      <c r="G221" s="105" t="s">
        <v>726</v>
      </c>
      <c r="H221" s="105">
        <v>818</v>
      </c>
      <c r="I221" s="105" t="s">
        <v>668</v>
      </c>
      <c r="J221" s="105" t="s">
        <v>57</v>
      </c>
      <c r="K221" s="105" t="s">
        <v>666</v>
      </c>
      <c r="L221" s="105" t="s">
        <v>669</v>
      </c>
      <c r="M221" s="105">
        <v>276</v>
      </c>
      <c r="N221" s="105" t="s">
        <v>681</v>
      </c>
      <c r="O221" s="105" t="s">
        <v>30</v>
      </c>
      <c r="P221" s="105">
        <v>0</v>
      </c>
      <c r="Q221" s="105" t="s">
        <v>670</v>
      </c>
      <c r="R221" s="105" t="s">
        <v>23</v>
      </c>
      <c r="S221" s="105" t="s">
        <v>671</v>
      </c>
      <c r="T221" s="105" t="s">
        <v>672</v>
      </c>
      <c r="U221" s="105" t="b">
        <v>1</v>
      </c>
      <c r="V221" s="105" t="s">
        <v>745</v>
      </c>
      <c r="W221" s="105" t="s">
        <v>746</v>
      </c>
      <c r="X221" s="105">
        <v>6</v>
      </c>
      <c r="Y221" s="105" t="b">
        <v>1</v>
      </c>
      <c r="Z221" s="105" t="s">
        <v>675</v>
      </c>
      <c r="AA221" s="105" t="s">
        <v>676</v>
      </c>
      <c r="AB221" s="105" t="s">
        <v>677</v>
      </c>
      <c r="AC221" s="105">
        <v>0</v>
      </c>
      <c r="AD221" s="105" t="s">
        <v>678</v>
      </c>
      <c r="AE221" s="105">
        <v>8</v>
      </c>
      <c r="AF221" s="105" t="s">
        <v>679</v>
      </c>
      <c r="AG221" s="105">
        <v>13501.35</v>
      </c>
      <c r="AH221" s="105" t="b">
        <v>1</v>
      </c>
      <c r="AI221" s="105">
        <v>-1</v>
      </c>
      <c r="AJ221" s="105" t="s">
        <v>680</v>
      </c>
      <c r="AK221" s="105">
        <v>0</v>
      </c>
      <c r="AL221" s="105" t="b">
        <v>0</v>
      </c>
      <c r="AM221" s="105">
        <v>13501.35</v>
      </c>
      <c r="AN221" s="105" t="b">
        <v>1</v>
      </c>
      <c r="AO221" s="105">
        <v>0</v>
      </c>
      <c r="AP221" s="105" t="b">
        <v>0</v>
      </c>
      <c r="AQ221" s="105">
        <v>65169.067000000003</v>
      </c>
      <c r="AR221" s="105"/>
      <c r="AS221" s="105">
        <v>65169.067000000003</v>
      </c>
      <c r="AT221" s="105">
        <v>6</v>
      </c>
      <c r="AU221" s="105" t="b">
        <v>1</v>
      </c>
      <c r="AV221" s="105" t="b">
        <v>0</v>
      </c>
    </row>
    <row r="222" spans="1:48" s="46" customFormat="1">
      <c r="A222" s="105" t="s">
        <v>510</v>
      </c>
      <c r="B222" s="105" t="s">
        <v>665</v>
      </c>
      <c r="C222" s="105" t="s">
        <v>666</v>
      </c>
      <c r="D222" s="105">
        <v>20231201</v>
      </c>
      <c r="E222" s="105">
        <v>2023</v>
      </c>
      <c r="F222" s="105">
        <v>12</v>
      </c>
      <c r="G222" s="105" t="s">
        <v>726</v>
      </c>
      <c r="H222" s="105">
        <v>818</v>
      </c>
      <c r="I222" s="105" t="s">
        <v>668</v>
      </c>
      <c r="J222" s="105" t="s">
        <v>57</v>
      </c>
      <c r="K222" s="105" t="s">
        <v>666</v>
      </c>
      <c r="L222" s="105" t="s">
        <v>669</v>
      </c>
      <c r="M222" s="105">
        <v>380</v>
      </c>
      <c r="N222" s="105" t="s">
        <v>689</v>
      </c>
      <c r="O222" s="105" t="s">
        <v>71</v>
      </c>
      <c r="P222" s="105">
        <v>0</v>
      </c>
      <c r="Q222" s="105" t="s">
        <v>670</v>
      </c>
      <c r="R222" s="105" t="s">
        <v>23</v>
      </c>
      <c r="S222" s="105" t="s">
        <v>671</v>
      </c>
      <c r="T222" s="105" t="s">
        <v>672</v>
      </c>
      <c r="U222" s="105" t="b">
        <v>1</v>
      </c>
      <c r="V222" s="105" t="s">
        <v>745</v>
      </c>
      <c r="W222" s="105" t="s">
        <v>746</v>
      </c>
      <c r="X222" s="105">
        <v>6</v>
      </c>
      <c r="Y222" s="105" t="b">
        <v>1</v>
      </c>
      <c r="Z222" s="105" t="s">
        <v>675</v>
      </c>
      <c r="AA222" s="105" t="s">
        <v>676</v>
      </c>
      <c r="AB222" s="105" t="s">
        <v>677</v>
      </c>
      <c r="AC222" s="105">
        <v>0</v>
      </c>
      <c r="AD222" s="105" t="s">
        <v>678</v>
      </c>
      <c r="AE222" s="105">
        <v>8</v>
      </c>
      <c r="AF222" s="105" t="s">
        <v>679</v>
      </c>
      <c r="AG222" s="105">
        <v>2503.018</v>
      </c>
      <c r="AH222" s="105" t="b">
        <v>1</v>
      </c>
      <c r="AI222" s="105">
        <v>-1</v>
      </c>
      <c r="AJ222" s="105" t="s">
        <v>680</v>
      </c>
      <c r="AK222" s="105">
        <v>0</v>
      </c>
      <c r="AL222" s="105" t="b">
        <v>0</v>
      </c>
      <c r="AM222" s="105">
        <v>2503.018</v>
      </c>
      <c r="AN222" s="105" t="b">
        <v>1</v>
      </c>
      <c r="AO222" s="105">
        <v>0</v>
      </c>
      <c r="AP222" s="105" t="b">
        <v>0</v>
      </c>
      <c r="AQ222" s="105">
        <v>12081.707</v>
      </c>
      <c r="AR222" s="105"/>
      <c r="AS222" s="105">
        <v>12081.707</v>
      </c>
      <c r="AT222" s="105">
        <v>6</v>
      </c>
      <c r="AU222" s="105" t="b">
        <v>1</v>
      </c>
      <c r="AV222" s="105" t="b">
        <v>0</v>
      </c>
    </row>
    <row r="223" spans="1:48" s="46" customFormat="1">
      <c r="A223" s="105" t="s">
        <v>510</v>
      </c>
      <c r="B223" s="105" t="s">
        <v>665</v>
      </c>
      <c r="C223" s="105" t="s">
        <v>666</v>
      </c>
      <c r="D223" s="105">
        <v>20231201</v>
      </c>
      <c r="E223" s="105">
        <v>2023</v>
      </c>
      <c r="F223" s="105">
        <v>12</v>
      </c>
      <c r="G223" s="105" t="s">
        <v>726</v>
      </c>
      <c r="H223" s="105">
        <v>818</v>
      </c>
      <c r="I223" s="105" t="s">
        <v>668</v>
      </c>
      <c r="J223" s="105" t="s">
        <v>57</v>
      </c>
      <c r="K223" s="105" t="s">
        <v>666</v>
      </c>
      <c r="L223" s="105" t="s">
        <v>669</v>
      </c>
      <c r="M223" s="105">
        <v>392</v>
      </c>
      <c r="N223" s="105" t="s">
        <v>747</v>
      </c>
      <c r="O223" s="105" t="s">
        <v>32</v>
      </c>
      <c r="P223" s="105">
        <v>0</v>
      </c>
      <c r="Q223" s="105" t="s">
        <v>670</v>
      </c>
      <c r="R223" s="105" t="s">
        <v>23</v>
      </c>
      <c r="S223" s="105" t="s">
        <v>671</v>
      </c>
      <c r="T223" s="105" t="s">
        <v>672</v>
      </c>
      <c r="U223" s="105" t="b">
        <v>1</v>
      </c>
      <c r="V223" s="105" t="s">
        <v>745</v>
      </c>
      <c r="W223" s="105" t="s">
        <v>746</v>
      </c>
      <c r="X223" s="105">
        <v>6</v>
      </c>
      <c r="Y223" s="105" t="b">
        <v>1</v>
      </c>
      <c r="Z223" s="105" t="s">
        <v>675</v>
      </c>
      <c r="AA223" s="105" t="s">
        <v>676</v>
      </c>
      <c r="AB223" s="105" t="s">
        <v>677</v>
      </c>
      <c r="AC223" s="105">
        <v>0</v>
      </c>
      <c r="AD223" s="105" t="s">
        <v>678</v>
      </c>
      <c r="AE223" s="105">
        <v>8</v>
      </c>
      <c r="AF223" s="105" t="s">
        <v>679</v>
      </c>
      <c r="AG223" s="105">
        <v>3556.6179999999999</v>
      </c>
      <c r="AH223" s="105" t="b">
        <v>1</v>
      </c>
      <c r="AI223" s="105">
        <v>-1</v>
      </c>
      <c r="AJ223" s="105" t="s">
        <v>680</v>
      </c>
      <c r="AK223" s="105">
        <v>0</v>
      </c>
      <c r="AL223" s="105" t="b">
        <v>0</v>
      </c>
      <c r="AM223" s="105">
        <v>3556.6179999999999</v>
      </c>
      <c r="AN223" s="105" t="b">
        <v>1</v>
      </c>
      <c r="AO223" s="105">
        <v>0</v>
      </c>
      <c r="AP223" s="105" t="b">
        <v>0</v>
      </c>
      <c r="AQ223" s="105">
        <v>17167.280999999999</v>
      </c>
      <c r="AR223" s="105"/>
      <c r="AS223" s="105">
        <v>17167.280999999999</v>
      </c>
      <c r="AT223" s="105">
        <v>6</v>
      </c>
      <c r="AU223" s="105" t="b">
        <v>1</v>
      </c>
      <c r="AV223" s="105" t="b">
        <v>0</v>
      </c>
    </row>
    <row r="224" spans="1:48" s="46" customFormat="1">
      <c r="A224" s="105" t="s">
        <v>510</v>
      </c>
      <c r="B224" s="105" t="s">
        <v>665</v>
      </c>
      <c r="C224" s="105" t="s">
        <v>666</v>
      </c>
      <c r="D224" s="105">
        <v>20231201</v>
      </c>
      <c r="E224" s="105">
        <v>2023</v>
      </c>
      <c r="F224" s="105">
        <v>12</v>
      </c>
      <c r="G224" s="105" t="s">
        <v>726</v>
      </c>
      <c r="H224" s="105">
        <v>818</v>
      </c>
      <c r="I224" s="105" t="s">
        <v>668</v>
      </c>
      <c r="J224" s="105" t="s">
        <v>57</v>
      </c>
      <c r="K224" s="105" t="s">
        <v>666</v>
      </c>
      <c r="L224" s="105" t="s">
        <v>669</v>
      </c>
      <c r="M224" s="105">
        <v>490</v>
      </c>
      <c r="N224" s="105" t="s">
        <v>762</v>
      </c>
      <c r="O224" s="105" t="s">
        <v>763</v>
      </c>
      <c r="P224" s="105">
        <v>0</v>
      </c>
      <c r="Q224" s="105" t="s">
        <v>670</v>
      </c>
      <c r="R224" s="105" t="s">
        <v>23</v>
      </c>
      <c r="S224" s="105" t="s">
        <v>671</v>
      </c>
      <c r="T224" s="105" t="s">
        <v>672</v>
      </c>
      <c r="U224" s="105" t="b">
        <v>1</v>
      </c>
      <c r="V224" s="105" t="s">
        <v>745</v>
      </c>
      <c r="W224" s="105" t="s">
        <v>746</v>
      </c>
      <c r="X224" s="105">
        <v>6</v>
      </c>
      <c r="Y224" s="105" t="b">
        <v>1</v>
      </c>
      <c r="Z224" s="105" t="s">
        <v>675</v>
      </c>
      <c r="AA224" s="105" t="s">
        <v>676</v>
      </c>
      <c r="AB224" s="105" t="s">
        <v>677</v>
      </c>
      <c r="AC224" s="105">
        <v>0</v>
      </c>
      <c r="AD224" s="105" t="s">
        <v>678</v>
      </c>
      <c r="AE224" s="105">
        <v>8</v>
      </c>
      <c r="AF224" s="105" t="s">
        <v>679</v>
      </c>
      <c r="AG224" s="105">
        <v>3.3460000000000001</v>
      </c>
      <c r="AH224" s="105" t="b">
        <v>1</v>
      </c>
      <c r="AI224" s="105">
        <v>-1</v>
      </c>
      <c r="AJ224" s="105" t="s">
        <v>680</v>
      </c>
      <c r="AK224" s="105">
        <v>0</v>
      </c>
      <c r="AL224" s="105" t="b">
        <v>0</v>
      </c>
      <c r="AM224" s="105">
        <v>3.3460000000000001</v>
      </c>
      <c r="AN224" s="105" t="b">
        <v>1</v>
      </c>
      <c r="AO224" s="105">
        <v>0</v>
      </c>
      <c r="AP224" s="105" t="b">
        <v>0</v>
      </c>
      <c r="AQ224" s="105">
        <v>16.151</v>
      </c>
      <c r="AR224" s="105"/>
      <c r="AS224" s="105">
        <v>16.151</v>
      </c>
      <c r="AT224" s="105">
        <v>6</v>
      </c>
      <c r="AU224" s="105" t="b">
        <v>1</v>
      </c>
      <c r="AV224" s="105" t="b">
        <v>0</v>
      </c>
    </row>
    <row r="225" spans="1:48" s="46" customFormat="1">
      <c r="A225" s="105" t="s">
        <v>510</v>
      </c>
      <c r="B225" s="105" t="s">
        <v>665</v>
      </c>
      <c r="C225" s="105" t="s">
        <v>666</v>
      </c>
      <c r="D225" s="105">
        <v>20231201</v>
      </c>
      <c r="E225" s="105">
        <v>2023</v>
      </c>
      <c r="F225" s="105">
        <v>12</v>
      </c>
      <c r="G225" s="105" t="s">
        <v>726</v>
      </c>
      <c r="H225" s="105">
        <v>818</v>
      </c>
      <c r="I225" s="105" t="s">
        <v>668</v>
      </c>
      <c r="J225" s="105" t="s">
        <v>57</v>
      </c>
      <c r="K225" s="105" t="s">
        <v>666</v>
      </c>
      <c r="L225" s="105" t="s">
        <v>669</v>
      </c>
      <c r="M225" s="105">
        <v>826</v>
      </c>
      <c r="N225" s="105" t="s">
        <v>685</v>
      </c>
      <c r="O225" s="105" t="s">
        <v>64</v>
      </c>
      <c r="P225" s="105">
        <v>0</v>
      </c>
      <c r="Q225" s="105" t="s">
        <v>670</v>
      </c>
      <c r="R225" s="105" t="s">
        <v>23</v>
      </c>
      <c r="S225" s="105" t="s">
        <v>671</v>
      </c>
      <c r="T225" s="105" t="s">
        <v>672</v>
      </c>
      <c r="U225" s="105" t="b">
        <v>1</v>
      </c>
      <c r="V225" s="105" t="s">
        <v>745</v>
      </c>
      <c r="W225" s="105" t="s">
        <v>746</v>
      </c>
      <c r="X225" s="105">
        <v>6</v>
      </c>
      <c r="Y225" s="105" t="b">
        <v>1</v>
      </c>
      <c r="Z225" s="105" t="s">
        <v>675</v>
      </c>
      <c r="AA225" s="105" t="s">
        <v>676</v>
      </c>
      <c r="AB225" s="105" t="s">
        <v>677</v>
      </c>
      <c r="AC225" s="105">
        <v>0</v>
      </c>
      <c r="AD225" s="105" t="s">
        <v>678</v>
      </c>
      <c r="AE225" s="105">
        <v>8</v>
      </c>
      <c r="AF225" s="105" t="s">
        <v>679</v>
      </c>
      <c r="AG225" s="105">
        <v>2517.4250000000002</v>
      </c>
      <c r="AH225" s="105" t="b">
        <v>1</v>
      </c>
      <c r="AI225" s="105">
        <v>-1</v>
      </c>
      <c r="AJ225" s="105" t="s">
        <v>680</v>
      </c>
      <c r="AK225" s="105">
        <v>0</v>
      </c>
      <c r="AL225" s="105" t="b">
        <v>0</v>
      </c>
      <c r="AM225" s="105">
        <v>2517.4250000000002</v>
      </c>
      <c r="AN225" s="105" t="b">
        <v>1</v>
      </c>
      <c r="AO225" s="105">
        <v>0</v>
      </c>
      <c r="AP225" s="105" t="b">
        <v>0</v>
      </c>
      <c r="AQ225" s="105">
        <v>12151.245999999999</v>
      </c>
      <c r="AR225" s="105"/>
      <c r="AS225" s="105">
        <v>12151.245999999999</v>
      </c>
      <c r="AT225" s="105">
        <v>6</v>
      </c>
      <c r="AU225" s="105" t="b">
        <v>1</v>
      </c>
      <c r="AV225" s="105" t="b">
        <v>0</v>
      </c>
    </row>
    <row r="226" spans="1:48" s="46" customFormat="1">
      <c r="A226" s="105" t="s">
        <v>510</v>
      </c>
      <c r="B226" s="105" t="s">
        <v>665</v>
      </c>
      <c r="C226" s="105" t="s">
        <v>666</v>
      </c>
      <c r="D226" s="105">
        <v>20231201</v>
      </c>
      <c r="E226" s="105">
        <v>2023</v>
      </c>
      <c r="F226" s="105">
        <v>12</v>
      </c>
      <c r="G226" s="105" t="s">
        <v>726</v>
      </c>
      <c r="H226" s="105">
        <v>818</v>
      </c>
      <c r="I226" s="105" t="s">
        <v>668</v>
      </c>
      <c r="J226" s="105" t="s">
        <v>57</v>
      </c>
      <c r="K226" s="105" t="s">
        <v>666</v>
      </c>
      <c r="L226" s="105" t="s">
        <v>669</v>
      </c>
      <c r="M226" s="105">
        <v>842</v>
      </c>
      <c r="N226" s="105" t="s">
        <v>713</v>
      </c>
      <c r="O226" s="105" t="s">
        <v>713</v>
      </c>
      <c r="P226" s="105">
        <v>0</v>
      </c>
      <c r="Q226" s="105" t="s">
        <v>670</v>
      </c>
      <c r="R226" s="105" t="s">
        <v>23</v>
      </c>
      <c r="S226" s="105" t="s">
        <v>671</v>
      </c>
      <c r="T226" s="105" t="s">
        <v>672</v>
      </c>
      <c r="U226" s="105" t="b">
        <v>1</v>
      </c>
      <c r="V226" s="105" t="s">
        <v>745</v>
      </c>
      <c r="W226" s="105" t="s">
        <v>746</v>
      </c>
      <c r="X226" s="105">
        <v>6</v>
      </c>
      <c r="Y226" s="105" t="b">
        <v>1</v>
      </c>
      <c r="Z226" s="105" t="s">
        <v>675</v>
      </c>
      <c r="AA226" s="105" t="s">
        <v>676</v>
      </c>
      <c r="AB226" s="105" t="s">
        <v>677</v>
      </c>
      <c r="AC226" s="105">
        <v>0</v>
      </c>
      <c r="AD226" s="105" t="s">
        <v>678</v>
      </c>
      <c r="AE226" s="105">
        <v>8</v>
      </c>
      <c r="AF226" s="105" t="s">
        <v>679</v>
      </c>
      <c r="AG226" s="105">
        <v>42980.218999999997</v>
      </c>
      <c r="AH226" s="105" t="b">
        <v>1</v>
      </c>
      <c r="AI226" s="105">
        <v>-1</v>
      </c>
      <c r="AJ226" s="105" t="s">
        <v>680</v>
      </c>
      <c r="AK226" s="105">
        <v>0</v>
      </c>
      <c r="AL226" s="105" t="b">
        <v>0</v>
      </c>
      <c r="AM226" s="105">
        <v>42980.218999999997</v>
      </c>
      <c r="AN226" s="105" t="b">
        <v>1</v>
      </c>
      <c r="AO226" s="105">
        <v>0</v>
      </c>
      <c r="AP226" s="105" t="b">
        <v>0</v>
      </c>
      <c r="AQ226" s="105">
        <v>207459.30900000001</v>
      </c>
      <c r="AR226" s="105"/>
      <c r="AS226" s="105">
        <v>207459.30900000001</v>
      </c>
      <c r="AT226" s="105">
        <v>6</v>
      </c>
      <c r="AU226" s="105" t="b">
        <v>1</v>
      </c>
      <c r="AV226" s="105" t="b">
        <v>0</v>
      </c>
    </row>
    <row r="227" spans="1:48" s="46" customFormat="1">
      <c r="A227" s="105" t="s">
        <v>510</v>
      </c>
      <c r="B227" s="105" t="s">
        <v>665</v>
      </c>
      <c r="C227" s="105" t="s">
        <v>666</v>
      </c>
      <c r="D227" s="105">
        <v>20231201</v>
      </c>
      <c r="E227" s="105">
        <v>2023</v>
      </c>
      <c r="F227" s="105">
        <v>12</v>
      </c>
      <c r="G227" s="105" t="s">
        <v>726</v>
      </c>
      <c r="H227" s="105">
        <v>818</v>
      </c>
      <c r="I227" s="105" t="s">
        <v>668</v>
      </c>
      <c r="J227" s="105" t="s">
        <v>57</v>
      </c>
      <c r="K227" s="105" t="s">
        <v>701</v>
      </c>
      <c r="L227" s="105" t="s">
        <v>702</v>
      </c>
      <c r="M227" s="105">
        <v>0</v>
      </c>
      <c r="N227" s="105" t="s">
        <v>670</v>
      </c>
      <c r="O227" s="105" t="s">
        <v>23</v>
      </c>
      <c r="P227" s="105">
        <v>0</v>
      </c>
      <c r="Q227" s="105" t="s">
        <v>670</v>
      </c>
      <c r="R227" s="105" t="s">
        <v>23</v>
      </c>
      <c r="S227" s="105" t="s">
        <v>671</v>
      </c>
      <c r="T227" s="105" t="s">
        <v>672</v>
      </c>
      <c r="U227" s="105" t="b">
        <v>1</v>
      </c>
      <c r="V227" s="105" t="s">
        <v>745</v>
      </c>
      <c r="W227" s="105" t="s">
        <v>746</v>
      </c>
      <c r="X227" s="105">
        <v>6</v>
      </c>
      <c r="Y227" s="105" t="b">
        <v>1</v>
      </c>
      <c r="Z227" s="105" t="s">
        <v>675</v>
      </c>
      <c r="AA227" s="105" t="s">
        <v>676</v>
      </c>
      <c r="AB227" s="105" t="s">
        <v>677</v>
      </c>
      <c r="AC227" s="105">
        <v>0</v>
      </c>
      <c r="AD227" s="105" t="s">
        <v>678</v>
      </c>
      <c r="AE227" s="105">
        <v>8</v>
      </c>
      <c r="AF227" s="105" t="s">
        <v>679</v>
      </c>
      <c r="AG227" s="105">
        <v>652.31200000000001</v>
      </c>
      <c r="AH227" s="105" t="b">
        <v>1</v>
      </c>
      <c r="AI227" s="105">
        <v>-1</v>
      </c>
      <c r="AJ227" s="105" t="s">
        <v>680</v>
      </c>
      <c r="AK227" s="105">
        <v>0</v>
      </c>
      <c r="AL227" s="105" t="b">
        <v>0</v>
      </c>
      <c r="AM227" s="105">
        <v>652.31200000000001</v>
      </c>
      <c r="AN227" s="105" t="b">
        <v>1</v>
      </c>
      <c r="AO227" s="105">
        <v>0</v>
      </c>
      <c r="AP227" s="105" t="b">
        <v>0</v>
      </c>
      <c r="AQ227" s="105"/>
      <c r="AR227" s="105">
        <v>3375</v>
      </c>
      <c r="AS227" s="105">
        <v>3375</v>
      </c>
      <c r="AT227" s="105">
        <v>6</v>
      </c>
      <c r="AU227" s="105" t="b">
        <v>0</v>
      </c>
      <c r="AV227" s="105" t="b">
        <v>1</v>
      </c>
    </row>
    <row r="228" spans="1:48" s="46" customFormat="1">
      <c r="A228" s="105" t="s">
        <v>510</v>
      </c>
      <c r="B228" s="105" t="s">
        <v>665</v>
      </c>
      <c r="C228" s="105" t="s">
        <v>666</v>
      </c>
      <c r="D228" s="105">
        <v>20231201</v>
      </c>
      <c r="E228" s="105">
        <v>2023</v>
      </c>
      <c r="F228" s="105">
        <v>12</v>
      </c>
      <c r="G228" s="105" t="s">
        <v>726</v>
      </c>
      <c r="H228" s="105">
        <v>818</v>
      </c>
      <c r="I228" s="105" t="s">
        <v>668</v>
      </c>
      <c r="J228" s="105" t="s">
        <v>57</v>
      </c>
      <c r="K228" s="105" t="s">
        <v>701</v>
      </c>
      <c r="L228" s="105" t="s">
        <v>702</v>
      </c>
      <c r="M228" s="105">
        <v>512</v>
      </c>
      <c r="N228" s="105" t="s">
        <v>760</v>
      </c>
      <c r="O228" s="105" t="s">
        <v>35</v>
      </c>
      <c r="P228" s="105">
        <v>0</v>
      </c>
      <c r="Q228" s="105" t="s">
        <v>670</v>
      </c>
      <c r="R228" s="105" t="s">
        <v>23</v>
      </c>
      <c r="S228" s="105" t="s">
        <v>671</v>
      </c>
      <c r="T228" s="105" t="s">
        <v>672</v>
      </c>
      <c r="U228" s="105" t="b">
        <v>1</v>
      </c>
      <c r="V228" s="105" t="s">
        <v>745</v>
      </c>
      <c r="W228" s="105" t="s">
        <v>746</v>
      </c>
      <c r="X228" s="105">
        <v>6</v>
      </c>
      <c r="Y228" s="105" t="b">
        <v>1</v>
      </c>
      <c r="Z228" s="105" t="s">
        <v>675</v>
      </c>
      <c r="AA228" s="105" t="s">
        <v>676</v>
      </c>
      <c r="AB228" s="105" t="s">
        <v>677</v>
      </c>
      <c r="AC228" s="105">
        <v>0</v>
      </c>
      <c r="AD228" s="105" t="s">
        <v>678</v>
      </c>
      <c r="AE228" s="105">
        <v>8</v>
      </c>
      <c r="AF228" s="105" t="s">
        <v>679</v>
      </c>
      <c r="AG228" s="105">
        <v>652.31200000000001</v>
      </c>
      <c r="AH228" s="105" t="b">
        <v>1</v>
      </c>
      <c r="AI228" s="105">
        <v>-1</v>
      </c>
      <c r="AJ228" s="105" t="s">
        <v>680</v>
      </c>
      <c r="AK228" s="105">
        <v>0</v>
      </c>
      <c r="AL228" s="105" t="b">
        <v>0</v>
      </c>
      <c r="AM228" s="105">
        <v>652.31200000000001</v>
      </c>
      <c r="AN228" s="105" t="b">
        <v>1</v>
      </c>
      <c r="AO228" s="105">
        <v>0</v>
      </c>
      <c r="AP228" s="105" t="b">
        <v>0</v>
      </c>
      <c r="AQ228" s="105"/>
      <c r="AR228" s="105">
        <v>3375</v>
      </c>
      <c r="AS228" s="105">
        <v>3375</v>
      </c>
      <c r="AT228" s="105">
        <v>6</v>
      </c>
      <c r="AU228" s="105" t="b">
        <v>1</v>
      </c>
      <c r="AV228" s="105" t="b">
        <v>0</v>
      </c>
    </row>
    <row r="229" spans="1:48" s="46" customFormat="1">
      <c r="A229" s="105" t="s">
        <v>510</v>
      </c>
      <c r="B229" s="105" t="s">
        <v>665</v>
      </c>
      <c r="C229" s="105" t="s">
        <v>666</v>
      </c>
      <c r="D229" s="105">
        <v>20230901</v>
      </c>
      <c r="E229" s="105">
        <v>2023</v>
      </c>
      <c r="F229" s="105">
        <v>9</v>
      </c>
      <c r="G229" s="105" t="s">
        <v>723</v>
      </c>
      <c r="H229" s="105">
        <v>818</v>
      </c>
      <c r="I229" s="105" t="s">
        <v>668</v>
      </c>
      <c r="J229" s="105" t="s">
        <v>57</v>
      </c>
      <c r="K229" s="105" t="s">
        <v>701</v>
      </c>
      <c r="L229" s="105" t="s">
        <v>702</v>
      </c>
      <c r="M229" s="105">
        <v>512</v>
      </c>
      <c r="N229" s="105" t="s">
        <v>760</v>
      </c>
      <c r="O229" s="105" t="s">
        <v>35</v>
      </c>
      <c r="P229" s="105">
        <v>0</v>
      </c>
      <c r="Q229" s="105" t="s">
        <v>670</v>
      </c>
      <c r="R229" s="105" t="s">
        <v>23</v>
      </c>
      <c r="S229" s="105" t="s">
        <v>671</v>
      </c>
      <c r="T229" s="105" t="s">
        <v>672</v>
      </c>
      <c r="U229" s="105" t="b">
        <v>1</v>
      </c>
      <c r="V229" s="105" t="s">
        <v>745</v>
      </c>
      <c r="W229" s="105" t="s">
        <v>746</v>
      </c>
      <c r="X229" s="105">
        <v>6</v>
      </c>
      <c r="Y229" s="105" t="b">
        <v>1</v>
      </c>
      <c r="Z229" s="105" t="s">
        <v>675</v>
      </c>
      <c r="AA229" s="105" t="s">
        <v>676</v>
      </c>
      <c r="AB229" s="105" t="s">
        <v>677</v>
      </c>
      <c r="AC229" s="105">
        <v>0</v>
      </c>
      <c r="AD229" s="105" t="s">
        <v>678</v>
      </c>
      <c r="AE229" s="105">
        <v>8</v>
      </c>
      <c r="AF229" s="105" t="s">
        <v>679</v>
      </c>
      <c r="AG229" s="105">
        <v>715.12699999999995</v>
      </c>
      <c r="AH229" s="105" t="b">
        <v>1</v>
      </c>
      <c r="AI229" s="105">
        <v>-1</v>
      </c>
      <c r="AJ229" s="105" t="s">
        <v>680</v>
      </c>
      <c r="AK229" s="105">
        <v>0</v>
      </c>
      <c r="AL229" s="105" t="b">
        <v>0</v>
      </c>
      <c r="AM229" s="105">
        <v>715.12699999999995</v>
      </c>
      <c r="AN229" s="105" t="b">
        <v>1</v>
      </c>
      <c r="AO229" s="105">
        <v>0</v>
      </c>
      <c r="AP229" s="105" t="b">
        <v>0</v>
      </c>
      <c r="AQ229" s="105"/>
      <c r="AR229" s="105">
        <v>3700</v>
      </c>
      <c r="AS229" s="105">
        <v>3700</v>
      </c>
      <c r="AT229" s="105">
        <v>6</v>
      </c>
      <c r="AU229" s="105" t="b">
        <v>1</v>
      </c>
      <c r="AV229" s="105" t="b">
        <v>0</v>
      </c>
    </row>
    <row r="230" spans="1:48" s="46" customFormat="1">
      <c r="A230" s="105" t="s">
        <v>510</v>
      </c>
      <c r="B230" s="105" t="s">
        <v>665</v>
      </c>
      <c r="C230" s="105" t="s">
        <v>666</v>
      </c>
      <c r="D230" s="105">
        <v>20231001</v>
      </c>
      <c r="E230" s="105">
        <v>2023</v>
      </c>
      <c r="F230" s="105">
        <v>10</v>
      </c>
      <c r="G230" s="105" t="s">
        <v>724</v>
      </c>
      <c r="H230" s="105">
        <v>818</v>
      </c>
      <c r="I230" s="105" t="s">
        <v>668</v>
      </c>
      <c r="J230" s="105" t="s">
        <v>57</v>
      </c>
      <c r="K230" s="105" t="s">
        <v>666</v>
      </c>
      <c r="L230" s="105" t="s">
        <v>669</v>
      </c>
      <c r="M230" s="105">
        <v>0</v>
      </c>
      <c r="N230" s="105" t="s">
        <v>670</v>
      </c>
      <c r="O230" s="105" t="s">
        <v>23</v>
      </c>
      <c r="P230" s="105">
        <v>0</v>
      </c>
      <c r="Q230" s="105" t="s">
        <v>670</v>
      </c>
      <c r="R230" s="105" t="s">
        <v>23</v>
      </c>
      <c r="S230" s="105" t="s">
        <v>671</v>
      </c>
      <c r="T230" s="105" t="s">
        <v>672</v>
      </c>
      <c r="U230" s="105" t="b">
        <v>1</v>
      </c>
      <c r="V230" s="105" t="s">
        <v>745</v>
      </c>
      <c r="W230" s="105" t="s">
        <v>746</v>
      </c>
      <c r="X230" s="105">
        <v>6</v>
      </c>
      <c r="Y230" s="105" t="b">
        <v>1</v>
      </c>
      <c r="Z230" s="105" t="s">
        <v>675</v>
      </c>
      <c r="AA230" s="105" t="s">
        <v>676</v>
      </c>
      <c r="AB230" s="105" t="s">
        <v>677</v>
      </c>
      <c r="AC230" s="105">
        <v>0</v>
      </c>
      <c r="AD230" s="105" t="s">
        <v>678</v>
      </c>
      <c r="AE230" s="105">
        <v>8</v>
      </c>
      <c r="AF230" s="105" t="s">
        <v>679</v>
      </c>
      <c r="AG230" s="105">
        <v>138007.976</v>
      </c>
      <c r="AH230" s="105" t="b">
        <v>1</v>
      </c>
      <c r="AI230" s="105">
        <v>-1</v>
      </c>
      <c r="AJ230" s="105" t="s">
        <v>680</v>
      </c>
      <c r="AK230" s="105">
        <v>0</v>
      </c>
      <c r="AL230" s="105" t="b">
        <v>0</v>
      </c>
      <c r="AM230" s="105">
        <v>138007.976</v>
      </c>
      <c r="AN230" s="105" t="b">
        <v>1</v>
      </c>
      <c r="AO230" s="105">
        <v>0</v>
      </c>
      <c r="AP230" s="105" t="b">
        <v>0</v>
      </c>
      <c r="AQ230" s="105">
        <v>666144.56599999999</v>
      </c>
      <c r="AR230" s="105"/>
      <c r="AS230" s="105">
        <v>666144.56599999999</v>
      </c>
      <c r="AT230" s="105">
        <v>6</v>
      </c>
      <c r="AU230" s="105" t="b">
        <v>0</v>
      </c>
      <c r="AV230" s="105" t="b">
        <v>1</v>
      </c>
    </row>
    <row r="231" spans="1:48" s="46" customFormat="1">
      <c r="A231" s="105" t="s">
        <v>510</v>
      </c>
      <c r="B231" s="105" t="s">
        <v>665</v>
      </c>
      <c r="C231" s="105" t="s">
        <v>666</v>
      </c>
      <c r="D231" s="105">
        <v>20231001</v>
      </c>
      <c r="E231" s="105">
        <v>2023</v>
      </c>
      <c r="F231" s="105">
        <v>10</v>
      </c>
      <c r="G231" s="105" t="s">
        <v>724</v>
      </c>
      <c r="H231" s="105">
        <v>818</v>
      </c>
      <c r="I231" s="105" t="s">
        <v>668</v>
      </c>
      <c r="J231" s="105" t="s">
        <v>57</v>
      </c>
      <c r="K231" s="105" t="s">
        <v>666</v>
      </c>
      <c r="L231" s="105" t="s">
        <v>669</v>
      </c>
      <c r="M231" s="105">
        <v>40</v>
      </c>
      <c r="N231" s="105" t="s">
        <v>750</v>
      </c>
      <c r="O231" s="105" t="s">
        <v>43</v>
      </c>
      <c r="P231" s="105">
        <v>0</v>
      </c>
      <c r="Q231" s="105" t="s">
        <v>670</v>
      </c>
      <c r="R231" s="105" t="s">
        <v>23</v>
      </c>
      <c r="S231" s="105" t="s">
        <v>671</v>
      </c>
      <c r="T231" s="105" t="s">
        <v>672</v>
      </c>
      <c r="U231" s="105" t="b">
        <v>1</v>
      </c>
      <c r="V231" s="105" t="s">
        <v>745</v>
      </c>
      <c r="W231" s="105" t="s">
        <v>746</v>
      </c>
      <c r="X231" s="105">
        <v>6</v>
      </c>
      <c r="Y231" s="105" t="b">
        <v>1</v>
      </c>
      <c r="Z231" s="105" t="s">
        <v>675</v>
      </c>
      <c r="AA231" s="105" t="s">
        <v>676</v>
      </c>
      <c r="AB231" s="105" t="s">
        <v>677</v>
      </c>
      <c r="AC231" s="105">
        <v>0</v>
      </c>
      <c r="AD231" s="105" t="s">
        <v>678</v>
      </c>
      <c r="AE231" s="105">
        <v>8</v>
      </c>
      <c r="AF231" s="105" t="s">
        <v>679</v>
      </c>
      <c r="AG231" s="105">
        <v>1219.049</v>
      </c>
      <c r="AH231" s="105" t="b">
        <v>1</v>
      </c>
      <c r="AI231" s="105">
        <v>-1</v>
      </c>
      <c r="AJ231" s="105" t="s">
        <v>680</v>
      </c>
      <c r="AK231" s="105">
        <v>0</v>
      </c>
      <c r="AL231" s="105" t="b">
        <v>0</v>
      </c>
      <c r="AM231" s="105">
        <v>1219.049</v>
      </c>
      <c r="AN231" s="105" t="b">
        <v>1</v>
      </c>
      <c r="AO231" s="105">
        <v>0</v>
      </c>
      <c r="AP231" s="105" t="b">
        <v>0</v>
      </c>
      <c r="AQ231" s="105">
        <v>5884.1719999999996</v>
      </c>
      <c r="AR231" s="105"/>
      <c r="AS231" s="105">
        <v>5884.1719999999996</v>
      </c>
      <c r="AT231" s="105">
        <v>6</v>
      </c>
      <c r="AU231" s="105" t="b">
        <v>1</v>
      </c>
      <c r="AV231" s="105" t="b">
        <v>0</v>
      </c>
    </row>
    <row r="232" spans="1:48" s="46" customFormat="1">
      <c r="A232" s="105" t="s">
        <v>510</v>
      </c>
      <c r="B232" s="105" t="s">
        <v>665</v>
      </c>
      <c r="C232" s="105" t="s">
        <v>666</v>
      </c>
      <c r="D232" s="105">
        <v>20231001</v>
      </c>
      <c r="E232" s="105">
        <v>2023</v>
      </c>
      <c r="F232" s="105">
        <v>10</v>
      </c>
      <c r="G232" s="105" t="s">
        <v>724</v>
      </c>
      <c r="H232" s="105">
        <v>818</v>
      </c>
      <c r="I232" s="105" t="s">
        <v>668</v>
      </c>
      <c r="J232" s="105" t="s">
        <v>57</v>
      </c>
      <c r="K232" s="105" t="s">
        <v>666</v>
      </c>
      <c r="L232" s="105" t="s">
        <v>669</v>
      </c>
      <c r="M232" s="105">
        <v>156</v>
      </c>
      <c r="N232" s="105" t="s">
        <v>711</v>
      </c>
      <c r="O232" s="105" t="s">
        <v>29</v>
      </c>
      <c r="P232" s="105">
        <v>0</v>
      </c>
      <c r="Q232" s="105" t="s">
        <v>670</v>
      </c>
      <c r="R232" s="105" t="s">
        <v>23</v>
      </c>
      <c r="S232" s="105" t="s">
        <v>671</v>
      </c>
      <c r="T232" s="105" t="s">
        <v>672</v>
      </c>
      <c r="U232" s="105" t="b">
        <v>1</v>
      </c>
      <c r="V232" s="105" t="s">
        <v>745</v>
      </c>
      <c r="W232" s="105" t="s">
        <v>746</v>
      </c>
      <c r="X232" s="105">
        <v>6</v>
      </c>
      <c r="Y232" s="105" t="b">
        <v>1</v>
      </c>
      <c r="Z232" s="105" t="s">
        <v>675</v>
      </c>
      <c r="AA232" s="105" t="s">
        <v>676</v>
      </c>
      <c r="AB232" s="105" t="s">
        <v>677</v>
      </c>
      <c r="AC232" s="105">
        <v>0</v>
      </c>
      <c r="AD232" s="105" t="s">
        <v>678</v>
      </c>
      <c r="AE232" s="105">
        <v>8</v>
      </c>
      <c r="AF232" s="105" t="s">
        <v>679</v>
      </c>
      <c r="AG232" s="105">
        <v>28837.53</v>
      </c>
      <c r="AH232" s="105" t="b">
        <v>1</v>
      </c>
      <c r="AI232" s="105">
        <v>-1</v>
      </c>
      <c r="AJ232" s="105" t="s">
        <v>680</v>
      </c>
      <c r="AK232" s="105">
        <v>0</v>
      </c>
      <c r="AL232" s="105" t="b">
        <v>0</v>
      </c>
      <c r="AM232" s="105">
        <v>28837.53</v>
      </c>
      <c r="AN232" s="105" t="b">
        <v>1</v>
      </c>
      <c r="AO232" s="105">
        <v>0</v>
      </c>
      <c r="AP232" s="105" t="b">
        <v>0</v>
      </c>
      <c r="AQ232" s="105">
        <v>139194.59400000001</v>
      </c>
      <c r="AR232" s="105"/>
      <c r="AS232" s="105">
        <v>139194.59400000001</v>
      </c>
      <c r="AT232" s="105">
        <v>6</v>
      </c>
      <c r="AU232" s="105" t="b">
        <v>1</v>
      </c>
      <c r="AV232" s="105" t="b">
        <v>0</v>
      </c>
    </row>
    <row r="233" spans="1:48" s="46" customFormat="1">
      <c r="A233" s="105" t="s">
        <v>510</v>
      </c>
      <c r="B233" s="105" t="s">
        <v>665</v>
      </c>
      <c r="C233" s="105" t="s">
        <v>666</v>
      </c>
      <c r="D233" s="105">
        <v>20231001</v>
      </c>
      <c r="E233" s="105">
        <v>2023</v>
      </c>
      <c r="F233" s="105">
        <v>10</v>
      </c>
      <c r="G233" s="105" t="s">
        <v>724</v>
      </c>
      <c r="H233" s="105">
        <v>818</v>
      </c>
      <c r="I233" s="105" t="s">
        <v>668</v>
      </c>
      <c r="J233" s="105" t="s">
        <v>57</v>
      </c>
      <c r="K233" s="105" t="s">
        <v>666</v>
      </c>
      <c r="L233" s="105" t="s">
        <v>669</v>
      </c>
      <c r="M233" s="105">
        <v>276</v>
      </c>
      <c r="N233" s="105" t="s">
        <v>681</v>
      </c>
      <c r="O233" s="105" t="s">
        <v>30</v>
      </c>
      <c r="P233" s="105">
        <v>0</v>
      </c>
      <c r="Q233" s="105" t="s">
        <v>670</v>
      </c>
      <c r="R233" s="105" t="s">
        <v>23</v>
      </c>
      <c r="S233" s="105" t="s">
        <v>671</v>
      </c>
      <c r="T233" s="105" t="s">
        <v>672</v>
      </c>
      <c r="U233" s="105" t="b">
        <v>1</v>
      </c>
      <c r="V233" s="105" t="s">
        <v>745</v>
      </c>
      <c r="W233" s="105" t="s">
        <v>746</v>
      </c>
      <c r="X233" s="105">
        <v>6</v>
      </c>
      <c r="Y233" s="105" t="b">
        <v>1</v>
      </c>
      <c r="Z233" s="105" t="s">
        <v>675</v>
      </c>
      <c r="AA233" s="105" t="s">
        <v>676</v>
      </c>
      <c r="AB233" s="105" t="s">
        <v>677</v>
      </c>
      <c r="AC233" s="105">
        <v>0</v>
      </c>
      <c r="AD233" s="105" t="s">
        <v>678</v>
      </c>
      <c r="AE233" s="105">
        <v>8</v>
      </c>
      <c r="AF233" s="105" t="s">
        <v>679</v>
      </c>
      <c r="AG233" s="105">
        <v>1853.604</v>
      </c>
      <c r="AH233" s="105" t="b">
        <v>1</v>
      </c>
      <c r="AI233" s="105">
        <v>-1</v>
      </c>
      <c r="AJ233" s="105" t="s">
        <v>680</v>
      </c>
      <c r="AK233" s="105">
        <v>0</v>
      </c>
      <c r="AL233" s="105" t="b">
        <v>0</v>
      </c>
      <c r="AM233" s="105">
        <v>1853.604</v>
      </c>
      <c r="AN233" s="105" t="b">
        <v>1</v>
      </c>
      <c r="AO233" s="105">
        <v>0</v>
      </c>
      <c r="AP233" s="105" t="b">
        <v>0</v>
      </c>
      <c r="AQ233" s="105">
        <v>8947.0810000000001</v>
      </c>
      <c r="AR233" s="105"/>
      <c r="AS233" s="105">
        <v>8947.0810000000001</v>
      </c>
      <c r="AT233" s="105">
        <v>6</v>
      </c>
      <c r="AU233" s="105" t="b">
        <v>1</v>
      </c>
      <c r="AV233" s="105" t="b">
        <v>0</v>
      </c>
    </row>
    <row r="234" spans="1:48" s="46" customFormat="1">
      <c r="A234" s="105" t="s">
        <v>510</v>
      </c>
      <c r="B234" s="105" t="s">
        <v>665</v>
      </c>
      <c r="C234" s="105" t="s">
        <v>666</v>
      </c>
      <c r="D234" s="105">
        <v>20231001</v>
      </c>
      <c r="E234" s="105">
        <v>2023</v>
      </c>
      <c r="F234" s="105">
        <v>10</v>
      </c>
      <c r="G234" s="105" t="s">
        <v>724</v>
      </c>
      <c r="H234" s="105">
        <v>818</v>
      </c>
      <c r="I234" s="105" t="s">
        <v>668</v>
      </c>
      <c r="J234" s="105" t="s">
        <v>57</v>
      </c>
      <c r="K234" s="105" t="s">
        <v>666</v>
      </c>
      <c r="L234" s="105" t="s">
        <v>669</v>
      </c>
      <c r="M234" s="105">
        <v>380</v>
      </c>
      <c r="N234" s="105" t="s">
        <v>689</v>
      </c>
      <c r="O234" s="105" t="s">
        <v>71</v>
      </c>
      <c r="P234" s="105">
        <v>0</v>
      </c>
      <c r="Q234" s="105" t="s">
        <v>670</v>
      </c>
      <c r="R234" s="105" t="s">
        <v>23</v>
      </c>
      <c r="S234" s="105" t="s">
        <v>671</v>
      </c>
      <c r="T234" s="105" t="s">
        <v>672</v>
      </c>
      <c r="U234" s="105" t="b">
        <v>1</v>
      </c>
      <c r="V234" s="105" t="s">
        <v>745</v>
      </c>
      <c r="W234" s="105" t="s">
        <v>746</v>
      </c>
      <c r="X234" s="105">
        <v>6</v>
      </c>
      <c r="Y234" s="105" t="b">
        <v>1</v>
      </c>
      <c r="Z234" s="105" t="s">
        <v>675</v>
      </c>
      <c r="AA234" s="105" t="s">
        <v>676</v>
      </c>
      <c r="AB234" s="105" t="s">
        <v>677</v>
      </c>
      <c r="AC234" s="105">
        <v>0</v>
      </c>
      <c r="AD234" s="105" t="s">
        <v>678</v>
      </c>
      <c r="AE234" s="105">
        <v>8</v>
      </c>
      <c r="AF234" s="105" t="s">
        <v>679</v>
      </c>
      <c r="AG234" s="105">
        <v>391.435</v>
      </c>
      <c r="AH234" s="105" t="b">
        <v>1</v>
      </c>
      <c r="AI234" s="105">
        <v>-1</v>
      </c>
      <c r="AJ234" s="105" t="s">
        <v>680</v>
      </c>
      <c r="AK234" s="105">
        <v>0</v>
      </c>
      <c r="AL234" s="105" t="b">
        <v>0</v>
      </c>
      <c r="AM234" s="105">
        <v>391.435</v>
      </c>
      <c r="AN234" s="105" t="b">
        <v>1</v>
      </c>
      <c r="AO234" s="105">
        <v>0</v>
      </c>
      <c r="AP234" s="105" t="b">
        <v>0</v>
      </c>
      <c r="AQ234" s="105">
        <v>1889.3979999999999</v>
      </c>
      <c r="AR234" s="105"/>
      <c r="AS234" s="105">
        <v>1889.3979999999999</v>
      </c>
      <c r="AT234" s="105">
        <v>6</v>
      </c>
      <c r="AU234" s="105" t="b">
        <v>1</v>
      </c>
      <c r="AV234" s="105" t="b">
        <v>0</v>
      </c>
    </row>
    <row r="235" spans="1:48" s="46" customFormat="1">
      <c r="A235" s="105" t="s">
        <v>510</v>
      </c>
      <c r="B235" s="105" t="s">
        <v>665</v>
      </c>
      <c r="C235" s="105" t="s">
        <v>666</v>
      </c>
      <c r="D235" s="105">
        <v>20231001</v>
      </c>
      <c r="E235" s="105">
        <v>2023</v>
      </c>
      <c r="F235" s="105">
        <v>10</v>
      </c>
      <c r="G235" s="105" t="s">
        <v>724</v>
      </c>
      <c r="H235" s="105">
        <v>818</v>
      </c>
      <c r="I235" s="105" t="s">
        <v>668</v>
      </c>
      <c r="J235" s="105" t="s">
        <v>57</v>
      </c>
      <c r="K235" s="105" t="s">
        <v>666</v>
      </c>
      <c r="L235" s="105" t="s">
        <v>669</v>
      </c>
      <c r="M235" s="105">
        <v>410</v>
      </c>
      <c r="N235" s="105" t="s">
        <v>754</v>
      </c>
      <c r="O235" s="105" t="s">
        <v>755</v>
      </c>
      <c r="P235" s="105">
        <v>0</v>
      </c>
      <c r="Q235" s="105" t="s">
        <v>670</v>
      </c>
      <c r="R235" s="105" t="s">
        <v>23</v>
      </c>
      <c r="S235" s="105" t="s">
        <v>671</v>
      </c>
      <c r="T235" s="105" t="s">
        <v>672</v>
      </c>
      <c r="U235" s="105" t="b">
        <v>1</v>
      </c>
      <c r="V235" s="105" t="s">
        <v>745</v>
      </c>
      <c r="W235" s="105" t="s">
        <v>746</v>
      </c>
      <c r="X235" s="105">
        <v>6</v>
      </c>
      <c r="Y235" s="105" t="b">
        <v>1</v>
      </c>
      <c r="Z235" s="105" t="s">
        <v>675</v>
      </c>
      <c r="AA235" s="105" t="s">
        <v>676</v>
      </c>
      <c r="AB235" s="105" t="s">
        <v>677</v>
      </c>
      <c r="AC235" s="105">
        <v>0</v>
      </c>
      <c r="AD235" s="105" t="s">
        <v>678</v>
      </c>
      <c r="AE235" s="105">
        <v>8</v>
      </c>
      <c r="AF235" s="105" t="s">
        <v>679</v>
      </c>
      <c r="AG235" s="105">
        <v>602.77300000000002</v>
      </c>
      <c r="AH235" s="105" t="b">
        <v>1</v>
      </c>
      <c r="AI235" s="105">
        <v>-1</v>
      </c>
      <c r="AJ235" s="105" t="s">
        <v>680</v>
      </c>
      <c r="AK235" s="105">
        <v>0</v>
      </c>
      <c r="AL235" s="105" t="b">
        <v>0</v>
      </c>
      <c r="AM235" s="105">
        <v>602.77300000000002</v>
      </c>
      <c r="AN235" s="105" t="b">
        <v>1</v>
      </c>
      <c r="AO235" s="105">
        <v>0</v>
      </c>
      <c r="AP235" s="105" t="b">
        <v>0</v>
      </c>
      <c r="AQ235" s="105">
        <v>2909.4969999999998</v>
      </c>
      <c r="AR235" s="105"/>
      <c r="AS235" s="105">
        <v>2909.4969999999998</v>
      </c>
      <c r="AT235" s="105">
        <v>6</v>
      </c>
      <c r="AU235" s="105" t="b">
        <v>1</v>
      </c>
      <c r="AV235" s="105" t="b">
        <v>0</v>
      </c>
    </row>
    <row r="236" spans="1:48" s="46" customFormat="1">
      <c r="A236" s="105" t="s">
        <v>510</v>
      </c>
      <c r="B236" s="105" t="s">
        <v>665</v>
      </c>
      <c r="C236" s="105" t="s">
        <v>666</v>
      </c>
      <c r="D236" s="105">
        <v>20231001</v>
      </c>
      <c r="E236" s="105">
        <v>2023</v>
      </c>
      <c r="F236" s="105">
        <v>10</v>
      </c>
      <c r="G236" s="105" t="s">
        <v>724</v>
      </c>
      <c r="H236" s="105">
        <v>818</v>
      </c>
      <c r="I236" s="105" t="s">
        <v>668</v>
      </c>
      <c r="J236" s="105" t="s">
        <v>57</v>
      </c>
      <c r="K236" s="105" t="s">
        <v>666</v>
      </c>
      <c r="L236" s="105" t="s">
        <v>669</v>
      </c>
      <c r="M236" s="105">
        <v>442</v>
      </c>
      <c r="N236" s="105" t="s">
        <v>759</v>
      </c>
      <c r="O236" s="105" t="s">
        <v>89</v>
      </c>
      <c r="P236" s="105">
        <v>0</v>
      </c>
      <c r="Q236" s="105" t="s">
        <v>670</v>
      </c>
      <c r="R236" s="105" t="s">
        <v>23</v>
      </c>
      <c r="S236" s="105" t="s">
        <v>671</v>
      </c>
      <c r="T236" s="105" t="s">
        <v>672</v>
      </c>
      <c r="U236" s="105" t="b">
        <v>1</v>
      </c>
      <c r="V236" s="105" t="s">
        <v>745</v>
      </c>
      <c r="W236" s="105" t="s">
        <v>746</v>
      </c>
      <c r="X236" s="105">
        <v>6</v>
      </c>
      <c r="Y236" s="105" t="b">
        <v>1</v>
      </c>
      <c r="Z236" s="105" t="s">
        <v>675</v>
      </c>
      <c r="AA236" s="105" t="s">
        <v>676</v>
      </c>
      <c r="AB236" s="105" t="s">
        <v>677</v>
      </c>
      <c r="AC236" s="105">
        <v>0</v>
      </c>
      <c r="AD236" s="105" t="s">
        <v>678</v>
      </c>
      <c r="AE236" s="105">
        <v>8</v>
      </c>
      <c r="AF236" s="105" t="s">
        <v>679</v>
      </c>
      <c r="AG236" s="105">
        <v>15747.175999999999</v>
      </c>
      <c r="AH236" s="105" t="b">
        <v>1</v>
      </c>
      <c r="AI236" s="105">
        <v>-1</v>
      </c>
      <c r="AJ236" s="105" t="s">
        <v>680</v>
      </c>
      <c r="AK236" s="105">
        <v>0</v>
      </c>
      <c r="AL236" s="105" t="b">
        <v>0</v>
      </c>
      <c r="AM236" s="105">
        <v>15747.175999999999</v>
      </c>
      <c r="AN236" s="105" t="b">
        <v>1</v>
      </c>
      <c r="AO236" s="105">
        <v>0</v>
      </c>
      <c r="AP236" s="105" t="b">
        <v>0</v>
      </c>
      <c r="AQ236" s="105">
        <v>76009.342000000004</v>
      </c>
      <c r="AR236" s="105"/>
      <c r="AS236" s="105">
        <v>76009.342000000004</v>
      </c>
      <c r="AT236" s="105">
        <v>6</v>
      </c>
      <c r="AU236" s="105" t="b">
        <v>1</v>
      </c>
      <c r="AV236" s="105" t="b">
        <v>0</v>
      </c>
    </row>
    <row r="237" spans="1:48" s="46" customFormat="1">
      <c r="A237" s="105" t="s">
        <v>510</v>
      </c>
      <c r="B237" s="105" t="s">
        <v>665</v>
      </c>
      <c r="C237" s="105" t="s">
        <v>666</v>
      </c>
      <c r="D237" s="105">
        <v>20231001</v>
      </c>
      <c r="E237" s="105">
        <v>2023</v>
      </c>
      <c r="F237" s="105">
        <v>10</v>
      </c>
      <c r="G237" s="105" t="s">
        <v>724</v>
      </c>
      <c r="H237" s="105">
        <v>818</v>
      </c>
      <c r="I237" s="105" t="s">
        <v>668</v>
      </c>
      <c r="J237" s="105" t="s">
        <v>57</v>
      </c>
      <c r="K237" s="105" t="s">
        <v>666</v>
      </c>
      <c r="L237" s="105" t="s">
        <v>669</v>
      </c>
      <c r="M237" s="105">
        <v>699</v>
      </c>
      <c r="N237" s="105" t="s">
        <v>748</v>
      </c>
      <c r="O237" s="105" t="s">
        <v>0</v>
      </c>
      <c r="P237" s="105">
        <v>0</v>
      </c>
      <c r="Q237" s="105" t="s">
        <v>670</v>
      </c>
      <c r="R237" s="105" t="s">
        <v>23</v>
      </c>
      <c r="S237" s="105" t="s">
        <v>671</v>
      </c>
      <c r="T237" s="105" t="s">
        <v>672</v>
      </c>
      <c r="U237" s="105" t="b">
        <v>1</v>
      </c>
      <c r="V237" s="105" t="s">
        <v>745</v>
      </c>
      <c r="W237" s="105" t="s">
        <v>746</v>
      </c>
      <c r="X237" s="105">
        <v>6</v>
      </c>
      <c r="Y237" s="105" t="b">
        <v>1</v>
      </c>
      <c r="Z237" s="105" t="s">
        <v>675</v>
      </c>
      <c r="AA237" s="105" t="s">
        <v>676</v>
      </c>
      <c r="AB237" s="105" t="s">
        <v>677</v>
      </c>
      <c r="AC237" s="105">
        <v>0</v>
      </c>
      <c r="AD237" s="105" t="s">
        <v>678</v>
      </c>
      <c r="AE237" s="105">
        <v>8</v>
      </c>
      <c r="AF237" s="105" t="s">
        <v>679</v>
      </c>
      <c r="AG237" s="105">
        <v>6845.9589999999998</v>
      </c>
      <c r="AH237" s="105" t="b">
        <v>1</v>
      </c>
      <c r="AI237" s="105">
        <v>-1</v>
      </c>
      <c r="AJ237" s="105" t="s">
        <v>680</v>
      </c>
      <c r="AK237" s="105">
        <v>0</v>
      </c>
      <c r="AL237" s="105" t="b">
        <v>0</v>
      </c>
      <c r="AM237" s="105">
        <v>6845.9589999999998</v>
      </c>
      <c r="AN237" s="105" t="b">
        <v>1</v>
      </c>
      <c r="AO237" s="105">
        <v>0</v>
      </c>
      <c r="AP237" s="105" t="b">
        <v>0</v>
      </c>
      <c r="AQ237" s="105">
        <v>33044.453000000001</v>
      </c>
      <c r="AR237" s="105"/>
      <c r="AS237" s="105">
        <v>33044.453000000001</v>
      </c>
      <c r="AT237" s="105">
        <v>6</v>
      </c>
      <c r="AU237" s="105" t="b">
        <v>1</v>
      </c>
      <c r="AV237" s="105" t="b">
        <v>0</v>
      </c>
    </row>
    <row r="238" spans="1:48" s="46" customFormat="1">
      <c r="A238" s="105" t="s">
        <v>510</v>
      </c>
      <c r="B238" s="105" t="s">
        <v>665</v>
      </c>
      <c r="C238" s="105" t="s">
        <v>666</v>
      </c>
      <c r="D238" s="105">
        <v>20231001</v>
      </c>
      <c r="E238" s="105">
        <v>2023</v>
      </c>
      <c r="F238" s="105">
        <v>10</v>
      </c>
      <c r="G238" s="105" t="s">
        <v>724</v>
      </c>
      <c r="H238" s="105">
        <v>818</v>
      </c>
      <c r="I238" s="105" t="s">
        <v>668</v>
      </c>
      <c r="J238" s="105" t="s">
        <v>57</v>
      </c>
      <c r="K238" s="105" t="s">
        <v>666</v>
      </c>
      <c r="L238" s="105" t="s">
        <v>669</v>
      </c>
      <c r="M238" s="105">
        <v>764</v>
      </c>
      <c r="N238" s="105" t="s">
        <v>749</v>
      </c>
      <c r="O238" s="105" t="s">
        <v>55</v>
      </c>
      <c r="P238" s="105">
        <v>0</v>
      </c>
      <c r="Q238" s="105" t="s">
        <v>670</v>
      </c>
      <c r="R238" s="105" t="s">
        <v>23</v>
      </c>
      <c r="S238" s="105" t="s">
        <v>671</v>
      </c>
      <c r="T238" s="105" t="s">
        <v>672</v>
      </c>
      <c r="U238" s="105" t="b">
        <v>1</v>
      </c>
      <c r="V238" s="105" t="s">
        <v>745</v>
      </c>
      <c r="W238" s="105" t="s">
        <v>746</v>
      </c>
      <c r="X238" s="105">
        <v>6</v>
      </c>
      <c r="Y238" s="105" t="b">
        <v>1</v>
      </c>
      <c r="Z238" s="105" t="s">
        <v>675</v>
      </c>
      <c r="AA238" s="105" t="s">
        <v>676</v>
      </c>
      <c r="AB238" s="105" t="s">
        <v>677</v>
      </c>
      <c r="AC238" s="105">
        <v>0</v>
      </c>
      <c r="AD238" s="105" t="s">
        <v>678</v>
      </c>
      <c r="AE238" s="105">
        <v>8</v>
      </c>
      <c r="AF238" s="105" t="s">
        <v>679</v>
      </c>
      <c r="AG238" s="105">
        <v>29062.582999999999</v>
      </c>
      <c r="AH238" s="105" t="b">
        <v>1</v>
      </c>
      <c r="AI238" s="105">
        <v>-1</v>
      </c>
      <c r="AJ238" s="105" t="s">
        <v>680</v>
      </c>
      <c r="AK238" s="105">
        <v>0</v>
      </c>
      <c r="AL238" s="105" t="b">
        <v>0</v>
      </c>
      <c r="AM238" s="105">
        <v>29062.582999999999</v>
      </c>
      <c r="AN238" s="105" t="b">
        <v>1</v>
      </c>
      <c r="AO238" s="105">
        <v>0</v>
      </c>
      <c r="AP238" s="105" t="b">
        <v>0</v>
      </c>
      <c r="AQ238" s="105">
        <v>140280.891</v>
      </c>
      <c r="AR238" s="105"/>
      <c r="AS238" s="105">
        <v>140280.891</v>
      </c>
      <c r="AT238" s="105">
        <v>6</v>
      </c>
      <c r="AU238" s="105" t="b">
        <v>1</v>
      </c>
      <c r="AV238" s="105" t="b">
        <v>0</v>
      </c>
    </row>
    <row r="239" spans="1:48" s="46" customFormat="1">
      <c r="A239" s="105" t="s">
        <v>510</v>
      </c>
      <c r="B239" s="105" t="s">
        <v>665</v>
      </c>
      <c r="C239" s="105" t="s">
        <v>666</v>
      </c>
      <c r="D239" s="105">
        <v>20231001</v>
      </c>
      <c r="E239" s="105">
        <v>2023</v>
      </c>
      <c r="F239" s="105">
        <v>10</v>
      </c>
      <c r="G239" s="105" t="s">
        <v>724</v>
      </c>
      <c r="H239" s="105">
        <v>818</v>
      </c>
      <c r="I239" s="105" t="s">
        <v>668</v>
      </c>
      <c r="J239" s="105" t="s">
        <v>57</v>
      </c>
      <c r="K239" s="105" t="s">
        <v>666</v>
      </c>
      <c r="L239" s="105" t="s">
        <v>669</v>
      </c>
      <c r="M239" s="105">
        <v>826</v>
      </c>
      <c r="N239" s="105" t="s">
        <v>685</v>
      </c>
      <c r="O239" s="105" t="s">
        <v>64</v>
      </c>
      <c r="P239" s="105">
        <v>0</v>
      </c>
      <c r="Q239" s="105" t="s">
        <v>670</v>
      </c>
      <c r="R239" s="105" t="s">
        <v>23</v>
      </c>
      <c r="S239" s="105" t="s">
        <v>671</v>
      </c>
      <c r="T239" s="105" t="s">
        <v>672</v>
      </c>
      <c r="U239" s="105" t="b">
        <v>1</v>
      </c>
      <c r="V239" s="105" t="s">
        <v>745</v>
      </c>
      <c r="W239" s="105" t="s">
        <v>746</v>
      </c>
      <c r="X239" s="105">
        <v>6</v>
      </c>
      <c r="Y239" s="105" t="b">
        <v>1</v>
      </c>
      <c r="Z239" s="105" t="s">
        <v>675</v>
      </c>
      <c r="AA239" s="105" t="s">
        <v>676</v>
      </c>
      <c r="AB239" s="105" t="s">
        <v>677</v>
      </c>
      <c r="AC239" s="105">
        <v>0</v>
      </c>
      <c r="AD239" s="105" t="s">
        <v>678</v>
      </c>
      <c r="AE239" s="105">
        <v>8</v>
      </c>
      <c r="AF239" s="105" t="s">
        <v>679</v>
      </c>
      <c r="AG239" s="105">
        <v>26718.026000000002</v>
      </c>
      <c r="AH239" s="105" t="b">
        <v>1</v>
      </c>
      <c r="AI239" s="105">
        <v>-1</v>
      </c>
      <c r="AJ239" s="105" t="s">
        <v>680</v>
      </c>
      <c r="AK239" s="105">
        <v>0</v>
      </c>
      <c r="AL239" s="105" t="b">
        <v>0</v>
      </c>
      <c r="AM239" s="105">
        <v>26718.026000000002</v>
      </c>
      <c r="AN239" s="105" t="b">
        <v>1</v>
      </c>
      <c r="AO239" s="105">
        <v>0</v>
      </c>
      <c r="AP239" s="105" t="b">
        <v>0</v>
      </c>
      <c r="AQ239" s="105">
        <v>128964.053</v>
      </c>
      <c r="AR239" s="105"/>
      <c r="AS239" s="105">
        <v>128964.053</v>
      </c>
      <c r="AT239" s="105">
        <v>6</v>
      </c>
      <c r="AU239" s="105" t="b">
        <v>1</v>
      </c>
      <c r="AV239" s="105" t="b">
        <v>0</v>
      </c>
    </row>
    <row r="240" spans="1:48" s="46" customFormat="1">
      <c r="A240" s="105" t="s">
        <v>510</v>
      </c>
      <c r="B240" s="105" t="s">
        <v>665</v>
      </c>
      <c r="C240" s="105" t="s">
        <v>666</v>
      </c>
      <c r="D240" s="105">
        <v>20231001</v>
      </c>
      <c r="E240" s="105">
        <v>2023</v>
      </c>
      <c r="F240" s="105">
        <v>10</v>
      </c>
      <c r="G240" s="105" t="s">
        <v>724</v>
      </c>
      <c r="H240" s="105">
        <v>818</v>
      </c>
      <c r="I240" s="105" t="s">
        <v>668</v>
      </c>
      <c r="J240" s="105" t="s">
        <v>57</v>
      </c>
      <c r="K240" s="105" t="s">
        <v>666</v>
      </c>
      <c r="L240" s="105" t="s">
        <v>669</v>
      </c>
      <c r="M240" s="105">
        <v>842</v>
      </c>
      <c r="N240" s="105" t="s">
        <v>713</v>
      </c>
      <c r="O240" s="105" t="s">
        <v>713</v>
      </c>
      <c r="P240" s="105">
        <v>0</v>
      </c>
      <c r="Q240" s="105" t="s">
        <v>670</v>
      </c>
      <c r="R240" s="105" t="s">
        <v>23</v>
      </c>
      <c r="S240" s="105" t="s">
        <v>671</v>
      </c>
      <c r="T240" s="105" t="s">
        <v>672</v>
      </c>
      <c r="U240" s="105" t="b">
        <v>1</v>
      </c>
      <c r="V240" s="105" t="s">
        <v>745</v>
      </c>
      <c r="W240" s="105" t="s">
        <v>746</v>
      </c>
      <c r="X240" s="105">
        <v>6</v>
      </c>
      <c r="Y240" s="105" t="b">
        <v>1</v>
      </c>
      <c r="Z240" s="105" t="s">
        <v>675</v>
      </c>
      <c r="AA240" s="105" t="s">
        <v>676</v>
      </c>
      <c r="AB240" s="105" t="s">
        <v>677</v>
      </c>
      <c r="AC240" s="105">
        <v>0</v>
      </c>
      <c r="AD240" s="105" t="s">
        <v>678</v>
      </c>
      <c r="AE240" s="105">
        <v>8</v>
      </c>
      <c r="AF240" s="105" t="s">
        <v>679</v>
      </c>
      <c r="AG240" s="105">
        <v>26729.842000000001</v>
      </c>
      <c r="AH240" s="105" t="b">
        <v>1</v>
      </c>
      <c r="AI240" s="105">
        <v>-1</v>
      </c>
      <c r="AJ240" s="105" t="s">
        <v>680</v>
      </c>
      <c r="AK240" s="105">
        <v>0</v>
      </c>
      <c r="AL240" s="105" t="b">
        <v>0</v>
      </c>
      <c r="AM240" s="105">
        <v>26729.842000000001</v>
      </c>
      <c r="AN240" s="105" t="b">
        <v>1</v>
      </c>
      <c r="AO240" s="105">
        <v>0</v>
      </c>
      <c r="AP240" s="105" t="b">
        <v>0</v>
      </c>
      <c r="AQ240" s="105">
        <v>129021.087</v>
      </c>
      <c r="AR240" s="105"/>
      <c r="AS240" s="105">
        <v>129021.087</v>
      </c>
      <c r="AT240" s="105">
        <v>6</v>
      </c>
      <c r="AU240" s="105" t="b">
        <v>1</v>
      </c>
      <c r="AV240" s="105" t="b">
        <v>0</v>
      </c>
    </row>
    <row r="241" spans="1:48" s="46" customFormat="1">
      <c r="A241" s="105" t="s">
        <v>510</v>
      </c>
      <c r="B241" s="105" t="s">
        <v>665</v>
      </c>
      <c r="C241" s="105" t="s">
        <v>666</v>
      </c>
      <c r="D241" s="105">
        <v>20231101</v>
      </c>
      <c r="E241" s="105">
        <v>2023</v>
      </c>
      <c r="F241" s="105">
        <v>11</v>
      </c>
      <c r="G241" s="105" t="s">
        <v>725</v>
      </c>
      <c r="H241" s="105">
        <v>818</v>
      </c>
      <c r="I241" s="105" t="s">
        <v>668</v>
      </c>
      <c r="J241" s="105" t="s">
        <v>57</v>
      </c>
      <c r="K241" s="105" t="s">
        <v>666</v>
      </c>
      <c r="L241" s="105" t="s">
        <v>669</v>
      </c>
      <c r="M241" s="105">
        <v>0</v>
      </c>
      <c r="N241" s="105" t="s">
        <v>670</v>
      </c>
      <c r="O241" s="105" t="s">
        <v>23</v>
      </c>
      <c r="P241" s="105">
        <v>0</v>
      </c>
      <c r="Q241" s="105" t="s">
        <v>670</v>
      </c>
      <c r="R241" s="105" t="s">
        <v>23</v>
      </c>
      <c r="S241" s="105" t="s">
        <v>671</v>
      </c>
      <c r="T241" s="105" t="s">
        <v>672</v>
      </c>
      <c r="U241" s="105" t="b">
        <v>1</v>
      </c>
      <c r="V241" s="105" t="s">
        <v>745</v>
      </c>
      <c r="W241" s="105" t="s">
        <v>746</v>
      </c>
      <c r="X241" s="105">
        <v>6</v>
      </c>
      <c r="Y241" s="105" t="b">
        <v>1</v>
      </c>
      <c r="Z241" s="105" t="s">
        <v>675</v>
      </c>
      <c r="AA241" s="105" t="s">
        <v>676</v>
      </c>
      <c r="AB241" s="105" t="s">
        <v>677</v>
      </c>
      <c r="AC241" s="105">
        <v>0</v>
      </c>
      <c r="AD241" s="105" t="s">
        <v>678</v>
      </c>
      <c r="AE241" s="105">
        <v>8</v>
      </c>
      <c r="AF241" s="105" t="s">
        <v>679</v>
      </c>
      <c r="AG241" s="105">
        <v>194562.94200000001</v>
      </c>
      <c r="AH241" s="105" t="b">
        <v>1</v>
      </c>
      <c r="AI241" s="105">
        <v>-1</v>
      </c>
      <c r="AJ241" s="105" t="s">
        <v>680</v>
      </c>
      <c r="AK241" s="105">
        <v>0</v>
      </c>
      <c r="AL241" s="105" t="b">
        <v>0</v>
      </c>
      <c r="AM241" s="105">
        <v>194562.94200000001</v>
      </c>
      <c r="AN241" s="105" t="b">
        <v>1</v>
      </c>
      <c r="AO241" s="105">
        <v>0</v>
      </c>
      <c r="AP241" s="105" t="b">
        <v>0</v>
      </c>
      <c r="AQ241" s="105">
        <v>939127.21799999999</v>
      </c>
      <c r="AR241" s="105"/>
      <c r="AS241" s="105">
        <v>939127.21799999999</v>
      </c>
      <c r="AT241" s="105">
        <v>6</v>
      </c>
      <c r="AU241" s="105" t="b">
        <v>0</v>
      </c>
      <c r="AV241" s="105" t="b">
        <v>1</v>
      </c>
    </row>
    <row r="242" spans="1:48" s="46" customFormat="1">
      <c r="A242" s="105" t="s">
        <v>510</v>
      </c>
      <c r="B242" s="105" t="s">
        <v>665</v>
      </c>
      <c r="C242" s="105" t="s">
        <v>666</v>
      </c>
      <c r="D242" s="105">
        <v>20231101</v>
      </c>
      <c r="E242" s="105">
        <v>2023</v>
      </c>
      <c r="F242" s="105">
        <v>11</v>
      </c>
      <c r="G242" s="105" t="s">
        <v>725</v>
      </c>
      <c r="H242" s="105">
        <v>818</v>
      </c>
      <c r="I242" s="105" t="s">
        <v>668</v>
      </c>
      <c r="J242" s="105" t="s">
        <v>57</v>
      </c>
      <c r="K242" s="105" t="s">
        <v>666</v>
      </c>
      <c r="L242" s="105" t="s">
        <v>669</v>
      </c>
      <c r="M242" s="105">
        <v>40</v>
      </c>
      <c r="N242" s="105" t="s">
        <v>750</v>
      </c>
      <c r="O242" s="105" t="s">
        <v>43</v>
      </c>
      <c r="P242" s="105">
        <v>0</v>
      </c>
      <c r="Q242" s="105" t="s">
        <v>670</v>
      </c>
      <c r="R242" s="105" t="s">
        <v>23</v>
      </c>
      <c r="S242" s="105" t="s">
        <v>671</v>
      </c>
      <c r="T242" s="105" t="s">
        <v>672</v>
      </c>
      <c r="U242" s="105" t="b">
        <v>1</v>
      </c>
      <c r="V242" s="105" t="s">
        <v>745</v>
      </c>
      <c r="W242" s="105" t="s">
        <v>746</v>
      </c>
      <c r="X242" s="105">
        <v>6</v>
      </c>
      <c r="Y242" s="105" t="b">
        <v>1</v>
      </c>
      <c r="Z242" s="105" t="s">
        <v>675</v>
      </c>
      <c r="AA242" s="105" t="s">
        <v>676</v>
      </c>
      <c r="AB242" s="105" t="s">
        <v>677</v>
      </c>
      <c r="AC242" s="105">
        <v>0</v>
      </c>
      <c r="AD242" s="105" t="s">
        <v>678</v>
      </c>
      <c r="AE242" s="105">
        <v>8</v>
      </c>
      <c r="AF242" s="105" t="s">
        <v>679</v>
      </c>
      <c r="AG242" s="105">
        <v>136.62799999999999</v>
      </c>
      <c r="AH242" s="105" t="b">
        <v>1</v>
      </c>
      <c r="AI242" s="105">
        <v>-1</v>
      </c>
      <c r="AJ242" s="105" t="s">
        <v>680</v>
      </c>
      <c r="AK242" s="105">
        <v>0</v>
      </c>
      <c r="AL242" s="105" t="b">
        <v>0</v>
      </c>
      <c r="AM242" s="105">
        <v>136.62799999999999</v>
      </c>
      <c r="AN242" s="105" t="b">
        <v>1</v>
      </c>
      <c r="AO242" s="105">
        <v>0</v>
      </c>
      <c r="AP242" s="105" t="b">
        <v>0</v>
      </c>
      <c r="AQ242" s="105">
        <v>659.48199999999997</v>
      </c>
      <c r="AR242" s="105"/>
      <c r="AS242" s="105">
        <v>659.48199999999997</v>
      </c>
      <c r="AT242" s="105">
        <v>6</v>
      </c>
      <c r="AU242" s="105" t="b">
        <v>1</v>
      </c>
      <c r="AV242" s="105" t="b">
        <v>0</v>
      </c>
    </row>
    <row r="243" spans="1:48" s="46" customFormat="1">
      <c r="A243" s="105" t="s">
        <v>510</v>
      </c>
      <c r="B243" s="105" t="s">
        <v>665</v>
      </c>
      <c r="C243" s="105" t="s">
        <v>666</v>
      </c>
      <c r="D243" s="105">
        <v>20231101</v>
      </c>
      <c r="E243" s="105">
        <v>2023</v>
      </c>
      <c r="F243" s="105">
        <v>11</v>
      </c>
      <c r="G243" s="105" t="s">
        <v>725</v>
      </c>
      <c r="H243" s="105">
        <v>818</v>
      </c>
      <c r="I243" s="105" t="s">
        <v>668</v>
      </c>
      <c r="J243" s="105" t="s">
        <v>57</v>
      </c>
      <c r="K243" s="105" t="s">
        <v>666</v>
      </c>
      <c r="L243" s="105" t="s">
        <v>669</v>
      </c>
      <c r="M243" s="105">
        <v>56</v>
      </c>
      <c r="N243" s="105" t="s">
        <v>696</v>
      </c>
      <c r="O243" s="105" t="s">
        <v>74</v>
      </c>
      <c r="P243" s="105">
        <v>0</v>
      </c>
      <c r="Q243" s="105" t="s">
        <v>670</v>
      </c>
      <c r="R243" s="105" t="s">
        <v>23</v>
      </c>
      <c r="S243" s="105" t="s">
        <v>671</v>
      </c>
      <c r="T243" s="105" t="s">
        <v>672</v>
      </c>
      <c r="U243" s="105" t="b">
        <v>1</v>
      </c>
      <c r="V243" s="105" t="s">
        <v>745</v>
      </c>
      <c r="W243" s="105" t="s">
        <v>746</v>
      </c>
      <c r="X243" s="105">
        <v>6</v>
      </c>
      <c r="Y243" s="105" t="b">
        <v>1</v>
      </c>
      <c r="Z243" s="105" t="s">
        <v>675</v>
      </c>
      <c r="AA243" s="105" t="s">
        <v>676</v>
      </c>
      <c r="AB243" s="105" t="s">
        <v>677</v>
      </c>
      <c r="AC243" s="105">
        <v>0</v>
      </c>
      <c r="AD243" s="105" t="s">
        <v>678</v>
      </c>
      <c r="AE243" s="105">
        <v>8</v>
      </c>
      <c r="AF243" s="105" t="s">
        <v>679</v>
      </c>
      <c r="AG243" s="105">
        <v>11192.427</v>
      </c>
      <c r="AH243" s="105" t="b">
        <v>1</v>
      </c>
      <c r="AI243" s="105">
        <v>-1</v>
      </c>
      <c r="AJ243" s="105" t="s">
        <v>680</v>
      </c>
      <c r="AK243" s="105">
        <v>0</v>
      </c>
      <c r="AL243" s="105" t="b">
        <v>0</v>
      </c>
      <c r="AM243" s="105">
        <v>11192.427</v>
      </c>
      <c r="AN243" s="105" t="b">
        <v>1</v>
      </c>
      <c r="AO243" s="105">
        <v>0</v>
      </c>
      <c r="AP243" s="105" t="b">
        <v>0</v>
      </c>
      <c r="AQ243" s="105">
        <v>54024.23</v>
      </c>
      <c r="AR243" s="105"/>
      <c r="AS243" s="105">
        <v>54024.23</v>
      </c>
      <c r="AT243" s="105">
        <v>6</v>
      </c>
      <c r="AU243" s="105" t="b">
        <v>1</v>
      </c>
      <c r="AV243" s="105" t="b">
        <v>0</v>
      </c>
    </row>
    <row r="244" spans="1:48" s="46" customFormat="1">
      <c r="A244" s="105" t="s">
        <v>510</v>
      </c>
      <c r="B244" s="105" t="s">
        <v>665</v>
      </c>
      <c r="C244" s="105" t="s">
        <v>666</v>
      </c>
      <c r="D244" s="105">
        <v>20231101</v>
      </c>
      <c r="E244" s="105">
        <v>2023</v>
      </c>
      <c r="F244" s="105">
        <v>11</v>
      </c>
      <c r="G244" s="105" t="s">
        <v>725</v>
      </c>
      <c r="H244" s="105">
        <v>818</v>
      </c>
      <c r="I244" s="105" t="s">
        <v>668</v>
      </c>
      <c r="J244" s="105" t="s">
        <v>57</v>
      </c>
      <c r="K244" s="105" t="s">
        <v>666</v>
      </c>
      <c r="L244" s="105" t="s">
        <v>669</v>
      </c>
      <c r="M244" s="105">
        <v>156</v>
      </c>
      <c r="N244" s="105" t="s">
        <v>711</v>
      </c>
      <c r="O244" s="105" t="s">
        <v>29</v>
      </c>
      <c r="P244" s="105">
        <v>0</v>
      </c>
      <c r="Q244" s="105" t="s">
        <v>670</v>
      </c>
      <c r="R244" s="105" t="s">
        <v>23</v>
      </c>
      <c r="S244" s="105" t="s">
        <v>671</v>
      </c>
      <c r="T244" s="105" t="s">
        <v>672</v>
      </c>
      <c r="U244" s="105" t="b">
        <v>1</v>
      </c>
      <c r="V244" s="105" t="s">
        <v>745</v>
      </c>
      <c r="W244" s="105" t="s">
        <v>746</v>
      </c>
      <c r="X244" s="105">
        <v>6</v>
      </c>
      <c r="Y244" s="105" t="b">
        <v>1</v>
      </c>
      <c r="Z244" s="105" t="s">
        <v>675</v>
      </c>
      <c r="AA244" s="105" t="s">
        <v>676</v>
      </c>
      <c r="AB244" s="105" t="s">
        <v>677</v>
      </c>
      <c r="AC244" s="105">
        <v>0</v>
      </c>
      <c r="AD244" s="105" t="s">
        <v>678</v>
      </c>
      <c r="AE244" s="105">
        <v>8</v>
      </c>
      <c r="AF244" s="105" t="s">
        <v>679</v>
      </c>
      <c r="AG244" s="105">
        <v>88164.406000000003</v>
      </c>
      <c r="AH244" s="105" t="b">
        <v>1</v>
      </c>
      <c r="AI244" s="105">
        <v>-1</v>
      </c>
      <c r="AJ244" s="105" t="s">
        <v>680</v>
      </c>
      <c r="AK244" s="105">
        <v>0</v>
      </c>
      <c r="AL244" s="105" t="b">
        <v>0</v>
      </c>
      <c r="AM244" s="105">
        <v>88164.406000000003</v>
      </c>
      <c r="AN244" s="105" t="b">
        <v>1</v>
      </c>
      <c r="AO244" s="105">
        <v>0</v>
      </c>
      <c r="AP244" s="105" t="b">
        <v>0</v>
      </c>
      <c r="AQ244" s="105">
        <v>425556.85399999999</v>
      </c>
      <c r="AR244" s="105"/>
      <c r="AS244" s="105">
        <v>425556.85399999999</v>
      </c>
      <c r="AT244" s="105">
        <v>6</v>
      </c>
      <c r="AU244" s="105" t="b">
        <v>1</v>
      </c>
      <c r="AV244" s="105" t="b">
        <v>0</v>
      </c>
    </row>
    <row r="245" spans="1:48" s="46" customFormat="1">
      <c r="A245" s="105" t="s">
        <v>510</v>
      </c>
      <c r="B245" s="105" t="s">
        <v>665</v>
      </c>
      <c r="C245" s="105" t="s">
        <v>666</v>
      </c>
      <c r="D245" s="105">
        <v>20231101</v>
      </c>
      <c r="E245" s="105">
        <v>2023</v>
      </c>
      <c r="F245" s="105">
        <v>11</v>
      </c>
      <c r="G245" s="105" t="s">
        <v>725</v>
      </c>
      <c r="H245" s="105">
        <v>818</v>
      </c>
      <c r="I245" s="105" t="s">
        <v>668</v>
      </c>
      <c r="J245" s="105" t="s">
        <v>57</v>
      </c>
      <c r="K245" s="105" t="s">
        <v>666</v>
      </c>
      <c r="L245" s="105" t="s">
        <v>669</v>
      </c>
      <c r="M245" s="105">
        <v>276</v>
      </c>
      <c r="N245" s="105" t="s">
        <v>681</v>
      </c>
      <c r="O245" s="105" t="s">
        <v>30</v>
      </c>
      <c r="P245" s="105">
        <v>0</v>
      </c>
      <c r="Q245" s="105" t="s">
        <v>670</v>
      </c>
      <c r="R245" s="105" t="s">
        <v>23</v>
      </c>
      <c r="S245" s="105" t="s">
        <v>671</v>
      </c>
      <c r="T245" s="105" t="s">
        <v>672</v>
      </c>
      <c r="U245" s="105" t="b">
        <v>1</v>
      </c>
      <c r="V245" s="105" t="s">
        <v>745</v>
      </c>
      <c r="W245" s="105" t="s">
        <v>746</v>
      </c>
      <c r="X245" s="105">
        <v>6</v>
      </c>
      <c r="Y245" s="105" t="b">
        <v>1</v>
      </c>
      <c r="Z245" s="105" t="s">
        <v>675</v>
      </c>
      <c r="AA245" s="105" t="s">
        <v>676</v>
      </c>
      <c r="AB245" s="105" t="s">
        <v>677</v>
      </c>
      <c r="AC245" s="105">
        <v>0</v>
      </c>
      <c r="AD245" s="105" t="s">
        <v>678</v>
      </c>
      <c r="AE245" s="105">
        <v>8</v>
      </c>
      <c r="AF245" s="105" t="s">
        <v>679</v>
      </c>
      <c r="AG245" s="105">
        <v>30878.744999999999</v>
      </c>
      <c r="AH245" s="105" t="b">
        <v>1</v>
      </c>
      <c r="AI245" s="105">
        <v>-1</v>
      </c>
      <c r="AJ245" s="105" t="s">
        <v>680</v>
      </c>
      <c r="AK245" s="105">
        <v>0</v>
      </c>
      <c r="AL245" s="105" t="b">
        <v>0</v>
      </c>
      <c r="AM245" s="105">
        <v>30878.744999999999</v>
      </c>
      <c r="AN245" s="105" t="b">
        <v>1</v>
      </c>
      <c r="AO245" s="105">
        <v>0</v>
      </c>
      <c r="AP245" s="105" t="b">
        <v>0</v>
      </c>
      <c r="AQ245" s="105">
        <v>149047.24</v>
      </c>
      <c r="AR245" s="105"/>
      <c r="AS245" s="105">
        <v>149047.24</v>
      </c>
      <c r="AT245" s="105">
        <v>6</v>
      </c>
      <c r="AU245" s="105" t="b">
        <v>1</v>
      </c>
      <c r="AV245" s="105" t="b">
        <v>0</v>
      </c>
    </row>
    <row r="246" spans="1:48" s="46" customFormat="1">
      <c r="A246" s="105" t="s">
        <v>510</v>
      </c>
      <c r="B246" s="105" t="s">
        <v>665</v>
      </c>
      <c r="C246" s="105" t="s">
        <v>666</v>
      </c>
      <c r="D246" s="105">
        <v>20231101</v>
      </c>
      <c r="E246" s="105">
        <v>2023</v>
      </c>
      <c r="F246" s="105">
        <v>11</v>
      </c>
      <c r="G246" s="105" t="s">
        <v>725</v>
      </c>
      <c r="H246" s="105">
        <v>818</v>
      </c>
      <c r="I246" s="105" t="s">
        <v>668</v>
      </c>
      <c r="J246" s="105" t="s">
        <v>57</v>
      </c>
      <c r="K246" s="105" t="s">
        <v>666</v>
      </c>
      <c r="L246" s="105" t="s">
        <v>669</v>
      </c>
      <c r="M246" s="105">
        <v>380</v>
      </c>
      <c r="N246" s="105" t="s">
        <v>689</v>
      </c>
      <c r="O246" s="105" t="s">
        <v>71</v>
      </c>
      <c r="P246" s="105">
        <v>0</v>
      </c>
      <c r="Q246" s="105" t="s">
        <v>670</v>
      </c>
      <c r="R246" s="105" t="s">
        <v>23</v>
      </c>
      <c r="S246" s="105" t="s">
        <v>671</v>
      </c>
      <c r="T246" s="105" t="s">
        <v>672</v>
      </c>
      <c r="U246" s="105" t="b">
        <v>1</v>
      </c>
      <c r="V246" s="105" t="s">
        <v>745</v>
      </c>
      <c r="W246" s="105" t="s">
        <v>746</v>
      </c>
      <c r="X246" s="105">
        <v>6</v>
      </c>
      <c r="Y246" s="105" t="b">
        <v>1</v>
      </c>
      <c r="Z246" s="105" t="s">
        <v>675</v>
      </c>
      <c r="AA246" s="105" t="s">
        <v>676</v>
      </c>
      <c r="AB246" s="105" t="s">
        <v>677</v>
      </c>
      <c r="AC246" s="105">
        <v>0</v>
      </c>
      <c r="AD246" s="105" t="s">
        <v>678</v>
      </c>
      <c r="AE246" s="105">
        <v>8</v>
      </c>
      <c r="AF246" s="105" t="s">
        <v>679</v>
      </c>
      <c r="AG246" s="105">
        <v>1203.221</v>
      </c>
      <c r="AH246" s="105" t="b">
        <v>1</v>
      </c>
      <c r="AI246" s="105">
        <v>-1</v>
      </c>
      <c r="AJ246" s="105" t="s">
        <v>680</v>
      </c>
      <c r="AK246" s="105">
        <v>0</v>
      </c>
      <c r="AL246" s="105" t="b">
        <v>0</v>
      </c>
      <c r="AM246" s="105">
        <v>1203.221</v>
      </c>
      <c r="AN246" s="105" t="b">
        <v>1</v>
      </c>
      <c r="AO246" s="105">
        <v>0</v>
      </c>
      <c r="AP246" s="105" t="b">
        <v>0</v>
      </c>
      <c r="AQ246" s="105">
        <v>5807.7730000000001</v>
      </c>
      <c r="AR246" s="105"/>
      <c r="AS246" s="105">
        <v>5807.7730000000001</v>
      </c>
      <c r="AT246" s="105">
        <v>6</v>
      </c>
      <c r="AU246" s="105" t="b">
        <v>1</v>
      </c>
      <c r="AV246" s="105" t="b">
        <v>0</v>
      </c>
    </row>
    <row r="247" spans="1:48" s="46" customFormat="1">
      <c r="A247" s="105" t="s">
        <v>510</v>
      </c>
      <c r="B247" s="105" t="s">
        <v>665</v>
      </c>
      <c r="C247" s="105" t="s">
        <v>666</v>
      </c>
      <c r="D247" s="105">
        <v>20231101</v>
      </c>
      <c r="E247" s="105">
        <v>2023</v>
      </c>
      <c r="F247" s="105">
        <v>11</v>
      </c>
      <c r="G247" s="105" t="s">
        <v>725</v>
      </c>
      <c r="H247" s="105">
        <v>818</v>
      </c>
      <c r="I247" s="105" t="s">
        <v>668</v>
      </c>
      <c r="J247" s="105" t="s">
        <v>57</v>
      </c>
      <c r="K247" s="105" t="s">
        <v>666</v>
      </c>
      <c r="L247" s="105" t="s">
        <v>669</v>
      </c>
      <c r="M247" s="105">
        <v>392</v>
      </c>
      <c r="N247" s="105" t="s">
        <v>747</v>
      </c>
      <c r="O247" s="105" t="s">
        <v>32</v>
      </c>
      <c r="P247" s="105">
        <v>0</v>
      </c>
      <c r="Q247" s="105" t="s">
        <v>670</v>
      </c>
      <c r="R247" s="105" t="s">
        <v>23</v>
      </c>
      <c r="S247" s="105" t="s">
        <v>671</v>
      </c>
      <c r="T247" s="105" t="s">
        <v>672</v>
      </c>
      <c r="U247" s="105" t="b">
        <v>1</v>
      </c>
      <c r="V247" s="105" t="s">
        <v>745</v>
      </c>
      <c r="W247" s="105" t="s">
        <v>746</v>
      </c>
      <c r="X247" s="105">
        <v>6</v>
      </c>
      <c r="Y247" s="105" t="b">
        <v>1</v>
      </c>
      <c r="Z247" s="105" t="s">
        <v>675</v>
      </c>
      <c r="AA247" s="105" t="s">
        <v>676</v>
      </c>
      <c r="AB247" s="105" t="s">
        <v>677</v>
      </c>
      <c r="AC247" s="105">
        <v>0</v>
      </c>
      <c r="AD247" s="105" t="s">
        <v>678</v>
      </c>
      <c r="AE247" s="105">
        <v>8</v>
      </c>
      <c r="AF247" s="105" t="s">
        <v>679</v>
      </c>
      <c r="AG247" s="105">
        <v>38905.606</v>
      </c>
      <c r="AH247" s="105" t="b">
        <v>1</v>
      </c>
      <c r="AI247" s="105">
        <v>-1</v>
      </c>
      <c r="AJ247" s="105" t="s">
        <v>680</v>
      </c>
      <c r="AK247" s="105">
        <v>0</v>
      </c>
      <c r="AL247" s="105" t="b">
        <v>0</v>
      </c>
      <c r="AM247" s="105">
        <v>38905.606</v>
      </c>
      <c r="AN247" s="105" t="b">
        <v>1</v>
      </c>
      <c r="AO247" s="105">
        <v>0</v>
      </c>
      <c r="AP247" s="105" t="b">
        <v>0</v>
      </c>
      <c r="AQ247" s="105">
        <v>187791.742</v>
      </c>
      <c r="AR247" s="105"/>
      <c r="AS247" s="105">
        <v>187791.742</v>
      </c>
      <c r="AT247" s="105">
        <v>6</v>
      </c>
      <c r="AU247" s="105" t="b">
        <v>1</v>
      </c>
      <c r="AV247" s="105" t="b">
        <v>0</v>
      </c>
    </row>
    <row r="248" spans="1:48" s="46" customFormat="1">
      <c r="A248" s="105" t="s">
        <v>510</v>
      </c>
      <c r="B248" s="105" t="s">
        <v>665</v>
      </c>
      <c r="C248" s="105" t="s">
        <v>666</v>
      </c>
      <c r="D248" s="105">
        <v>20231101</v>
      </c>
      <c r="E248" s="105">
        <v>2023</v>
      </c>
      <c r="F248" s="105">
        <v>11</v>
      </c>
      <c r="G248" s="105" t="s">
        <v>725</v>
      </c>
      <c r="H248" s="105">
        <v>818</v>
      </c>
      <c r="I248" s="105" t="s">
        <v>668</v>
      </c>
      <c r="J248" s="105" t="s">
        <v>57</v>
      </c>
      <c r="K248" s="105" t="s">
        <v>666</v>
      </c>
      <c r="L248" s="105" t="s">
        <v>669</v>
      </c>
      <c r="M248" s="105">
        <v>643</v>
      </c>
      <c r="N248" s="105" t="s">
        <v>761</v>
      </c>
      <c r="O248" s="105" t="s">
        <v>38</v>
      </c>
      <c r="P248" s="105">
        <v>0</v>
      </c>
      <c r="Q248" s="105" t="s">
        <v>670</v>
      </c>
      <c r="R248" s="105" t="s">
        <v>23</v>
      </c>
      <c r="S248" s="105" t="s">
        <v>671</v>
      </c>
      <c r="T248" s="105" t="s">
        <v>672</v>
      </c>
      <c r="U248" s="105" t="b">
        <v>1</v>
      </c>
      <c r="V248" s="105" t="s">
        <v>745</v>
      </c>
      <c r="W248" s="105" t="s">
        <v>746</v>
      </c>
      <c r="X248" s="105">
        <v>6</v>
      </c>
      <c r="Y248" s="105" t="b">
        <v>1</v>
      </c>
      <c r="Z248" s="105" t="s">
        <v>675</v>
      </c>
      <c r="AA248" s="105" t="s">
        <v>676</v>
      </c>
      <c r="AB248" s="105" t="s">
        <v>677</v>
      </c>
      <c r="AC248" s="105">
        <v>0</v>
      </c>
      <c r="AD248" s="105" t="s">
        <v>678</v>
      </c>
      <c r="AE248" s="105">
        <v>8</v>
      </c>
      <c r="AF248" s="105" t="s">
        <v>679</v>
      </c>
      <c r="AG248" s="105">
        <v>1018.519</v>
      </c>
      <c r="AH248" s="105" t="b">
        <v>1</v>
      </c>
      <c r="AI248" s="105">
        <v>-1</v>
      </c>
      <c r="AJ248" s="105" t="s">
        <v>680</v>
      </c>
      <c r="AK248" s="105">
        <v>0</v>
      </c>
      <c r="AL248" s="105" t="b">
        <v>0</v>
      </c>
      <c r="AM248" s="105">
        <v>1018.519</v>
      </c>
      <c r="AN248" s="105" t="b">
        <v>1</v>
      </c>
      <c r="AO248" s="105">
        <v>0</v>
      </c>
      <c r="AP248" s="105" t="b">
        <v>0</v>
      </c>
      <c r="AQ248" s="105">
        <v>4916.2430000000004</v>
      </c>
      <c r="AR248" s="105"/>
      <c r="AS248" s="105">
        <v>4916.2430000000004</v>
      </c>
      <c r="AT248" s="105">
        <v>6</v>
      </c>
      <c r="AU248" s="105" t="b">
        <v>1</v>
      </c>
      <c r="AV248" s="105" t="b">
        <v>0</v>
      </c>
    </row>
    <row r="249" spans="1:48" s="46" customFormat="1">
      <c r="A249" s="105" t="s">
        <v>510</v>
      </c>
      <c r="B249" s="105" t="s">
        <v>665</v>
      </c>
      <c r="C249" s="105" t="s">
        <v>666</v>
      </c>
      <c r="D249" s="105">
        <v>20231101</v>
      </c>
      <c r="E249" s="105">
        <v>2023</v>
      </c>
      <c r="F249" s="105">
        <v>11</v>
      </c>
      <c r="G249" s="105" t="s">
        <v>725</v>
      </c>
      <c r="H249" s="105">
        <v>818</v>
      </c>
      <c r="I249" s="105" t="s">
        <v>668</v>
      </c>
      <c r="J249" s="105" t="s">
        <v>57</v>
      </c>
      <c r="K249" s="105" t="s">
        <v>666</v>
      </c>
      <c r="L249" s="105" t="s">
        <v>669</v>
      </c>
      <c r="M249" s="105">
        <v>699</v>
      </c>
      <c r="N249" s="105" t="s">
        <v>748</v>
      </c>
      <c r="O249" s="105" t="s">
        <v>0</v>
      </c>
      <c r="P249" s="105">
        <v>0</v>
      </c>
      <c r="Q249" s="105" t="s">
        <v>670</v>
      </c>
      <c r="R249" s="105" t="s">
        <v>23</v>
      </c>
      <c r="S249" s="105" t="s">
        <v>671</v>
      </c>
      <c r="T249" s="105" t="s">
        <v>672</v>
      </c>
      <c r="U249" s="105" t="b">
        <v>1</v>
      </c>
      <c r="V249" s="105" t="s">
        <v>745</v>
      </c>
      <c r="W249" s="105" t="s">
        <v>746</v>
      </c>
      <c r="X249" s="105">
        <v>6</v>
      </c>
      <c r="Y249" s="105" t="b">
        <v>1</v>
      </c>
      <c r="Z249" s="105" t="s">
        <v>675</v>
      </c>
      <c r="AA249" s="105" t="s">
        <v>676</v>
      </c>
      <c r="AB249" s="105" t="s">
        <v>677</v>
      </c>
      <c r="AC249" s="105">
        <v>0</v>
      </c>
      <c r="AD249" s="105" t="s">
        <v>678</v>
      </c>
      <c r="AE249" s="105">
        <v>8</v>
      </c>
      <c r="AF249" s="105" t="s">
        <v>679</v>
      </c>
      <c r="AG249" s="105">
        <v>7528.6210000000001</v>
      </c>
      <c r="AH249" s="105" t="b">
        <v>1</v>
      </c>
      <c r="AI249" s="105">
        <v>-1</v>
      </c>
      <c r="AJ249" s="105" t="s">
        <v>680</v>
      </c>
      <c r="AK249" s="105">
        <v>0</v>
      </c>
      <c r="AL249" s="105" t="b">
        <v>0</v>
      </c>
      <c r="AM249" s="105">
        <v>7528.6210000000001</v>
      </c>
      <c r="AN249" s="105" t="b">
        <v>1</v>
      </c>
      <c r="AO249" s="105">
        <v>0</v>
      </c>
      <c r="AP249" s="105" t="b">
        <v>0</v>
      </c>
      <c r="AQ249" s="105">
        <v>36339.565999999999</v>
      </c>
      <c r="AR249" s="105"/>
      <c r="AS249" s="105">
        <v>36339.565999999999</v>
      </c>
      <c r="AT249" s="105">
        <v>6</v>
      </c>
      <c r="AU249" s="105" t="b">
        <v>1</v>
      </c>
      <c r="AV249" s="105" t="b">
        <v>0</v>
      </c>
    </row>
    <row r="250" spans="1:48" s="46" customFormat="1">
      <c r="A250" s="105" t="s">
        <v>510</v>
      </c>
      <c r="B250" s="105" t="s">
        <v>665</v>
      </c>
      <c r="C250" s="105" t="s">
        <v>666</v>
      </c>
      <c r="D250" s="105">
        <v>20231101</v>
      </c>
      <c r="E250" s="105">
        <v>2023</v>
      </c>
      <c r="F250" s="105">
        <v>11</v>
      </c>
      <c r="G250" s="105" t="s">
        <v>725</v>
      </c>
      <c r="H250" s="105">
        <v>818</v>
      </c>
      <c r="I250" s="105" t="s">
        <v>668</v>
      </c>
      <c r="J250" s="105" t="s">
        <v>57</v>
      </c>
      <c r="K250" s="105" t="s">
        <v>666</v>
      </c>
      <c r="L250" s="105" t="s">
        <v>669</v>
      </c>
      <c r="M250" s="105">
        <v>792</v>
      </c>
      <c r="N250" s="105" t="s">
        <v>691</v>
      </c>
      <c r="O250" s="105" t="s">
        <v>63</v>
      </c>
      <c r="P250" s="105">
        <v>0</v>
      </c>
      <c r="Q250" s="105" t="s">
        <v>670</v>
      </c>
      <c r="R250" s="105" t="s">
        <v>23</v>
      </c>
      <c r="S250" s="105" t="s">
        <v>671</v>
      </c>
      <c r="T250" s="105" t="s">
        <v>672</v>
      </c>
      <c r="U250" s="105" t="b">
        <v>1</v>
      </c>
      <c r="V250" s="105" t="s">
        <v>745</v>
      </c>
      <c r="W250" s="105" t="s">
        <v>746</v>
      </c>
      <c r="X250" s="105">
        <v>6</v>
      </c>
      <c r="Y250" s="105" t="b">
        <v>1</v>
      </c>
      <c r="Z250" s="105" t="s">
        <v>675</v>
      </c>
      <c r="AA250" s="105" t="s">
        <v>676</v>
      </c>
      <c r="AB250" s="105" t="s">
        <v>677</v>
      </c>
      <c r="AC250" s="105">
        <v>0</v>
      </c>
      <c r="AD250" s="105" t="s">
        <v>678</v>
      </c>
      <c r="AE250" s="105">
        <v>8</v>
      </c>
      <c r="AF250" s="105" t="s">
        <v>679</v>
      </c>
      <c r="AG250" s="105">
        <v>7937.1019999999999</v>
      </c>
      <c r="AH250" s="105" t="b">
        <v>1</v>
      </c>
      <c r="AI250" s="105">
        <v>-1</v>
      </c>
      <c r="AJ250" s="105" t="s">
        <v>680</v>
      </c>
      <c r="AK250" s="105">
        <v>0</v>
      </c>
      <c r="AL250" s="105" t="b">
        <v>0</v>
      </c>
      <c r="AM250" s="105">
        <v>7937.1019999999999</v>
      </c>
      <c r="AN250" s="105" t="b">
        <v>1</v>
      </c>
      <c r="AO250" s="105">
        <v>0</v>
      </c>
      <c r="AP250" s="105" t="b">
        <v>0</v>
      </c>
      <c r="AQ250" s="105">
        <v>38311.243999999999</v>
      </c>
      <c r="AR250" s="105"/>
      <c r="AS250" s="105">
        <v>38311.243999999999</v>
      </c>
      <c r="AT250" s="105">
        <v>6</v>
      </c>
      <c r="AU250" s="105" t="b">
        <v>1</v>
      </c>
      <c r="AV250" s="105" t="b">
        <v>0</v>
      </c>
    </row>
    <row r="251" spans="1:48" s="46" customFormat="1">
      <c r="A251" s="105" t="s">
        <v>510</v>
      </c>
      <c r="B251" s="105" t="s">
        <v>665</v>
      </c>
      <c r="C251" s="105" t="s">
        <v>666</v>
      </c>
      <c r="D251" s="105">
        <v>20231101</v>
      </c>
      <c r="E251" s="105">
        <v>2023</v>
      </c>
      <c r="F251" s="105">
        <v>11</v>
      </c>
      <c r="G251" s="105" t="s">
        <v>725</v>
      </c>
      <c r="H251" s="105">
        <v>818</v>
      </c>
      <c r="I251" s="105" t="s">
        <v>668</v>
      </c>
      <c r="J251" s="105" t="s">
        <v>57</v>
      </c>
      <c r="K251" s="105" t="s">
        <v>666</v>
      </c>
      <c r="L251" s="105" t="s">
        <v>669</v>
      </c>
      <c r="M251" s="105">
        <v>826</v>
      </c>
      <c r="N251" s="105" t="s">
        <v>685</v>
      </c>
      <c r="O251" s="105" t="s">
        <v>64</v>
      </c>
      <c r="P251" s="105">
        <v>0</v>
      </c>
      <c r="Q251" s="105" t="s">
        <v>670</v>
      </c>
      <c r="R251" s="105" t="s">
        <v>23</v>
      </c>
      <c r="S251" s="105" t="s">
        <v>671</v>
      </c>
      <c r="T251" s="105" t="s">
        <v>672</v>
      </c>
      <c r="U251" s="105" t="b">
        <v>1</v>
      </c>
      <c r="V251" s="105" t="s">
        <v>745</v>
      </c>
      <c r="W251" s="105" t="s">
        <v>746</v>
      </c>
      <c r="X251" s="105">
        <v>6</v>
      </c>
      <c r="Y251" s="105" t="b">
        <v>1</v>
      </c>
      <c r="Z251" s="105" t="s">
        <v>675</v>
      </c>
      <c r="AA251" s="105" t="s">
        <v>676</v>
      </c>
      <c r="AB251" s="105" t="s">
        <v>677</v>
      </c>
      <c r="AC251" s="105">
        <v>0</v>
      </c>
      <c r="AD251" s="105" t="s">
        <v>678</v>
      </c>
      <c r="AE251" s="105">
        <v>8</v>
      </c>
      <c r="AF251" s="105" t="s">
        <v>679</v>
      </c>
      <c r="AG251" s="105">
        <v>7597.6670000000004</v>
      </c>
      <c r="AH251" s="105" t="b">
        <v>1</v>
      </c>
      <c r="AI251" s="105">
        <v>-1</v>
      </c>
      <c r="AJ251" s="105" t="s">
        <v>680</v>
      </c>
      <c r="AK251" s="105">
        <v>0</v>
      </c>
      <c r="AL251" s="105" t="b">
        <v>0</v>
      </c>
      <c r="AM251" s="105">
        <v>7597.6670000000004</v>
      </c>
      <c r="AN251" s="105" t="b">
        <v>1</v>
      </c>
      <c r="AO251" s="105">
        <v>0</v>
      </c>
      <c r="AP251" s="105" t="b">
        <v>0</v>
      </c>
      <c r="AQ251" s="105">
        <v>36672.843999999997</v>
      </c>
      <c r="AR251" s="105"/>
      <c r="AS251" s="105">
        <v>36672.843999999997</v>
      </c>
      <c r="AT251" s="105">
        <v>6</v>
      </c>
      <c r="AU251" s="105" t="b">
        <v>1</v>
      </c>
      <c r="AV251" s="105" t="b">
        <v>0</v>
      </c>
    </row>
    <row r="252" spans="1:48" s="46" customFormat="1">
      <c r="A252" s="105" t="s">
        <v>510</v>
      </c>
      <c r="B252" s="105" t="s">
        <v>665</v>
      </c>
      <c r="C252" s="105" t="s">
        <v>666</v>
      </c>
      <c r="D252" s="105">
        <v>20231201</v>
      </c>
      <c r="E252" s="105">
        <v>2023</v>
      </c>
      <c r="F252" s="105">
        <v>12</v>
      </c>
      <c r="G252" s="105" t="s">
        <v>726</v>
      </c>
      <c r="H252" s="105">
        <v>818</v>
      </c>
      <c r="I252" s="105" t="s">
        <v>668</v>
      </c>
      <c r="J252" s="105" t="s">
        <v>57</v>
      </c>
      <c r="K252" s="105" t="s">
        <v>666</v>
      </c>
      <c r="L252" s="105" t="s">
        <v>669</v>
      </c>
      <c r="M252" s="105">
        <v>0</v>
      </c>
      <c r="N252" s="105" t="s">
        <v>670</v>
      </c>
      <c r="O252" s="105" t="s">
        <v>23</v>
      </c>
      <c r="P252" s="105">
        <v>0</v>
      </c>
      <c r="Q252" s="105" t="s">
        <v>670</v>
      </c>
      <c r="R252" s="105" t="s">
        <v>23</v>
      </c>
      <c r="S252" s="105" t="s">
        <v>671</v>
      </c>
      <c r="T252" s="105" t="s">
        <v>672</v>
      </c>
      <c r="U252" s="105" t="b">
        <v>1</v>
      </c>
      <c r="V252" s="105" t="s">
        <v>745</v>
      </c>
      <c r="W252" s="105" t="s">
        <v>746</v>
      </c>
      <c r="X252" s="105">
        <v>6</v>
      </c>
      <c r="Y252" s="105" t="b">
        <v>1</v>
      </c>
      <c r="Z252" s="105" t="s">
        <v>675</v>
      </c>
      <c r="AA252" s="105" t="s">
        <v>676</v>
      </c>
      <c r="AB252" s="105" t="s">
        <v>677</v>
      </c>
      <c r="AC252" s="105">
        <v>0</v>
      </c>
      <c r="AD252" s="105" t="s">
        <v>678</v>
      </c>
      <c r="AE252" s="105">
        <v>8</v>
      </c>
      <c r="AF252" s="105" t="s">
        <v>679</v>
      </c>
      <c r="AG252" s="105">
        <v>88182.323000000004</v>
      </c>
      <c r="AH252" s="105" t="b">
        <v>1</v>
      </c>
      <c r="AI252" s="105">
        <v>-1</v>
      </c>
      <c r="AJ252" s="105" t="s">
        <v>680</v>
      </c>
      <c r="AK252" s="105">
        <v>0</v>
      </c>
      <c r="AL252" s="105" t="b">
        <v>0</v>
      </c>
      <c r="AM252" s="105">
        <v>88182.323000000004</v>
      </c>
      <c r="AN252" s="105" t="b">
        <v>1</v>
      </c>
      <c r="AO252" s="105">
        <v>0</v>
      </c>
      <c r="AP252" s="105" t="b">
        <v>0</v>
      </c>
      <c r="AQ252" s="105">
        <v>425643.33399999997</v>
      </c>
      <c r="AR252" s="105"/>
      <c r="AS252" s="105">
        <v>425643.33399999997</v>
      </c>
      <c r="AT252" s="105">
        <v>6</v>
      </c>
      <c r="AU252" s="105" t="b">
        <v>0</v>
      </c>
      <c r="AV252" s="105" t="b">
        <v>1</v>
      </c>
    </row>
    <row r="253" spans="1:48" s="46" customFormat="1">
      <c r="A253" s="105" t="s">
        <v>510</v>
      </c>
      <c r="B253" s="105" t="s">
        <v>665</v>
      </c>
      <c r="C253" s="105" t="s">
        <v>666</v>
      </c>
      <c r="D253" s="105">
        <v>20231201</v>
      </c>
      <c r="E253" s="105">
        <v>2023</v>
      </c>
      <c r="F253" s="105">
        <v>12</v>
      </c>
      <c r="G253" s="105" t="s">
        <v>726</v>
      </c>
      <c r="H253" s="105">
        <v>818</v>
      </c>
      <c r="I253" s="105" t="s">
        <v>668</v>
      </c>
      <c r="J253" s="105" t="s">
        <v>57</v>
      </c>
      <c r="K253" s="105" t="s">
        <v>666</v>
      </c>
      <c r="L253" s="105" t="s">
        <v>669</v>
      </c>
      <c r="M253" s="105">
        <v>156</v>
      </c>
      <c r="N253" s="105" t="s">
        <v>711</v>
      </c>
      <c r="O253" s="105" t="s">
        <v>29</v>
      </c>
      <c r="P253" s="105">
        <v>0</v>
      </c>
      <c r="Q253" s="105" t="s">
        <v>670</v>
      </c>
      <c r="R253" s="105" t="s">
        <v>23</v>
      </c>
      <c r="S253" s="105" t="s">
        <v>671</v>
      </c>
      <c r="T253" s="105" t="s">
        <v>672</v>
      </c>
      <c r="U253" s="105" t="b">
        <v>1</v>
      </c>
      <c r="V253" s="105" t="s">
        <v>745</v>
      </c>
      <c r="W253" s="105" t="s">
        <v>746</v>
      </c>
      <c r="X253" s="105">
        <v>6</v>
      </c>
      <c r="Y253" s="105" t="b">
        <v>1</v>
      </c>
      <c r="Z253" s="105" t="s">
        <v>675</v>
      </c>
      <c r="AA253" s="105" t="s">
        <v>676</v>
      </c>
      <c r="AB253" s="105" t="s">
        <v>677</v>
      </c>
      <c r="AC253" s="105">
        <v>0</v>
      </c>
      <c r="AD253" s="105" t="s">
        <v>678</v>
      </c>
      <c r="AE253" s="105">
        <v>8</v>
      </c>
      <c r="AF253" s="105" t="s">
        <v>679</v>
      </c>
      <c r="AG253" s="105">
        <v>23120.346000000001</v>
      </c>
      <c r="AH253" s="105" t="b">
        <v>1</v>
      </c>
      <c r="AI253" s="105">
        <v>-1</v>
      </c>
      <c r="AJ253" s="105" t="s">
        <v>680</v>
      </c>
      <c r="AK253" s="105">
        <v>0</v>
      </c>
      <c r="AL253" s="105" t="b">
        <v>0</v>
      </c>
      <c r="AM253" s="105">
        <v>23120.346000000001</v>
      </c>
      <c r="AN253" s="105" t="b">
        <v>1</v>
      </c>
      <c r="AO253" s="105">
        <v>0</v>
      </c>
      <c r="AP253" s="105" t="b">
        <v>0</v>
      </c>
      <c r="AQ253" s="105">
        <v>111598.573</v>
      </c>
      <c r="AR253" s="105"/>
      <c r="AS253" s="105">
        <v>111598.573</v>
      </c>
      <c r="AT253" s="105">
        <v>6</v>
      </c>
      <c r="AU253" s="105" t="b">
        <v>1</v>
      </c>
      <c r="AV253" s="105" t="b">
        <v>0</v>
      </c>
    </row>
    <row r="254" spans="1:48" s="46" customFormat="1">
      <c r="A254" s="105" t="s">
        <v>510</v>
      </c>
      <c r="B254" s="105" t="s">
        <v>665</v>
      </c>
      <c r="C254" s="105" t="s">
        <v>666</v>
      </c>
      <c r="D254" s="105">
        <v>20231201</v>
      </c>
      <c r="E254" s="105">
        <v>2023</v>
      </c>
      <c r="F254" s="105">
        <v>12</v>
      </c>
      <c r="G254" s="105" t="s">
        <v>726</v>
      </c>
      <c r="H254" s="105">
        <v>818</v>
      </c>
      <c r="I254" s="105" t="s">
        <v>668</v>
      </c>
      <c r="J254" s="105" t="s">
        <v>57</v>
      </c>
      <c r="K254" s="105" t="s">
        <v>666</v>
      </c>
      <c r="L254" s="105" t="s">
        <v>669</v>
      </c>
      <c r="M254" s="105">
        <v>276</v>
      </c>
      <c r="N254" s="105" t="s">
        <v>681</v>
      </c>
      <c r="O254" s="105" t="s">
        <v>30</v>
      </c>
      <c r="P254" s="105">
        <v>0</v>
      </c>
      <c r="Q254" s="105" t="s">
        <v>670</v>
      </c>
      <c r="R254" s="105" t="s">
        <v>23</v>
      </c>
      <c r="S254" s="105" t="s">
        <v>671</v>
      </c>
      <c r="T254" s="105" t="s">
        <v>672</v>
      </c>
      <c r="U254" s="105" t="b">
        <v>1</v>
      </c>
      <c r="V254" s="105" t="s">
        <v>745</v>
      </c>
      <c r="W254" s="105" t="s">
        <v>746</v>
      </c>
      <c r="X254" s="105">
        <v>6</v>
      </c>
      <c r="Y254" s="105" t="b">
        <v>1</v>
      </c>
      <c r="Z254" s="105" t="s">
        <v>675</v>
      </c>
      <c r="AA254" s="105" t="s">
        <v>676</v>
      </c>
      <c r="AB254" s="105" t="s">
        <v>677</v>
      </c>
      <c r="AC254" s="105">
        <v>0</v>
      </c>
      <c r="AD254" s="105" t="s">
        <v>678</v>
      </c>
      <c r="AE254" s="105">
        <v>8</v>
      </c>
      <c r="AF254" s="105" t="s">
        <v>679</v>
      </c>
      <c r="AG254" s="105">
        <v>13501.35</v>
      </c>
      <c r="AH254" s="105" t="b">
        <v>1</v>
      </c>
      <c r="AI254" s="105">
        <v>-1</v>
      </c>
      <c r="AJ254" s="105" t="s">
        <v>680</v>
      </c>
      <c r="AK254" s="105">
        <v>0</v>
      </c>
      <c r="AL254" s="105" t="b">
        <v>0</v>
      </c>
      <c r="AM254" s="105">
        <v>13501.35</v>
      </c>
      <c r="AN254" s="105" t="b">
        <v>1</v>
      </c>
      <c r="AO254" s="105">
        <v>0</v>
      </c>
      <c r="AP254" s="105" t="b">
        <v>0</v>
      </c>
      <c r="AQ254" s="105">
        <v>65169.067000000003</v>
      </c>
      <c r="AR254" s="105"/>
      <c r="AS254" s="105">
        <v>65169.067000000003</v>
      </c>
      <c r="AT254" s="105">
        <v>6</v>
      </c>
      <c r="AU254" s="105" t="b">
        <v>1</v>
      </c>
      <c r="AV254" s="105" t="b">
        <v>0</v>
      </c>
    </row>
    <row r="255" spans="1:48" s="46" customFormat="1">
      <c r="A255" s="105" t="s">
        <v>510</v>
      </c>
      <c r="B255" s="105" t="s">
        <v>665</v>
      </c>
      <c r="C255" s="105" t="s">
        <v>666</v>
      </c>
      <c r="D255" s="105">
        <v>20231201</v>
      </c>
      <c r="E255" s="105">
        <v>2023</v>
      </c>
      <c r="F255" s="105">
        <v>12</v>
      </c>
      <c r="G255" s="105" t="s">
        <v>726</v>
      </c>
      <c r="H255" s="105">
        <v>818</v>
      </c>
      <c r="I255" s="105" t="s">
        <v>668</v>
      </c>
      <c r="J255" s="105" t="s">
        <v>57</v>
      </c>
      <c r="K255" s="105" t="s">
        <v>666</v>
      </c>
      <c r="L255" s="105" t="s">
        <v>669</v>
      </c>
      <c r="M255" s="105">
        <v>380</v>
      </c>
      <c r="N255" s="105" t="s">
        <v>689</v>
      </c>
      <c r="O255" s="105" t="s">
        <v>71</v>
      </c>
      <c r="P255" s="105">
        <v>0</v>
      </c>
      <c r="Q255" s="105" t="s">
        <v>670</v>
      </c>
      <c r="R255" s="105" t="s">
        <v>23</v>
      </c>
      <c r="S255" s="105" t="s">
        <v>671</v>
      </c>
      <c r="T255" s="105" t="s">
        <v>672</v>
      </c>
      <c r="U255" s="105" t="b">
        <v>1</v>
      </c>
      <c r="V255" s="105" t="s">
        <v>745</v>
      </c>
      <c r="W255" s="105" t="s">
        <v>746</v>
      </c>
      <c r="X255" s="105">
        <v>6</v>
      </c>
      <c r="Y255" s="105" t="b">
        <v>1</v>
      </c>
      <c r="Z255" s="105" t="s">
        <v>675</v>
      </c>
      <c r="AA255" s="105" t="s">
        <v>676</v>
      </c>
      <c r="AB255" s="105" t="s">
        <v>677</v>
      </c>
      <c r="AC255" s="105">
        <v>0</v>
      </c>
      <c r="AD255" s="105" t="s">
        <v>678</v>
      </c>
      <c r="AE255" s="105">
        <v>8</v>
      </c>
      <c r="AF255" s="105" t="s">
        <v>679</v>
      </c>
      <c r="AG255" s="105">
        <v>2503.018</v>
      </c>
      <c r="AH255" s="105" t="b">
        <v>1</v>
      </c>
      <c r="AI255" s="105">
        <v>-1</v>
      </c>
      <c r="AJ255" s="105" t="s">
        <v>680</v>
      </c>
      <c r="AK255" s="105">
        <v>0</v>
      </c>
      <c r="AL255" s="105" t="b">
        <v>0</v>
      </c>
      <c r="AM255" s="105">
        <v>2503.018</v>
      </c>
      <c r="AN255" s="105" t="b">
        <v>1</v>
      </c>
      <c r="AO255" s="105">
        <v>0</v>
      </c>
      <c r="AP255" s="105" t="b">
        <v>0</v>
      </c>
      <c r="AQ255" s="105">
        <v>12081.707</v>
      </c>
      <c r="AR255" s="105"/>
      <c r="AS255" s="105">
        <v>12081.707</v>
      </c>
      <c r="AT255" s="105">
        <v>6</v>
      </c>
      <c r="AU255" s="105" t="b">
        <v>1</v>
      </c>
      <c r="AV255" s="105" t="b">
        <v>0</v>
      </c>
    </row>
    <row r="256" spans="1:48" s="46" customFormat="1">
      <c r="A256" s="105" t="s">
        <v>510</v>
      </c>
      <c r="B256" s="105" t="s">
        <v>665</v>
      </c>
      <c r="C256" s="105" t="s">
        <v>666</v>
      </c>
      <c r="D256" s="105">
        <v>20231201</v>
      </c>
      <c r="E256" s="105">
        <v>2023</v>
      </c>
      <c r="F256" s="105">
        <v>12</v>
      </c>
      <c r="G256" s="105" t="s">
        <v>726</v>
      </c>
      <c r="H256" s="105">
        <v>818</v>
      </c>
      <c r="I256" s="105" t="s">
        <v>668</v>
      </c>
      <c r="J256" s="105" t="s">
        <v>57</v>
      </c>
      <c r="K256" s="105" t="s">
        <v>666</v>
      </c>
      <c r="L256" s="105" t="s">
        <v>669</v>
      </c>
      <c r="M256" s="105">
        <v>392</v>
      </c>
      <c r="N256" s="105" t="s">
        <v>747</v>
      </c>
      <c r="O256" s="105" t="s">
        <v>32</v>
      </c>
      <c r="P256" s="105">
        <v>0</v>
      </c>
      <c r="Q256" s="105" t="s">
        <v>670</v>
      </c>
      <c r="R256" s="105" t="s">
        <v>23</v>
      </c>
      <c r="S256" s="105" t="s">
        <v>671</v>
      </c>
      <c r="T256" s="105" t="s">
        <v>672</v>
      </c>
      <c r="U256" s="105" t="b">
        <v>1</v>
      </c>
      <c r="V256" s="105" t="s">
        <v>745</v>
      </c>
      <c r="W256" s="105" t="s">
        <v>746</v>
      </c>
      <c r="X256" s="105">
        <v>6</v>
      </c>
      <c r="Y256" s="105" t="b">
        <v>1</v>
      </c>
      <c r="Z256" s="105" t="s">
        <v>675</v>
      </c>
      <c r="AA256" s="105" t="s">
        <v>676</v>
      </c>
      <c r="AB256" s="105" t="s">
        <v>677</v>
      </c>
      <c r="AC256" s="105">
        <v>0</v>
      </c>
      <c r="AD256" s="105" t="s">
        <v>678</v>
      </c>
      <c r="AE256" s="105">
        <v>8</v>
      </c>
      <c r="AF256" s="105" t="s">
        <v>679</v>
      </c>
      <c r="AG256" s="105">
        <v>3556.6179999999999</v>
      </c>
      <c r="AH256" s="105" t="b">
        <v>1</v>
      </c>
      <c r="AI256" s="105">
        <v>-1</v>
      </c>
      <c r="AJ256" s="105" t="s">
        <v>680</v>
      </c>
      <c r="AK256" s="105">
        <v>0</v>
      </c>
      <c r="AL256" s="105" t="b">
        <v>0</v>
      </c>
      <c r="AM256" s="105">
        <v>3556.6179999999999</v>
      </c>
      <c r="AN256" s="105" t="b">
        <v>1</v>
      </c>
      <c r="AO256" s="105">
        <v>0</v>
      </c>
      <c r="AP256" s="105" t="b">
        <v>0</v>
      </c>
      <c r="AQ256" s="105">
        <v>17167.280999999999</v>
      </c>
      <c r="AR256" s="105"/>
      <c r="AS256" s="105">
        <v>17167.280999999999</v>
      </c>
      <c r="AT256" s="105">
        <v>6</v>
      </c>
      <c r="AU256" s="105" t="b">
        <v>1</v>
      </c>
      <c r="AV256" s="105" t="b">
        <v>0</v>
      </c>
    </row>
    <row r="257" spans="1:48" s="46" customFormat="1">
      <c r="A257" s="105" t="s">
        <v>510</v>
      </c>
      <c r="B257" s="105" t="s">
        <v>665</v>
      </c>
      <c r="C257" s="105" t="s">
        <v>666</v>
      </c>
      <c r="D257" s="105">
        <v>20231201</v>
      </c>
      <c r="E257" s="105">
        <v>2023</v>
      </c>
      <c r="F257" s="105">
        <v>12</v>
      </c>
      <c r="G257" s="105" t="s">
        <v>726</v>
      </c>
      <c r="H257" s="105">
        <v>818</v>
      </c>
      <c r="I257" s="105" t="s">
        <v>668</v>
      </c>
      <c r="J257" s="105" t="s">
        <v>57</v>
      </c>
      <c r="K257" s="105" t="s">
        <v>666</v>
      </c>
      <c r="L257" s="105" t="s">
        <v>669</v>
      </c>
      <c r="M257" s="105">
        <v>490</v>
      </c>
      <c r="N257" s="105" t="s">
        <v>762</v>
      </c>
      <c r="O257" s="105" t="s">
        <v>763</v>
      </c>
      <c r="P257" s="105">
        <v>0</v>
      </c>
      <c r="Q257" s="105" t="s">
        <v>670</v>
      </c>
      <c r="R257" s="105" t="s">
        <v>23</v>
      </c>
      <c r="S257" s="105" t="s">
        <v>671</v>
      </c>
      <c r="T257" s="105" t="s">
        <v>672</v>
      </c>
      <c r="U257" s="105" t="b">
        <v>1</v>
      </c>
      <c r="V257" s="105" t="s">
        <v>745</v>
      </c>
      <c r="W257" s="105" t="s">
        <v>746</v>
      </c>
      <c r="X257" s="105">
        <v>6</v>
      </c>
      <c r="Y257" s="105" t="b">
        <v>1</v>
      </c>
      <c r="Z257" s="105" t="s">
        <v>675</v>
      </c>
      <c r="AA257" s="105" t="s">
        <v>676</v>
      </c>
      <c r="AB257" s="105" t="s">
        <v>677</v>
      </c>
      <c r="AC257" s="105">
        <v>0</v>
      </c>
      <c r="AD257" s="105" t="s">
        <v>678</v>
      </c>
      <c r="AE257" s="105">
        <v>8</v>
      </c>
      <c r="AF257" s="105" t="s">
        <v>679</v>
      </c>
      <c r="AG257" s="105">
        <v>3.3460000000000001</v>
      </c>
      <c r="AH257" s="105" t="b">
        <v>1</v>
      </c>
      <c r="AI257" s="105">
        <v>-1</v>
      </c>
      <c r="AJ257" s="105" t="s">
        <v>680</v>
      </c>
      <c r="AK257" s="105">
        <v>0</v>
      </c>
      <c r="AL257" s="105" t="b">
        <v>0</v>
      </c>
      <c r="AM257" s="105">
        <v>3.3460000000000001</v>
      </c>
      <c r="AN257" s="105" t="b">
        <v>1</v>
      </c>
      <c r="AO257" s="105">
        <v>0</v>
      </c>
      <c r="AP257" s="105" t="b">
        <v>0</v>
      </c>
      <c r="AQ257" s="105">
        <v>16.151</v>
      </c>
      <c r="AR257" s="105"/>
      <c r="AS257" s="105">
        <v>16.151</v>
      </c>
      <c r="AT257" s="105">
        <v>6</v>
      </c>
      <c r="AU257" s="105" t="b">
        <v>1</v>
      </c>
      <c r="AV257" s="105" t="b">
        <v>0</v>
      </c>
    </row>
    <row r="258" spans="1:48" s="46" customFormat="1">
      <c r="A258" s="105" t="s">
        <v>510</v>
      </c>
      <c r="B258" s="105" t="s">
        <v>665</v>
      </c>
      <c r="C258" s="105" t="s">
        <v>666</v>
      </c>
      <c r="D258" s="105">
        <v>20231201</v>
      </c>
      <c r="E258" s="105">
        <v>2023</v>
      </c>
      <c r="F258" s="105">
        <v>12</v>
      </c>
      <c r="G258" s="105" t="s">
        <v>726</v>
      </c>
      <c r="H258" s="105">
        <v>818</v>
      </c>
      <c r="I258" s="105" t="s">
        <v>668</v>
      </c>
      <c r="J258" s="105" t="s">
        <v>57</v>
      </c>
      <c r="K258" s="105" t="s">
        <v>666</v>
      </c>
      <c r="L258" s="105" t="s">
        <v>669</v>
      </c>
      <c r="M258" s="105">
        <v>826</v>
      </c>
      <c r="N258" s="105" t="s">
        <v>685</v>
      </c>
      <c r="O258" s="105" t="s">
        <v>64</v>
      </c>
      <c r="P258" s="105">
        <v>0</v>
      </c>
      <c r="Q258" s="105" t="s">
        <v>670</v>
      </c>
      <c r="R258" s="105" t="s">
        <v>23</v>
      </c>
      <c r="S258" s="105" t="s">
        <v>671</v>
      </c>
      <c r="T258" s="105" t="s">
        <v>672</v>
      </c>
      <c r="U258" s="105" t="b">
        <v>1</v>
      </c>
      <c r="V258" s="105" t="s">
        <v>745</v>
      </c>
      <c r="W258" s="105" t="s">
        <v>746</v>
      </c>
      <c r="X258" s="105">
        <v>6</v>
      </c>
      <c r="Y258" s="105" t="b">
        <v>1</v>
      </c>
      <c r="Z258" s="105" t="s">
        <v>675</v>
      </c>
      <c r="AA258" s="105" t="s">
        <v>676</v>
      </c>
      <c r="AB258" s="105" t="s">
        <v>677</v>
      </c>
      <c r="AC258" s="105">
        <v>0</v>
      </c>
      <c r="AD258" s="105" t="s">
        <v>678</v>
      </c>
      <c r="AE258" s="105">
        <v>8</v>
      </c>
      <c r="AF258" s="105" t="s">
        <v>679</v>
      </c>
      <c r="AG258" s="105">
        <v>2517.4250000000002</v>
      </c>
      <c r="AH258" s="105" t="b">
        <v>1</v>
      </c>
      <c r="AI258" s="105">
        <v>-1</v>
      </c>
      <c r="AJ258" s="105" t="s">
        <v>680</v>
      </c>
      <c r="AK258" s="105">
        <v>0</v>
      </c>
      <c r="AL258" s="105" t="b">
        <v>0</v>
      </c>
      <c r="AM258" s="105">
        <v>2517.4250000000002</v>
      </c>
      <c r="AN258" s="105" t="b">
        <v>1</v>
      </c>
      <c r="AO258" s="105">
        <v>0</v>
      </c>
      <c r="AP258" s="105" t="b">
        <v>0</v>
      </c>
      <c r="AQ258" s="105">
        <v>12151.245999999999</v>
      </c>
      <c r="AR258" s="105"/>
      <c r="AS258" s="105">
        <v>12151.245999999999</v>
      </c>
      <c r="AT258" s="105">
        <v>6</v>
      </c>
      <c r="AU258" s="105" t="b">
        <v>1</v>
      </c>
      <c r="AV258" s="105" t="b">
        <v>0</v>
      </c>
    </row>
    <row r="259" spans="1:48" s="46" customFormat="1">
      <c r="A259" s="105" t="s">
        <v>510</v>
      </c>
      <c r="B259" s="105" t="s">
        <v>665</v>
      </c>
      <c r="C259" s="105" t="s">
        <v>666</v>
      </c>
      <c r="D259" s="105">
        <v>20231201</v>
      </c>
      <c r="E259" s="105">
        <v>2023</v>
      </c>
      <c r="F259" s="105">
        <v>12</v>
      </c>
      <c r="G259" s="105" t="s">
        <v>726</v>
      </c>
      <c r="H259" s="105">
        <v>818</v>
      </c>
      <c r="I259" s="105" t="s">
        <v>668</v>
      </c>
      <c r="J259" s="105" t="s">
        <v>57</v>
      </c>
      <c r="K259" s="105" t="s">
        <v>666</v>
      </c>
      <c r="L259" s="105" t="s">
        <v>669</v>
      </c>
      <c r="M259" s="105">
        <v>842</v>
      </c>
      <c r="N259" s="105" t="s">
        <v>713</v>
      </c>
      <c r="O259" s="105" t="s">
        <v>713</v>
      </c>
      <c r="P259" s="105">
        <v>0</v>
      </c>
      <c r="Q259" s="105" t="s">
        <v>670</v>
      </c>
      <c r="R259" s="105" t="s">
        <v>23</v>
      </c>
      <c r="S259" s="105" t="s">
        <v>671</v>
      </c>
      <c r="T259" s="105" t="s">
        <v>672</v>
      </c>
      <c r="U259" s="105" t="b">
        <v>1</v>
      </c>
      <c r="V259" s="105" t="s">
        <v>745</v>
      </c>
      <c r="W259" s="105" t="s">
        <v>746</v>
      </c>
      <c r="X259" s="105">
        <v>6</v>
      </c>
      <c r="Y259" s="105" t="b">
        <v>1</v>
      </c>
      <c r="Z259" s="105" t="s">
        <v>675</v>
      </c>
      <c r="AA259" s="105" t="s">
        <v>676</v>
      </c>
      <c r="AB259" s="105" t="s">
        <v>677</v>
      </c>
      <c r="AC259" s="105">
        <v>0</v>
      </c>
      <c r="AD259" s="105" t="s">
        <v>678</v>
      </c>
      <c r="AE259" s="105">
        <v>8</v>
      </c>
      <c r="AF259" s="105" t="s">
        <v>679</v>
      </c>
      <c r="AG259" s="105">
        <v>42980.218999999997</v>
      </c>
      <c r="AH259" s="105" t="b">
        <v>1</v>
      </c>
      <c r="AI259" s="105">
        <v>-1</v>
      </c>
      <c r="AJ259" s="105" t="s">
        <v>680</v>
      </c>
      <c r="AK259" s="105">
        <v>0</v>
      </c>
      <c r="AL259" s="105" t="b">
        <v>0</v>
      </c>
      <c r="AM259" s="105">
        <v>42980.218999999997</v>
      </c>
      <c r="AN259" s="105" t="b">
        <v>1</v>
      </c>
      <c r="AO259" s="105">
        <v>0</v>
      </c>
      <c r="AP259" s="105" t="b">
        <v>0</v>
      </c>
      <c r="AQ259" s="105">
        <v>207459.30900000001</v>
      </c>
      <c r="AR259" s="105"/>
      <c r="AS259" s="105">
        <v>207459.30900000001</v>
      </c>
      <c r="AT259" s="105">
        <v>6</v>
      </c>
      <c r="AU259" s="105" t="b">
        <v>1</v>
      </c>
      <c r="AV259" s="105" t="b">
        <v>0</v>
      </c>
    </row>
    <row r="260" spans="1:48" s="46" customFormat="1">
      <c r="A260" s="105" t="s">
        <v>510</v>
      </c>
      <c r="B260" s="105" t="s">
        <v>665</v>
      </c>
      <c r="C260" s="105" t="s">
        <v>666</v>
      </c>
      <c r="D260" s="105">
        <v>20231201</v>
      </c>
      <c r="E260" s="105">
        <v>2023</v>
      </c>
      <c r="F260" s="105">
        <v>12</v>
      </c>
      <c r="G260" s="105" t="s">
        <v>726</v>
      </c>
      <c r="H260" s="105">
        <v>818</v>
      </c>
      <c r="I260" s="105" t="s">
        <v>668</v>
      </c>
      <c r="J260" s="105" t="s">
        <v>57</v>
      </c>
      <c r="K260" s="105" t="s">
        <v>701</v>
      </c>
      <c r="L260" s="105" t="s">
        <v>702</v>
      </c>
      <c r="M260" s="105">
        <v>0</v>
      </c>
      <c r="N260" s="105" t="s">
        <v>670</v>
      </c>
      <c r="O260" s="105" t="s">
        <v>23</v>
      </c>
      <c r="P260" s="105">
        <v>0</v>
      </c>
      <c r="Q260" s="105" t="s">
        <v>670</v>
      </c>
      <c r="R260" s="105" t="s">
        <v>23</v>
      </c>
      <c r="S260" s="105" t="s">
        <v>671</v>
      </c>
      <c r="T260" s="105" t="s">
        <v>672</v>
      </c>
      <c r="U260" s="105" t="b">
        <v>1</v>
      </c>
      <c r="V260" s="105" t="s">
        <v>745</v>
      </c>
      <c r="W260" s="105" t="s">
        <v>746</v>
      </c>
      <c r="X260" s="105">
        <v>6</v>
      </c>
      <c r="Y260" s="105" t="b">
        <v>1</v>
      </c>
      <c r="Z260" s="105" t="s">
        <v>675</v>
      </c>
      <c r="AA260" s="105" t="s">
        <v>676</v>
      </c>
      <c r="AB260" s="105" t="s">
        <v>677</v>
      </c>
      <c r="AC260" s="105">
        <v>0</v>
      </c>
      <c r="AD260" s="105" t="s">
        <v>678</v>
      </c>
      <c r="AE260" s="105">
        <v>8</v>
      </c>
      <c r="AF260" s="105" t="s">
        <v>679</v>
      </c>
      <c r="AG260" s="105">
        <v>652.31200000000001</v>
      </c>
      <c r="AH260" s="105" t="b">
        <v>1</v>
      </c>
      <c r="AI260" s="105">
        <v>-1</v>
      </c>
      <c r="AJ260" s="105" t="s">
        <v>680</v>
      </c>
      <c r="AK260" s="105">
        <v>0</v>
      </c>
      <c r="AL260" s="105" t="b">
        <v>0</v>
      </c>
      <c r="AM260" s="105">
        <v>652.31200000000001</v>
      </c>
      <c r="AN260" s="105" t="b">
        <v>1</v>
      </c>
      <c r="AO260" s="105">
        <v>0</v>
      </c>
      <c r="AP260" s="105" t="b">
        <v>0</v>
      </c>
      <c r="AQ260" s="105"/>
      <c r="AR260" s="105">
        <v>3375</v>
      </c>
      <c r="AS260" s="105">
        <v>3375</v>
      </c>
      <c r="AT260" s="105">
        <v>6</v>
      </c>
      <c r="AU260" s="105" t="b">
        <v>0</v>
      </c>
      <c r="AV260" s="105" t="b">
        <v>1</v>
      </c>
    </row>
    <row r="261" spans="1:48" s="46" customFormat="1">
      <c r="A261" s="105" t="s">
        <v>510</v>
      </c>
      <c r="B261" s="105" t="s">
        <v>665</v>
      </c>
      <c r="C261" s="105" t="s">
        <v>666</v>
      </c>
      <c r="D261" s="105">
        <v>20231201</v>
      </c>
      <c r="E261" s="105">
        <v>2023</v>
      </c>
      <c r="F261" s="105">
        <v>12</v>
      </c>
      <c r="G261" s="105" t="s">
        <v>726</v>
      </c>
      <c r="H261" s="105">
        <v>818</v>
      </c>
      <c r="I261" s="105" t="s">
        <v>668</v>
      </c>
      <c r="J261" s="105" t="s">
        <v>57</v>
      </c>
      <c r="K261" s="105" t="s">
        <v>701</v>
      </c>
      <c r="L261" s="105" t="s">
        <v>702</v>
      </c>
      <c r="M261" s="105">
        <v>512</v>
      </c>
      <c r="N261" s="105" t="s">
        <v>760</v>
      </c>
      <c r="O261" s="105" t="s">
        <v>35</v>
      </c>
      <c r="P261" s="105">
        <v>0</v>
      </c>
      <c r="Q261" s="105" t="s">
        <v>670</v>
      </c>
      <c r="R261" s="105" t="s">
        <v>23</v>
      </c>
      <c r="S261" s="105" t="s">
        <v>671</v>
      </c>
      <c r="T261" s="105" t="s">
        <v>672</v>
      </c>
      <c r="U261" s="105" t="b">
        <v>1</v>
      </c>
      <c r="V261" s="105" t="s">
        <v>745</v>
      </c>
      <c r="W261" s="105" t="s">
        <v>746</v>
      </c>
      <c r="X261" s="105">
        <v>6</v>
      </c>
      <c r="Y261" s="105" t="b">
        <v>1</v>
      </c>
      <c r="Z261" s="105" t="s">
        <v>675</v>
      </c>
      <c r="AA261" s="105" t="s">
        <v>676</v>
      </c>
      <c r="AB261" s="105" t="s">
        <v>677</v>
      </c>
      <c r="AC261" s="105">
        <v>0</v>
      </c>
      <c r="AD261" s="105" t="s">
        <v>678</v>
      </c>
      <c r="AE261" s="105">
        <v>8</v>
      </c>
      <c r="AF261" s="105" t="s">
        <v>679</v>
      </c>
      <c r="AG261" s="105">
        <v>652.31200000000001</v>
      </c>
      <c r="AH261" s="105" t="b">
        <v>1</v>
      </c>
      <c r="AI261" s="105">
        <v>-1</v>
      </c>
      <c r="AJ261" s="105" t="s">
        <v>680</v>
      </c>
      <c r="AK261" s="105">
        <v>0</v>
      </c>
      <c r="AL261" s="105" t="b">
        <v>0</v>
      </c>
      <c r="AM261" s="105">
        <v>652.31200000000001</v>
      </c>
      <c r="AN261" s="105" t="b">
        <v>1</v>
      </c>
      <c r="AO261" s="105">
        <v>0</v>
      </c>
      <c r="AP261" s="105" t="b">
        <v>0</v>
      </c>
      <c r="AQ261" s="105"/>
      <c r="AR261" s="105">
        <v>3375</v>
      </c>
      <c r="AS261" s="105">
        <v>3375</v>
      </c>
      <c r="AT261" s="105">
        <v>6</v>
      </c>
      <c r="AU261" s="105" t="b">
        <v>1</v>
      </c>
      <c r="AV261" s="105" t="b">
        <v>0</v>
      </c>
    </row>
    <row r="262" spans="1:48" s="46" customFormat="1">
      <c r="A262" s="105" t="s">
        <v>510</v>
      </c>
      <c r="B262" s="105" t="s">
        <v>665</v>
      </c>
      <c r="C262" s="105" t="s">
        <v>666</v>
      </c>
      <c r="D262" s="105">
        <v>20240101</v>
      </c>
      <c r="E262" s="105">
        <v>2024</v>
      </c>
      <c r="F262" s="105">
        <v>1</v>
      </c>
      <c r="G262" s="105" t="s">
        <v>667</v>
      </c>
      <c r="H262" s="105">
        <v>818</v>
      </c>
      <c r="I262" s="105" t="s">
        <v>668</v>
      </c>
      <c r="J262" s="105" t="s">
        <v>57</v>
      </c>
      <c r="K262" s="105" t="s">
        <v>666</v>
      </c>
      <c r="L262" s="105" t="s">
        <v>669</v>
      </c>
      <c r="M262" s="105">
        <v>0</v>
      </c>
      <c r="N262" s="105" t="s">
        <v>670</v>
      </c>
      <c r="O262" s="105" t="s">
        <v>23</v>
      </c>
      <c r="P262" s="105">
        <v>0</v>
      </c>
      <c r="Q262" s="105" t="s">
        <v>670</v>
      </c>
      <c r="R262" s="105" t="s">
        <v>23</v>
      </c>
      <c r="S262" s="105" t="s">
        <v>671</v>
      </c>
      <c r="T262" s="105" t="s">
        <v>672</v>
      </c>
      <c r="U262" s="105" t="b">
        <v>1</v>
      </c>
      <c r="V262" s="105" t="s">
        <v>745</v>
      </c>
      <c r="W262" s="105" t="s">
        <v>746</v>
      </c>
      <c r="X262" s="105">
        <v>6</v>
      </c>
      <c r="Y262" s="105" t="b">
        <v>1</v>
      </c>
      <c r="Z262" s="105" t="s">
        <v>675</v>
      </c>
      <c r="AA262" s="105" t="s">
        <v>676</v>
      </c>
      <c r="AB262" s="105" t="s">
        <v>677</v>
      </c>
      <c r="AC262" s="105">
        <v>0</v>
      </c>
      <c r="AD262" s="105" t="s">
        <v>678</v>
      </c>
      <c r="AE262" s="105">
        <v>8</v>
      </c>
      <c r="AF262" s="105" t="s">
        <v>679</v>
      </c>
      <c r="AG262" s="105">
        <v>72502.028000000006</v>
      </c>
      <c r="AH262" s="105" t="b">
        <v>1</v>
      </c>
      <c r="AI262" s="105">
        <v>-1</v>
      </c>
      <c r="AJ262" s="105" t="s">
        <v>680</v>
      </c>
      <c r="AK262" s="105">
        <v>0</v>
      </c>
      <c r="AL262" s="105" t="b">
        <v>0</v>
      </c>
      <c r="AM262" s="105">
        <v>72502.028000000006</v>
      </c>
      <c r="AN262" s="105" t="b">
        <v>1</v>
      </c>
      <c r="AO262" s="105">
        <v>0</v>
      </c>
      <c r="AP262" s="105" t="b">
        <v>0</v>
      </c>
      <c r="AQ262" s="105">
        <v>349956.81599999999</v>
      </c>
      <c r="AR262" s="105"/>
      <c r="AS262" s="105">
        <v>349956.81599999999</v>
      </c>
      <c r="AT262" s="105">
        <v>6</v>
      </c>
      <c r="AU262" s="105" t="b">
        <v>0</v>
      </c>
      <c r="AV262" s="105" t="b">
        <v>1</v>
      </c>
    </row>
    <row r="263" spans="1:48" s="46" customFormat="1">
      <c r="A263" s="105" t="s">
        <v>510</v>
      </c>
      <c r="B263" s="105" t="s">
        <v>665</v>
      </c>
      <c r="C263" s="105" t="s">
        <v>666</v>
      </c>
      <c r="D263" s="105">
        <v>20240101</v>
      </c>
      <c r="E263" s="105">
        <v>2024</v>
      </c>
      <c r="F263" s="105">
        <v>1</v>
      </c>
      <c r="G263" s="105" t="s">
        <v>667</v>
      </c>
      <c r="H263" s="105">
        <v>818</v>
      </c>
      <c r="I263" s="105" t="s">
        <v>668</v>
      </c>
      <c r="J263" s="105" t="s">
        <v>57</v>
      </c>
      <c r="K263" s="105" t="s">
        <v>666</v>
      </c>
      <c r="L263" s="105" t="s">
        <v>669</v>
      </c>
      <c r="M263" s="105">
        <v>156</v>
      </c>
      <c r="N263" s="105" t="s">
        <v>711</v>
      </c>
      <c r="O263" s="105" t="s">
        <v>29</v>
      </c>
      <c r="P263" s="105">
        <v>0</v>
      </c>
      <c r="Q263" s="105" t="s">
        <v>670</v>
      </c>
      <c r="R263" s="105" t="s">
        <v>23</v>
      </c>
      <c r="S263" s="105" t="s">
        <v>671</v>
      </c>
      <c r="T263" s="105" t="s">
        <v>672</v>
      </c>
      <c r="U263" s="105" t="b">
        <v>1</v>
      </c>
      <c r="V263" s="105" t="s">
        <v>745</v>
      </c>
      <c r="W263" s="105" t="s">
        <v>746</v>
      </c>
      <c r="X263" s="105">
        <v>6</v>
      </c>
      <c r="Y263" s="105" t="b">
        <v>1</v>
      </c>
      <c r="Z263" s="105" t="s">
        <v>675</v>
      </c>
      <c r="AA263" s="105" t="s">
        <v>676</v>
      </c>
      <c r="AB263" s="105" t="s">
        <v>677</v>
      </c>
      <c r="AC263" s="105">
        <v>0</v>
      </c>
      <c r="AD263" s="105" t="s">
        <v>678</v>
      </c>
      <c r="AE263" s="105">
        <v>8</v>
      </c>
      <c r="AF263" s="105" t="s">
        <v>679</v>
      </c>
      <c r="AG263" s="105">
        <v>23978.776000000002</v>
      </c>
      <c r="AH263" s="105" t="b">
        <v>1</v>
      </c>
      <c r="AI263" s="105">
        <v>-1</v>
      </c>
      <c r="AJ263" s="105" t="s">
        <v>680</v>
      </c>
      <c r="AK263" s="105">
        <v>0</v>
      </c>
      <c r="AL263" s="105" t="b">
        <v>0</v>
      </c>
      <c r="AM263" s="105">
        <v>23978.776000000002</v>
      </c>
      <c r="AN263" s="105" t="b">
        <v>1</v>
      </c>
      <c r="AO263" s="105">
        <v>0</v>
      </c>
      <c r="AP263" s="105" t="b">
        <v>0</v>
      </c>
      <c r="AQ263" s="105">
        <v>115742.091</v>
      </c>
      <c r="AR263" s="105"/>
      <c r="AS263" s="105">
        <v>115742.091</v>
      </c>
      <c r="AT263" s="105">
        <v>6</v>
      </c>
      <c r="AU263" s="105" t="b">
        <v>1</v>
      </c>
      <c r="AV263" s="105" t="b">
        <v>0</v>
      </c>
    </row>
    <row r="264" spans="1:48" s="46" customFormat="1">
      <c r="A264" s="105" t="s">
        <v>510</v>
      </c>
      <c r="B264" s="105" t="s">
        <v>665</v>
      </c>
      <c r="C264" s="105" t="s">
        <v>666</v>
      </c>
      <c r="D264" s="105">
        <v>20240101</v>
      </c>
      <c r="E264" s="105">
        <v>2024</v>
      </c>
      <c r="F264" s="105">
        <v>1</v>
      </c>
      <c r="G264" s="105" t="s">
        <v>667</v>
      </c>
      <c r="H264" s="105">
        <v>818</v>
      </c>
      <c r="I264" s="105" t="s">
        <v>668</v>
      </c>
      <c r="J264" s="105" t="s">
        <v>57</v>
      </c>
      <c r="K264" s="105" t="s">
        <v>666</v>
      </c>
      <c r="L264" s="105" t="s">
        <v>669</v>
      </c>
      <c r="M264" s="105">
        <v>203</v>
      </c>
      <c r="N264" s="105" t="s">
        <v>752</v>
      </c>
      <c r="O264" s="105" t="s">
        <v>753</v>
      </c>
      <c r="P264" s="105">
        <v>0</v>
      </c>
      <c r="Q264" s="105" t="s">
        <v>670</v>
      </c>
      <c r="R264" s="105" t="s">
        <v>23</v>
      </c>
      <c r="S264" s="105" t="s">
        <v>671</v>
      </c>
      <c r="T264" s="105" t="s">
        <v>672</v>
      </c>
      <c r="U264" s="105" t="b">
        <v>1</v>
      </c>
      <c r="V264" s="105" t="s">
        <v>745</v>
      </c>
      <c r="W264" s="105" t="s">
        <v>746</v>
      </c>
      <c r="X264" s="105">
        <v>6</v>
      </c>
      <c r="Y264" s="105" t="b">
        <v>1</v>
      </c>
      <c r="Z264" s="105" t="s">
        <v>675</v>
      </c>
      <c r="AA264" s="105" t="s">
        <v>676</v>
      </c>
      <c r="AB264" s="105" t="s">
        <v>677</v>
      </c>
      <c r="AC264" s="105">
        <v>0</v>
      </c>
      <c r="AD264" s="105" t="s">
        <v>678</v>
      </c>
      <c r="AE264" s="105">
        <v>8</v>
      </c>
      <c r="AF264" s="105" t="s">
        <v>679</v>
      </c>
      <c r="AG264" s="105">
        <v>17236.891</v>
      </c>
      <c r="AH264" s="105" t="b">
        <v>1</v>
      </c>
      <c r="AI264" s="105">
        <v>-1</v>
      </c>
      <c r="AJ264" s="105" t="s">
        <v>680</v>
      </c>
      <c r="AK264" s="105">
        <v>0</v>
      </c>
      <c r="AL264" s="105" t="b">
        <v>0</v>
      </c>
      <c r="AM264" s="105">
        <v>17236.891</v>
      </c>
      <c r="AN264" s="105" t="b">
        <v>1</v>
      </c>
      <c r="AO264" s="105">
        <v>0</v>
      </c>
      <c r="AP264" s="105" t="b">
        <v>0</v>
      </c>
      <c r="AQ264" s="105">
        <v>83199.983999999997</v>
      </c>
      <c r="AR264" s="105"/>
      <c r="AS264" s="105">
        <v>83199.983999999997</v>
      </c>
      <c r="AT264" s="105">
        <v>6</v>
      </c>
      <c r="AU264" s="105" t="b">
        <v>1</v>
      </c>
      <c r="AV264" s="105" t="b">
        <v>0</v>
      </c>
    </row>
    <row r="265" spans="1:48" s="46" customFormat="1">
      <c r="A265" s="105" t="s">
        <v>510</v>
      </c>
      <c r="B265" s="105" t="s">
        <v>665</v>
      </c>
      <c r="C265" s="105" t="s">
        <v>666</v>
      </c>
      <c r="D265" s="105">
        <v>20240101</v>
      </c>
      <c r="E265" s="105">
        <v>2024</v>
      </c>
      <c r="F265" s="105">
        <v>1</v>
      </c>
      <c r="G265" s="105" t="s">
        <v>667</v>
      </c>
      <c r="H265" s="105">
        <v>818</v>
      </c>
      <c r="I265" s="105" t="s">
        <v>668</v>
      </c>
      <c r="J265" s="105" t="s">
        <v>57</v>
      </c>
      <c r="K265" s="105" t="s">
        <v>666</v>
      </c>
      <c r="L265" s="105" t="s">
        <v>669</v>
      </c>
      <c r="M265" s="105">
        <v>276</v>
      </c>
      <c r="N265" s="105" t="s">
        <v>681</v>
      </c>
      <c r="O265" s="105" t="s">
        <v>30</v>
      </c>
      <c r="P265" s="105">
        <v>0</v>
      </c>
      <c r="Q265" s="105" t="s">
        <v>670</v>
      </c>
      <c r="R265" s="105" t="s">
        <v>23</v>
      </c>
      <c r="S265" s="105" t="s">
        <v>671</v>
      </c>
      <c r="T265" s="105" t="s">
        <v>672</v>
      </c>
      <c r="U265" s="105" t="b">
        <v>1</v>
      </c>
      <c r="V265" s="105" t="s">
        <v>745</v>
      </c>
      <c r="W265" s="105" t="s">
        <v>746</v>
      </c>
      <c r="X265" s="105">
        <v>6</v>
      </c>
      <c r="Y265" s="105" t="b">
        <v>1</v>
      </c>
      <c r="Z265" s="105" t="s">
        <v>675</v>
      </c>
      <c r="AA265" s="105" t="s">
        <v>676</v>
      </c>
      <c r="AB265" s="105" t="s">
        <v>677</v>
      </c>
      <c r="AC265" s="105">
        <v>0</v>
      </c>
      <c r="AD265" s="105" t="s">
        <v>678</v>
      </c>
      <c r="AE265" s="105">
        <v>8</v>
      </c>
      <c r="AF265" s="105" t="s">
        <v>679</v>
      </c>
      <c r="AG265" s="105">
        <v>22931.074000000001</v>
      </c>
      <c r="AH265" s="105" t="b">
        <v>1</v>
      </c>
      <c r="AI265" s="105">
        <v>-1</v>
      </c>
      <c r="AJ265" s="105" t="s">
        <v>680</v>
      </c>
      <c r="AK265" s="105">
        <v>0</v>
      </c>
      <c r="AL265" s="105" t="b">
        <v>0</v>
      </c>
      <c r="AM265" s="105">
        <v>22931.074000000001</v>
      </c>
      <c r="AN265" s="105" t="b">
        <v>1</v>
      </c>
      <c r="AO265" s="105">
        <v>0</v>
      </c>
      <c r="AP265" s="105" t="b">
        <v>0</v>
      </c>
      <c r="AQ265" s="105">
        <v>110684.984</v>
      </c>
      <c r="AR265" s="105"/>
      <c r="AS265" s="105">
        <v>110684.984</v>
      </c>
      <c r="AT265" s="105">
        <v>6</v>
      </c>
      <c r="AU265" s="105" t="b">
        <v>1</v>
      </c>
      <c r="AV265" s="105" t="b">
        <v>0</v>
      </c>
    </row>
    <row r="266" spans="1:48" s="46" customFormat="1">
      <c r="A266" s="105" t="s">
        <v>510</v>
      </c>
      <c r="B266" s="105" t="s">
        <v>665</v>
      </c>
      <c r="C266" s="105" t="s">
        <v>666</v>
      </c>
      <c r="D266" s="105">
        <v>20240101</v>
      </c>
      <c r="E266" s="105">
        <v>2024</v>
      </c>
      <c r="F266" s="105">
        <v>1</v>
      </c>
      <c r="G266" s="105" t="s">
        <v>667</v>
      </c>
      <c r="H266" s="105">
        <v>818</v>
      </c>
      <c r="I266" s="105" t="s">
        <v>668</v>
      </c>
      <c r="J266" s="105" t="s">
        <v>57</v>
      </c>
      <c r="K266" s="105" t="s">
        <v>666</v>
      </c>
      <c r="L266" s="105" t="s">
        <v>669</v>
      </c>
      <c r="M266" s="105">
        <v>380</v>
      </c>
      <c r="N266" s="105" t="s">
        <v>689</v>
      </c>
      <c r="O266" s="105" t="s">
        <v>71</v>
      </c>
      <c r="P266" s="105">
        <v>0</v>
      </c>
      <c r="Q266" s="105" t="s">
        <v>670</v>
      </c>
      <c r="R266" s="105" t="s">
        <v>23</v>
      </c>
      <c r="S266" s="105" t="s">
        <v>671</v>
      </c>
      <c r="T266" s="105" t="s">
        <v>672</v>
      </c>
      <c r="U266" s="105" t="b">
        <v>1</v>
      </c>
      <c r="V266" s="105" t="s">
        <v>745</v>
      </c>
      <c r="W266" s="105" t="s">
        <v>746</v>
      </c>
      <c r="X266" s="105">
        <v>6</v>
      </c>
      <c r="Y266" s="105" t="b">
        <v>1</v>
      </c>
      <c r="Z266" s="105" t="s">
        <v>675</v>
      </c>
      <c r="AA266" s="105" t="s">
        <v>676</v>
      </c>
      <c r="AB266" s="105" t="s">
        <v>677</v>
      </c>
      <c r="AC266" s="105">
        <v>0</v>
      </c>
      <c r="AD266" s="105" t="s">
        <v>678</v>
      </c>
      <c r="AE266" s="105">
        <v>8</v>
      </c>
      <c r="AF266" s="105" t="s">
        <v>679</v>
      </c>
      <c r="AG266" s="105">
        <v>981.05499999999995</v>
      </c>
      <c r="AH266" s="105" t="b">
        <v>1</v>
      </c>
      <c r="AI266" s="105">
        <v>-1</v>
      </c>
      <c r="AJ266" s="105" t="s">
        <v>680</v>
      </c>
      <c r="AK266" s="105">
        <v>0</v>
      </c>
      <c r="AL266" s="105" t="b">
        <v>0</v>
      </c>
      <c r="AM266" s="105">
        <v>981.05499999999995</v>
      </c>
      <c r="AN266" s="105" t="b">
        <v>1</v>
      </c>
      <c r="AO266" s="105">
        <v>0</v>
      </c>
      <c r="AP266" s="105" t="b">
        <v>0</v>
      </c>
      <c r="AQ266" s="105">
        <v>4735.4089999999997</v>
      </c>
      <c r="AR266" s="105"/>
      <c r="AS266" s="105">
        <v>4735.4089999999997</v>
      </c>
      <c r="AT266" s="105">
        <v>6</v>
      </c>
      <c r="AU266" s="105" t="b">
        <v>1</v>
      </c>
      <c r="AV266" s="105" t="b">
        <v>0</v>
      </c>
    </row>
    <row r="267" spans="1:48" s="46" customFormat="1">
      <c r="A267" s="105" t="s">
        <v>510</v>
      </c>
      <c r="B267" s="105" t="s">
        <v>665</v>
      </c>
      <c r="C267" s="105" t="s">
        <v>666</v>
      </c>
      <c r="D267" s="105">
        <v>20240101</v>
      </c>
      <c r="E267" s="105">
        <v>2024</v>
      </c>
      <c r="F267" s="105">
        <v>1</v>
      </c>
      <c r="G267" s="105" t="s">
        <v>667</v>
      </c>
      <c r="H267" s="105">
        <v>818</v>
      </c>
      <c r="I267" s="105" t="s">
        <v>668</v>
      </c>
      <c r="J267" s="105" t="s">
        <v>57</v>
      </c>
      <c r="K267" s="105" t="s">
        <v>666</v>
      </c>
      <c r="L267" s="105" t="s">
        <v>669</v>
      </c>
      <c r="M267" s="105">
        <v>699</v>
      </c>
      <c r="N267" s="105" t="s">
        <v>748</v>
      </c>
      <c r="O267" s="105" t="s">
        <v>0</v>
      </c>
      <c r="P267" s="105">
        <v>0</v>
      </c>
      <c r="Q267" s="105" t="s">
        <v>670</v>
      </c>
      <c r="R267" s="105" t="s">
        <v>23</v>
      </c>
      <c r="S267" s="105" t="s">
        <v>671</v>
      </c>
      <c r="T267" s="105" t="s">
        <v>672</v>
      </c>
      <c r="U267" s="105" t="b">
        <v>1</v>
      </c>
      <c r="V267" s="105" t="s">
        <v>745</v>
      </c>
      <c r="W267" s="105" t="s">
        <v>746</v>
      </c>
      <c r="X267" s="105">
        <v>6</v>
      </c>
      <c r="Y267" s="105" t="b">
        <v>1</v>
      </c>
      <c r="Z267" s="105" t="s">
        <v>675</v>
      </c>
      <c r="AA267" s="105" t="s">
        <v>676</v>
      </c>
      <c r="AB267" s="105" t="s">
        <v>677</v>
      </c>
      <c r="AC267" s="105">
        <v>0</v>
      </c>
      <c r="AD267" s="105" t="s">
        <v>678</v>
      </c>
      <c r="AE267" s="105">
        <v>8</v>
      </c>
      <c r="AF267" s="105" t="s">
        <v>679</v>
      </c>
      <c r="AG267" s="105">
        <v>1961.979</v>
      </c>
      <c r="AH267" s="105" t="b">
        <v>1</v>
      </c>
      <c r="AI267" s="105">
        <v>-1</v>
      </c>
      <c r="AJ267" s="105" t="s">
        <v>680</v>
      </c>
      <c r="AK267" s="105">
        <v>0</v>
      </c>
      <c r="AL267" s="105" t="b">
        <v>0</v>
      </c>
      <c r="AM267" s="105">
        <v>1961.979</v>
      </c>
      <c r="AN267" s="105" t="b">
        <v>1</v>
      </c>
      <c r="AO267" s="105">
        <v>0</v>
      </c>
      <c r="AP267" s="105" t="b">
        <v>0</v>
      </c>
      <c r="AQ267" s="105">
        <v>9470.1880000000001</v>
      </c>
      <c r="AR267" s="105"/>
      <c r="AS267" s="105">
        <v>9470.1880000000001</v>
      </c>
      <c r="AT267" s="105">
        <v>6</v>
      </c>
      <c r="AU267" s="105" t="b">
        <v>1</v>
      </c>
      <c r="AV267" s="105" t="b">
        <v>0</v>
      </c>
    </row>
    <row r="268" spans="1:48" s="46" customFormat="1">
      <c r="A268" s="105" t="s">
        <v>510</v>
      </c>
      <c r="B268" s="105" t="s">
        <v>665</v>
      </c>
      <c r="C268" s="105" t="s">
        <v>666</v>
      </c>
      <c r="D268" s="105">
        <v>20240101</v>
      </c>
      <c r="E268" s="105">
        <v>2024</v>
      </c>
      <c r="F268" s="105">
        <v>1</v>
      </c>
      <c r="G268" s="105" t="s">
        <v>667</v>
      </c>
      <c r="H268" s="105">
        <v>818</v>
      </c>
      <c r="I268" s="105" t="s">
        <v>668</v>
      </c>
      <c r="J268" s="105" t="s">
        <v>57</v>
      </c>
      <c r="K268" s="105" t="s">
        <v>666</v>
      </c>
      <c r="L268" s="105" t="s">
        <v>669</v>
      </c>
      <c r="M268" s="105">
        <v>792</v>
      </c>
      <c r="N268" s="105" t="s">
        <v>691</v>
      </c>
      <c r="O268" s="105" t="s">
        <v>63</v>
      </c>
      <c r="P268" s="105">
        <v>0</v>
      </c>
      <c r="Q268" s="105" t="s">
        <v>670</v>
      </c>
      <c r="R268" s="105" t="s">
        <v>23</v>
      </c>
      <c r="S268" s="105" t="s">
        <v>671</v>
      </c>
      <c r="T268" s="105" t="s">
        <v>672</v>
      </c>
      <c r="U268" s="105" t="b">
        <v>1</v>
      </c>
      <c r="V268" s="105" t="s">
        <v>745</v>
      </c>
      <c r="W268" s="105" t="s">
        <v>746</v>
      </c>
      <c r="X268" s="105">
        <v>6</v>
      </c>
      <c r="Y268" s="105" t="b">
        <v>1</v>
      </c>
      <c r="Z268" s="105" t="s">
        <v>675</v>
      </c>
      <c r="AA268" s="105" t="s">
        <v>676</v>
      </c>
      <c r="AB268" s="105" t="s">
        <v>677</v>
      </c>
      <c r="AC268" s="105">
        <v>0</v>
      </c>
      <c r="AD268" s="105" t="s">
        <v>678</v>
      </c>
      <c r="AE268" s="105">
        <v>8</v>
      </c>
      <c r="AF268" s="105" t="s">
        <v>679</v>
      </c>
      <c r="AG268" s="105">
        <v>4776.5140000000001</v>
      </c>
      <c r="AH268" s="105" t="b">
        <v>1</v>
      </c>
      <c r="AI268" s="105">
        <v>-1</v>
      </c>
      <c r="AJ268" s="105" t="s">
        <v>680</v>
      </c>
      <c r="AK268" s="105">
        <v>0</v>
      </c>
      <c r="AL268" s="105" t="b">
        <v>0</v>
      </c>
      <c r="AM268" s="105">
        <v>4776.5140000000001</v>
      </c>
      <c r="AN268" s="105" t="b">
        <v>1</v>
      </c>
      <c r="AO268" s="105">
        <v>0</v>
      </c>
      <c r="AP268" s="105" t="b">
        <v>0</v>
      </c>
      <c r="AQ268" s="105">
        <v>23055.544999999998</v>
      </c>
      <c r="AR268" s="105"/>
      <c r="AS268" s="105">
        <v>23055.544999999998</v>
      </c>
      <c r="AT268" s="105">
        <v>6</v>
      </c>
      <c r="AU268" s="105" t="b">
        <v>1</v>
      </c>
      <c r="AV268" s="105" t="b">
        <v>0</v>
      </c>
    </row>
    <row r="269" spans="1:48" s="46" customFormat="1">
      <c r="A269" s="105" t="s">
        <v>510</v>
      </c>
      <c r="B269" s="105" t="s">
        <v>665</v>
      </c>
      <c r="C269" s="105" t="s">
        <v>666</v>
      </c>
      <c r="D269" s="105">
        <v>20240101</v>
      </c>
      <c r="E269" s="105">
        <v>2024</v>
      </c>
      <c r="F269" s="105">
        <v>1</v>
      </c>
      <c r="G269" s="105" t="s">
        <v>667</v>
      </c>
      <c r="H269" s="105">
        <v>818</v>
      </c>
      <c r="I269" s="105" t="s">
        <v>668</v>
      </c>
      <c r="J269" s="105" t="s">
        <v>57</v>
      </c>
      <c r="K269" s="105" t="s">
        <v>666</v>
      </c>
      <c r="L269" s="105" t="s">
        <v>669</v>
      </c>
      <c r="M269" s="105">
        <v>842</v>
      </c>
      <c r="N269" s="105" t="s">
        <v>713</v>
      </c>
      <c r="O269" s="105" t="s">
        <v>713</v>
      </c>
      <c r="P269" s="105">
        <v>0</v>
      </c>
      <c r="Q269" s="105" t="s">
        <v>670</v>
      </c>
      <c r="R269" s="105" t="s">
        <v>23</v>
      </c>
      <c r="S269" s="105" t="s">
        <v>671</v>
      </c>
      <c r="T269" s="105" t="s">
        <v>672</v>
      </c>
      <c r="U269" s="105" t="b">
        <v>1</v>
      </c>
      <c r="V269" s="105" t="s">
        <v>745</v>
      </c>
      <c r="W269" s="105" t="s">
        <v>746</v>
      </c>
      <c r="X269" s="105">
        <v>6</v>
      </c>
      <c r="Y269" s="105" t="b">
        <v>1</v>
      </c>
      <c r="Z269" s="105" t="s">
        <v>675</v>
      </c>
      <c r="AA269" s="105" t="s">
        <v>676</v>
      </c>
      <c r="AB269" s="105" t="s">
        <v>677</v>
      </c>
      <c r="AC269" s="105">
        <v>0</v>
      </c>
      <c r="AD269" s="105" t="s">
        <v>678</v>
      </c>
      <c r="AE269" s="105">
        <v>8</v>
      </c>
      <c r="AF269" s="105" t="s">
        <v>679</v>
      </c>
      <c r="AG269" s="105">
        <v>635.73800000000006</v>
      </c>
      <c r="AH269" s="105" t="b">
        <v>1</v>
      </c>
      <c r="AI269" s="105">
        <v>-1</v>
      </c>
      <c r="AJ269" s="105" t="s">
        <v>680</v>
      </c>
      <c r="AK269" s="105">
        <v>0</v>
      </c>
      <c r="AL269" s="105" t="b">
        <v>0</v>
      </c>
      <c r="AM269" s="105">
        <v>635.73800000000006</v>
      </c>
      <c r="AN269" s="105" t="b">
        <v>1</v>
      </c>
      <c r="AO269" s="105">
        <v>0</v>
      </c>
      <c r="AP269" s="105" t="b">
        <v>0</v>
      </c>
      <c r="AQ269" s="105">
        <v>3068.614</v>
      </c>
      <c r="AR269" s="105"/>
      <c r="AS269" s="105">
        <v>3068.614</v>
      </c>
      <c r="AT269" s="105">
        <v>6</v>
      </c>
      <c r="AU269" s="105" t="b">
        <v>1</v>
      </c>
      <c r="AV269" s="105" t="b">
        <v>0</v>
      </c>
    </row>
    <row r="270" spans="1:48" s="46" customFormat="1">
      <c r="A270" s="105" t="s">
        <v>510</v>
      </c>
      <c r="B270" s="105" t="s">
        <v>665</v>
      </c>
      <c r="C270" s="105" t="s">
        <v>666</v>
      </c>
      <c r="D270" s="105">
        <v>20240201</v>
      </c>
      <c r="E270" s="105">
        <v>2024</v>
      </c>
      <c r="F270" s="105">
        <v>2</v>
      </c>
      <c r="G270" s="105" t="s">
        <v>687</v>
      </c>
      <c r="H270" s="105">
        <v>818</v>
      </c>
      <c r="I270" s="105" t="s">
        <v>668</v>
      </c>
      <c r="J270" s="105" t="s">
        <v>57</v>
      </c>
      <c r="K270" s="105" t="s">
        <v>666</v>
      </c>
      <c r="L270" s="105" t="s">
        <v>669</v>
      </c>
      <c r="M270" s="105">
        <v>0</v>
      </c>
      <c r="N270" s="105" t="s">
        <v>670</v>
      </c>
      <c r="O270" s="105" t="s">
        <v>23</v>
      </c>
      <c r="P270" s="105">
        <v>0</v>
      </c>
      <c r="Q270" s="105" t="s">
        <v>670</v>
      </c>
      <c r="R270" s="105" t="s">
        <v>23</v>
      </c>
      <c r="S270" s="105" t="s">
        <v>671</v>
      </c>
      <c r="T270" s="105" t="s">
        <v>672</v>
      </c>
      <c r="U270" s="105" t="b">
        <v>1</v>
      </c>
      <c r="V270" s="105" t="s">
        <v>745</v>
      </c>
      <c r="W270" s="105" t="s">
        <v>746</v>
      </c>
      <c r="X270" s="105">
        <v>6</v>
      </c>
      <c r="Y270" s="105" t="b">
        <v>1</v>
      </c>
      <c r="Z270" s="105" t="s">
        <v>675</v>
      </c>
      <c r="AA270" s="105" t="s">
        <v>676</v>
      </c>
      <c r="AB270" s="105" t="s">
        <v>677</v>
      </c>
      <c r="AC270" s="105">
        <v>0</v>
      </c>
      <c r="AD270" s="105" t="s">
        <v>678</v>
      </c>
      <c r="AE270" s="105">
        <v>8</v>
      </c>
      <c r="AF270" s="105" t="s">
        <v>679</v>
      </c>
      <c r="AG270" s="105">
        <v>191946.704</v>
      </c>
      <c r="AH270" s="105" t="b">
        <v>1</v>
      </c>
      <c r="AI270" s="105">
        <v>-1</v>
      </c>
      <c r="AJ270" s="105" t="s">
        <v>680</v>
      </c>
      <c r="AK270" s="105">
        <v>0</v>
      </c>
      <c r="AL270" s="105" t="b">
        <v>0</v>
      </c>
      <c r="AM270" s="105">
        <v>191946.704</v>
      </c>
      <c r="AN270" s="105" t="b">
        <v>1</v>
      </c>
      <c r="AO270" s="105">
        <v>0</v>
      </c>
      <c r="AP270" s="105" t="b">
        <v>0</v>
      </c>
      <c r="AQ270" s="105">
        <v>926499.01599999995</v>
      </c>
      <c r="AR270" s="105"/>
      <c r="AS270" s="105">
        <v>926499.01599999995</v>
      </c>
      <c r="AT270" s="105">
        <v>6</v>
      </c>
      <c r="AU270" s="105" t="b">
        <v>0</v>
      </c>
      <c r="AV270" s="105" t="b">
        <v>1</v>
      </c>
    </row>
    <row r="271" spans="1:48" s="46" customFormat="1">
      <c r="A271" s="105" t="s">
        <v>510</v>
      </c>
      <c r="B271" s="105" t="s">
        <v>665</v>
      </c>
      <c r="C271" s="105" t="s">
        <v>666</v>
      </c>
      <c r="D271" s="105">
        <v>20240201</v>
      </c>
      <c r="E271" s="105">
        <v>2024</v>
      </c>
      <c r="F271" s="105">
        <v>2</v>
      </c>
      <c r="G271" s="105" t="s">
        <v>687</v>
      </c>
      <c r="H271" s="105">
        <v>818</v>
      </c>
      <c r="I271" s="105" t="s">
        <v>668</v>
      </c>
      <c r="J271" s="105" t="s">
        <v>57</v>
      </c>
      <c r="K271" s="105" t="s">
        <v>666</v>
      </c>
      <c r="L271" s="105" t="s">
        <v>669</v>
      </c>
      <c r="M271" s="105">
        <v>156</v>
      </c>
      <c r="N271" s="105" t="s">
        <v>711</v>
      </c>
      <c r="O271" s="105" t="s">
        <v>29</v>
      </c>
      <c r="P271" s="105">
        <v>0</v>
      </c>
      <c r="Q271" s="105" t="s">
        <v>670</v>
      </c>
      <c r="R271" s="105" t="s">
        <v>23</v>
      </c>
      <c r="S271" s="105" t="s">
        <v>671</v>
      </c>
      <c r="T271" s="105" t="s">
        <v>672</v>
      </c>
      <c r="U271" s="105" t="b">
        <v>1</v>
      </c>
      <c r="V271" s="105" t="s">
        <v>745</v>
      </c>
      <c r="W271" s="105" t="s">
        <v>746</v>
      </c>
      <c r="X271" s="105">
        <v>6</v>
      </c>
      <c r="Y271" s="105" t="b">
        <v>1</v>
      </c>
      <c r="Z271" s="105" t="s">
        <v>675</v>
      </c>
      <c r="AA271" s="105" t="s">
        <v>676</v>
      </c>
      <c r="AB271" s="105" t="s">
        <v>677</v>
      </c>
      <c r="AC271" s="105">
        <v>0</v>
      </c>
      <c r="AD271" s="105" t="s">
        <v>678</v>
      </c>
      <c r="AE271" s="105">
        <v>8</v>
      </c>
      <c r="AF271" s="105" t="s">
        <v>679</v>
      </c>
      <c r="AG271" s="105">
        <v>23865.374</v>
      </c>
      <c r="AH271" s="105" t="b">
        <v>1</v>
      </c>
      <c r="AI271" s="105">
        <v>-1</v>
      </c>
      <c r="AJ271" s="105" t="s">
        <v>680</v>
      </c>
      <c r="AK271" s="105">
        <v>0</v>
      </c>
      <c r="AL271" s="105" t="b">
        <v>0</v>
      </c>
      <c r="AM271" s="105">
        <v>23865.374</v>
      </c>
      <c r="AN271" s="105" t="b">
        <v>1</v>
      </c>
      <c r="AO271" s="105">
        <v>0</v>
      </c>
      <c r="AP271" s="105" t="b">
        <v>0</v>
      </c>
      <c r="AQ271" s="105">
        <v>115194.712</v>
      </c>
      <c r="AR271" s="105"/>
      <c r="AS271" s="105">
        <v>115194.712</v>
      </c>
      <c r="AT271" s="105">
        <v>6</v>
      </c>
      <c r="AU271" s="105" t="b">
        <v>1</v>
      </c>
      <c r="AV271" s="105" t="b">
        <v>0</v>
      </c>
    </row>
    <row r="272" spans="1:48" s="46" customFormat="1">
      <c r="A272" s="105" t="s">
        <v>510</v>
      </c>
      <c r="B272" s="105" t="s">
        <v>665</v>
      </c>
      <c r="C272" s="105" t="s">
        <v>666</v>
      </c>
      <c r="D272" s="105">
        <v>20240201</v>
      </c>
      <c r="E272" s="105">
        <v>2024</v>
      </c>
      <c r="F272" s="105">
        <v>2</v>
      </c>
      <c r="G272" s="105" t="s">
        <v>687</v>
      </c>
      <c r="H272" s="105">
        <v>818</v>
      </c>
      <c r="I272" s="105" t="s">
        <v>668</v>
      </c>
      <c r="J272" s="105" t="s">
        <v>57</v>
      </c>
      <c r="K272" s="105" t="s">
        <v>666</v>
      </c>
      <c r="L272" s="105" t="s">
        <v>669</v>
      </c>
      <c r="M272" s="105">
        <v>251</v>
      </c>
      <c r="N272" s="105" t="s">
        <v>688</v>
      </c>
      <c r="O272" s="105" t="s">
        <v>69</v>
      </c>
      <c r="P272" s="105">
        <v>0</v>
      </c>
      <c r="Q272" s="105" t="s">
        <v>670</v>
      </c>
      <c r="R272" s="105" t="s">
        <v>23</v>
      </c>
      <c r="S272" s="105" t="s">
        <v>671</v>
      </c>
      <c r="T272" s="105" t="s">
        <v>672</v>
      </c>
      <c r="U272" s="105" t="b">
        <v>1</v>
      </c>
      <c r="V272" s="105" t="s">
        <v>745</v>
      </c>
      <c r="W272" s="105" t="s">
        <v>746</v>
      </c>
      <c r="X272" s="105">
        <v>6</v>
      </c>
      <c r="Y272" s="105" t="b">
        <v>1</v>
      </c>
      <c r="Z272" s="105" t="s">
        <v>675</v>
      </c>
      <c r="AA272" s="105" t="s">
        <v>676</v>
      </c>
      <c r="AB272" s="105" t="s">
        <v>677</v>
      </c>
      <c r="AC272" s="105">
        <v>0</v>
      </c>
      <c r="AD272" s="105" t="s">
        <v>678</v>
      </c>
      <c r="AE272" s="105">
        <v>8</v>
      </c>
      <c r="AF272" s="105" t="s">
        <v>679</v>
      </c>
      <c r="AG272" s="105">
        <v>1820.2180000000001</v>
      </c>
      <c r="AH272" s="105" t="b">
        <v>1</v>
      </c>
      <c r="AI272" s="105">
        <v>-1</v>
      </c>
      <c r="AJ272" s="105" t="s">
        <v>680</v>
      </c>
      <c r="AK272" s="105">
        <v>0</v>
      </c>
      <c r="AL272" s="105" t="b">
        <v>0</v>
      </c>
      <c r="AM272" s="105">
        <v>1820.2180000000001</v>
      </c>
      <c r="AN272" s="105" t="b">
        <v>1</v>
      </c>
      <c r="AO272" s="105">
        <v>0</v>
      </c>
      <c r="AP272" s="105" t="b">
        <v>0</v>
      </c>
      <c r="AQ272" s="105">
        <v>8785.9279999999999</v>
      </c>
      <c r="AR272" s="105"/>
      <c r="AS272" s="105">
        <v>8785.9279999999999</v>
      </c>
      <c r="AT272" s="105">
        <v>6</v>
      </c>
      <c r="AU272" s="105" t="b">
        <v>1</v>
      </c>
      <c r="AV272" s="105" t="b">
        <v>0</v>
      </c>
    </row>
    <row r="273" spans="1:48" s="46" customFormat="1">
      <c r="A273" s="105" t="s">
        <v>510</v>
      </c>
      <c r="B273" s="105" t="s">
        <v>665</v>
      </c>
      <c r="C273" s="105" t="s">
        <v>666</v>
      </c>
      <c r="D273" s="105">
        <v>20240201</v>
      </c>
      <c r="E273" s="105">
        <v>2024</v>
      </c>
      <c r="F273" s="105">
        <v>2</v>
      </c>
      <c r="G273" s="105" t="s">
        <v>687</v>
      </c>
      <c r="H273" s="105">
        <v>818</v>
      </c>
      <c r="I273" s="105" t="s">
        <v>668</v>
      </c>
      <c r="J273" s="105" t="s">
        <v>57</v>
      </c>
      <c r="K273" s="105" t="s">
        <v>666</v>
      </c>
      <c r="L273" s="105" t="s">
        <v>669</v>
      </c>
      <c r="M273" s="105">
        <v>276</v>
      </c>
      <c r="N273" s="105" t="s">
        <v>681</v>
      </c>
      <c r="O273" s="105" t="s">
        <v>30</v>
      </c>
      <c r="P273" s="105">
        <v>0</v>
      </c>
      <c r="Q273" s="105" t="s">
        <v>670</v>
      </c>
      <c r="R273" s="105" t="s">
        <v>23</v>
      </c>
      <c r="S273" s="105" t="s">
        <v>671</v>
      </c>
      <c r="T273" s="105" t="s">
        <v>672</v>
      </c>
      <c r="U273" s="105" t="b">
        <v>1</v>
      </c>
      <c r="V273" s="105" t="s">
        <v>745</v>
      </c>
      <c r="W273" s="105" t="s">
        <v>746</v>
      </c>
      <c r="X273" s="105">
        <v>6</v>
      </c>
      <c r="Y273" s="105" t="b">
        <v>1</v>
      </c>
      <c r="Z273" s="105" t="s">
        <v>675</v>
      </c>
      <c r="AA273" s="105" t="s">
        <v>676</v>
      </c>
      <c r="AB273" s="105" t="s">
        <v>677</v>
      </c>
      <c r="AC273" s="105">
        <v>0</v>
      </c>
      <c r="AD273" s="105" t="s">
        <v>678</v>
      </c>
      <c r="AE273" s="105">
        <v>8</v>
      </c>
      <c r="AF273" s="105" t="s">
        <v>679</v>
      </c>
      <c r="AG273" s="105">
        <v>39740.421000000002</v>
      </c>
      <c r="AH273" s="105" t="b">
        <v>1</v>
      </c>
      <c r="AI273" s="105">
        <v>-1</v>
      </c>
      <c r="AJ273" s="105" t="s">
        <v>680</v>
      </c>
      <c r="AK273" s="105">
        <v>0</v>
      </c>
      <c r="AL273" s="105" t="b">
        <v>0</v>
      </c>
      <c r="AM273" s="105">
        <v>39740.421000000002</v>
      </c>
      <c r="AN273" s="105" t="b">
        <v>1</v>
      </c>
      <c r="AO273" s="105">
        <v>0</v>
      </c>
      <c r="AP273" s="105" t="b">
        <v>0</v>
      </c>
      <c r="AQ273" s="105">
        <v>191821.27100000001</v>
      </c>
      <c r="AR273" s="105"/>
      <c r="AS273" s="105">
        <v>191821.27100000001</v>
      </c>
      <c r="AT273" s="105">
        <v>6</v>
      </c>
      <c r="AU273" s="105" t="b">
        <v>1</v>
      </c>
      <c r="AV273" s="105" t="b">
        <v>0</v>
      </c>
    </row>
    <row r="274" spans="1:48" s="46" customFormat="1">
      <c r="A274" s="105" t="s">
        <v>510</v>
      </c>
      <c r="B274" s="105" t="s">
        <v>665</v>
      </c>
      <c r="C274" s="105" t="s">
        <v>666</v>
      </c>
      <c r="D274" s="105">
        <v>20240201</v>
      </c>
      <c r="E274" s="105">
        <v>2024</v>
      </c>
      <c r="F274" s="105">
        <v>2</v>
      </c>
      <c r="G274" s="105" t="s">
        <v>687</v>
      </c>
      <c r="H274" s="105">
        <v>818</v>
      </c>
      <c r="I274" s="105" t="s">
        <v>668</v>
      </c>
      <c r="J274" s="105" t="s">
        <v>57</v>
      </c>
      <c r="K274" s="105" t="s">
        <v>666</v>
      </c>
      <c r="L274" s="105" t="s">
        <v>669</v>
      </c>
      <c r="M274" s="105">
        <v>380</v>
      </c>
      <c r="N274" s="105" t="s">
        <v>689</v>
      </c>
      <c r="O274" s="105" t="s">
        <v>71</v>
      </c>
      <c r="P274" s="105">
        <v>0</v>
      </c>
      <c r="Q274" s="105" t="s">
        <v>670</v>
      </c>
      <c r="R274" s="105" t="s">
        <v>23</v>
      </c>
      <c r="S274" s="105" t="s">
        <v>671</v>
      </c>
      <c r="T274" s="105" t="s">
        <v>672</v>
      </c>
      <c r="U274" s="105" t="b">
        <v>1</v>
      </c>
      <c r="V274" s="105" t="s">
        <v>745</v>
      </c>
      <c r="W274" s="105" t="s">
        <v>746</v>
      </c>
      <c r="X274" s="105">
        <v>6</v>
      </c>
      <c r="Y274" s="105" t="b">
        <v>1</v>
      </c>
      <c r="Z274" s="105" t="s">
        <v>675</v>
      </c>
      <c r="AA274" s="105" t="s">
        <v>676</v>
      </c>
      <c r="AB274" s="105" t="s">
        <v>677</v>
      </c>
      <c r="AC274" s="105">
        <v>0</v>
      </c>
      <c r="AD274" s="105" t="s">
        <v>678</v>
      </c>
      <c r="AE274" s="105">
        <v>8</v>
      </c>
      <c r="AF274" s="105" t="s">
        <v>679</v>
      </c>
      <c r="AG274" s="105">
        <v>4272.0259999999998</v>
      </c>
      <c r="AH274" s="105" t="b">
        <v>1</v>
      </c>
      <c r="AI274" s="105">
        <v>-1</v>
      </c>
      <c r="AJ274" s="105" t="s">
        <v>680</v>
      </c>
      <c r="AK274" s="105">
        <v>0</v>
      </c>
      <c r="AL274" s="105" t="b">
        <v>0</v>
      </c>
      <c r="AM274" s="105">
        <v>4272.0259999999998</v>
      </c>
      <c r="AN274" s="105" t="b">
        <v>1</v>
      </c>
      <c r="AO274" s="105">
        <v>0</v>
      </c>
      <c r="AP274" s="105" t="b">
        <v>0</v>
      </c>
      <c r="AQ274" s="105">
        <v>20620.453000000001</v>
      </c>
      <c r="AR274" s="105"/>
      <c r="AS274" s="105">
        <v>20620.453000000001</v>
      </c>
      <c r="AT274" s="105">
        <v>6</v>
      </c>
      <c r="AU274" s="105" t="b">
        <v>1</v>
      </c>
      <c r="AV274" s="105" t="b">
        <v>0</v>
      </c>
    </row>
    <row r="275" spans="1:48" s="46" customFormat="1">
      <c r="A275" s="105" t="s">
        <v>510</v>
      </c>
      <c r="B275" s="105" t="s">
        <v>665</v>
      </c>
      <c r="C275" s="105" t="s">
        <v>666</v>
      </c>
      <c r="D275" s="105">
        <v>20240201</v>
      </c>
      <c r="E275" s="105">
        <v>2024</v>
      </c>
      <c r="F275" s="105">
        <v>2</v>
      </c>
      <c r="G275" s="105" t="s">
        <v>687</v>
      </c>
      <c r="H275" s="105">
        <v>818</v>
      </c>
      <c r="I275" s="105" t="s">
        <v>668</v>
      </c>
      <c r="J275" s="105" t="s">
        <v>57</v>
      </c>
      <c r="K275" s="105" t="s">
        <v>666</v>
      </c>
      <c r="L275" s="105" t="s">
        <v>669</v>
      </c>
      <c r="M275" s="105">
        <v>392</v>
      </c>
      <c r="N275" s="105" t="s">
        <v>747</v>
      </c>
      <c r="O275" s="105" t="s">
        <v>32</v>
      </c>
      <c r="P275" s="105">
        <v>0</v>
      </c>
      <c r="Q275" s="105" t="s">
        <v>670</v>
      </c>
      <c r="R275" s="105" t="s">
        <v>23</v>
      </c>
      <c r="S275" s="105" t="s">
        <v>671</v>
      </c>
      <c r="T275" s="105" t="s">
        <v>672</v>
      </c>
      <c r="U275" s="105" t="b">
        <v>1</v>
      </c>
      <c r="V275" s="105" t="s">
        <v>745</v>
      </c>
      <c r="W275" s="105" t="s">
        <v>746</v>
      </c>
      <c r="X275" s="105">
        <v>6</v>
      </c>
      <c r="Y275" s="105" t="b">
        <v>1</v>
      </c>
      <c r="Z275" s="105" t="s">
        <v>675</v>
      </c>
      <c r="AA275" s="105" t="s">
        <v>676</v>
      </c>
      <c r="AB275" s="105" t="s">
        <v>677</v>
      </c>
      <c r="AC275" s="105">
        <v>0</v>
      </c>
      <c r="AD275" s="105" t="s">
        <v>678</v>
      </c>
      <c r="AE275" s="105">
        <v>8</v>
      </c>
      <c r="AF275" s="105" t="s">
        <v>679</v>
      </c>
      <c r="AG275" s="105">
        <v>43613.142999999996</v>
      </c>
      <c r="AH275" s="105" t="b">
        <v>1</v>
      </c>
      <c r="AI275" s="105">
        <v>-1</v>
      </c>
      <c r="AJ275" s="105" t="s">
        <v>680</v>
      </c>
      <c r="AK275" s="105">
        <v>0</v>
      </c>
      <c r="AL275" s="105" t="b">
        <v>0</v>
      </c>
      <c r="AM275" s="105">
        <v>43613.142999999996</v>
      </c>
      <c r="AN275" s="105" t="b">
        <v>1</v>
      </c>
      <c r="AO275" s="105">
        <v>0</v>
      </c>
      <c r="AP275" s="105" t="b">
        <v>0</v>
      </c>
      <c r="AQ275" s="105">
        <v>210514.34400000001</v>
      </c>
      <c r="AR275" s="105"/>
      <c r="AS275" s="105">
        <v>210514.34400000001</v>
      </c>
      <c r="AT275" s="105">
        <v>6</v>
      </c>
      <c r="AU275" s="105" t="b">
        <v>1</v>
      </c>
      <c r="AV275" s="105" t="b">
        <v>0</v>
      </c>
    </row>
    <row r="276" spans="1:48" s="46" customFormat="1">
      <c r="A276" s="105" t="s">
        <v>510</v>
      </c>
      <c r="B276" s="105" t="s">
        <v>665</v>
      </c>
      <c r="C276" s="105" t="s">
        <v>666</v>
      </c>
      <c r="D276" s="105">
        <v>20240201</v>
      </c>
      <c r="E276" s="105">
        <v>2024</v>
      </c>
      <c r="F276" s="105">
        <v>2</v>
      </c>
      <c r="G276" s="105" t="s">
        <v>687</v>
      </c>
      <c r="H276" s="105">
        <v>818</v>
      </c>
      <c r="I276" s="105" t="s">
        <v>668</v>
      </c>
      <c r="J276" s="105" t="s">
        <v>57</v>
      </c>
      <c r="K276" s="105" t="s">
        <v>666</v>
      </c>
      <c r="L276" s="105" t="s">
        <v>669</v>
      </c>
      <c r="M276" s="105">
        <v>528</v>
      </c>
      <c r="N276" s="105" t="s">
        <v>698</v>
      </c>
      <c r="O276" s="105" t="s">
        <v>60</v>
      </c>
      <c r="P276" s="105">
        <v>0</v>
      </c>
      <c r="Q276" s="105" t="s">
        <v>670</v>
      </c>
      <c r="R276" s="105" t="s">
        <v>23</v>
      </c>
      <c r="S276" s="105" t="s">
        <v>671</v>
      </c>
      <c r="T276" s="105" t="s">
        <v>672</v>
      </c>
      <c r="U276" s="105" t="b">
        <v>1</v>
      </c>
      <c r="V276" s="105" t="s">
        <v>745</v>
      </c>
      <c r="W276" s="105" t="s">
        <v>746</v>
      </c>
      <c r="X276" s="105">
        <v>6</v>
      </c>
      <c r="Y276" s="105" t="b">
        <v>1</v>
      </c>
      <c r="Z276" s="105" t="s">
        <v>675</v>
      </c>
      <c r="AA276" s="105" t="s">
        <v>676</v>
      </c>
      <c r="AB276" s="105" t="s">
        <v>677</v>
      </c>
      <c r="AC276" s="105">
        <v>0</v>
      </c>
      <c r="AD276" s="105" t="s">
        <v>678</v>
      </c>
      <c r="AE276" s="105">
        <v>8</v>
      </c>
      <c r="AF276" s="105" t="s">
        <v>679</v>
      </c>
      <c r="AG276" s="105">
        <v>8.1539999999999999</v>
      </c>
      <c r="AH276" s="105" t="b">
        <v>1</v>
      </c>
      <c r="AI276" s="105">
        <v>-1</v>
      </c>
      <c r="AJ276" s="105" t="s">
        <v>680</v>
      </c>
      <c r="AK276" s="105">
        <v>0</v>
      </c>
      <c r="AL276" s="105" t="b">
        <v>0</v>
      </c>
      <c r="AM276" s="105">
        <v>8.1539999999999999</v>
      </c>
      <c r="AN276" s="105" t="b">
        <v>1</v>
      </c>
      <c r="AO276" s="105">
        <v>0</v>
      </c>
      <c r="AP276" s="105" t="b">
        <v>0</v>
      </c>
      <c r="AQ276" s="105">
        <v>39.359000000000002</v>
      </c>
      <c r="AR276" s="105"/>
      <c r="AS276" s="105">
        <v>39.359000000000002</v>
      </c>
      <c r="AT276" s="105">
        <v>6</v>
      </c>
      <c r="AU276" s="105" t="b">
        <v>1</v>
      </c>
      <c r="AV276" s="105" t="b">
        <v>0</v>
      </c>
    </row>
    <row r="277" spans="1:48" s="46" customFormat="1">
      <c r="A277" s="105" t="s">
        <v>510</v>
      </c>
      <c r="B277" s="105" t="s">
        <v>665</v>
      </c>
      <c r="C277" s="105" t="s">
        <v>666</v>
      </c>
      <c r="D277" s="105">
        <v>20240201</v>
      </c>
      <c r="E277" s="105">
        <v>2024</v>
      </c>
      <c r="F277" s="105">
        <v>2</v>
      </c>
      <c r="G277" s="105" t="s">
        <v>687</v>
      </c>
      <c r="H277" s="105">
        <v>818</v>
      </c>
      <c r="I277" s="105" t="s">
        <v>668</v>
      </c>
      <c r="J277" s="105" t="s">
        <v>57</v>
      </c>
      <c r="K277" s="105" t="s">
        <v>666</v>
      </c>
      <c r="L277" s="105" t="s">
        <v>669</v>
      </c>
      <c r="M277" s="105">
        <v>682</v>
      </c>
      <c r="N277" s="105" t="s">
        <v>758</v>
      </c>
      <c r="O277" s="105" t="s">
        <v>39</v>
      </c>
      <c r="P277" s="105">
        <v>0</v>
      </c>
      <c r="Q277" s="105" t="s">
        <v>670</v>
      </c>
      <c r="R277" s="105" t="s">
        <v>23</v>
      </c>
      <c r="S277" s="105" t="s">
        <v>671</v>
      </c>
      <c r="T277" s="105" t="s">
        <v>672</v>
      </c>
      <c r="U277" s="105" t="b">
        <v>1</v>
      </c>
      <c r="V277" s="105" t="s">
        <v>745</v>
      </c>
      <c r="W277" s="105" t="s">
        <v>746</v>
      </c>
      <c r="X277" s="105">
        <v>6</v>
      </c>
      <c r="Y277" s="105" t="b">
        <v>1</v>
      </c>
      <c r="Z277" s="105" t="s">
        <v>675</v>
      </c>
      <c r="AA277" s="105" t="s">
        <v>676</v>
      </c>
      <c r="AB277" s="105" t="s">
        <v>677</v>
      </c>
      <c r="AC277" s="105">
        <v>0</v>
      </c>
      <c r="AD277" s="105" t="s">
        <v>678</v>
      </c>
      <c r="AE277" s="105">
        <v>8</v>
      </c>
      <c r="AF277" s="105" t="s">
        <v>679</v>
      </c>
      <c r="AG277" s="105">
        <v>18163.57</v>
      </c>
      <c r="AH277" s="105" t="b">
        <v>1</v>
      </c>
      <c r="AI277" s="105">
        <v>-1</v>
      </c>
      <c r="AJ277" s="105" t="s">
        <v>680</v>
      </c>
      <c r="AK277" s="105">
        <v>0</v>
      </c>
      <c r="AL277" s="105" t="b">
        <v>0</v>
      </c>
      <c r="AM277" s="105">
        <v>18163.57</v>
      </c>
      <c r="AN277" s="105" t="b">
        <v>1</v>
      </c>
      <c r="AO277" s="105">
        <v>0</v>
      </c>
      <c r="AP277" s="105" t="b">
        <v>0</v>
      </c>
      <c r="AQ277" s="105">
        <v>87672.93</v>
      </c>
      <c r="AR277" s="105"/>
      <c r="AS277" s="105">
        <v>87672.93</v>
      </c>
      <c r="AT277" s="105">
        <v>6</v>
      </c>
      <c r="AU277" s="105" t="b">
        <v>1</v>
      </c>
      <c r="AV277" s="105" t="b">
        <v>0</v>
      </c>
    </row>
    <row r="278" spans="1:48" s="46" customFormat="1">
      <c r="A278" s="105" t="s">
        <v>510</v>
      </c>
      <c r="B278" s="105" t="s">
        <v>665</v>
      </c>
      <c r="C278" s="105" t="s">
        <v>666</v>
      </c>
      <c r="D278" s="105">
        <v>20240201</v>
      </c>
      <c r="E278" s="105">
        <v>2024</v>
      </c>
      <c r="F278" s="105">
        <v>2</v>
      </c>
      <c r="G278" s="105" t="s">
        <v>687</v>
      </c>
      <c r="H278" s="105">
        <v>818</v>
      </c>
      <c r="I278" s="105" t="s">
        <v>668</v>
      </c>
      <c r="J278" s="105" t="s">
        <v>57</v>
      </c>
      <c r="K278" s="105" t="s">
        <v>666</v>
      </c>
      <c r="L278" s="105" t="s">
        <v>669</v>
      </c>
      <c r="M278" s="105">
        <v>699</v>
      </c>
      <c r="N278" s="105" t="s">
        <v>748</v>
      </c>
      <c r="O278" s="105" t="s">
        <v>0</v>
      </c>
      <c r="P278" s="105">
        <v>0</v>
      </c>
      <c r="Q278" s="105" t="s">
        <v>670</v>
      </c>
      <c r="R278" s="105" t="s">
        <v>23</v>
      </c>
      <c r="S278" s="105" t="s">
        <v>671</v>
      </c>
      <c r="T278" s="105" t="s">
        <v>672</v>
      </c>
      <c r="U278" s="105" t="b">
        <v>1</v>
      </c>
      <c r="V278" s="105" t="s">
        <v>745</v>
      </c>
      <c r="W278" s="105" t="s">
        <v>746</v>
      </c>
      <c r="X278" s="105">
        <v>6</v>
      </c>
      <c r="Y278" s="105" t="b">
        <v>1</v>
      </c>
      <c r="Z278" s="105" t="s">
        <v>675</v>
      </c>
      <c r="AA278" s="105" t="s">
        <v>676</v>
      </c>
      <c r="AB278" s="105" t="s">
        <v>677</v>
      </c>
      <c r="AC278" s="105">
        <v>0</v>
      </c>
      <c r="AD278" s="105" t="s">
        <v>678</v>
      </c>
      <c r="AE278" s="105">
        <v>8</v>
      </c>
      <c r="AF278" s="105" t="s">
        <v>679</v>
      </c>
      <c r="AG278" s="105">
        <v>2169.232</v>
      </c>
      <c r="AH278" s="105" t="b">
        <v>1</v>
      </c>
      <c r="AI278" s="105">
        <v>-1</v>
      </c>
      <c r="AJ278" s="105" t="s">
        <v>680</v>
      </c>
      <c r="AK278" s="105">
        <v>0</v>
      </c>
      <c r="AL278" s="105" t="b">
        <v>0</v>
      </c>
      <c r="AM278" s="105">
        <v>2169.232</v>
      </c>
      <c r="AN278" s="105" t="b">
        <v>1</v>
      </c>
      <c r="AO278" s="105">
        <v>0</v>
      </c>
      <c r="AP278" s="105" t="b">
        <v>0</v>
      </c>
      <c r="AQ278" s="105">
        <v>10470.57</v>
      </c>
      <c r="AR278" s="105"/>
      <c r="AS278" s="105">
        <v>10470.57</v>
      </c>
      <c r="AT278" s="105">
        <v>6</v>
      </c>
      <c r="AU278" s="105" t="b">
        <v>1</v>
      </c>
      <c r="AV278" s="105" t="b">
        <v>0</v>
      </c>
    </row>
    <row r="279" spans="1:48" s="46" customFormat="1">
      <c r="A279" s="105" t="s">
        <v>510</v>
      </c>
      <c r="B279" s="105" t="s">
        <v>665</v>
      </c>
      <c r="C279" s="105" t="s">
        <v>666</v>
      </c>
      <c r="D279" s="105">
        <v>20240201</v>
      </c>
      <c r="E279" s="105">
        <v>2024</v>
      </c>
      <c r="F279" s="105">
        <v>2</v>
      </c>
      <c r="G279" s="105" t="s">
        <v>687</v>
      </c>
      <c r="H279" s="105">
        <v>818</v>
      </c>
      <c r="I279" s="105" t="s">
        <v>668</v>
      </c>
      <c r="J279" s="105" t="s">
        <v>57</v>
      </c>
      <c r="K279" s="105" t="s">
        <v>666</v>
      </c>
      <c r="L279" s="105" t="s">
        <v>669</v>
      </c>
      <c r="M279" s="105">
        <v>764</v>
      </c>
      <c r="N279" s="105" t="s">
        <v>749</v>
      </c>
      <c r="O279" s="105" t="s">
        <v>55</v>
      </c>
      <c r="P279" s="105">
        <v>0</v>
      </c>
      <c r="Q279" s="105" t="s">
        <v>670</v>
      </c>
      <c r="R279" s="105" t="s">
        <v>23</v>
      </c>
      <c r="S279" s="105" t="s">
        <v>671</v>
      </c>
      <c r="T279" s="105" t="s">
        <v>672</v>
      </c>
      <c r="U279" s="105" t="b">
        <v>1</v>
      </c>
      <c r="V279" s="105" t="s">
        <v>745</v>
      </c>
      <c r="W279" s="105" t="s">
        <v>746</v>
      </c>
      <c r="X279" s="105">
        <v>6</v>
      </c>
      <c r="Y279" s="105" t="b">
        <v>1</v>
      </c>
      <c r="Z279" s="105" t="s">
        <v>675</v>
      </c>
      <c r="AA279" s="105" t="s">
        <v>676</v>
      </c>
      <c r="AB279" s="105" t="s">
        <v>677</v>
      </c>
      <c r="AC279" s="105">
        <v>0</v>
      </c>
      <c r="AD279" s="105" t="s">
        <v>678</v>
      </c>
      <c r="AE279" s="105">
        <v>8</v>
      </c>
      <c r="AF279" s="105" t="s">
        <v>679</v>
      </c>
      <c r="AG279" s="105">
        <v>33095.593000000001</v>
      </c>
      <c r="AH279" s="105" t="b">
        <v>1</v>
      </c>
      <c r="AI279" s="105">
        <v>-1</v>
      </c>
      <c r="AJ279" s="105" t="s">
        <v>680</v>
      </c>
      <c r="AK279" s="105">
        <v>0</v>
      </c>
      <c r="AL279" s="105" t="b">
        <v>0</v>
      </c>
      <c r="AM279" s="105">
        <v>33095.593000000001</v>
      </c>
      <c r="AN279" s="105" t="b">
        <v>1</v>
      </c>
      <c r="AO279" s="105">
        <v>0</v>
      </c>
      <c r="AP279" s="105" t="b">
        <v>0</v>
      </c>
      <c r="AQ279" s="105">
        <v>159747.649</v>
      </c>
      <c r="AR279" s="105"/>
      <c r="AS279" s="105">
        <v>159747.649</v>
      </c>
      <c r="AT279" s="105">
        <v>6</v>
      </c>
      <c r="AU279" s="105" t="b">
        <v>1</v>
      </c>
      <c r="AV279" s="105" t="b">
        <v>0</v>
      </c>
    </row>
    <row r="280" spans="1:48" s="46" customFormat="1">
      <c r="A280" s="105" t="s">
        <v>510</v>
      </c>
      <c r="B280" s="105" t="s">
        <v>665</v>
      </c>
      <c r="C280" s="105" t="s">
        <v>666</v>
      </c>
      <c r="D280" s="105">
        <v>20240201</v>
      </c>
      <c r="E280" s="105">
        <v>2024</v>
      </c>
      <c r="F280" s="105">
        <v>2</v>
      </c>
      <c r="G280" s="105" t="s">
        <v>687</v>
      </c>
      <c r="H280" s="105">
        <v>818</v>
      </c>
      <c r="I280" s="105" t="s">
        <v>668</v>
      </c>
      <c r="J280" s="105" t="s">
        <v>57</v>
      </c>
      <c r="K280" s="105" t="s">
        <v>666</v>
      </c>
      <c r="L280" s="105" t="s">
        <v>669</v>
      </c>
      <c r="M280" s="105">
        <v>784</v>
      </c>
      <c r="N280" s="105" t="s">
        <v>694</v>
      </c>
      <c r="O280" s="105" t="s">
        <v>25</v>
      </c>
      <c r="P280" s="105">
        <v>0</v>
      </c>
      <c r="Q280" s="105" t="s">
        <v>670</v>
      </c>
      <c r="R280" s="105" t="s">
        <v>23</v>
      </c>
      <c r="S280" s="105" t="s">
        <v>671</v>
      </c>
      <c r="T280" s="105" t="s">
        <v>672</v>
      </c>
      <c r="U280" s="105" t="b">
        <v>1</v>
      </c>
      <c r="V280" s="105" t="s">
        <v>745</v>
      </c>
      <c r="W280" s="105" t="s">
        <v>746</v>
      </c>
      <c r="X280" s="105">
        <v>6</v>
      </c>
      <c r="Y280" s="105" t="b">
        <v>1</v>
      </c>
      <c r="Z280" s="105" t="s">
        <v>675</v>
      </c>
      <c r="AA280" s="105" t="s">
        <v>676</v>
      </c>
      <c r="AB280" s="105" t="s">
        <v>677</v>
      </c>
      <c r="AC280" s="105">
        <v>0</v>
      </c>
      <c r="AD280" s="105" t="s">
        <v>678</v>
      </c>
      <c r="AE280" s="105">
        <v>8</v>
      </c>
      <c r="AF280" s="105" t="s">
        <v>679</v>
      </c>
      <c r="AG280" s="105">
        <v>13251.798000000001</v>
      </c>
      <c r="AH280" s="105" t="b">
        <v>1</v>
      </c>
      <c r="AI280" s="105">
        <v>-1</v>
      </c>
      <c r="AJ280" s="105" t="s">
        <v>680</v>
      </c>
      <c r="AK280" s="105">
        <v>0</v>
      </c>
      <c r="AL280" s="105" t="b">
        <v>0</v>
      </c>
      <c r="AM280" s="105">
        <v>13251.798000000001</v>
      </c>
      <c r="AN280" s="105" t="b">
        <v>1</v>
      </c>
      <c r="AO280" s="105">
        <v>0</v>
      </c>
      <c r="AP280" s="105" t="b">
        <v>0</v>
      </c>
      <c r="AQ280" s="105">
        <v>63964.516000000003</v>
      </c>
      <c r="AR280" s="105"/>
      <c r="AS280" s="105">
        <v>63964.516000000003</v>
      </c>
      <c r="AT280" s="105">
        <v>6</v>
      </c>
      <c r="AU280" s="105" t="b">
        <v>1</v>
      </c>
      <c r="AV280" s="105" t="b">
        <v>0</v>
      </c>
    </row>
    <row r="281" spans="1:48" s="46" customFormat="1">
      <c r="A281" s="105" t="s">
        <v>510</v>
      </c>
      <c r="B281" s="105" t="s">
        <v>665</v>
      </c>
      <c r="C281" s="105" t="s">
        <v>666</v>
      </c>
      <c r="D281" s="105">
        <v>20240201</v>
      </c>
      <c r="E281" s="105">
        <v>2024</v>
      </c>
      <c r="F281" s="105">
        <v>2</v>
      </c>
      <c r="G281" s="105" t="s">
        <v>687</v>
      </c>
      <c r="H281" s="105">
        <v>818</v>
      </c>
      <c r="I281" s="105" t="s">
        <v>668</v>
      </c>
      <c r="J281" s="105" t="s">
        <v>57</v>
      </c>
      <c r="K281" s="105" t="s">
        <v>666</v>
      </c>
      <c r="L281" s="105" t="s">
        <v>669</v>
      </c>
      <c r="M281" s="105">
        <v>792</v>
      </c>
      <c r="N281" s="105" t="s">
        <v>691</v>
      </c>
      <c r="O281" s="105" t="s">
        <v>63</v>
      </c>
      <c r="P281" s="105">
        <v>0</v>
      </c>
      <c r="Q281" s="105" t="s">
        <v>670</v>
      </c>
      <c r="R281" s="105" t="s">
        <v>23</v>
      </c>
      <c r="S281" s="105" t="s">
        <v>671</v>
      </c>
      <c r="T281" s="105" t="s">
        <v>672</v>
      </c>
      <c r="U281" s="105" t="b">
        <v>1</v>
      </c>
      <c r="V281" s="105" t="s">
        <v>745</v>
      </c>
      <c r="W281" s="105" t="s">
        <v>746</v>
      </c>
      <c r="X281" s="105">
        <v>6</v>
      </c>
      <c r="Y281" s="105" t="b">
        <v>1</v>
      </c>
      <c r="Z281" s="105" t="s">
        <v>675</v>
      </c>
      <c r="AA281" s="105" t="s">
        <v>676</v>
      </c>
      <c r="AB281" s="105" t="s">
        <v>677</v>
      </c>
      <c r="AC281" s="105">
        <v>0</v>
      </c>
      <c r="AD281" s="105" t="s">
        <v>678</v>
      </c>
      <c r="AE281" s="105">
        <v>8</v>
      </c>
      <c r="AF281" s="105" t="s">
        <v>679</v>
      </c>
      <c r="AG281" s="105">
        <v>11703.974</v>
      </c>
      <c r="AH281" s="105" t="b">
        <v>1</v>
      </c>
      <c r="AI281" s="105">
        <v>-1</v>
      </c>
      <c r="AJ281" s="105" t="s">
        <v>680</v>
      </c>
      <c r="AK281" s="105">
        <v>0</v>
      </c>
      <c r="AL281" s="105" t="b">
        <v>0</v>
      </c>
      <c r="AM281" s="105">
        <v>11703.974</v>
      </c>
      <c r="AN281" s="105" t="b">
        <v>1</v>
      </c>
      <c r="AO281" s="105">
        <v>0</v>
      </c>
      <c r="AP281" s="105" t="b">
        <v>0</v>
      </c>
      <c r="AQ281" s="105">
        <v>56493.391000000003</v>
      </c>
      <c r="AR281" s="105"/>
      <c r="AS281" s="105">
        <v>56493.391000000003</v>
      </c>
      <c r="AT281" s="105">
        <v>6</v>
      </c>
      <c r="AU281" s="105" t="b">
        <v>1</v>
      </c>
      <c r="AV281" s="105" t="b">
        <v>0</v>
      </c>
    </row>
    <row r="282" spans="1:48" s="46" customFormat="1">
      <c r="A282" s="105" t="s">
        <v>510</v>
      </c>
      <c r="B282" s="105" t="s">
        <v>665</v>
      </c>
      <c r="C282" s="105" t="s">
        <v>666</v>
      </c>
      <c r="D282" s="105">
        <v>20240201</v>
      </c>
      <c r="E282" s="105">
        <v>2024</v>
      </c>
      <c r="F282" s="105">
        <v>2</v>
      </c>
      <c r="G282" s="105" t="s">
        <v>687</v>
      </c>
      <c r="H282" s="105">
        <v>818</v>
      </c>
      <c r="I282" s="105" t="s">
        <v>668</v>
      </c>
      <c r="J282" s="105" t="s">
        <v>57</v>
      </c>
      <c r="K282" s="105" t="s">
        <v>666</v>
      </c>
      <c r="L282" s="105" t="s">
        <v>669</v>
      </c>
      <c r="M282" s="105">
        <v>826</v>
      </c>
      <c r="N282" s="105" t="s">
        <v>685</v>
      </c>
      <c r="O282" s="105" t="s">
        <v>64</v>
      </c>
      <c r="P282" s="105">
        <v>0</v>
      </c>
      <c r="Q282" s="105" t="s">
        <v>670</v>
      </c>
      <c r="R282" s="105" t="s">
        <v>23</v>
      </c>
      <c r="S282" s="105" t="s">
        <v>671</v>
      </c>
      <c r="T282" s="105" t="s">
        <v>672</v>
      </c>
      <c r="U282" s="105" t="b">
        <v>1</v>
      </c>
      <c r="V282" s="105" t="s">
        <v>745</v>
      </c>
      <c r="W282" s="105" t="s">
        <v>746</v>
      </c>
      <c r="X282" s="105">
        <v>6</v>
      </c>
      <c r="Y282" s="105" t="b">
        <v>1</v>
      </c>
      <c r="Z282" s="105" t="s">
        <v>675</v>
      </c>
      <c r="AA282" s="105" t="s">
        <v>676</v>
      </c>
      <c r="AB282" s="105" t="s">
        <v>677</v>
      </c>
      <c r="AC282" s="105">
        <v>0</v>
      </c>
      <c r="AD282" s="105" t="s">
        <v>678</v>
      </c>
      <c r="AE282" s="105">
        <v>8</v>
      </c>
      <c r="AF282" s="105" t="s">
        <v>679</v>
      </c>
      <c r="AG282" s="105">
        <v>243.20099999999999</v>
      </c>
      <c r="AH282" s="105" t="b">
        <v>1</v>
      </c>
      <c r="AI282" s="105">
        <v>-1</v>
      </c>
      <c r="AJ282" s="105" t="s">
        <v>680</v>
      </c>
      <c r="AK282" s="105">
        <v>0</v>
      </c>
      <c r="AL282" s="105" t="b">
        <v>0</v>
      </c>
      <c r="AM282" s="105">
        <v>243.20099999999999</v>
      </c>
      <c r="AN282" s="105" t="b">
        <v>1</v>
      </c>
      <c r="AO282" s="105">
        <v>0</v>
      </c>
      <c r="AP282" s="105" t="b">
        <v>0</v>
      </c>
      <c r="AQ282" s="105">
        <v>1173.894</v>
      </c>
      <c r="AR282" s="105"/>
      <c r="AS282" s="105">
        <v>1173.894</v>
      </c>
      <c r="AT282" s="105">
        <v>6</v>
      </c>
      <c r="AU282" s="105" t="b">
        <v>1</v>
      </c>
      <c r="AV282" s="105" t="b">
        <v>0</v>
      </c>
    </row>
    <row r="283" spans="1:48" s="46" customFormat="1">
      <c r="A283" s="105" t="s">
        <v>510</v>
      </c>
      <c r="B283" s="105" t="s">
        <v>665</v>
      </c>
      <c r="C283" s="105" t="s">
        <v>666</v>
      </c>
      <c r="D283" s="105">
        <v>20240201</v>
      </c>
      <c r="E283" s="105">
        <v>2024</v>
      </c>
      <c r="F283" s="105">
        <v>2</v>
      </c>
      <c r="G283" s="105" t="s">
        <v>687</v>
      </c>
      <c r="H283" s="105">
        <v>818</v>
      </c>
      <c r="I283" s="105" t="s">
        <v>668</v>
      </c>
      <c r="J283" s="105" t="s">
        <v>57</v>
      </c>
      <c r="K283" s="105" t="s">
        <v>701</v>
      </c>
      <c r="L283" s="105" t="s">
        <v>702</v>
      </c>
      <c r="M283" s="105">
        <v>0</v>
      </c>
      <c r="N283" s="105" t="s">
        <v>670</v>
      </c>
      <c r="O283" s="105" t="s">
        <v>23</v>
      </c>
      <c r="P283" s="105">
        <v>0</v>
      </c>
      <c r="Q283" s="105" t="s">
        <v>670</v>
      </c>
      <c r="R283" s="105" t="s">
        <v>23</v>
      </c>
      <c r="S283" s="105" t="s">
        <v>671</v>
      </c>
      <c r="T283" s="105" t="s">
        <v>672</v>
      </c>
      <c r="U283" s="105" t="b">
        <v>1</v>
      </c>
      <c r="V283" s="105" t="s">
        <v>745</v>
      </c>
      <c r="W283" s="105" t="s">
        <v>746</v>
      </c>
      <c r="X283" s="105">
        <v>6</v>
      </c>
      <c r="Y283" s="105" t="b">
        <v>1</v>
      </c>
      <c r="Z283" s="105" t="s">
        <v>675</v>
      </c>
      <c r="AA283" s="105" t="s">
        <v>676</v>
      </c>
      <c r="AB283" s="105" t="s">
        <v>677</v>
      </c>
      <c r="AC283" s="105">
        <v>0</v>
      </c>
      <c r="AD283" s="105" t="s">
        <v>678</v>
      </c>
      <c r="AE283" s="105">
        <v>8</v>
      </c>
      <c r="AF283" s="105" t="s">
        <v>679</v>
      </c>
      <c r="AG283" s="105">
        <v>1691.1790000000001</v>
      </c>
      <c r="AH283" s="105" t="b">
        <v>1</v>
      </c>
      <c r="AI283" s="105">
        <v>-1</v>
      </c>
      <c r="AJ283" s="105" t="s">
        <v>680</v>
      </c>
      <c r="AK283" s="105">
        <v>0</v>
      </c>
      <c r="AL283" s="105" t="b">
        <v>0</v>
      </c>
      <c r="AM283" s="105">
        <v>1691.1790000000001</v>
      </c>
      <c r="AN283" s="105" t="b">
        <v>1</v>
      </c>
      <c r="AO283" s="105">
        <v>0</v>
      </c>
      <c r="AP283" s="105" t="b">
        <v>0</v>
      </c>
      <c r="AQ283" s="105"/>
      <c r="AR283" s="105">
        <v>8750</v>
      </c>
      <c r="AS283" s="105">
        <v>8750</v>
      </c>
      <c r="AT283" s="105">
        <v>6</v>
      </c>
      <c r="AU283" s="105" t="b">
        <v>0</v>
      </c>
      <c r="AV283" s="105" t="b">
        <v>1</v>
      </c>
    </row>
    <row r="284" spans="1:48" s="46" customFormat="1">
      <c r="A284" s="105" t="s">
        <v>510</v>
      </c>
      <c r="B284" s="105" t="s">
        <v>665</v>
      </c>
      <c r="C284" s="105" t="s">
        <v>666</v>
      </c>
      <c r="D284" s="105">
        <v>20240201</v>
      </c>
      <c r="E284" s="105">
        <v>2024</v>
      </c>
      <c r="F284" s="105">
        <v>2</v>
      </c>
      <c r="G284" s="105" t="s">
        <v>687</v>
      </c>
      <c r="H284" s="105">
        <v>818</v>
      </c>
      <c r="I284" s="105" t="s">
        <v>668</v>
      </c>
      <c r="J284" s="105" t="s">
        <v>57</v>
      </c>
      <c r="K284" s="105" t="s">
        <v>701</v>
      </c>
      <c r="L284" s="105" t="s">
        <v>702</v>
      </c>
      <c r="M284" s="105">
        <v>586</v>
      </c>
      <c r="N284" s="105" t="s">
        <v>764</v>
      </c>
      <c r="O284" s="105" t="s">
        <v>83</v>
      </c>
      <c r="P284" s="105">
        <v>0</v>
      </c>
      <c r="Q284" s="105" t="s">
        <v>670</v>
      </c>
      <c r="R284" s="105" t="s">
        <v>23</v>
      </c>
      <c r="S284" s="105" t="s">
        <v>671</v>
      </c>
      <c r="T284" s="105" t="s">
        <v>672</v>
      </c>
      <c r="U284" s="105" t="b">
        <v>1</v>
      </c>
      <c r="V284" s="105" t="s">
        <v>745</v>
      </c>
      <c r="W284" s="105" t="s">
        <v>746</v>
      </c>
      <c r="X284" s="105">
        <v>6</v>
      </c>
      <c r="Y284" s="105" t="b">
        <v>1</v>
      </c>
      <c r="Z284" s="105" t="s">
        <v>675</v>
      </c>
      <c r="AA284" s="105" t="s">
        <v>676</v>
      </c>
      <c r="AB284" s="105" t="s">
        <v>677</v>
      </c>
      <c r="AC284" s="105">
        <v>0</v>
      </c>
      <c r="AD284" s="105" t="s">
        <v>678</v>
      </c>
      <c r="AE284" s="105">
        <v>8</v>
      </c>
      <c r="AF284" s="105" t="s">
        <v>679</v>
      </c>
      <c r="AG284" s="105">
        <v>1691.1790000000001</v>
      </c>
      <c r="AH284" s="105" t="b">
        <v>1</v>
      </c>
      <c r="AI284" s="105">
        <v>-1</v>
      </c>
      <c r="AJ284" s="105" t="s">
        <v>680</v>
      </c>
      <c r="AK284" s="105">
        <v>0</v>
      </c>
      <c r="AL284" s="105" t="b">
        <v>0</v>
      </c>
      <c r="AM284" s="105">
        <v>1691.1790000000001</v>
      </c>
      <c r="AN284" s="105" t="b">
        <v>1</v>
      </c>
      <c r="AO284" s="105">
        <v>0</v>
      </c>
      <c r="AP284" s="105" t="b">
        <v>0</v>
      </c>
      <c r="AQ284" s="105"/>
      <c r="AR284" s="105">
        <v>8750</v>
      </c>
      <c r="AS284" s="105">
        <v>8750</v>
      </c>
      <c r="AT284" s="105">
        <v>6</v>
      </c>
      <c r="AU284" s="105" t="b">
        <v>1</v>
      </c>
      <c r="AV284" s="105" t="b">
        <v>0</v>
      </c>
    </row>
    <row r="285" spans="1:48" s="46" customFormat="1">
      <c r="A285" s="105" t="s">
        <v>510</v>
      </c>
      <c r="B285" s="105" t="s">
        <v>665</v>
      </c>
      <c r="C285" s="105" t="s">
        <v>666</v>
      </c>
      <c r="D285" s="105">
        <v>20240301</v>
      </c>
      <c r="E285" s="105">
        <v>2024</v>
      </c>
      <c r="F285" s="105">
        <v>3</v>
      </c>
      <c r="G285" s="105" t="s">
        <v>692</v>
      </c>
      <c r="H285" s="105">
        <v>818</v>
      </c>
      <c r="I285" s="105" t="s">
        <v>668</v>
      </c>
      <c r="J285" s="105" t="s">
        <v>57</v>
      </c>
      <c r="K285" s="105" t="s">
        <v>666</v>
      </c>
      <c r="L285" s="105" t="s">
        <v>669</v>
      </c>
      <c r="M285" s="105">
        <v>0</v>
      </c>
      <c r="N285" s="105" t="s">
        <v>670</v>
      </c>
      <c r="O285" s="105" t="s">
        <v>23</v>
      </c>
      <c r="P285" s="105">
        <v>0</v>
      </c>
      <c r="Q285" s="105" t="s">
        <v>670</v>
      </c>
      <c r="R285" s="105" t="s">
        <v>23</v>
      </c>
      <c r="S285" s="105" t="s">
        <v>671</v>
      </c>
      <c r="T285" s="105" t="s">
        <v>672</v>
      </c>
      <c r="U285" s="105" t="b">
        <v>1</v>
      </c>
      <c r="V285" s="105" t="s">
        <v>745</v>
      </c>
      <c r="W285" s="105" t="s">
        <v>746</v>
      </c>
      <c r="X285" s="105">
        <v>6</v>
      </c>
      <c r="Y285" s="105" t="b">
        <v>1</v>
      </c>
      <c r="Z285" s="105" t="s">
        <v>675</v>
      </c>
      <c r="AA285" s="105" t="s">
        <v>676</v>
      </c>
      <c r="AB285" s="105" t="s">
        <v>677</v>
      </c>
      <c r="AC285" s="105">
        <v>0</v>
      </c>
      <c r="AD285" s="105" t="s">
        <v>678</v>
      </c>
      <c r="AE285" s="105">
        <v>8</v>
      </c>
      <c r="AF285" s="105" t="s">
        <v>679</v>
      </c>
      <c r="AG285" s="105">
        <v>169643.13500000001</v>
      </c>
      <c r="AH285" s="105" t="b">
        <v>1</v>
      </c>
      <c r="AI285" s="105">
        <v>-1</v>
      </c>
      <c r="AJ285" s="105" t="s">
        <v>680</v>
      </c>
      <c r="AK285" s="105">
        <v>0</v>
      </c>
      <c r="AL285" s="105" t="b">
        <v>0</v>
      </c>
      <c r="AM285" s="105">
        <v>169643.13500000001</v>
      </c>
      <c r="AN285" s="105" t="b">
        <v>1</v>
      </c>
      <c r="AO285" s="105">
        <v>0</v>
      </c>
      <c r="AP285" s="105" t="b">
        <v>0</v>
      </c>
      <c r="AQ285" s="105">
        <v>818842.90899999999</v>
      </c>
      <c r="AR285" s="105"/>
      <c r="AS285" s="105">
        <v>818842.90899999999</v>
      </c>
      <c r="AT285" s="105">
        <v>6</v>
      </c>
      <c r="AU285" s="105" t="b">
        <v>0</v>
      </c>
      <c r="AV285" s="105" t="b">
        <v>1</v>
      </c>
    </row>
    <row r="286" spans="1:48" s="46" customFormat="1">
      <c r="A286" s="105" t="s">
        <v>510</v>
      </c>
      <c r="B286" s="105" t="s">
        <v>665</v>
      </c>
      <c r="C286" s="105" t="s">
        <v>666</v>
      </c>
      <c r="D286" s="105">
        <v>20240301</v>
      </c>
      <c r="E286" s="105">
        <v>2024</v>
      </c>
      <c r="F286" s="105">
        <v>3</v>
      </c>
      <c r="G286" s="105" t="s">
        <v>692</v>
      </c>
      <c r="H286" s="105">
        <v>818</v>
      </c>
      <c r="I286" s="105" t="s">
        <v>668</v>
      </c>
      <c r="J286" s="105" t="s">
        <v>57</v>
      </c>
      <c r="K286" s="105" t="s">
        <v>666</v>
      </c>
      <c r="L286" s="105" t="s">
        <v>669</v>
      </c>
      <c r="M286" s="105">
        <v>40</v>
      </c>
      <c r="N286" s="105" t="s">
        <v>750</v>
      </c>
      <c r="O286" s="105" t="s">
        <v>43</v>
      </c>
      <c r="P286" s="105">
        <v>0</v>
      </c>
      <c r="Q286" s="105" t="s">
        <v>670</v>
      </c>
      <c r="R286" s="105" t="s">
        <v>23</v>
      </c>
      <c r="S286" s="105" t="s">
        <v>671</v>
      </c>
      <c r="T286" s="105" t="s">
        <v>672</v>
      </c>
      <c r="U286" s="105" t="b">
        <v>1</v>
      </c>
      <c r="V286" s="105" t="s">
        <v>745</v>
      </c>
      <c r="W286" s="105" t="s">
        <v>746</v>
      </c>
      <c r="X286" s="105">
        <v>6</v>
      </c>
      <c r="Y286" s="105" t="b">
        <v>1</v>
      </c>
      <c r="Z286" s="105" t="s">
        <v>675</v>
      </c>
      <c r="AA286" s="105" t="s">
        <v>676</v>
      </c>
      <c r="AB286" s="105" t="s">
        <v>677</v>
      </c>
      <c r="AC286" s="105">
        <v>0</v>
      </c>
      <c r="AD286" s="105" t="s">
        <v>678</v>
      </c>
      <c r="AE286" s="105">
        <v>8</v>
      </c>
      <c r="AF286" s="105" t="s">
        <v>679</v>
      </c>
      <c r="AG286" s="105">
        <v>1763.981</v>
      </c>
      <c r="AH286" s="105" t="b">
        <v>1</v>
      </c>
      <c r="AI286" s="105">
        <v>-1</v>
      </c>
      <c r="AJ286" s="105" t="s">
        <v>680</v>
      </c>
      <c r="AK286" s="105">
        <v>0</v>
      </c>
      <c r="AL286" s="105" t="b">
        <v>0</v>
      </c>
      <c r="AM286" s="105">
        <v>1763.981</v>
      </c>
      <c r="AN286" s="105" t="b">
        <v>1</v>
      </c>
      <c r="AO286" s="105">
        <v>0</v>
      </c>
      <c r="AP286" s="105" t="b">
        <v>0</v>
      </c>
      <c r="AQ286" s="105">
        <v>8514.4830000000002</v>
      </c>
      <c r="AR286" s="105"/>
      <c r="AS286" s="105">
        <v>8514.4830000000002</v>
      </c>
      <c r="AT286" s="105">
        <v>6</v>
      </c>
      <c r="AU286" s="105" t="b">
        <v>1</v>
      </c>
      <c r="AV286" s="105" t="b">
        <v>0</v>
      </c>
    </row>
    <row r="287" spans="1:48" s="46" customFormat="1">
      <c r="A287" s="105" t="s">
        <v>510</v>
      </c>
      <c r="B287" s="105" t="s">
        <v>665</v>
      </c>
      <c r="C287" s="105" t="s">
        <v>666</v>
      </c>
      <c r="D287" s="105">
        <v>20240301</v>
      </c>
      <c r="E287" s="105">
        <v>2024</v>
      </c>
      <c r="F287" s="105">
        <v>3</v>
      </c>
      <c r="G287" s="105" t="s">
        <v>692</v>
      </c>
      <c r="H287" s="105">
        <v>818</v>
      </c>
      <c r="I287" s="105" t="s">
        <v>668</v>
      </c>
      <c r="J287" s="105" t="s">
        <v>57</v>
      </c>
      <c r="K287" s="105" t="s">
        <v>666</v>
      </c>
      <c r="L287" s="105" t="s">
        <v>669</v>
      </c>
      <c r="M287" s="105">
        <v>56</v>
      </c>
      <c r="N287" s="105" t="s">
        <v>696</v>
      </c>
      <c r="O287" s="105" t="s">
        <v>74</v>
      </c>
      <c r="P287" s="105">
        <v>0</v>
      </c>
      <c r="Q287" s="105" t="s">
        <v>670</v>
      </c>
      <c r="R287" s="105" t="s">
        <v>23</v>
      </c>
      <c r="S287" s="105" t="s">
        <v>671</v>
      </c>
      <c r="T287" s="105" t="s">
        <v>672</v>
      </c>
      <c r="U287" s="105" t="b">
        <v>1</v>
      </c>
      <c r="V287" s="105" t="s">
        <v>745</v>
      </c>
      <c r="W287" s="105" t="s">
        <v>746</v>
      </c>
      <c r="X287" s="105">
        <v>6</v>
      </c>
      <c r="Y287" s="105" t="b">
        <v>1</v>
      </c>
      <c r="Z287" s="105" t="s">
        <v>675</v>
      </c>
      <c r="AA287" s="105" t="s">
        <v>676</v>
      </c>
      <c r="AB287" s="105" t="s">
        <v>677</v>
      </c>
      <c r="AC287" s="105">
        <v>0</v>
      </c>
      <c r="AD287" s="105" t="s">
        <v>678</v>
      </c>
      <c r="AE287" s="105">
        <v>8</v>
      </c>
      <c r="AF287" s="105" t="s">
        <v>679</v>
      </c>
      <c r="AG287" s="105">
        <v>49727.877999999997</v>
      </c>
      <c r="AH287" s="105" t="b">
        <v>1</v>
      </c>
      <c r="AI287" s="105">
        <v>-1</v>
      </c>
      <c r="AJ287" s="105" t="s">
        <v>680</v>
      </c>
      <c r="AK287" s="105">
        <v>0</v>
      </c>
      <c r="AL287" s="105" t="b">
        <v>0</v>
      </c>
      <c r="AM287" s="105">
        <v>49727.877999999997</v>
      </c>
      <c r="AN287" s="105" t="b">
        <v>1</v>
      </c>
      <c r="AO287" s="105">
        <v>0</v>
      </c>
      <c r="AP287" s="105" t="b">
        <v>0</v>
      </c>
      <c r="AQ287" s="105">
        <v>240029.283</v>
      </c>
      <c r="AR287" s="105"/>
      <c r="AS287" s="105">
        <v>240029.283</v>
      </c>
      <c r="AT287" s="105">
        <v>6</v>
      </c>
      <c r="AU287" s="105" t="b">
        <v>1</v>
      </c>
      <c r="AV287" s="105" t="b">
        <v>0</v>
      </c>
    </row>
    <row r="288" spans="1:48" s="46" customFormat="1">
      <c r="A288" s="105" t="s">
        <v>510</v>
      </c>
      <c r="B288" s="105" t="s">
        <v>665</v>
      </c>
      <c r="C288" s="105" t="s">
        <v>666</v>
      </c>
      <c r="D288" s="105">
        <v>20240301</v>
      </c>
      <c r="E288" s="105">
        <v>2024</v>
      </c>
      <c r="F288" s="105">
        <v>3</v>
      </c>
      <c r="G288" s="105" t="s">
        <v>692</v>
      </c>
      <c r="H288" s="105">
        <v>818</v>
      </c>
      <c r="I288" s="105" t="s">
        <v>668</v>
      </c>
      <c r="J288" s="105" t="s">
        <v>57</v>
      </c>
      <c r="K288" s="105" t="s">
        <v>666</v>
      </c>
      <c r="L288" s="105" t="s">
        <v>669</v>
      </c>
      <c r="M288" s="105">
        <v>156</v>
      </c>
      <c r="N288" s="105" t="s">
        <v>711</v>
      </c>
      <c r="O288" s="105" t="s">
        <v>29</v>
      </c>
      <c r="P288" s="105">
        <v>0</v>
      </c>
      <c r="Q288" s="105" t="s">
        <v>670</v>
      </c>
      <c r="R288" s="105" t="s">
        <v>23</v>
      </c>
      <c r="S288" s="105" t="s">
        <v>671</v>
      </c>
      <c r="T288" s="105" t="s">
        <v>672</v>
      </c>
      <c r="U288" s="105" t="b">
        <v>1</v>
      </c>
      <c r="V288" s="105" t="s">
        <v>745</v>
      </c>
      <c r="W288" s="105" t="s">
        <v>746</v>
      </c>
      <c r="X288" s="105">
        <v>6</v>
      </c>
      <c r="Y288" s="105" t="b">
        <v>1</v>
      </c>
      <c r="Z288" s="105" t="s">
        <v>675</v>
      </c>
      <c r="AA288" s="105" t="s">
        <v>676</v>
      </c>
      <c r="AB288" s="105" t="s">
        <v>677</v>
      </c>
      <c r="AC288" s="105">
        <v>0</v>
      </c>
      <c r="AD288" s="105" t="s">
        <v>678</v>
      </c>
      <c r="AE288" s="105">
        <v>8</v>
      </c>
      <c r="AF288" s="105" t="s">
        <v>679</v>
      </c>
      <c r="AG288" s="105">
        <v>20504.035</v>
      </c>
      <c r="AH288" s="105" t="b">
        <v>1</v>
      </c>
      <c r="AI288" s="105">
        <v>-1</v>
      </c>
      <c r="AJ288" s="105" t="s">
        <v>680</v>
      </c>
      <c r="AK288" s="105">
        <v>0</v>
      </c>
      <c r="AL288" s="105" t="b">
        <v>0</v>
      </c>
      <c r="AM288" s="105">
        <v>20504.035</v>
      </c>
      <c r="AN288" s="105" t="b">
        <v>1</v>
      </c>
      <c r="AO288" s="105">
        <v>0</v>
      </c>
      <c r="AP288" s="105" t="b">
        <v>0</v>
      </c>
      <c r="AQ288" s="105">
        <v>98970.013999999996</v>
      </c>
      <c r="AR288" s="105"/>
      <c r="AS288" s="105">
        <v>98970.013999999996</v>
      </c>
      <c r="AT288" s="105">
        <v>6</v>
      </c>
      <c r="AU288" s="105" t="b">
        <v>1</v>
      </c>
      <c r="AV288" s="105" t="b">
        <v>0</v>
      </c>
    </row>
    <row r="289" spans="1:48" s="46" customFormat="1">
      <c r="A289" s="105" t="s">
        <v>510</v>
      </c>
      <c r="B289" s="105" t="s">
        <v>665</v>
      </c>
      <c r="C289" s="105" t="s">
        <v>666</v>
      </c>
      <c r="D289" s="105">
        <v>20240301</v>
      </c>
      <c r="E289" s="105">
        <v>2024</v>
      </c>
      <c r="F289" s="105">
        <v>3</v>
      </c>
      <c r="G289" s="105" t="s">
        <v>692</v>
      </c>
      <c r="H289" s="105">
        <v>818</v>
      </c>
      <c r="I289" s="105" t="s">
        <v>668</v>
      </c>
      <c r="J289" s="105" t="s">
        <v>57</v>
      </c>
      <c r="K289" s="105" t="s">
        <v>666</v>
      </c>
      <c r="L289" s="105" t="s">
        <v>669</v>
      </c>
      <c r="M289" s="105">
        <v>276</v>
      </c>
      <c r="N289" s="105" t="s">
        <v>681</v>
      </c>
      <c r="O289" s="105" t="s">
        <v>30</v>
      </c>
      <c r="P289" s="105">
        <v>0</v>
      </c>
      <c r="Q289" s="105" t="s">
        <v>670</v>
      </c>
      <c r="R289" s="105" t="s">
        <v>23</v>
      </c>
      <c r="S289" s="105" t="s">
        <v>671</v>
      </c>
      <c r="T289" s="105" t="s">
        <v>672</v>
      </c>
      <c r="U289" s="105" t="b">
        <v>1</v>
      </c>
      <c r="V289" s="105" t="s">
        <v>745</v>
      </c>
      <c r="W289" s="105" t="s">
        <v>746</v>
      </c>
      <c r="X289" s="105">
        <v>6</v>
      </c>
      <c r="Y289" s="105" t="b">
        <v>1</v>
      </c>
      <c r="Z289" s="105" t="s">
        <v>675</v>
      </c>
      <c r="AA289" s="105" t="s">
        <v>676</v>
      </c>
      <c r="AB289" s="105" t="s">
        <v>677</v>
      </c>
      <c r="AC289" s="105">
        <v>0</v>
      </c>
      <c r="AD289" s="105" t="s">
        <v>678</v>
      </c>
      <c r="AE289" s="105">
        <v>8</v>
      </c>
      <c r="AF289" s="105" t="s">
        <v>679</v>
      </c>
      <c r="AG289" s="105">
        <v>14504.802</v>
      </c>
      <c r="AH289" s="105" t="b">
        <v>1</v>
      </c>
      <c r="AI289" s="105">
        <v>-1</v>
      </c>
      <c r="AJ289" s="105" t="s">
        <v>680</v>
      </c>
      <c r="AK289" s="105">
        <v>0</v>
      </c>
      <c r="AL289" s="105" t="b">
        <v>0</v>
      </c>
      <c r="AM289" s="105">
        <v>14504.802</v>
      </c>
      <c r="AN289" s="105" t="b">
        <v>1</v>
      </c>
      <c r="AO289" s="105">
        <v>0</v>
      </c>
      <c r="AP289" s="105" t="b">
        <v>0</v>
      </c>
      <c r="AQ289" s="105">
        <v>70012.585000000006</v>
      </c>
      <c r="AR289" s="105"/>
      <c r="AS289" s="105">
        <v>70012.585000000006</v>
      </c>
      <c r="AT289" s="105">
        <v>6</v>
      </c>
      <c r="AU289" s="105" t="b">
        <v>1</v>
      </c>
      <c r="AV289" s="105" t="b">
        <v>0</v>
      </c>
    </row>
    <row r="290" spans="1:48" s="46" customFormat="1">
      <c r="A290" s="105" t="s">
        <v>510</v>
      </c>
      <c r="B290" s="105" t="s">
        <v>665</v>
      </c>
      <c r="C290" s="105" t="s">
        <v>666</v>
      </c>
      <c r="D290" s="105">
        <v>20240301</v>
      </c>
      <c r="E290" s="105">
        <v>2024</v>
      </c>
      <c r="F290" s="105">
        <v>3</v>
      </c>
      <c r="G290" s="105" t="s">
        <v>692</v>
      </c>
      <c r="H290" s="105">
        <v>818</v>
      </c>
      <c r="I290" s="105" t="s">
        <v>668</v>
      </c>
      <c r="J290" s="105" t="s">
        <v>57</v>
      </c>
      <c r="K290" s="105" t="s">
        <v>666</v>
      </c>
      <c r="L290" s="105" t="s">
        <v>669</v>
      </c>
      <c r="M290" s="105">
        <v>300</v>
      </c>
      <c r="N290" s="105" t="s">
        <v>719</v>
      </c>
      <c r="O290" s="105" t="s">
        <v>65</v>
      </c>
      <c r="P290" s="105">
        <v>0</v>
      </c>
      <c r="Q290" s="105" t="s">
        <v>670</v>
      </c>
      <c r="R290" s="105" t="s">
        <v>23</v>
      </c>
      <c r="S290" s="105" t="s">
        <v>671</v>
      </c>
      <c r="T290" s="105" t="s">
        <v>672</v>
      </c>
      <c r="U290" s="105" t="b">
        <v>1</v>
      </c>
      <c r="V290" s="105" t="s">
        <v>745</v>
      </c>
      <c r="W290" s="105" t="s">
        <v>746</v>
      </c>
      <c r="X290" s="105">
        <v>6</v>
      </c>
      <c r="Y290" s="105" t="b">
        <v>1</v>
      </c>
      <c r="Z290" s="105" t="s">
        <v>675</v>
      </c>
      <c r="AA290" s="105" t="s">
        <v>676</v>
      </c>
      <c r="AB290" s="105" t="s">
        <v>677</v>
      </c>
      <c r="AC290" s="105">
        <v>0</v>
      </c>
      <c r="AD290" s="105" t="s">
        <v>678</v>
      </c>
      <c r="AE290" s="105">
        <v>8</v>
      </c>
      <c r="AF290" s="105" t="s">
        <v>679</v>
      </c>
      <c r="AG290" s="105">
        <v>4948.2839999999997</v>
      </c>
      <c r="AH290" s="105" t="b">
        <v>1</v>
      </c>
      <c r="AI290" s="105">
        <v>-1</v>
      </c>
      <c r="AJ290" s="105" t="s">
        <v>680</v>
      </c>
      <c r="AK290" s="105">
        <v>0</v>
      </c>
      <c r="AL290" s="105" t="b">
        <v>0</v>
      </c>
      <c r="AM290" s="105">
        <v>4948.2839999999997</v>
      </c>
      <c r="AN290" s="105" t="b">
        <v>1</v>
      </c>
      <c r="AO290" s="105">
        <v>0</v>
      </c>
      <c r="AP290" s="105" t="b">
        <v>0</v>
      </c>
      <c r="AQ290" s="105">
        <v>23884.65</v>
      </c>
      <c r="AR290" s="105"/>
      <c r="AS290" s="105">
        <v>23884.65</v>
      </c>
      <c r="AT290" s="105">
        <v>6</v>
      </c>
      <c r="AU290" s="105" t="b">
        <v>1</v>
      </c>
      <c r="AV290" s="105" t="b">
        <v>0</v>
      </c>
    </row>
    <row r="291" spans="1:48" s="46" customFormat="1">
      <c r="A291" s="105" t="s">
        <v>510</v>
      </c>
      <c r="B291" s="105" t="s">
        <v>665</v>
      </c>
      <c r="C291" s="105" t="s">
        <v>666</v>
      </c>
      <c r="D291" s="105">
        <v>20240301</v>
      </c>
      <c r="E291" s="105">
        <v>2024</v>
      </c>
      <c r="F291" s="105">
        <v>3</v>
      </c>
      <c r="G291" s="105" t="s">
        <v>692</v>
      </c>
      <c r="H291" s="105">
        <v>818</v>
      </c>
      <c r="I291" s="105" t="s">
        <v>668</v>
      </c>
      <c r="J291" s="105" t="s">
        <v>57</v>
      </c>
      <c r="K291" s="105" t="s">
        <v>666</v>
      </c>
      <c r="L291" s="105" t="s">
        <v>669</v>
      </c>
      <c r="M291" s="105">
        <v>380</v>
      </c>
      <c r="N291" s="105" t="s">
        <v>689</v>
      </c>
      <c r="O291" s="105" t="s">
        <v>71</v>
      </c>
      <c r="P291" s="105">
        <v>0</v>
      </c>
      <c r="Q291" s="105" t="s">
        <v>670</v>
      </c>
      <c r="R291" s="105" t="s">
        <v>23</v>
      </c>
      <c r="S291" s="105" t="s">
        <v>671</v>
      </c>
      <c r="T291" s="105" t="s">
        <v>672</v>
      </c>
      <c r="U291" s="105" t="b">
        <v>1</v>
      </c>
      <c r="V291" s="105" t="s">
        <v>745</v>
      </c>
      <c r="W291" s="105" t="s">
        <v>746</v>
      </c>
      <c r="X291" s="105">
        <v>6</v>
      </c>
      <c r="Y291" s="105" t="b">
        <v>1</v>
      </c>
      <c r="Z291" s="105" t="s">
        <v>675</v>
      </c>
      <c r="AA291" s="105" t="s">
        <v>676</v>
      </c>
      <c r="AB291" s="105" t="s">
        <v>677</v>
      </c>
      <c r="AC291" s="105">
        <v>0</v>
      </c>
      <c r="AD291" s="105" t="s">
        <v>678</v>
      </c>
      <c r="AE291" s="105">
        <v>8</v>
      </c>
      <c r="AF291" s="105" t="s">
        <v>679</v>
      </c>
      <c r="AG291" s="105">
        <v>6976.1019999999999</v>
      </c>
      <c r="AH291" s="105" t="b">
        <v>1</v>
      </c>
      <c r="AI291" s="105">
        <v>-1</v>
      </c>
      <c r="AJ291" s="105" t="s">
        <v>680</v>
      </c>
      <c r="AK291" s="105">
        <v>0</v>
      </c>
      <c r="AL291" s="105" t="b">
        <v>0</v>
      </c>
      <c r="AM291" s="105">
        <v>6976.1019999999999</v>
      </c>
      <c r="AN291" s="105" t="b">
        <v>1</v>
      </c>
      <c r="AO291" s="105">
        <v>0</v>
      </c>
      <c r="AP291" s="105" t="b">
        <v>0</v>
      </c>
      <c r="AQ291" s="105">
        <v>33672.635999999999</v>
      </c>
      <c r="AR291" s="105"/>
      <c r="AS291" s="105">
        <v>33672.635999999999</v>
      </c>
      <c r="AT291" s="105">
        <v>6</v>
      </c>
      <c r="AU291" s="105" t="b">
        <v>1</v>
      </c>
      <c r="AV291" s="105" t="b">
        <v>0</v>
      </c>
    </row>
    <row r="292" spans="1:48" s="46" customFormat="1">
      <c r="A292" s="105" t="s">
        <v>510</v>
      </c>
      <c r="B292" s="105" t="s">
        <v>665</v>
      </c>
      <c r="C292" s="105" t="s">
        <v>666</v>
      </c>
      <c r="D292" s="105">
        <v>20240301</v>
      </c>
      <c r="E292" s="105">
        <v>2024</v>
      </c>
      <c r="F292" s="105">
        <v>3</v>
      </c>
      <c r="G292" s="105" t="s">
        <v>692</v>
      </c>
      <c r="H292" s="105">
        <v>818</v>
      </c>
      <c r="I292" s="105" t="s">
        <v>668</v>
      </c>
      <c r="J292" s="105" t="s">
        <v>57</v>
      </c>
      <c r="K292" s="105" t="s">
        <v>666</v>
      </c>
      <c r="L292" s="105" t="s">
        <v>669</v>
      </c>
      <c r="M292" s="105">
        <v>699</v>
      </c>
      <c r="N292" s="105" t="s">
        <v>748</v>
      </c>
      <c r="O292" s="105" t="s">
        <v>0</v>
      </c>
      <c r="P292" s="105">
        <v>0</v>
      </c>
      <c r="Q292" s="105" t="s">
        <v>670</v>
      </c>
      <c r="R292" s="105" t="s">
        <v>23</v>
      </c>
      <c r="S292" s="105" t="s">
        <v>671</v>
      </c>
      <c r="T292" s="105" t="s">
        <v>672</v>
      </c>
      <c r="U292" s="105" t="b">
        <v>1</v>
      </c>
      <c r="V292" s="105" t="s">
        <v>745</v>
      </c>
      <c r="W292" s="105" t="s">
        <v>746</v>
      </c>
      <c r="X292" s="105">
        <v>6</v>
      </c>
      <c r="Y292" s="105" t="b">
        <v>1</v>
      </c>
      <c r="Z292" s="105" t="s">
        <v>675</v>
      </c>
      <c r="AA292" s="105" t="s">
        <v>676</v>
      </c>
      <c r="AB292" s="105" t="s">
        <v>677</v>
      </c>
      <c r="AC292" s="105">
        <v>0</v>
      </c>
      <c r="AD292" s="105" t="s">
        <v>678</v>
      </c>
      <c r="AE292" s="105">
        <v>8</v>
      </c>
      <c r="AF292" s="105" t="s">
        <v>679</v>
      </c>
      <c r="AG292" s="105">
        <v>5804.8059999999996</v>
      </c>
      <c r="AH292" s="105" t="b">
        <v>1</v>
      </c>
      <c r="AI292" s="105">
        <v>-1</v>
      </c>
      <c r="AJ292" s="105" t="s">
        <v>680</v>
      </c>
      <c r="AK292" s="105">
        <v>0</v>
      </c>
      <c r="AL292" s="105" t="b">
        <v>0</v>
      </c>
      <c r="AM292" s="105">
        <v>5804.8059999999996</v>
      </c>
      <c r="AN292" s="105" t="b">
        <v>1</v>
      </c>
      <c r="AO292" s="105">
        <v>0</v>
      </c>
      <c r="AP292" s="105" t="b">
        <v>0</v>
      </c>
      <c r="AQ292" s="105">
        <v>28018.960999999999</v>
      </c>
      <c r="AR292" s="105"/>
      <c r="AS292" s="105">
        <v>28018.960999999999</v>
      </c>
      <c r="AT292" s="105">
        <v>6</v>
      </c>
      <c r="AU292" s="105" t="b">
        <v>1</v>
      </c>
      <c r="AV292" s="105" t="b">
        <v>0</v>
      </c>
    </row>
    <row r="293" spans="1:48" s="46" customFormat="1">
      <c r="A293" s="105" t="s">
        <v>510</v>
      </c>
      <c r="B293" s="105" t="s">
        <v>665</v>
      </c>
      <c r="C293" s="105" t="s">
        <v>666</v>
      </c>
      <c r="D293" s="105">
        <v>20240301</v>
      </c>
      <c r="E293" s="105">
        <v>2024</v>
      </c>
      <c r="F293" s="105">
        <v>3</v>
      </c>
      <c r="G293" s="105" t="s">
        <v>692</v>
      </c>
      <c r="H293" s="105">
        <v>818</v>
      </c>
      <c r="I293" s="105" t="s">
        <v>668</v>
      </c>
      <c r="J293" s="105" t="s">
        <v>57</v>
      </c>
      <c r="K293" s="105" t="s">
        <v>666</v>
      </c>
      <c r="L293" s="105" t="s">
        <v>669</v>
      </c>
      <c r="M293" s="105">
        <v>764</v>
      </c>
      <c r="N293" s="105" t="s">
        <v>749</v>
      </c>
      <c r="O293" s="105" t="s">
        <v>55</v>
      </c>
      <c r="P293" s="105">
        <v>0</v>
      </c>
      <c r="Q293" s="105" t="s">
        <v>670</v>
      </c>
      <c r="R293" s="105" t="s">
        <v>23</v>
      </c>
      <c r="S293" s="105" t="s">
        <v>671</v>
      </c>
      <c r="T293" s="105" t="s">
        <v>672</v>
      </c>
      <c r="U293" s="105" t="b">
        <v>1</v>
      </c>
      <c r="V293" s="105" t="s">
        <v>745</v>
      </c>
      <c r="W293" s="105" t="s">
        <v>746</v>
      </c>
      <c r="X293" s="105">
        <v>6</v>
      </c>
      <c r="Y293" s="105" t="b">
        <v>1</v>
      </c>
      <c r="Z293" s="105" t="s">
        <v>675</v>
      </c>
      <c r="AA293" s="105" t="s">
        <v>676</v>
      </c>
      <c r="AB293" s="105" t="s">
        <v>677</v>
      </c>
      <c r="AC293" s="105">
        <v>0</v>
      </c>
      <c r="AD293" s="105" t="s">
        <v>678</v>
      </c>
      <c r="AE293" s="105">
        <v>8</v>
      </c>
      <c r="AF293" s="105" t="s">
        <v>679</v>
      </c>
      <c r="AG293" s="105">
        <v>45688.385000000002</v>
      </c>
      <c r="AH293" s="105" t="b">
        <v>1</v>
      </c>
      <c r="AI293" s="105">
        <v>-1</v>
      </c>
      <c r="AJ293" s="105" t="s">
        <v>680</v>
      </c>
      <c r="AK293" s="105">
        <v>0</v>
      </c>
      <c r="AL293" s="105" t="b">
        <v>0</v>
      </c>
      <c r="AM293" s="105">
        <v>45688.385000000002</v>
      </c>
      <c r="AN293" s="105" t="b">
        <v>1</v>
      </c>
      <c r="AO293" s="105">
        <v>0</v>
      </c>
      <c r="AP293" s="105" t="b">
        <v>0</v>
      </c>
      <c r="AQ293" s="105">
        <v>220531.234</v>
      </c>
      <c r="AR293" s="105"/>
      <c r="AS293" s="105">
        <v>220531.234</v>
      </c>
      <c r="AT293" s="105">
        <v>6</v>
      </c>
      <c r="AU293" s="105" t="b">
        <v>1</v>
      </c>
      <c r="AV293" s="105" t="b">
        <v>0</v>
      </c>
    </row>
    <row r="294" spans="1:48" s="46" customFormat="1">
      <c r="A294" s="105" t="s">
        <v>510</v>
      </c>
      <c r="B294" s="105" t="s">
        <v>665</v>
      </c>
      <c r="C294" s="105" t="s">
        <v>666</v>
      </c>
      <c r="D294" s="105">
        <v>20240301</v>
      </c>
      <c r="E294" s="105">
        <v>2024</v>
      </c>
      <c r="F294" s="105">
        <v>3</v>
      </c>
      <c r="G294" s="105" t="s">
        <v>692</v>
      </c>
      <c r="H294" s="105">
        <v>818</v>
      </c>
      <c r="I294" s="105" t="s">
        <v>668</v>
      </c>
      <c r="J294" s="105" t="s">
        <v>57</v>
      </c>
      <c r="K294" s="105" t="s">
        <v>666</v>
      </c>
      <c r="L294" s="105" t="s">
        <v>669</v>
      </c>
      <c r="M294" s="105">
        <v>792</v>
      </c>
      <c r="N294" s="105" t="s">
        <v>691</v>
      </c>
      <c r="O294" s="105" t="s">
        <v>63</v>
      </c>
      <c r="P294" s="105">
        <v>0</v>
      </c>
      <c r="Q294" s="105" t="s">
        <v>670</v>
      </c>
      <c r="R294" s="105" t="s">
        <v>23</v>
      </c>
      <c r="S294" s="105" t="s">
        <v>671</v>
      </c>
      <c r="T294" s="105" t="s">
        <v>672</v>
      </c>
      <c r="U294" s="105" t="b">
        <v>1</v>
      </c>
      <c r="V294" s="105" t="s">
        <v>745</v>
      </c>
      <c r="W294" s="105" t="s">
        <v>746</v>
      </c>
      <c r="X294" s="105">
        <v>6</v>
      </c>
      <c r="Y294" s="105" t="b">
        <v>1</v>
      </c>
      <c r="Z294" s="105" t="s">
        <v>675</v>
      </c>
      <c r="AA294" s="105" t="s">
        <v>676</v>
      </c>
      <c r="AB294" s="105" t="s">
        <v>677</v>
      </c>
      <c r="AC294" s="105">
        <v>0</v>
      </c>
      <c r="AD294" s="105" t="s">
        <v>678</v>
      </c>
      <c r="AE294" s="105">
        <v>8</v>
      </c>
      <c r="AF294" s="105" t="s">
        <v>679</v>
      </c>
      <c r="AG294" s="105">
        <v>4715.0529999999999</v>
      </c>
      <c r="AH294" s="105" t="b">
        <v>1</v>
      </c>
      <c r="AI294" s="105">
        <v>-1</v>
      </c>
      <c r="AJ294" s="105" t="s">
        <v>680</v>
      </c>
      <c r="AK294" s="105">
        <v>0</v>
      </c>
      <c r="AL294" s="105" t="b">
        <v>0</v>
      </c>
      <c r="AM294" s="105">
        <v>4715.0529999999999</v>
      </c>
      <c r="AN294" s="105" t="b">
        <v>1</v>
      </c>
      <c r="AO294" s="105">
        <v>0</v>
      </c>
      <c r="AP294" s="105" t="b">
        <v>0</v>
      </c>
      <c r="AQ294" s="105">
        <v>22758.881000000001</v>
      </c>
      <c r="AR294" s="105"/>
      <c r="AS294" s="105">
        <v>22758.881000000001</v>
      </c>
      <c r="AT294" s="105">
        <v>6</v>
      </c>
      <c r="AU294" s="105" t="b">
        <v>1</v>
      </c>
      <c r="AV294" s="105" t="b">
        <v>0</v>
      </c>
    </row>
    <row r="295" spans="1:48" s="46" customFormat="1">
      <c r="A295" s="105" t="s">
        <v>510</v>
      </c>
      <c r="B295" s="105" t="s">
        <v>665</v>
      </c>
      <c r="C295" s="105" t="s">
        <v>666</v>
      </c>
      <c r="D295" s="105">
        <v>20240301</v>
      </c>
      <c r="E295" s="105">
        <v>2024</v>
      </c>
      <c r="F295" s="105">
        <v>3</v>
      </c>
      <c r="G295" s="105" t="s">
        <v>692</v>
      </c>
      <c r="H295" s="105">
        <v>818</v>
      </c>
      <c r="I295" s="105" t="s">
        <v>668</v>
      </c>
      <c r="J295" s="105" t="s">
        <v>57</v>
      </c>
      <c r="K295" s="105" t="s">
        <v>666</v>
      </c>
      <c r="L295" s="105" t="s">
        <v>669</v>
      </c>
      <c r="M295" s="105">
        <v>826</v>
      </c>
      <c r="N295" s="105" t="s">
        <v>685</v>
      </c>
      <c r="O295" s="105" t="s">
        <v>64</v>
      </c>
      <c r="P295" s="105">
        <v>0</v>
      </c>
      <c r="Q295" s="105" t="s">
        <v>670</v>
      </c>
      <c r="R295" s="105" t="s">
        <v>23</v>
      </c>
      <c r="S295" s="105" t="s">
        <v>671</v>
      </c>
      <c r="T295" s="105" t="s">
        <v>672</v>
      </c>
      <c r="U295" s="105" t="b">
        <v>1</v>
      </c>
      <c r="V295" s="105" t="s">
        <v>745</v>
      </c>
      <c r="W295" s="105" t="s">
        <v>746</v>
      </c>
      <c r="X295" s="105">
        <v>6</v>
      </c>
      <c r="Y295" s="105" t="b">
        <v>1</v>
      </c>
      <c r="Z295" s="105" t="s">
        <v>675</v>
      </c>
      <c r="AA295" s="105" t="s">
        <v>676</v>
      </c>
      <c r="AB295" s="105" t="s">
        <v>677</v>
      </c>
      <c r="AC295" s="105">
        <v>0</v>
      </c>
      <c r="AD295" s="105" t="s">
        <v>678</v>
      </c>
      <c r="AE295" s="105">
        <v>8</v>
      </c>
      <c r="AF295" s="105" t="s">
        <v>679</v>
      </c>
      <c r="AG295" s="105">
        <v>12367.674000000001</v>
      </c>
      <c r="AH295" s="105" t="b">
        <v>1</v>
      </c>
      <c r="AI295" s="105">
        <v>-1</v>
      </c>
      <c r="AJ295" s="105" t="s">
        <v>680</v>
      </c>
      <c r="AK295" s="105">
        <v>0</v>
      </c>
      <c r="AL295" s="105" t="b">
        <v>0</v>
      </c>
      <c r="AM295" s="105">
        <v>12367.674000000001</v>
      </c>
      <c r="AN295" s="105" t="b">
        <v>1</v>
      </c>
      <c r="AO295" s="105">
        <v>0</v>
      </c>
      <c r="AP295" s="105" t="b">
        <v>0</v>
      </c>
      <c r="AQ295" s="105">
        <v>59696.974999999999</v>
      </c>
      <c r="AR295" s="105"/>
      <c r="AS295" s="105">
        <v>59696.974999999999</v>
      </c>
      <c r="AT295" s="105">
        <v>6</v>
      </c>
      <c r="AU295" s="105" t="b">
        <v>1</v>
      </c>
      <c r="AV295" s="105" t="b">
        <v>0</v>
      </c>
    </row>
    <row r="296" spans="1:48" s="46" customFormat="1">
      <c r="A296" s="105" t="s">
        <v>510</v>
      </c>
      <c r="B296" s="105" t="s">
        <v>665</v>
      </c>
      <c r="C296" s="105" t="s">
        <v>666</v>
      </c>
      <c r="D296" s="105">
        <v>20240301</v>
      </c>
      <c r="E296" s="105">
        <v>2024</v>
      </c>
      <c r="F296" s="105">
        <v>3</v>
      </c>
      <c r="G296" s="105" t="s">
        <v>692</v>
      </c>
      <c r="H296" s="105">
        <v>818</v>
      </c>
      <c r="I296" s="105" t="s">
        <v>668</v>
      </c>
      <c r="J296" s="105" t="s">
        <v>57</v>
      </c>
      <c r="K296" s="105" t="s">
        <v>666</v>
      </c>
      <c r="L296" s="105" t="s">
        <v>669</v>
      </c>
      <c r="M296" s="105">
        <v>842</v>
      </c>
      <c r="N296" s="105" t="s">
        <v>713</v>
      </c>
      <c r="O296" s="105" t="s">
        <v>713</v>
      </c>
      <c r="P296" s="105">
        <v>0</v>
      </c>
      <c r="Q296" s="105" t="s">
        <v>670</v>
      </c>
      <c r="R296" s="105" t="s">
        <v>23</v>
      </c>
      <c r="S296" s="105" t="s">
        <v>671</v>
      </c>
      <c r="T296" s="105" t="s">
        <v>672</v>
      </c>
      <c r="U296" s="105" t="b">
        <v>1</v>
      </c>
      <c r="V296" s="105" t="s">
        <v>745</v>
      </c>
      <c r="W296" s="105" t="s">
        <v>746</v>
      </c>
      <c r="X296" s="105">
        <v>6</v>
      </c>
      <c r="Y296" s="105" t="b">
        <v>1</v>
      </c>
      <c r="Z296" s="105" t="s">
        <v>675</v>
      </c>
      <c r="AA296" s="105" t="s">
        <v>676</v>
      </c>
      <c r="AB296" s="105" t="s">
        <v>677</v>
      </c>
      <c r="AC296" s="105">
        <v>0</v>
      </c>
      <c r="AD296" s="105" t="s">
        <v>678</v>
      </c>
      <c r="AE296" s="105">
        <v>8</v>
      </c>
      <c r="AF296" s="105" t="s">
        <v>679</v>
      </c>
      <c r="AG296" s="105">
        <v>2642.1350000000002</v>
      </c>
      <c r="AH296" s="105" t="b">
        <v>1</v>
      </c>
      <c r="AI296" s="105">
        <v>-1</v>
      </c>
      <c r="AJ296" s="105" t="s">
        <v>680</v>
      </c>
      <c r="AK296" s="105">
        <v>0</v>
      </c>
      <c r="AL296" s="105" t="b">
        <v>0</v>
      </c>
      <c r="AM296" s="105">
        <v>2642.1350000000002</v>
      </c>
      <c r="AN296" s="105" t="b">
        <v>1</v>
      </c>
      <c r="AO296" s="105">
        <v>0</v>
      </c>
      <c r="AP296" s="105" t="b">
        <v>0</v>
      </c>
      <c r="AQ296" s="105">
        <v>12753.206</v>
      </c>
      <c r="AR296" s="105"/>
      <c r="AS296" s="105">
        <v>12753.206</v>
      </c>
      <c r="AT296" s="105">
        <v>6</v>
      </c>
      <c r="AU296" s="105" t="b">
        <v>1</v>
      </c>
      <c r="AV296" s="105" t="b">
        <v>0</v>
      </c>
    </row>
    <row r="297" spans="1:48" s="46" customFormat="1">
      <c r="A297" s="105" t="s">
        <v>510</v>
      </c>
      <c r="B297" s="105" t="s">
        <v>665</v>
      </c>
      <c r="C297" s="105" t="s">
        <v>666</v>
      </c>
      <c r="D297" s="105">
        <v>20240301</v>
      </c>
      <c r="E297" s="105">
        <v>2024</v>
      </c>
      <c r="F297" s="105">
        <v>3</v>
      </c>
      <c r="G297" s="105" t="s">
        <v>692</v>
      </c>
      <c r="H297" s="105">
        <v>818</v>
      </c>
      <c r="I297" s="105" t="s">
        <v>668</v>
      </c>
      <c r="J297" s="105" t="s">
        <v>57</v>
      </c>
      <c r="K297" s="105" t="s">
        <v>701</v>
      </c>
      <c r="L297" s="105" t="s">
        <v>702</v>
      </c>
      <c r="M297" s="105">
        <v>0</v>
      </c>
      <c r="N297" s="105" t="s">
        <v>670</v>
      </c>
      <c r="O297" s="105" t="s">
        <v>23</v>
      </c>
      <c r="P297" s="105">
        <v>0</v>
      </c>
      <c r="Q297" s="105" t="s">
        <v>670</v>
      </c>
      <c r="R297" s="105" t="s">
        <v>23</v>
      </c>
      <c r="S297" s="105" t="s">
        <v>671</v>
      </c>
      <c r="T297" s="105" t="s">
        <v>672</v>
      </c>
      <c r="U297" s="105" t="b">
        <v>1</v>
      </c>
      <c r="V297" s="105" t="s">
        <v>745</v>
      </c>
      <c r="W297" s="105" t="s">
        <v>746</v>
      </c>
      <c r="X297" s="105">
        <v>6</v>
      </c>
      <c r="Y297" s="105" t="b">
        <v>1</v>
      </c>
      <c r="Z297" s="105" t="s">
        <v>675</v>
      </c>
      <c r="AA297" s="105" t="s">
        <v>676</v>
      </c>
      <c r="AB297" s="105" t="s">
        <v>677</v>
      </c>
      <c r="AC297" s="105">
        <v>0</v>
      </c>
      <c r="AD297" s="105" t="s">
        <v>678</v>
      </c>
      <c r="AE297" s="105">
        <v>8</v>
      </c>
      <c r="AF297" s="105" t="s">
        <v>679</v>
      </c>
      <c r="AG297" s="105">
        <v>76.344999999999999</v>
      </c>
      <c r="AH297" s="105" t="b">
        <v>1</v>
      </c>
      <c r="AI297" s="105">
        <v>-1</v>
      </c>
      <c r="AJ297" s="105" t="s">
        <v>680</v>
      </c>
      <c r="AK297" s="105">
        <v>0</v>
      </c>
      <c r="AL297" s="105" t="b">
        <v>0</v>
      </c>
      <c r="AM297" s="105">
        <v>76.344999999999999</v>
      </c>
      <c r="AN297" s="105" t="b">
        <v>1</v>
      </c>
      <c r="AO297" s="105">
        <v>0</v>
      </c>
      <c r="AP297" s="105" t="b">
        <v>0</v>
      </c>
      <c r="AQ297" s="105"/>
      <c r="AR297" s="105">
        <v>395</v>
      </c>
      <c r="AS297" s="105">
        <v>395</v>
      </c>
      <c r="AT297" s="105">
        <v>6</v>
      </c>
      <c r="AU297" s="105" t="b">
        <v>0</v>
      </c>
      <c r="AV297" s="105" t="b">
        <v>1</v>
      </c>
    </row>
    <row r="298" spans="1:48" s="46" customFormat="1">
      <c r="A298" s="105" t="s">
        <v>510</v>
      </c>
      <c r="B298" s="105" t="s">
        <v>665</v>
      </c>
      <c r="C298" s="105" t="s">
        <v>666</v>
      </c>
      <c r="D298" s="105">
        <v>20240301</v>
      </c>
      <c r="E298" s="105">
        <v>2024</v>
      </c>
      <c r="F298" s="105">
        <v>3</v>
      </c>
      <c r="G298" s="105" t="s">
        <v>692</v>
      </c>
      <c r="H298" s="105">
        <v>818</v>
      </c>
      <c r="I298" s="105" t="s">
        <v>668</v>
      </c>
      <c r="J298" s="105" t="s">
        <v>57</v>
      </c>
      <c r="K298" s="105" t="s">
        <v>701</v>
      </c>
      <c r="L298" s="105" t="s">
        <v>702</v>
      </c>
      <c r="M298" s="105">
        <v>784</v>
      </c>
      <c r="N298" s="105" t="s">
        <v>694</v>
      </c>
      <c r="O298" s="105" t="s">
        <v>25</v>
      </c>
      <c r="P298" s="105">
        <v>0</v>
      </c>
      <c r="Q298" s="105" t="s">
        <v>670</v>
      </c>
      <c r="R298" s="105" t="s">
        <v>23</v>
      </c>
      <c r="S298" s="105" t="s">
        <v>671</v>
      </c>
      <c r="T298" s="105" t="s">
        <v>672</v>
      </c>
      <c r="U298" s="105" t="b">
        <v>1</v>
      </c>
      <c r="V298" s="105" t="s">
        <v>745</v>
      </c>
      <c r="W298" s="105" t="s">
        <v>746</v>
      </c>
      <c r="X298" s="105">
        <v>6</v>
      </c>
      <c r="Y298" s="105" t="b">
        <v>1</v>
      </c>
      <c r="Z298" s="105" t="s">
        <v>675</v>
      </c>
      <c r="AA298" s="105" t="s">
        <v>676</v>
      </c>
      <c r="AB298" s="105" t="s">
        <v>677</v>
      </c>
      <c r="AC298" s="105">
        <v>0</v>
      </c>
      <c r="AD298" s="105" t="s">
        <v>678</v>
      </c>
      <c r="AE298" s="105">
        <v>8</v>
      </c>
      <c r="AF298" s="105" t="s">
        <v>679</v>
      </c>
      <c r="AG298" s="105">
        <v>76.344999999999999</v>
      </c>
      <c r="AH298" s="105" t="b">
        <v>1</v>
      </c>
      <c r="AI298" s="105">
        <v>-1</v>
      </c>
      <c r="AJ298" s="105" t="s">
        <v>680</v>
      </c>
      <c r="AK298" s="105">
        <v>0</v>
      </c>
      <c r="AL298" s="105" t="b">
        <v>0</v>
      </c>
      <c r="AM298" s="105">
        <v>76.344999999999999</v>
      </c>
      <c r="AN298" s="105" t="b">
        <v>1</v>
      </c>
      <c r="AO298" s="105">
        <v>0</v>
      </c>
      <c r="AP298" s="105" t="b">
        <v>0</v>
      </c>
      <c r="AQ298" s="105"/>
      <c r="AR298" s="105">
        <v>395</v>
      </c>
      <c r="AS298" s="105">
        <v>395</v>
      </c>
      <c r="AT298" s="105">
        <v>6</v>
      </c>
      <c r="AU298" s="105" t="b">
        <v>1</v>
      </c>
      <c r="AV298" s="105" t="b">
        <v>0</v>
      </c>
    </row>
    <row r="299" spans="1:48" s="46" customFormat="1">
      <c r="A299" s="105" t="s">
        <v>510</v>
      </c>
      <c r="B299" s="105" t="s">
        <v>665</v>
      </c>
      <c r="C299" s="105" t="s">
        <v>666</v>
      </c>
      <c r="D299" s="105">
        <v>20240401</v>
      </c>
      <c r="E299" s="105">
        <v>2024</v>
      </c>
      <c r="F299" s="105">
        <v>4</v>
      </c>
      <c r="G299" s="105" t="s">
        <v>695</v>
      </c>
      <c r="H299" s="105">
        <v>818</v>
      </c>
      <c r="I299" s="105" t="s">
        <v>668</v>
      </c>
      <c r="J299" s="105" t="s">
        <v>57</v>
      </c>
      <c r="K299" s="105" t="s">
        <v>666</v>
      </c>
      <c r="L299" s="105" t="s">
        <v>669</v>
      </c>
      <c r="M299" s="105">
        <v>0</v>
      </c>
      <c r="N299" s="105" t="s">
        <v>670</v>
      </c>
      <c r="O299" s="105" t="s">
        <v>23</v>
      </c>
      <c r="P299" s="105">
        <v>0</v>
      </c>
      <c r="Q299" s="105" t="s">
        <v>670</v>
      </c>
      <c r="R299" s="105" t="s">
        <v>23</v>
      </c>
      <c r="S299" s="105" t="s">
        <v>671</v>
      </c>
      <c r="T299" s="105" t="s">
        <v>672</v>
      </c>
      <c r="U299" s="105" t="b">
        <v>1</v>
      </c>
      <c r="V299" s="105" t="s">
        <v>745</v>
      </c>
      <c r="W299" s="105" t="s">
        <v>746</v>
      </c>
      <c r="X299" s="105">
        <v>6</v>
      </c>
      <c r="Y299" s="105" t="b">
        <v>1</v>
      </c>
      <c r="Z299" s="105" t="s">
        <v>675</v>
      </c>
      <c r="AA299" s="105" t="s">
        <v>676</v>
      </c>
      <c r="AB299" s="105" t="s">
        <v>677</v>
      </c>
      <c r="AC299" s="105">
        <v>0</v>
      </c>
      <c r="AD299" s="105" t="s">
        <v>678</v>
      </c>
      <c r="AE299" s="105">
        <v>8</v>
      </c>
      <c r="AF299" s="105" t="s">
        <v>679</v>
      </c>
      <c r="AG299" s="105">
        <v>291428.636</v>
      </c>
      <c r="AH299" s="105" t="b">
        <v>1</v>
      </c>
      <c r="AI299" s="105">
        <v>-1</v>
      </c>
      <c r="AJ299" s="105" t="s">
        <v>680</v>
      </c>
      <c r="AK299" s="105">
        <v>0</v>
      </c>
      <c r="AL299" s="105" t="b">
        <v>0</v>
      </c>
      <c r="AM299" s="105">
        <v>291428.636</v>
      </c>
      <c r="AN299" s="105" t="b">
        <v>1</v>
      </c>
      <c r="AO299" s="105">
        <v>0</v>
      </c>
      <c r="AP299" s="105" t="b">
        <v>0</v>
      </c>
      <c r="AQ299" s="105">
        <v>1406683.933</v>
      </c>
      <c r="AR299" s="105"/>
      <c r="AS299" s="105">
        <v>1406683.933</v>
      </c>
      <c r="AT299" s="105">
        <v>6</v>
      </c>
      <c r="AU299" s="105" t="b">
        <v>0</v>
      </c>
      <c r="AV299" s="105" t="b">
        <v>1</v>
      </c>
    </row>
    <row r="300" spans="1:48" s="46" customFormat="1">
      <c r="A300" s="105" t="s">
        <v>510</v>
      </c>
      <c r="B300" s="105" t="s">
        <v>665</v>
      </c>
      <c r="C300" s="105" t="s">
        <v>666</v>
      </c>
      <c r="D300" s="105">
        <v>20240401</v>
      </c>
      <c r="E300" s="105">
        <v>2024</v>
      </c>
      <c r="F300" s="105">
        <v>4</v>
      </c>
      <c r="G300" s="105" t="s">
        <v>695</v>
      </c>
      <c r="H300" s="105">
        <v>818</v>
      </c>
      <c r="I300" s="105" t="s">
        <v>668</v>
      </c>
      <c r="J300" s="105" t="s">
        <v>57</v>
      </c>
      <c r="K300" s="105" t="s">
        <v>666</v>
      </c>
      <c r="L300" s="105" t="s">
        <v>669</v>
      </c>
      <c r="M300" s="105">
        <v>40</v>
      </c>
      <c r="N300" s="105" t="s">
        <v>750</v>
      </c>
      <c r="O300" s="105" t="s">
        <v>43</v>
      </c>
      <c r="P300" s="105">
        <v>0</v>
      </c>
      <c r="Q300" s="105" t="s">
        <v>670</v>
      </c>
      <c r="R300" s="105" t="s">
        <v>23</v>
      </c>
      <c r="S300" s="105" t="s">
        <v>671</v>
      </c>
      <c r="T300" s="105" t="s">
        <v>672</v>
      </c>
      <c r="U300" s="105" t="b">
        <v>1</v>
      </c>
      <c r="V300" s="105" t="s">
        <v>745</v>
      </c>
      <c r="W300" s="105" t="s">
        <v>746</v>
      </c>
      <c r="X300" s="105">
        <v>6</v>
      </c>
      <c r="Y300" s="105" t="b">
        <v>1</v>
      </c>
      <c r="Z300" s="105" t="s">
        <v>675</v>
      </c>
      <c r="AA300" s="105" t="s">
        <v>676</v>
      </c>
      <c r="AB300" s="105" t="s">
        <v>677</v>
      </c>
      <c r="AC300" s="105">
        <v>0</v>
      </c>
      <c r="AD300" s="105" t="s">
        <v>678</v>
      </c>
      <c r="AE300" s="105">
        <v>8</v>
      </c>
      <c r="AF300" s="105" t="s">
        <v>679</v>
      </c>
      <c r="AG300" s="105">
        <v>2616.7689999999998</v>
      </c>
      <c r="AH300" s="105" t="b">
        <v>1</v>
      </c>
      <c r="AI300" s="105">
        <v>-1</v>
      </c>
      <c r="AJ300" s="105" t="s">
        <v>680</v>
      </c>
      <c r="AK300" s="105">
        <v>0</v>
      </c>
      <c r="AL300" s="105" t="b">
        <v>0</v>
      </c>
      <c r="AM300" s="105">
        <v>2616.7689999999998</v>
      </c>
      <c r="AN300" s="105" t="b">
        <v>1</v>
      </c>
      <c r="AO300" s="105">
        <v>0</v>
      </c>
      <c r="AP300" s="105" t="b">
        <v>0</v>
      </c>
      <c r="AQ300" s="105">
        <v>12630.768</v>
      </c>
      <c r="AR300" s="105"/>
      <c r="AS300" s="105">
        <v>12630.768</v>
      </c>
      <c r="AT300" s="105">
        <v>6</v>
      </c>
      <c r="AU300" s="105" t="b">
        <v>1</v>
      </c>
      <c r="AV300" s="105" t="b">
        <v>0</v>
      </c>
    </row>
    <row r="301" spans="1:48" s="46" customFormat="1">
      <c r="A301" s="105" t="s">
        <v>510</v>
      </c>
      <c r="B301" s="105" t="s">
        <v>665</v>
      </c>
      <c r="C301" s="105" t="s">
        <v>666</v>
      </c>
      <c r="D301" s="105">
        <v>20240401</v>
      </c>
      <c r="E301" s="105">
        <v>2024</v>
      </c>
      <c r="F301" s="105">
        <v>4</v>
      </c>
      <c r="G301" s="105" t="s">
        <v>695</v>
      </c>
      <c r="H301" s="105">
        <v>818</v>
      </c>
      <c r="I301" s="105" t="s">
        <v>668</v>
      </c>
      <c r="J301" s="105" t="s">
        <v>57</v>
      </c>
      <c r="K301" s="105" t="s">
        <v>666</v>
      </c>
      <c r="L301" s="105" t="s">
        <v>669</v>
      </c>
      <c r="M301" s="105">
        <v>56</v>
      </c>
      <c r="N301" s="105" t="s">
        <v>696</v>
      </c>
      <c r="O301" s="105" t="s">
        <v>74</v>
      </c>
      <c r="P301" s="105">
        <v>0</v>
      </c>
      <c r="Q301" s="105" t="s">
        <v>670</v>
      </c>
      <c r="R301" s="105" t="s">
        <v>23</v>
      </c>
      <c r="S301" s="105" t="s">
        <v>671</v>
      </c>
      <c r="T301" s="105" t="s">
        <v>672</v>
      </c>
      <c r="U301" s="105" t="b">
        <v>1</v>
      </c>
      <c r="V301" s="105" t="s">
        <v>745</v>
      </c>
      <c r="W301" s="105" t="s">
        <v>746</v>
      </c>
      <c r="X301" s="105">
        <v>6</v>
      </c>
      <c r="Y301" s="105" t="b">
        <v>1</v>
      </c>
      <c r="Z301" s="105" t="s">
        <v>675</v>
      </c>
      <c r="AA301" s="105" t="s">
        <v>676</v>
      </c>
      <c r="AB301" s="105" t="s">
        <v>677</v>
      </c>
      <c r="AC301" s="105">
        <v>0</v>
      </c>
      <c r="AD301" s="105" t="s">
        <v>678</v>
      </c>
      <c r="AE301" s="105">
        <v>8</v>
      </c>
      <c r="AF301" s="105" t="s">
        <v>679</v>
      </c>
      <c r="AG301" s="105">
        <v>57460.71</v>
      </c>
      <c r="AH301" s="105" t="b">
        <v>1</v>
      </c>
      <c r="AI301" s="105">
        <v>-1</v>
      </c>
      <c r="AJ301" s="105" t="s">
        <v>680</v>
      </c>
      <c r="AK301" s="105">
        <v>0</v>
      </c>
      <c r="AL301" s="105" t="b">
        <v>0</v>
      </c>
      <c r="AM301" s="105">
        <v>57460.71</v>
      </c>
      <c r="AN301" s="105" t="b">
        <v>1</v>
      </c>
      <c r="AO301" s="105">
        <v>0</v>
      </c>
      <c r="AP301" s="105" t="b">
        <v>0</v>
      </c>
      <c r="AQ301" s="105">
        <v>277354.54700000002</v>
      </c>
      <c r="AR301" s="105"/>
      <c r="AS301" s="105">
        <v>277354.54700000002</v>
      </c>
      <c r="AT301" s="105">
        <v>6</v>
      </c>
      <c r="AU301" s="105" t="b">
        <v>1</v>
      </c>
      <c r="AV301" s="105" t="b">
        <v>0</v>
      </c>
    </row>
    <row r="302" spans="1:48" s="46" customFormat="1">
      <c r="A302" s="105" t="s">
        <v>510</v>
      </c>
      <c r="B302" s="105" t="s">
        <v>665</v>
      </c>
      <c r="C302" s="105" t="s">
        <v>666</v>
      </c>
      <c r="D302" s="105">
        <v>20240401</v>
      </c>
      <c r="E302" s="105">
        <v>2024</v>
      </c>
      <c r="F302" s="105">
        <v>4</v>
      </c>
      <c r="G302" s="105" t="s">
        <v>695</v>
      </c>
      <c r="H302" s="105">
        <v>818</v>
      </c>
      <c r="I302" s="105" t="s">
        <v>668</v>
      </c>
      <c r="J302" s="105" t="s">
        <v>57</v>
      </c>
      <c r="K302" s="105" t="s">
        <v>666</v>
      </c>
      <c r="L302" s="105" t="s">
        <v>669</v>
      </c>
      <c r="M302" s="105">
        <v>156</v>
      </c>
      <c r="N302" s="105" t="s">
        <v>711</v>
      </c>
      <c r="O302" s="105" t="s">
        <v>29</v>
      </c>
      <c r="P302" s="105">
        <v>0</v>
      </c>
      <c r="Q302" s="105" t="s">
        <v>670</v>
      </c>
      <c r="R302" s="105" t="s">
        <v>23</v>
      </c>
      <c r="S302" s="105" t="s">
        <v>671</v>
      </c>
      <c r="T302" s="105" t="s">
        <v>672</v>
      </c>
      <c r="U302" s="105" t="b">
        <v>1</v>
      </c>
      <c r="V302" s="105" t="s">
        <v>745</v>
      </c>
      <c r="W302" s="105" t="s">
        <v>746</v>
      </c>
      <c r="X302" s="105">
        <v>6</v>
      </c>
      <c r="Y302" s="105" t="b">
        <v>1</v>
      </c>
      <c r="Z302" s="105" t="s">
        <v>675</v>
      </c>
      <c r="AA302" s="105" t="s">
        <v>676</v>
      </c>
      <c r="AB302" s="105" t="s">
        <v>677</v>
      </c>
      <c r="AC302" s="105">
        <v>0</v>
      </c>
      <c r="AD302" s="105" t="s">
        <v>678</v>
      </c>
      <c r="AE302" s="105">
        <v>8</v>
      </c>
      <c r="AF302" s="105" t="s">
        <v>679</v>
      </c>
      <c r="AG302" s="105">
        <v>209556.65400000001</v>
      </c>
      <c r="AH302" s="105" t="b">
        <v>1</v>
      </c>
      <c r="AI302" s="105">
        <v>-1</v>
      </c>
      <c r="AJ302" s="105" t="s">
        <v>680</v>
      </c>
      <c r="AK302" s="105">
        <v>0</v>
      </c>
      <c r="AL302" s="105" t="b">
        <v>0</v>
      </c>
      <c r="AM302" s="105">
        <v>209556.65400000001</v>
      </c>
      <c r="AN302" s="105" t="b">
        <v>1</v>
      </c>
      <c r="AO302" s="105">
        <v>0</v>
      </c>
      <c r="AP302" s="105" t="b">
        <v>0</v>
      </c>
      <c r="AQ302" s="105">
        <v>1011499.701</v>
      </c>
      <c r="AR302" s="105"/>
      <c r="AS302" s="105">
        <v>1011499.701</v>
      </c>
      <c r="AT302" s="105">
        <v>6</v>
      </c>
      <c r="AU302" s="105" t="b">
        <v>1</v>
      </c>
      <c r="AV302" s="105" t="b">
        <v>0</v>
      </c>
    </row>
    <row r="303" spans="1:48" s="46" customFormat="1">
      <c r="A303" s="105" t="s">
        <v>510</v>
      </c>
      <c r="B303" s="105" t="s">
        <v>665</v>
      </c>
      <c r="C303" s="105" t="s">
        <v>666</v>
      </c>
      <c r="D303" s="105">
        <v>20240401</v>
      </c>
      <c r="E303" s="105">
        <v>2024</v>
      </c>
      <c r="F303" s="105">
        <v>4</v>
      </c>
      <c r="G303" s="105" t="s">
        <v>695</v>
      </c>
      <c r="H303" s="105">
        <v>818</v>
      </c>
      <c r="I303" s="105" t="s">
        <v>668</v>
      </c>
      <c r="J303" s="105" t="s">
        <v>57</v>
      </c>
      <c r="K303" s="105" t="s">
        <v>666</v>
      </c>
      <c r="L303" s="105" t="s">
        <v>669</v>
      </c>
      <c r="M303" s="105">
        <v>276</v>
      </c>
      <c r="N303" s="105" t="s">
        <v>681</v>
      </c>
      <c r="O303" s="105" t="s">
        <v>30</v>
      </c>
      <c r="P303" s="105">
        <v>0</v>
      </c>
      <c r="Q303" s="105" t="s">
        <v>670</v>
      </c>
      <c r="R303" s="105" t="s">
        <v>23</v>
      </c>
      <c r="S303" s="105" t="s">
        <v>671</v>
      </c>
      <c r="T303" s="105" t="s">
        <v>672</v>
      </c>
      <c r="U303" s="105" t="b">
        <v>1</v>
      </c>
      <c r="V303" s="105" t="s">
        <v>745</v>
      </c>
      <c r="W303" s="105" t="s">
        <v>746</v>
      </c>
      <c r="X303" s="105">
        <v>6</v>
      </c>
      <c r="Y303" s="105" t="b">
        <v>1</v>
      </c>
      <c r="Z303" s="105" t="s">
        <v>675</v>
      </c>
      <c r="AA303" s="105" t="s">
        <v>676</v>
      </c>
      <c r="AB303" s="105" t="s">
        <v>677</v>
      </c>
      <c r="AC303" s="105">
        <v>0</v>
      </c>
      <c r="AD303" s="105" t="s">
        <v>678</v>
      </c>
      <c r="AE303" s="105">
        <v>8</v>
      </c>
      <c r="AF303" s="105" t="s">
        <v>679</v>
      </c>
      <c r="AG303" s="105">
        <v>4775.4629999999997</v>
      </c>
      <c r="AH303" s="105" t="b">
        <v>1</v>
      </c>
      <c r="AI303" s="105">
        <v>-1</v>
      </c>
      <c r="AJ303" s="105" t="s">
        <v>680</v>
      </c>
      <c r="AK303" s="105">
        <v>0</v>
      </c>
      <c r="AL303" s="105" t="b">
        <v>0</v>
      </c>
      <c r="AM303" s="105">
        <v>4775.4629999999997</v>
      </c>
      <c r="AN303" s="105" t="b">
        <v>1</v>
      </c>
      <c r="AO303" s="105">
        <v>0</v>
      </c>
      <c r="AP303" s="105" t="b">
        <v>0</v>
      </c>
      <c r="AQ303" s="105">
        <v>23050.469000000001</v>
      </c>
      <c r="AR303" s="105"/>
      <c r="AS303" s="105">
        <v>23050.469000000001</v>
      </c>
      <c r="AT303" s="105">
        <v>6</v>
      </c>
      <c r="AU303" s="105" t="b">
        <v>1</v>
      </c>
      <c r="AV303" s="105" t="b">
        <v>0</v>
      </c>
    </row>
    <row r="304" spans="1:48" s="46" customFormat="1">
      <c r="A304" s="105" t="s">
        <v>510</v>
      </c>
      <c r="B304" s="105" t="s">
        <v>665</v>
      </c>
      <c r="C304" s="105" t="s">
        <v>666</v>
      </c>
      <c r="D304" s="105">
        <v>20240401</v>
      </c>
      <c r="E304" s="105">
        <v>2024</v>
      </c>
      <c r="F304" s="105">
        <v>4</v>
      </c>
      <c r="G304" s="105" t="s">
        <v>695</v>
      </c>
      <c r="H304" s="105">
        <v>818</v>
      </c>
      <c r="I304" s="105" t="s">
        <v>668</v>
      </c>
      <c r="J304" s="105" t="s">
        <v>57</v>
      </c>
      <c r="K304" s="105" t="s">
        <v>666</v>
      </c>
      <c r="L304" s="105" t="s">
        <v>669</v>
      </c>
      <c r="M304" s="105">
        <v>300</v>
      </c>
      <c r="N304" s="105" t="s">
        <v>719</v>
      </c>
      <c r="O304" s="105" t="s">
        <v>65</v>
      </c>
      <c r="P304" s="105">
        <v>0</v>
      </c>
      <c r="Q304" s="105" t="s">
        <v>670</v>
      </c>
      <c r="R304" s="105" t="s">
        <v>23</v>
      </c>
      <c r="S304" s="105" t="s">
        <v>671</v>
      </c>
      <c r="T304" s="105" t="s">
        <v>672</v>
      </c>
      <c r="U304" s="105" t="b">
        <v>1</v>
      </c>
      <c r="V304" s="105" t="s">
        <v>745</v>
      </c>
      <c r="W304" s="105" t="s">
        <v>746</v>
      </c>
      <c r="X304" s="105">
        <v>6</v>
      </c>
      <c r="Y304" s="105" t="b">
        <v>1</v>
      </c>
      <c r="Z304" s="105" t="s">
        <v>675</v>
      </c>
      <c r="AA304" s="105" t="s">
        <v>676</v>
      </c>
      <c r="AB304" s="105" t="s">
        <v>677</v>
      </c>
      <c r="AC304" s="105">
        <v>0</v>
      </c>
      <c r="AD304" s="105" t="s">
        <v>678</v>
      </c>
      <c r="AE304" s="105">
        <v>8</v>
      </c>
      <c r="AF304" s="105" t="s">
        <v>679</v>
      </c>
      <c r="AG304" s="105">
        <v>3274.4259999999999</v>
      </c>
      <c r="AH304" s="105" t="b">
        <v>1</v>
      </c>
      <c r="AI304" s="105">
        <v>-1</v>
      </c>
      <c r="AJ304" s="105" t="s">
        <v>680</v>
      </c>
      <c r="AK304" s="105">
        <v>0</v>
      </c>
      <c r="AL304" s="105" t="b">
        <v>0</v>
      </c>
      <c r="AM304" s="105">
        <v>3274.4259999999999</v>
      </c>
      <c r="AN304" s="105" t="b">
        <v>1</v>
      </c>
      <c r="AO304" s="105">
        <v>0</v>
      </c>
      <c r="AP304" s="105" t="b">
        <v>0</v>
      </c>
      <c r="AQ304" s="105">
        <v>15805.18</v>
      </c>
      <c r="AR304" s="105"/>
      <c r="AS304" s="105">
        <v>15805.18</v>
      </c>
      <c r="AT304" s="105">
        <v>6</v>
      </c>
      <c r="AU304" s="105" t="b">
        <v>1</v>
      </c>
      <c r="AV304" s="105" t="b">
        <v>0</v>
      </c>
    </row>
    <row r="305" spans="1:48" s="46" customFormat="1">
      <c r="A305" s="105" t="s">
        <v>510</v>
      </c>
      <c r="B305" s="105" t="s">
        <v>665</v>
      </c>
      <c r="C305" s="105" t="s">
        <v>666</v>
      </c>
      <c r="D305" s="105">
        <v>20240401</v>
      </c>
      <c r="E305" s="105">
        <v>2024</v>
      </c>
      <c r="F305" s="105">
        <v>4</v>
      </c>
      <c r="G305" s="105" t="s">
        <v>695</v>
      </c>
      <c r="H305" s="105">
        <v>818</v>
      </c>
      <c r="I305" s="105" t="s">
        <v>668</v>
      </c>
      <c r="J305" s="105" t="s">
        <v>57</v>
      </c>
      <c r="K305" s="105" t="s">
        <v>666</v>
      </c>
      <c r="L305" s="105" t="s">
        <v>669</v>
      </c>
      <c r="M305" s="105">
        <v>380</v>
      </c>
      <c r="N305" s="105" t="s">
        <v>689</v>
      </c>
      <c r="O305" s="105" t="s">
        <v>71</v>
      </c>
      <c r="P305" s="105">
        <v>0</v>
      </c>
      <c r="Q305" s="105" t="s">
        <v>670</v>
      </c>
      <c r="R305" s="105" t="s">
        <v>23</v>
      </c>
      <c r="S305" s="105" t="s">
        <v>671</v>
      </c>
      <c r="T305" s="105" t="s">
        <v>672</v>
      </c>
      <c r="U305" s="105" t="b">
        <v>1</v>
      </c>
      <c r="V305" s="105" t="s">
        <v>745</v>
      </c>
      <c r="W305" s="105" t="s">
        <v>746</v>
      </c>
      <c r="X305" s="105">
        <v>6</v>
      </c>
      <c r="Y305" s="105" t="b">
        <v>1</v>
      </c>
      <c r="Z305" s="105" t="s">
        <v>675</v>
      </c>
      <c r="AA305" s="105" t="s">
        <v>676</v>
      </c>
      <c r="AB305" s="105" t="s">
        <v>677</v>
      </c>
      <c r="AC305" s="105">
        <v>0</v>
      </c>
      <c r="AD305" s="105" t="s">
        <v>678</v>
      </c>
      <c r="AE305" s="105">
        <v>8</v>
      </c>
      <c r="AF305" s="105" t="s">
        <v>679</v>
      </c>
      <c r="AG305" s="105">
        <v>8587.9930000000004</v>
      </c>
      <c r="AH305" s="105" t="b">
        <v>1</v>
      </c>
      <c r="AI305" s="105">
        <v>-1</v>
      </c>
      <c r="AJ305" s="105" t="s">
        <v>680</v>
      </c>
      <c r="AK305" s="105">
        <v>0</v>
      </c>
      <c r="AL305" s="105" t="b">
        <v>0</v>
      </c>
      <c r="AM305" s="105">
        <v>8587.9930000000004</v>
      </c>
      <c r="AN305" s="105" t="b">
        <v>1</v>
      </c>
      <c r="AO305" s="105">
        <v>0</v>
      </c>
      <c r="AP305" s="105" t="b">
        <v>0</v>
      </c>
      <c r="AQ305" s="105">
        <v>41453.002</v>
      </c>
      <c r="AR305" s="105"/>
      <c r="AS305" s="105">
        <v>41453.002</v>
      </c>
      <c r="AT305" s="105">
        <v>6</v>
      </c>
      <c r="AU305" s="105" t="b">
        <v>1</v>
      </c>
      <c r="AV305" s="105" t="b">
        <v>0</v>
      </c>
    </row>
    <row r="306" spans="1:48" s="46" customFormat="1">
      <c r="A306" s="105" t="s">
        <v>510</v>
      </c>
      <c r="B306" s="105" t="s">
        <v>665</v>
      </c>
      <c r="C306" s="105" t="s">
        <v>666</v>
      </c>
      <c r="D306" s="105">
        <v>20240401</v>
      </c>
      <c r="E306" s="105">
        <v>2024</v>
      </c>
      <c r="F306" s="105">
        <v>4</v>
      </c>
      <c r="G306" s="105" t="s">
        <v>695</v>
      </c>
      <c r="H306" s="105">
        <v>818</v>
      </c>
      <c r="I306" s="105" t="s">
        <v>668</v>
      </c>
      <c r="J306" s="105" t="s">
        <v>57</v>
      </c>
      <c r="K306" s="105" t="s">
        <v>666</v>
      </c>
      <c r="L306" s="105" t="s">
        <v>669</v>
      </c>
      <c r="M306" s="105">
        <v>699</v>
      </c>
      <c r="N306" s="105" t="s">
        <v>748</v>
      </c>
      <c r="O306" s="105" t="s">
        <v>0</v>
      </c>
      <c r="P306" s="105">
        <v>0</v>
      </c>
      <c r="Q306" s="105" t="s">
        <v>670</v>
      </c>
      <c r="R306" s="105" t="s">
        <v>23</v>
      </c>
      <c r="S306" s="105" t="s">
        <v>671</v>
      </c>
      <c r="T306" s="105" t="s">
        <v>672</v>
      </c>
      <c r="U306" s="105" t="b">
        <v>1</v>
      </c>
      <c r="V306" s="105" t="s">
        <v>745</v>
      </c>
      <c r="W306" s="105" t="s">
        <v>746</v>
      </c>
      <c r="X306" s="105">
        <v>6</v>
      </c>
      <c r="Y306" s="105" t="b">
        <v>1</v>
      </c>
      <c r="Z306" s="105" t="s">
        <v>675</v>
      </c>
      <c r="AA306" s="105" t="s">
        <v>676</v>
      </c>
      <c r="AB306" s="105" t="s">
        <v>677</v>
      </c>
      <c r="AC306" s="105">
        <v>0</v>
      </c>
      <c r="AD306" s="105" t="s">
        <v>678</v>
      </c>
      <c r="AE306" s="105">
        <v>8</v>
      </c>
      <c r="AF306" s="105" t="s">
        <v>679</v>
      </c>
      <c r="AG306" s="105">
        <v>2176.69</v>
      </c>
      <c r="AH306" s="105" t="b">
        <v>1</v>
      </c>
      <c r="AI306" s="105">
        <v>-1</v>
      </c>
      <c r="AJ306" s="105" t="s">
        <v>680</v>
      </c>
      <c r="AK306" s="105">
        <v>0</v>
      </c>
      <c r="AL306" s="105" t="b">
        <v>0</v>
      </c>
      <c r="AM306" s="105">
        <v>2176.69</v>
      </c>
      <c r="AN306" s="105" t="b">
        <v>1</v>
      </c>
      <c r="AO306" s="105">
        <v>0</v>
      </c>
      <c r="AP306" s="105" t="b">
        <v>0</v>
      </c>
      <c r="AQ306" s="105">
        <v>10506.57</v>
      </c>
      <c r="AR306" s="105"/>
      <c r="AS306" s="105">
        <v>10506.57</v>
      </c>
      <c r="AT306" s="105">
        <v>6</v>
      </c>
      <c r="AU306" s="105" t="b">
        <v>1</v>
      </c>
      <c r="AV306" s="105" t="b">
        <v>0</v>
      </c>
    </row>
    <row r="307" spans="1:48" s="46" customFormat="1">
      <c r="A307" s="105" t="s">
        <v>510</v>
      </c>
      <c r="B307" s="105" t="s">
        <v>665</v>
      </c>
      <c r="C307" s="105" t="s">
        <v>666</v>
      </c>
      <c r="D307" s="105">
        <v>20240401</v>
      </c>
      <c r="E307" s="105">
        <v>2024</v>
      </c>
      <c r="F307" s="105">
        <v>4</v>
      </c>
      <c r="G307" s="105" t="s">
        <v>695</v>
      </c>
      <c r="H307" s="105">
        <v>818</v>
      </c>
      <c r="I307" s="105" t="s">
        <v>668</v>
      </c>
      <c r="J307" s="105" t="s">
        <v>57</v>
      </c>
      <c r="K307" s="105" t="s">
        <v>666</v>
      </c>
      <c r="L307" s="105" t="s">
        <v>669</v>
      </c>
      <c r="M307" s="105">
        <v>792</v>
      </c>
      <c r="N307" s="105" t="s">
        <v>691</v>
      </c>
      <c r="O307" s="105" t="s">
        <v>63</v>
      </c>
      <c r="P307" s="105">
        <v>0</v>
      </c>
      <c r="Q307" s="105" t="s">
        <v>670</v>
      </c>
      <c r="R307" s="105" t="s">
        <v>23</v>
      </c>
      <c r="S307" s="105" t="s">
        <v>671</v>
      </c>
      <c r="T307" s="105" t="s">
        <v>672</v>
      </c>
      <c r="U307" s="105" t="b">
        <v>1</v>
      </c>
      <c r="V307" s="105" t="s">
        <v>745</v>
      </c>
      <c r="W307" s="105" t="s">
        <v>746</v>
      </c>
      <c r="X307" s="105">
        <v>6</v>
      </c>
      <c r="Y307" s="105" t="b">
        <v>1</v>
      </c>
      <c r="Z307" s="105" t="s">
        <v>675</v>
      </c>
      <c r="AA307" s="105" t="s">
        <v>676</v>
      </c>
      <c r="AB307" s="105" t="s">
        <v>677</v>
      </c>
      <c r="AC307" s="105">
        <v>0</v>
      </c>
      <c r="AD307" s="105" t="s">
        <v>678</v>
      </c>
      <c r="AE307" s="105">
        <v>8</v>
      </c>
      <c r="AF307" s="105" t="s">
        <v>679</v>
      </c>
      <c r="AG307" s="105">
        <v>134.53899999999999</v>
      </c>
      <c r="AH307" s="105" t="b">
        <v>1</v>
      </c>
      <c r="AI307" s="105">
        <v>-1</v>
      </c>
      <c r="AJ307" s="105" t="s">
        <v>680</v>
      </c>
      <c r="AK307" s="105">
        <v>0</v>
      </c>
      <c r="AL307" s="105" t="b">
        <v>0</v>
      </c>
      <c r="AM307" s="105">
        <v>134.53899999999999</v>
      </c>
      <c r="AN307" s="105" t="b">
        <v>1</v>
      </c>
      <c r="AO307" s="105">
        <v>0</v>
      </c>
      <c r="AP307" s="105" t="b">
        <v>0</v>
      </c>
      <c r="AQ307" s="105">
        <v>649.4</v>
      </c>
      <c r="AR307" s="105"/>
      <c r="AS307" s="105">
        <v>649.4</v>
      </c>
      <c r="AT307" s="105">
        <v>6</v>
      </c>
      <c r="AU307" s="105" t="b">
        <v>1</v>
      </c>
      <c r="AV307" s="105" t="b">
        <v>0</v>
      </c>
    </row>
    <row r="308" spans="1:48" s="46" customFormat="1">
      <c r="A308" s="105" t="s">
        <v>510</v>
      </c>
      <c r="B308" s="105" t="s">
        <v>665</v>
      </c>
      <c r="C308" s="105" t="s">
        <v>666</v>
      </c>
      <c r="D308" s="105">
        <v>20240401</v>
      </c>
      <c r="E308" s="105">
        <v>2024</v>
      </c>
      <c r="F308" s="105">
        <v>4</v>
      </c>
      <c r="G308" s="105" t="s">
        <v>695</v>
      </c>
      <c r="H308" s="105">
        <v>818</v>
      </c>
      <c r="I308" s="105" t="s">
        <v>668</v>
      </c>
      <c r="J308" s="105" t="s">
        <v>57</v>
      </c>
      <c r="K308" s="105" t="s">
        <v>666</v>
      </c>
      <c r="L308" s="105" t="s">
        <v>669</v>
      </c>
      <c r="M308" s="105">
        <v>826</v>
      </c>
      <c r="N308" s="105" t="s">
        <v>685</v>
      </c>
      <c r="O308" s="105" t="s">
        <v>64</v>
      </c>
      <c r="P308" s="105">
        <v>0</v>
      </c>
      <c r="Q308" s="105" t="s">
        <v>670</v>
      </c>
      <c r="R308" s="105" t="s">
        <v>23</v>
      </c>
      <c r="S308" s="105" t="s">
        <v>671</v>
      </c>
      <c r="T308" s="105" t="s">
        <v>672</v>
      </c>
      <c r="U308" s="105" t="b">
        <v>1</v>
      </c>
      <c r="V308" s="105" t="s">
        <v>745</v>
      </c>
      <c r="W308" s="105" t="s">
        <v>746</v>
      </c>
      <c r="X308" s="105">
        <v>6</v>
      </c>
      <c r="Y308" s="105" t="b">
        <v>1</v>
      </c>
      <c r="Z308" s="105" t="s">
        <v>675</v>
      </c>
      <c r="AA308" s="105" t="s">
        <v>676</v>
      </c>
      <c r="AB308" s="105" t="s">
        <v>677</v>
      </c>
      <c r="AC308" s="105">
        <v>0</v>
      </c>
      <c r="AD308" s="105" t="s">
        <v>678</v>
      </c>
      <c r="AE308" s="105">
        <v>8</v>
      </c>
      <c r="AF308" s="105" t="s">
        <v>679</v>
      </c>
      <c r="AG308" s="105">
        <v>2845.3919999999998</v>
      </c>
      <c r="AH308" s="105" t="b">
        <v>1</v>
      </c>
      <c r="AI308" s="105">
        <v>-1</v>
      </c>
      <c r="AJ308" s="105" t="s">
        <v>680</v>
      </c>
      <c r="AK308" s="105">
        <v>0</v>
      </c>
      <c r="AL308" s="105" t="b">
        <v>0</v>
      </c>
      <c r="AM308" s="105">
        <v>2845.3919999999998</v>
      </c>
      <c r="AN308" s="105" t="b">
        <v>1</v>
      </c>
      <c r="AO308" s="105">
        <v>0</v>
      </c>
      <c r="AP308" s="105" t="b">
        <v>0</v>
      </c>
      <c r="AQ308" s="105">
        <v>13734.296</v>
      </c>
      <c r="AR308" s="105"/>
      <c r="AS308" s="105">
        <v>13734.296</v>
      </c>
      <c r="AT308" s="105">
        <v>6</v>
      </c>
      <c r="AU308" s="105" t="b">
        <v>1</v>
      </c>
      <c r="AV308" s="105" t="b">
        <v>0</v>
      </c>
    </row>
    <row r="309" spans="1:48" s="46" customFormat="1">
      <c r="A309" s="105" t="s">
        <v>510</v>
      </c>
      <c r="B309" s="105" t="s">
        <v>665</v>
      </c>
      <c r="C309" s="105" t="s">
        <v>666</v>
      </c>
      <c r="D309" s="105">
        <v>20240501</v>
      </c>
      <c r="E309" s="105">
        <v>2024</v>
      </c>
      <c r="F309" s="105">
        <v>5</v>
      </c>
      <c r="G309" s="105" t="s">
        <v>699</v>
      </c>
      <c r="H309" s="105">
        <v>818</v>
      </c>
      <c r="I309" s="105" t="s">
        <v>668</v>
      </c>
      <c r="J309" s="105" t="s">
        <v>57</v>
      </c>
      <c r="K309" s="105" t="s">
        <v>666</v>
      </c>
      <c r="L309" s="105" t="s">
        <v>669</v>
      </c>
      <c r="M309" s="105">
        <v>0</v>
      </c>
      <c r="N309" s="105" t="s">
        <v>670</v>
      </c>
      <c r="O309" s="105" t="s">
        <v>23</v>
      </c>
      <c r="P309" s="105">
        <v>0</v>
      </c>
      <c r="Q309" s="105" t="s">
        <v>670</v>
      </c>
      <c r="R309" s="105" t="s">
        <v>23</v>
      </c>
      <c r="S309" s="105" t="s">
        <v>671</v>
      </c>
      <c r="T309" s="105" t="s">
        <v>672</v>
      </c>
      <c r="U309" s="105" t="b">
        <v>1</v>
      </c>
      <c r="V309" s="105" t="s">
        <v>745</v>
      </c>
      <c r="W309" s="105" t="s">
        <v>746</v>
      </c>
      <c r="X309" s="105">
        <v>6</v>
      </c>
      <c r="Y309" s="105" t="b">
        <v>1</v>
      </c>
      <c r="Z309" s="105" t="s">
        <v>675</v>
      </c>
      <c r="AA309" s="105" t="s">
        <v>676</v>
      </c>
      <c r="AB309" s="105" t="s">
        <v>677</v>
      </c>
      <c r="AC309" s="105">
        <v>0</v>
      </c>
      <c r="AD309" s="105" t="s">
        <v>678</v>
      </c>
      <c r="AE309" s="105">
        <v>8</v>
      </c>
      <c r="AF309" s="105" t="s">
        <v>679</v>
      </c>
      <c r="AG309" s="105">
        <v>285614.56400000001</v>
      </c>
      <c r="AH309" s="105" t="b">
        <v>1</v>
      </c>
      <c r="AI309" s="105">
        <v>-1</v>
      </c>
      <c r="AJ309" s="105" t="s">
        <v>680</v>
      </c>
      <c r="AK309" s="105">
        <v>0</v>
      </c>
      <c r="AL309" s="105" t="b">
        <v>0</v>
      </c>
      <c r="AM309" s="105">
        <v>285614.56400000001</v>
      </c>
      <c r="AN309" s="105" t="b">
        <v>1</v>
      </c>
      <c r="AO309" s="105">
        <v>0</v>
      </c>
      <c r="AP309" s="105" t="b">
        <v>0</v>
      </c>
      <c r="AQ309" s="105">
        <v>1378620.2479999999</v>
      </c>
      <c r="AR309" s="105"/>
      <c r="AS309" s="105">
        <v>1378620.2479999999</v>
      </c>
      <c r="AT309" s="105">
        <v>6</v>
      </c>
      <c r="AU309" s="105" t="b">
        <v>0</v>
      </c>
      <c r="AV309" s="105" t="b">
        <v>1</v>
      </c>
    </row>
    <row r="310" spans="1:48" s="46" customFormat="1">
      <c r="A310" s="105" t="s">
        <v>510</v>
      </c>
      <c r="B310" s="105" t="s">
        <v>665</v>
      </c>
      <c r="C310" s="105" t="s">
        <v>666</v>
      </c>
      <c r="D310" s="105">
        <v>20240501</v>
      </c>
      <c r="E310" s="105">
        <v>2024</v>
      </c>
      <c r="F310" s="105">
        <v>5</v>
      </c>
      <c r="G310" s="105" t="s">
        <v>699</v>
      </c>
      <c r="H310" s="105">
        <v>818</v>
      </c>
      <c r="I310" s="105" t="s">
        <v>668</v>
      </c>
      <c r="J310" s="105" t="s">
        <v>57</v>
      </c>
      <c r="K310" s="105" t="s">
        <v>666</v>
      </c>
      <c r="L310" s="105" t="s">
        <v>669</v>
      </c>
      <c r="M310" s="105">
        <v>36</v>
      </c>
      <c r="N310" s="105" t="s">
        <v>765</v>
      </c>
      <c r="O310" s="105" t="s">
        <v>24</v>
      </c>
      <c r="P310" s="105">
        <v>0</v>
      </c>
      <c r="Q310" s="105" t="s">
        <v>670</v>
      </c>
      <c r="R310" s="105" t="s">
        <v>23</v>
      </c>
      <c r="S310" s="105" t="s">
        <v>671</v>
      </c>
      <c r="T310" s="105" t="s">
        <v>672</v>
      </c>
      <c r="U310" s="105" t="b">
        <v>1</v>
      </c>
      <c r="V310" s="105" t="s">
        <v>745</v>
      </c>
      <c r="W310" s="105" t="s">
        <v>746</v>
      </c>
      <c r="X310" s="105">
        <v>6</v>
      </c>
      <c r="Y310" s="105" t="b">
        <v>1</v>
      </c>
      <c r="Z310" s="105" t="s">
        <v>675</v>
      </c>
      <c r="AA310" s="105" t="s">
        <v>676</v>
      </c>
      <c r="AB310" s="105" t="s">
        <v>677</v>
      </c>
      <c r="AC310" s="105">
        <v>0</v>
      </c>
      <c r="AD310" s="105" t="s">
        <v>678</v>
      </c>
      <c r="AE310" s="105">
        <v>8</v>
      </c>
      <c r="AF310" s="105" t="s">
        <v>679</v>
      </c>
      <c r="AG310" s="105">
        <v>526.77599999999995</v>
      </c>
      <c r="AH310" s="105" t="b">
        <v>1</v>
      </c>
      <c r="AI310" s="105">
        <v>-1</v>
      </c>
      <c r="AJ310" s="105" t="s">
        <v>680</v>
      </c>
      <c r="AK310" s="105">
        <v>0</v>
      </c>
      <c r="AL310" s="105" t="b">
        <v>0</v>
      </c>
      <c r="AM310" s="105">
        <v>526.77599999999995</v>
      </c>
      <c r="AN310" s="105" t="b">
        <v>1</v>
      </c>
      <c r="AO310" s="105">
        <v>0</v>
      </c>
      <c r="AP310" s="105" t="b">
        <v>0</v>
      </c>
      <c r="AQ310" s="105">
        <v>2542.674</v>
      </c>
      <c r="AR310" s="105"/>
      <c r="AS310" s="105">
        <v>2542.674</v>
      </c>
      <c r="AT310" s="105">
        <v>6</v>
      </c>
      <c r="AU310" s="105" t="b">
        <v>1</v>
      </c>
      <c r="AV310" s="105" t="b">
        <v>0</v>
      </c>
    </row>
    <row r="311" spans="1:48" s="46" customFormat="1">
      <c r="A311" s="105" t="s">
        <v>510</v>
      </c>
      <c r="B311" s="105" t="s">
        <v>665</v>
      </c>
      <c r="C311" s="105" t="s">
        <v>666</v>
      </c>
      <c r="D311" s="105">
        <v>20240501</v>
      </c>
      <c r="E311" s="105">
        <v>2024</v>
      </c>
      <c r="F311" s="105">
        <v>5</v>
      </c>
      <c r="G311" s="105" t="s">
        <v>699</v>
      </c>
      <c r="H311" s="105">
        <v>818</v>
      </c>
      <c r="I311" s="105" t="s">
        <v>668</v>
      </c>
      <c r="J311" s="105" t="s">
        <v>57</v>
      </c>
      <c r="K311" s="105" t="s">
        <v>666</v>
      </c>
      <c r="L311" s="105" t="s">
        <v>669</v>
      </c>
      <c r="M311" s="105">
        <v>156</v>
      </c>
      <c r="N311" s="105" t="s">
        <v>711</v>
      </c>
      <c r="O311" s="105" t="s">
        <v>29</v>
      </c>
      <c r="P311" s="105">
        <v>0</v>
      </c>
      <c r="Q311" s="105" t="s">
        <v>670</v>
      </c>
      <c r="R311" s="105" t="s">
        <v>23</v>
      </c>
      <c r="S311" s="105" t="s">
        <v>671</v>
      </c>
      <c r="T311" s="105" t="s">
        <v>672</v>
      </c>
      <c r="U311" s="105" t="b">
        <v>1</v>
      </c>
      <c r="V311" s="105" t="s">
        <v>745</v>
      </c>
      <c r="W311" s="105" t="s">
        <v>746</v>
      </c>
      <c r="X311" s="105">
        <v>6</v>
      </c>
      <c r="Y311" s="105" t="b">
        <v>1</v>
      </c>
      <c r="Z311" s="105" t="s">
        <v>675</v>
      </c>
      <c r="AA311" s="105" t="s">
        <v>676</v>
      </c>
      <c r="AB311" s="105" t="s">
        <v>677</v>
      </c>
      <c r="AC311" s="105">
        <v>0</v>
      </c>
      <c r="AD311" s="105" t="s">
        <v>678</v>
      </c>
      <c r="AE311" s="105">
        <v>8</v>
      </c>
      <c r="AF311" s="105" t="s">
        <v>679</v>
      </c>
      <c r="AG311" s="105">
        <v>78871.192999999999</v>
      </c>
      <c r="AH311" s="105" t="b">
        <v>1</v>
      </c>
      <c r="AI311" s="105">
        <v>-1</v>
      </c>
      <c r="AJ311" s="105" t="s">
        <v>680</v>
      </c>
      <c r="AK311" s="105">
        <v>0</v>
      </c>
      <c r="AL311" s="105" t="b">
        <v>0</v>
      </c>
      <c r="AM311" s="105">
        <v>78871.192999999999</v>
      </c>
      <c r="AN311" s="105" t="b">
        <v>1</v>
      </c>
      <c r="AO311" s="105">
        <v>0</v>
      </c>
      <c r="AP311" s="105" t="b">
        <v>0</v>
      </c>
      <c r="AQ311" s="105">
        <v>380699.85700000002</v>
      </c>
      <c r="AR311" s="105"/>
      <c r="AS311" s="105">
        <v>380699.85700000002</v>
      </c>
      <c r="AT311" s="105">
        <v>6</v>
      </c>
      <c r="AU311" s="105" t="b">
        <v>1</v>
      </c>
      <c r="AV311" s="105" t="b">
        <v>0</v>
      </c>
    </row>
    <row r="312" spans="1:48" s="46" customFormat="1">
      <c r="A312" s="105" t="s">
        <v>510</v>
      </c>
      <c r="B312" s="105" t="s">
        <v>665</v>
      </c>
      <c r="C312" s="105" t="s">
        <v>666</v>
      </c>
      <c r="D312" s="105">
        <v>20240501</v>
      </c>
      <c r="E312" s="105">
        <v>2024</v>
      </c>
      <c r="F312" s="105">
        <v>5</v>
      </c>
      <c r="G312" s="105" t="s">
        <v>699</v>
      </c>
      <c r="H312" s="105">
        <v>818</v>
      </c>
      <c r="I312" s="105" t="s">
        <v>668</v>
      </c>
      <c r="J312" s="105" t="s">
        <v>57</v>
      </c>
      <c r="K312" s="105" t="s">
        <v>666</v>
      </c>
      <c r="L312" s="105" t="s">
        <v>669</v>
      </c>
      <c r="M312" s="105">
        <v>203</v>
      </c>
      <c r="N312" s="105" t="s">
        <v>752</v>
      </c>
      <c r="O312" s="105" t="s">
        <v>753</v>
      </c>
      <c r="P312" s="105">
        <v>0</v>
      </c>
      <c r="Q312" s="105" t="s">
        <v>670</v>
      </c>
      <c r="R312" s="105" t="s">
        <v>23</v>
      </c>
      <c r="S312" s="105" t="s">
        <v>671</v>
      </c>
      <c r="T312" s="105" t="s">
        <v>672</v>
      </c>
      <c r="U312" s="105" t="b">
        <v>1</v>
      </c>
      <c r="V312" s="105" t="s">
        <v>745</v>
      </c>
      <c r="W312" s="105" t="s">
        <v>746</v>
      </c>
      <c r="X312" s="105">
        <v>6</v>
      </c>
      <c r="Y312" s="105" t="b">
        <v>1</v>
      </c>
      <c r="Z312" s="105" t="s">
        <v>675</v>
      </c>
      <c r="AA312" s="105" t="s">
        <v>676</v>
      </c>
      <c r="AB312" s="105" t="s">
        <v>677</v>
      </c>
      <c r="AC312" s="105">
        <v>0</v>
      </c>
      <c r="AD312" s="105" t="s">
        <v>678</v>
      </c>
      <c r="AE312" s="105">
        <v>8</v>
      </c>
      <c r="AF312" s="105" t="s">
        <v>679</v>
      </c>
      <c r="AG312" s="105">
        <v>16532.463</v>
      </c>
      <c r="AH312" s="105" t="b">
        <v>1</v>
      </c>
      <c r="AI312" s="105">
        <v>-1</v>
      </c>
      <c r="AJ312" s="105" t="s">
        <v>680</v>
      </c>
      <c r="AK312" s="105">
        <v>0</v>
      </c>
      <c r="AL312" s="105" t="b">
        <v>0</v>
      </c>
      <c r="AM312" s="105">
        <v>16532.463</v>
      </c>
      <c r="AN312" s="105" t="b">
        <v>1</v>
      </c>
      <c r="AO312" s="105">
        <v>0</v>
      </c>
      <c r="AP312" s="105" t="b">
        <v>0</v>
      </c>
      <c r="AQ312" s="105">
        <v>79799.812999999995</v>
      </c>
      <c r="AR312" s="105"/>
      <c r="AS312" s="105">
        <v>79799.812999999995</v>
      </c>
      <c r="AT312" s="105">
        <v>6</v>
      </c>
      <c r="AU312" s="105" t="b">
        <v>1</v>
      </c>
      <c r="AV312" s="105" t="b">
        <v>0</v>
      </c>
    </row>
    <row r="313" spans="1:48" s="46" customFormat="1">
      <c r="A313" s="105" t="s">
        <v>510</v>
      </c>
      <c r="B313" s="105" t="s">
        <v>665</v>
      </c>
      <c r="C313" s="105" t="s">
        <v>666</v>
      </c>
      <c r="D313" s="105">
        <v>20240501</v>
      </c>
      <c r="E313" s="105">
        <v>2024</v>
      </c>
      <c r="F313" s="105">
        <v>5</v>
      </c>
      <c r="G313" s="105" t="s">
        <v>699</v>
      </c>
      <c r="H313" s="105">
        <v>818</v>
      </c>
      <c r="I313" s="105" t="s">
        <v>668</v>
      </c>
      <c r="J313" s="105" t="s">
        <v>57</v>
      </c>
      <c r="K313" s="105" t="s">
        <v>666</v>
      </c>
      <c r="L313" s="105" t="s">
        <v>669</v>
      </c>
      <c r="M313" s="105">
        <v>276</v>
      </c>
      <c r="N313" s="105" t="s">
        <v>681</v>
      </c>
      <c r="O313" s="105" t="s">
        <v>30</v>
      </c>
      <c r="P313" s="105">
        <v>0</v>
      </c>
      <c r="Q313" s="105" t="s">
        <v>670</v>
      </c>
      <c r="R313" s="105" t="s">
        <v>23</v>
      </c>
      <c r="S313" s="105" t="s">
        <v>671</v>
      </c>
      <c r="T313" s="105" t="s">
        <v>672</v>
      </c>
      <c r="U313" s="105" t="b">
        <v>1</v>
      </c>
      <c r="V313" s="105" t="s">
        <v>745</v>
      </c>
      <c r="W313" s="105" t="s">
        <v>746</v>
      </c>
      <c r="X313" s="105">
        <v>6</v>
      </c>
      <c r="Y313" s="105" t="b">
        <v>1</v>
      </c>
      <c r="Z313" s="105" t="s">
        <v>675</v>
      </c>
      <c r="AA313" s="105" t="s">
        <v>676</v>
      </c>
      <c r="AB313" s="105" t="s">
        <v>677</v>
      </c>
      <c r="AC313" s="105">
        <v>0</v>
      </c>
      <c r="AD313" s="105" t="s">
        <v>678</v>
      </c>
      <c r="AE313" s="105">
        <v>8</v>
      </c>
      <c r="AF313" s="105" t="s">
        <v>679</v>
      </c>
      <c r="AG313" s="105">
        <v>51812.373</v>
      </c>
      <c r="AH313" s="105" t="b">
        <v>1</v>
      </c>
      <c r="AI313" s="105">
        <v>-1</v>
      </c>
      <c r="AJ313" s="105" t="s">
        <v>680</v>
      </c>
      <c r="AK313" s="105">
        <v>0</v>
      </c>
      <c r="AL313" s="105" t="b">
        <v>0</v>
      </c>
      <c r="AM313" s="105">
        <v>51812.373</v>
      </c>
      <c r="AN313" s="105" t="b">
        <v>1</v>
      </c>
      <c r="AO313" s="105">
        <v>0</v>
      </c>
      <c r="AP313" s="105" t="b">
        <v>0</v>
      </c>
      <c r="AQ313" s="105">
        <v>250090.84099999999</v>
      </c>
      <c r="AR313" s="105"/>
      <c r="AS313" s="105">
        <v>250090.84099999999</v>
      </c>
      <c r="AT313" s="105">
        <v>6</v>
      </c>
      <c r="AU313" s="105" t="b">
        <v>1</v>
      </c>
      <c r="AV313" s="105" t="b">
        <v>0</v>
      </c>
    </row>
    <row r="314" spans="1:48" s="46" customFormat="1">
      <c r="A314" s="105" t="s">
        <v>510</v>
      </c>
      <c r="B314" s="105" t="s">
        <v>665</v>
      </c>
      <c r="C314" s="105" t="s">
        <v>666</v>
      </c>
      <c r="D314" s="105">
        <v>20240501</v>
      </c>
      <c r="E314" s="105">
        <v>2024</v>
      </c>
      <c r="F314" s="105">
        <v>5</v>
      </c>
      <c r="G314" s="105" t="s">
        <v>699</v>
      </c>
      <c r="H314" s="105">
        <v>818</v>
      </c>
      <c r="I314" s="105" t="s">
        <v>668</v>
      </c>
      <c r="J314" s="105" t="s">
        <v>57</v>
      </c>
      <c r="K314" s="105" t="s">
        <v>666</v>
      </c>
      <c r="L314" s="105" t="s">
        <v>669</v>
      </c>
      <c r="M314" s="105">
        <v>380</v>
      </c>
      <c r="N314" s="105" t="s">
        <v>689</v>
      </c>
      <c r="O314" s="105" t="s">
        <v>71</v>
      </c>
      <c r="P314" s="105">
        <v>0</v>
      </c>
      <c r="Q314" s="105" t="s">
        <v>670</v>
      </c>
      <c r="R314" s="105" t="s">
        <v>23</v>
      </c>
      <c r="S314" s="105" t="s">
        <v>671</v>
      </c>
      <c r="T314" s="105" t="s">
        <v>672</v>
      </c>
      <c r="U314" s="105" t="b">
        <v>1</v>
      </c>
      <c r="V314" s="105" t="s">
        <v>745</v>
      </c>
      <c r="W314" s="105" t="s">
        <v>746</v>
      </c>
      <c r="X314" s="105">
        <v>6</v>
      </c>
      <c r="Y314" s="105" t="b">
        <v>1</v>
      </c>
      <c r="Z314" s="105" t="s">
        <v>675</v>
      </c>
      <c r="AA314" s="105" t="s">
        <v>676</v>
      </c>
      <c r="AB314" s="105" t="s">
        <v>677</v>
      </c>
      <c r="AC314" s="105">
        <v>0</v>
      </c>
      <c r="AD314" s="105" t="s">
        <v>678</v>
      </c>
      <c r="AE314" s="105">
        <v>8</v>
      </c>
      <c r="AF314" s="105" t="s">
        <v>679</v>
      </c>
      <c r="AG314" s="105">
        <v>1298.915</v>
      </c>
      <c r="AH314" s="105" t="b">
        <v>1</v>
      </c>
      <c r="AI314" s="105">
        <v>-1</v>
      </c>
      <c r="AJ314" s="105" t="s">
        <v>680</v>
      </c>
      <c r="AK314" s="105">
        <v>0</v>
      </c>
      <c r="AL314" s="105" t="b">
        <v>0</v>
      </c>
      <c r="AM314" s="105">
        <v>1298.915</v>
      </c>
      <c r="AN314" s="105" t="b">
        <v>1</v>
      </c>
      <c r="AO314" s="105">
        <v>0</v>
      </c>
      <c r="AP314" s="105" t="b">
        <v>0</v>
      </c>
      <c r="AQ314" s="105">
        <v>6269.6760000000004</v>
      </c>
      <c r="AR314" s="105"/>
      <c r="AS314" s="105">
        <v>6269.6760000000004</v>
      </c>
      <c r="AT314" s="105">
        <v>6</v>
      </c>
      <c r="AU314" s="105" t="b">
        <v>1</v>
      </c>
      <c r="AV314" s="105" t="b">
        <v>0</v>
      </c>
    </row>
    <row r="315" spans="1:48" s="46" customFormat="1">
      <c r="A315" s="105" t="s">
        <v>510</v>
      </c>
      <c r="B315" s="105" t="s">
        <v>665</v>
      </c>
      <c r="C315" s="105" t="s">
        <v>666</v>
      </c>
      <c r="D315" s="105">
        <v>20240501</v>
      </c>
      <c r="E315" s="105">
        <v>2024</v>
      </c>
      <c r="F315" s="105">
        <v>5</v>
      </c>
      <c r="G315" s="105" t="s">
        <v>699</v>
      </c>
      <c r="H315" s="105">
        <v>818</v>
      </c>
      <c r="I315" s="105" t="s">
        <v>668</v>
      </c>
      <c r="J315" s="105" t="s">
        <v>57</v>
      </c>
      <c r="K315" s="105" t="s">
        <v>666</v>
      </c>
      <c r="L315" s="105" t="s">
        <v>669</v>
      </c>
      <c r="M315" s="105">
        <v>392</v>
      </c>
      <c r="N315" s="105" t="s">
        <v>747</v>
      </c>
      <c r="O315" s="105" t="s">
        <v>32</v>
      </c>
      <c r="P315" s="105">
        <v>0</v>
      </c>
      <c r="Q315" s="105" t="s">
        <v>670</v>
      </c>
      <c r="R315" s="105" t="s">
        <v>23</v>
      </c>
      <c r="S315" s="105" t="s">
        <v>671</v>
      </c>
      <c r="T315" s="105" t="s">
        <v>672</v>
      </c>
      <c r="U315" s="105" t="b">
        <v>1</v>
      </c>
      <c r="V315" s="105" t="s">
        <v>745</v>
      </c>
      <c r="W315" s="105" t="s">
        <v>746</v>
      </c>
      <c r="X315" s="105">
        <v>6</v>
      </c>
      <c r="Y315" s="105" t="b">
        <v>1</v>
      </c>
      <c r="Z315" s="105" t="s">
        <v>675</v>
      </c>
      <c r="AA315" s="105" t="s">
        <v>676</v>
      </c>
      <c r="AB315" s="105" t="s">
        <v>677</v>
      </c>
      <c r="AC315" s="105">
        <v>0</v>
      </c>
      <c r="AD315" s="105" t="s">
        <v>678</v>
      </c>
      <c r="AE315" s="105">
        <v>8</v>
      </c>
      <c r="AF315" s="105" t="s">
        <v>679</v>
      </c>
      <c r="AG315" s="105">
        <v>39767.019</v>
      </c>
      <c r="AH315" s="105" t="b">
        <v>1</v>
      </c>
      <c r="AI315" s="105">
        <v>-1</v>
      </c>
      <c r="AJ315" s="105" t="s">
        <v>680</v>
      </c>
      <c r="AK315" s="105">
        <v>0</v>
      </c>
      <c r="AL315" s="105" t="b">
        <v>0</v>
      </c>
      <c r="AM315" s="105">
        <v>39767.019</v>
      </c>
      <c r="AN315" s="105" t="b">
        <v>1</v>
      </c>
      <c r="AO315" s="105">
        <v>0</v>
      </c>
      <c r="AP315" s="105" t="b">
        <v>0</v>
      </c>
      <c r="AQ315" s="105">
        <v>191949.65599999999</v>
      </c>
      <c r="AR315" s="105"/>
      <c r="AS315" s="105">
        <v>191949.65599999999</v>
      </c>
      <c r="AT315" s="105">
        <v>6</v>
      </c>
      <c r="AU315" s="105" t="b">
        <v>1</v>
      </c>
      <c r="AV315" s="105" t="b">
        <v>0</v>
      </c>
    </row>
    <row r="316" spans="1:48" s="46" customFormat="1">
      <c r="A316" s="105" t="s">
        <v>510</v>
      </c>
      <c r="B316" s="105" t="s">
        <v>665</v>
      </c>
      <c r="C316" s="105" t="s">
        <v>666</v>
      </c>
      <c r="D316" s="105">
        <v>20240501</v>
      </c>
      <c r="E316" s="105">
        <v>2024</v>
      </c>
      <c r="F316" s="105">
        <v>5</v>
      </c>
      <c r="G316" s="105" t="s">
        <v>699</v>
      </c>
      <c r="H316" s="105">
        <v>818</v>
      </c>
      <c r="I316" s="105" t="s">
        <v>668</v>
      </c>
      <c r="J316" s="105" t="s">
        <v>57</v>
      </c>
      <c r="K316" s="105" t="s">
        <v>666</v>
      </c>
      <c r="L316" s="105" t="s">
        <v>669</v>
      </c>
      <c r="M316" s="105">
        <v>442</v>
      </c>
      <c r="N316" s="105" t="s">
        <v>759</v>
      </c>
      <c r="O316" s="105" t="s">
        <v>89</v>
      </c>
      <c r="P316" s="105">
        <v>0</v>
      </c>
      <c r="Q316" s="105" t="s">
        <v>670</v>
      </c>
      <c r="R316" s="105" t="s">
        <v>23</v>
      </c>
      <c r="S316" s="105" t="s">
        <v>671</v>
      </c>
      <c r="T316" s="105" t="s">
        <v>672</v>
      </c>
      <c r="U316" s="105" t="b">
        <v>1</v>
      </c>
      <c r="V316" s="105" t="s">
        <v>745</v>
      </c>
      <c r="W316" s="105" t="s">
        <v>746</v>
      </c>
      <c r="X316" s="105">
        <v>6</v>
      </c>
      <c r="Y316" s="105" t="b">
        <v>1</v>
      </c>
      <c r="Z316" s="105" t="s">
        <v>675</v>
      </c>
      <c r="AA316" s="105" t="s">
        <v>676</v>
      </c>
      <c r="AB316" s="105" t="s">
        <v>677</v>
      </c>
      <c r="AC316" s="105">
        <v>0</v>
      </c>
      <c r="AD316" s="105" t="s">
        <v>678</v>
      </c>
      <c r="AE316" s="105">
        <v>8</v>
      </c>
      <c r="AF316" s="105" t="s">
        <v>679</v>
      </c>
      <c r="AG316" s="105">
        <v>6275.3090000000002</v>
      </c>
      <c r="AH316" s="105" t="b">
        <v>1</v>
      </c>
      <c r="AI316" s="105">
        <v>-1</v>
      </c>
      <c r="AJ316" s="105" t="s">
        <v>680</v>
      </c>
      <c r="AK316" s="105">
        <v>0</v>
      </c>
      <c r="AL316" s="105" t="b">
        <v>0</v>
      </c>
      <c r="AM316" s="105">
        <v>6275.3090000000002</v>
      </c>
      <c r="AN316" s="105" t="b">
        <v>1</v>
      </c>
      <c r="AO316" s="105">
        <v>0</v>
      </c>
      <c r="AP316" s="105" t="b">
        <v>0</v>
      </c>
      <c r="AQ316" s="105">
        <v>30290.01</v>
      </c>
      <c r="AR316" s="105"/>
      <c r="AS316" s="105">
        <v>30290.01</v>
      </c>
      <c r="AT316" s="105">
        <v>6</v>
      </c>
      <c r="AU316" s="105" t="b">
        <v>1</v>
      </c>
      <c r="AV316" s="105" t="b">
        <v>0</v>
      </c>
    </row>
    <row r="317" spans="1:48" s="46" customFormat="1">
      <c r="A317" s="105" t="s">
        <v>510</v>
      </c>
      <c r="B317" s="105" t="s">
        <v>665</v>
      </c>
      <c r="C317" s="105" t="s">
        <v>666</v>
      </c>
      <c r="D317" s="105">
        <v>20240501</v>
      </c>
      <c r="E317" s="105">
        <v>2024</v>
      </c>
      <c r="F317" s="105">
        <v>5</v>
      </c>
      <c r="G317" s="105" t="s">
        <v>699</v>
      </c>
      <c r="H317" s="105">
        <v>818</v>
      </c>
      <c r="I317" s="105" t="s">
        <v>668</v>
      </c>
      <c r="J317" s="105" t="s">
        <v>57</v>
      </c>
      <c r="K317" s="105" t="s">
        <v>666</v>
      </c>
      <c r="L317" s="105" t="s">
        <v>669</v>
      </c>
      <c r="M317" s="105">
        <v>682</v>
      </c>
      <c r="N317" s="105" t="s">
        <v>758</v>
      </c>
      <c r="O317" s="105" t="s">
        <v>39</v>
      </c>
      <c r="P317" s="105">
        <v>0</v>
      </c>
      <c r="Q317" s="105" t="s">
        <v>670</v>
      </c>
      <c r="R317" s="105" t="s">
        <v>23</v>
      </c>
      <c r="S317" s="105" t="s">
        <v>671</v>
      </c>
      <c r="T317" s="105" t="s">
        <v>672</v>
      </c>
      <c r="U317" s="105" t="b">
        <v>1</v>
      </c>
      <c r="V317" s="105" t="s">
        <v>745</v>
      </c>
      <c r="W317" s="105" t="s">
        <v>746</v>
      </c>
      <c r="X317" s="105">
        <v>6</v>
      </c>
      <c r="Y317" s="105" t="b">
        <v>1</v>
      </c>
      <c r="Z317" s="105" t="s">
        <v>675</v>
      </c>
      <c r="AA317" s="105" t="s">
        <v>676</v>
      </c>
      <c r="AB317" s="105" t="s">
        <v>677</v>
      </c>
      <c r="AC317" s="105">
        <v>0</v>
      </c>
      <c r="AD317" s="105" t="s">
        <v>678</v>
      </c>
      <c r="AE317" s="105">
        <v>8</v>
      </c>
      <c r="AF317" s="105" t="s">
        <v>679</v>
      </c>
      <c r="AG317" s="105">
        <v>3429.627</v>
      </c>
      <c r="AH317" s="105" t="b">
        <v>1</v>
      </c>
      <c r="AI317" s="105">
        <v>-1</v>
      </c>
      <c r="AJ317" s="105" t="s">
        <v>680</v>
      </c>
      <c r="AK317" s="105">
        <v>0</v>
      </c>
      <c r="AL317" s="105" t="b">
        <v>0</v>
      </c>
      <c r="AM317" s="105">
        <v>3429.627</v>
      </c>
      <c r="AN317" s="105" t="b">
        <v>1</v>
      </c>
      <c r="AO317" s="105">
        <v>0</v>
      </c>
      <c r="AP317" s="105" t="b">
        <v>0</v>
      </c>
      <c r="AQ317" s="105">
        <v>16554.312999999998</v>
      </c>
      <c r="AR317" s="105"/>
      <c r="AS317" s="105">
        <v>16554.312999999998</v>
      </c>
      <c r="AT317" s="105">
        <v>6</v>
      </c>
      <c r="AU317" s="105" t="b">
        <v>1</v>
      </c>
      <c r="AV317" s="105" t="b">
        <v>0</v>
      </c>
    </row>
    <row r="318" spans="1:48" s="46" customFormat="1">
      <c r="A318" s="105" t="s">
        <v>510</v>
      </c>
      <c r="B318" s="105" t="s">
        <v>665</v>
      </c>
      <c r="C318" s="105" t="s">
        <v>666</v>
      </c>
      <c r="D318" s="105">
        <v>20240501</v>
      </c>
      <c r="E318" s="105">
        <v>2024</v>
      </c>
      <c r="F318" s="105">
        <v>5</v>
      </c>
      <c r="G318" s="105" t="s">
        <v>699</v>
      </c>
      <c r="H318" s="105">
        <v>818</v>
      </c>
      <c r="I318" s="105" t="s">
        <v>668</v>
      </c>
      <c r="J318" s="105" t="s">
        <v>57</v>
      </c>
      <c r="K318" s="105" t="s">
        <v>666</v>
      </c>
      <c r="L318" s="105" t="s">
        <v>669</v>
      </c>
      <c r="M318" s="105">
        <v>699</v>
      </c>
      <c r="N318" s="105" t="s">
        <v>748</v>
      </c>
      <c r="O318" s="105" t="s">
        <v>0</v>
      </c>
      <c r="P318" s="105">
        <v>0</v>
      </c>
      <c r="Q318" s="105" t="s">
        <v>670</v>
      </c>
      <c r="R318" s="105" t="s">
        <v>23</v>
      </c>
      <c r="S318" s="105" t="s">
        <v>671</v>
      </c>
      <c r="T318" s="105" t="s">
        <v>672</v>
      </c>
      <c r="U318" s="105" t="b">
        <v>1</v>
      </c>
      <c r="V318" s="105" t="s">
        <v>745</v>
      </c>
      <c r="W318" s="105" t="s">
        <v>746</v>
      </c>
      <c r="X318" s="105">
        <v>6</v>
      </c>
      <c r="Y318" s="105" t="b">
        <v>1</v>
      </c>
      <c r="Z318" s="105" t="s">
        <v>675</v>
      </c>
      <c r="AA318" s="105" t="s">
        <v>676</v>
      </c>
      <c r="AB318" s="105" t="s">
        <v>677</v>
      </c>
      <c r="AC318" s="105">
        <v>0</v>
      </c>
      <c r="AD318" s="105" t="s">
        <v>678</v>
      </c>
      <c r="AE318" s="105">
        <v>8</v>
      </c>
      <c r="AF318" s="105" t="s">
        <v>679</v>
      </c>
      <c r="AG318" s="105">
        <v>37284.186000000002</v>
      </c>
      <c r="AH318" s="105" t="b">
        <v>1</v>
      </c>
      <c r="AI318" s="105">
        <v>-1</v>
      </c>
      <c r="AJ318" s="105" t="s">
        <v>680</v>
      </c>
      <c r="AK318" s="105">
        <v>0</v>
      </c>
      <c r="AL318" s="105" t="b">
        <v>0</v>
      </c>
      <c r="AM318" s="105">
        <v>37284.186000000002</v>
      </c>
      <c r="AN318" s="105" t="b">
        <v>1</v>
      </c>
      <c r="AO318" s="105">
        <v>0</v>
      </c>
      <c r="AP318" s="105" t="b">
        <v>0</v>
      </c>
      <c r="AQ318" s="105">
        <v>179965.38099999999</v>
      </c>
      <c r="AR318" s="105"/>
      <c r="AS318" s="105">
        <v>179965.38099999999</v>
      </c>
      <c r="AT318" s="105">
        <v>6</v>
      </c>
      <c r="AU318" s="105" t="b">
        <v>1</v>
      </c>
      <c r="AV318" s="105" t="b">
        <v>0</v>
      </c>
    </row>
    <row r="319" spans="1:48" s="46" customFormat="1">
      <c r="A319" s="105" t="s">
        <v>510</v>
      </c>
      <c r="B319" s="105" t="s">
        <v>665</v>
      </c>
      <c r="C319" s="105" t="s">
        <v>666</v>
      </c>
      <c r="D319" s="105">
        <v>20240501</v>
      </c>
      <c r="E319" s="105">
        <v>2024</v>
      </c>
      <c r="F319" s="105">
        <v>5</v>
      </c>
      <c r="G319" s="105" t="s">
        <v>699</v>
      </c>
      <c r="H319" s="105">
        <v>818</v>
      </c>
      <c r="I319" s="105" t="s">
        <v>668</v>
      </c>
      <c r="J319" s="105" t="s">
        <v>57</v>
      </c>
      <c r="K319" s="105" t="s">
        <v>666</v>
      </c>
      <c r="L319" s="105" t="s">
        <v>669</v>
      </c>
      <c r="M319" s="105">
        <v>764</v>
      </c>
      <c r="N319" s="105" t="s">
        <v>749</v>
      </c>
      <c r="O319" s="105" t="s">
        <v>55</v>
      </c>
      <c r="P319" s="105">
        <v>0</v>
      </c>
      <c r="Q319" s="105" t="s">
        <v>670</v>
      </c>
      <c r="R319" s="105" t="s">
        <v>23</v>
      </c>
      <c r="S319" s="105" t="s">
        <v>671</v>
      </c>
      <c r="T319" s="105" t="s">
        <v>672</v>
      </c>
      <c r="U319" s="105" t="b">
        <v>1</v>
      </c>
      <c r="V319" s="105" t="s">
        <v>745</v>
      </c>
      <c r="W319" s="105" t="s">
        <v>746</v>
      </c>
      <c r="X319" s="105">
        <v>6</v>
      </c>
      <c r="Y319" s="105" t="b">
        <v>1</v>
      </c>
      <c r="Z319" s="105" t="s">
        <v>675</v>
      </c>
      <c r="AA319" s="105" t="s">
        <v>676</v>
      </c>
      <c r="AB319" s="105" t="s">
        <v>677</v>
      </c>
      <c r="AC319" s="105">
        <v>0</v>
      </c>
      <c r="AD319" s="105" t="s">
        <v>678</v>
      </c>
      <c r="AE319" s="105">
        <v>8</v>
      </c>
      <c r="AF319" s="105" t="s">
        <v>679</v>
      </c>
      <c r="AG319" s="105">
        <v>15146.468000000001</v>
      </c>
      <c r="AH319" s="105" t="b">
        <v>1</v>
      </c>
      <c r="AI319" s="105">
        <v>-1</v>
      </c>
      <c r="AJ319" s="105" t="s">
        <v>680</v>
      </c>
      <c r="AK319" s="105">
        <v>0</v>
      </c>
      <c r="AL319" s="105" t="b">
        <v>0</v>
      </c>
      <c r="AM319" s="105">
        <v>15146.468000000001</v>
      </c>
      <c r="AN319" s="105" t="b">
        <v>1</v>
      </c>
      <c r="AO319" s="105">
        <v>0</v>
      </c>
      <c r="AP319" s="105" t="b">
        <v>0</v>
      </c>
      <c r="AQ319" s="105">
        <v>73109.812999999995</v>
      </c>
      <c r="AR319" s="105"/>
      <c r="AS319" s="105">
        <v>73109.812999999995</v>
      </c>
      <c r="AT319" s="105">
        <v>6</v>
      </c>
      <c r="AU319" s="105" t="b">
        <v>1</v>
      </c>
      <c r="AV319" s="105" t="b">
        <v>0</v>
      </c>
    </row>
    <row r="320" spans="1:48" s="46" customFormat="1">
      <c r="A320" s="105" t="s">
        <v>510</v>
      </c>
      <c r="B320" s="105" t="s">
        <v>665</v>
      </c>
      <c r="C320" s="105" t="s">
        <v>666</v>
      </c>
      <c r="D320" s="105">
        <v>20240501</v>
      </c>
      <c r="E320" s="105">
        <v>2024</v>
      </c>
      <c r="F320" s="105">
        <v>5</v>
      </c>
      <c r="G320" s="105" t="s">
        <v>699</v>
      </c>
      <c r="H320" s="105">
        <v>818</v>
      </c>
      <c r="I320" s="105" t="s">
        <v>668</v>
      </c>
      <c r="J320" s="105" t="s">
        <v>57</v>
      </c>
      <c r="K320" s="105" t="s">
        <v>666</v>
      </c>
      <c r="L320" s="105" t="s">
        <v>669</v>
      </c>
      <c r="M320" s="105">
        <v>792</v>
      </c>
      <c r="N320" s="105" t="s">
        <v>691</v>
      </c>
      <c r="O320" s="105" t="s">
        <v>63</v>
      </c>
      <c r="P320" s="105">
        <v>0</v>
      </c>
      <c r="Q320" s="105" t="s">
        <v>670</v>
      </c>
      <c r="R320" s="105" t="s">
        <v>23</v>
      </c>
      <c r="S320" s="105" t="s">
        <v>671</v>
      </c>
      <c r="T320" s="105" t="s">
        <v>672</v>
      </c>
      <c r="U320" s="105" t="b">
        <v>1</v>
      </c>
      <c r="V320" s="105" t="s">
        <v>745</v>
      </c>
      <c r="W320" s="105" t="s">
        <v>746</v>
      </c>
      <c r="X320" s="105">
        <v>6</v>
      </c>
      <c r="Y320" s="105" t="b">
        <v>1</v>
      </c>
      <c r="Z320" s="105" t="s">
        <v>675</v>
      </c>
      <c r="AA320" s="105" t="s">
        <v>676</v>
      </c>
      <c r="AB320" s="105" t="s">
        <v>677</v>
      </c>
      <c r="AC320" s="105">
        <v>0</v>
      </c>
      <c r="AD320" s="105" t="s">
        <v>678</v>
      </c>
      <c r="AE320" s="105">
        <v>8</v>
      </c>
      <c r="AF320" s="105" t="s">
        <v>679</v>
      </c>
      <c r="AG320" s="105">
        <v>2431.59</v>
      </c>
      <c r="AH320" s="105" t="b">
        <v>1</v>
      </c>
      <c r="AI320" s="105">
        <v>-1</v>
      </c>
      <c r="AJ320" s="105" t="s">
        <v>680</v>
      </c>
      <c r="AK320" s="105">
        <v>0</v>
      </c>
      <c r="AL320" s="105" t="b">
        <v>0</v>
      </c>
      <c r="AM320" s="105">
        <v>2431.59</v>
      </c>
      <c r="AN320" s="105" t="b">
        <v>1</v>
      </c>
      <c r="AO320" s="105">
        <v>0</v>
      </c>
      <c r="AP320" s="105" t="b">
        <v>0</v>
      </c>
      <c r="AQ320" s="105">
        <v>11736.933000000001</v>
      </c>
      <c r="AR320" s="105"/>
      <c r="AS320" s="105">
        <v>11736.933000000001</v>
      </c>
      <c r="AT320" s="105">
        <v>6</v>
      </c>
      <c r="AU320" s="105" t="b">
        <v>1</v>
      </c>
      <c r="AV320" s="105" t="b">
        <v>0</v>
      </c>
    </row>
    <row r="321" spans="1:48" s="46" customFormat="1">
      <c r="A321" s="105" t="s">
        <v>510</v>
      </c>
      <c r="B321" s="105" t="s">
        <v>665</v>
      </c>
      <c r="C321" s="105" t="s">
        <v>666</v>
      </c>
      <c r="D321" s="105">
        <v>20240501</v>
      </c>
      <c r="E321" s="105">
        <v>2024</v>
      </c>
      <c r="F321" s="105">
        <v>5</v>
      </c>
      <c r="G321" s="105" t="s">
        <v>699</v>
      </c>
      <c r="H321" s="105">
        <v>818</v>
      </c>
      <c r="I321" s="105" t="s">
        <v>668</v>
      </c>
      <c r="J321" s="105" t="s">
        <v>57</v>
      </c>
      <c r="K321" s="105" t="s">
        <v>666</v>
      </c>
      <c r="L321" s="105" t="s">
        <v>669</v>
      </c>
      <c r="M321" s="105">
        <v>826</v>
      </c>
      <c r="N321" s="105" t="s">
        <v>685</v>
      </c>
      <c r="O321" s="105" t="s">
        <v>64</v>
      </c>
      <c r="P321" s="105">
        <v>0</v>
      </c>
      <c r="Q321" s="105" t="s">
        <v>670</v>
      </c>
      <c r="R321" s="105" t="s">
        <v>23</v>
      </c>
      <c r="S321" s="105" t="s">
        <v>671</v>
      </c>
      <c r="T321" s="105" t="s">
        <v>672</v>
      </c>
      <c r="U321" s="105" t="b">
        <v>1</v>
      </c>
      <c r="V321" s="105" t="s">
        <v>745</v>
      </c>
      <c r="W321" s="105" t="s">
        <v>746</v>
      </c>
      <c r="X321" s="105">
        <v>6</v>
      </c>
      <c r="Y321" s="105" t="b">
        <v>1</v>
      </c>
      <c r="Z321" s="105" t="s">
        <v>675</v>
      </c>
      <c r="AA321" s="105" t="s">
        <v>676</v>
      </c>
      <c r="AB321" s="105" t="s">
        <v>677</v>
      </c>
      <c r="AC321" s="105">
        <v>0</v>
      </c>
      <c r="AD321" s="105" t="s">
        <v>678</v>
      </c>
      <c r="AE321" s="105">
        <v>8</v>
      </c>
      <c r="AF321" s="105" t="s">
        <v>679</v>
      </c>
      <c r="AG321" s="105">
        <v>6260.2259999999997</v>
      </c>
      <c r="AH321" s="105" t="b">
        <v>1</v>
      </c>
      <c r="AI321" s="105">
        <v>-1</v>
      </c>
      <c r="AJ321" s="105" t="s">
        <v>680</v>
      </c>
      <c r="AK321" s="105">
        <v>0</v>
      </c>
      <c r="AL321" s="105" t="b">
        <v>0</v>
      </c>
      <c r="AM321" s="105">
        <v>6260.2259999999997</v>
      </c>
      <c r="AN321" s="105" t="b">
        <v>1</v>
      </c>
      <c r="AO321" s="105">
        <v>0</v>
      </c>
      <c r="AP321" s="105" t="b">
        <v>0</v>
      </c>
      <c r="AQ321" s="105">
        <v>30217.205999999998</v>
      </c>
      <c r="AR321" s="105"/>
      <c r="AS321" s="105">
        <v>30217.205999999998</v>
      </c>
      <c r="AT321" s="105">
        <v>6</v>
      </c>
      <c r="AU321" s="105" t="b">
        <v>1</v>
      </c>
      <c r="AV321" s="105" t="b">
        <v>0</v>
      </c>
    </row>
    <row r="322" spans="1:48" s="46" customFormat="1">
      <c r="A322" s="105" t="s">
        <v>510</v>
      </c>
      <c r="B322" s="105" t="s">
        <v>665</v>
      </c>
      <c r="C322" s="105" t="s">
        <v>666</v>
      </c>
      <c r="D322" s="105">
        <v>20240501</v>
      </c>
      <c r="E322" s="105">
        <v>2024</v>
      </c>
      <c r="F322" s="105">
        <v>5</v>
      </c>
      <c r="G322" s="105" t="s">
        <v>699</v>
      </c>
      <c r="H322" s="105">
        <v>818</v>
      </c>
      <c r="I322" s="105" t="s">
        <v>668</v>
      </c>
      <c r="J322" s="105" t="s">
        <v>57</v>
      </c>
      <c r="K322" s="105" t="s">
        <v>666</v>
      </c>
      <c r="L322" s="105" t="s">
        <v>669</v>
      </c>
      <c r="M322" s="105">
        <v>842</v>
      </c>
      <c r="N322" s="105" t="s">
        <v>713</v>
      </c>
      <c r="O322" s="105" t="s">
        <v>713</v>
      </c>
      <c r="P322" s="105">
        <v>0</v>
      </c>
      <c r="Q322" s="105" t="s">
        <v>670</v>
      </c>
      <c r="R322" s="105" t="s">
        <v>23</v>
      </c>
      <c r="S322" s="105" t="s">
        <v>671</v>
      </c>
      <c r="T322" s="105" t="s">
        <v>672</v>
      </c>
      <c r="U322" s="105" t="b">
        <v>1</v>
      </c>
      <c r="V322" s="105" t="s">
        <v>745</v>
      </c>
      <c r="W322" s="105" t="s">
        <v>746</v>
      </c>
      <c r="X322" s="105">
        <v>6</v>
      </c>
      <c r="Y322" s="105" t="b">
        <v>1</v>
      </c>
      <c r="Z322" s="105" t="s">
        <v>675</v>
      </c>
      <c r="AA322" s="105" t="s">
        <v>676</v>
      </c>
      <c r="AB322" s="105" t="s">
        <v>677</v>
      </c>
      <c r="AC322" s="105">
        <v>0</v>
      </c>
      <c r="AD322" s="105" t="s">
        <v>678</v>
      </c>
      <c r="AE322" s="105">
        <v>8</v>
      </c>
      <c r="AF322" s="105" t="s">
        <v>679</v>
      </c>
      <c r="AG322" s="105">
        <v>25978.419000000002</v>
      </c>
      <c r="AH322" s="105" t="b">
        <v>1</v>
      </c>
      <c r="AI322" s="105">
        <v>-1</v>
      </c>
      <c r="AJ322" s="105" t="s">
        <v>680</v>
      </c>
      <c r="AK322" s="105">
        <v>0</v>
      </c>
      <c r="AL322" s="105" t="b">
        <v>0</v>
      </c>
      <c r="AM322" s="105">
        <v>25978.419000000002</v>
      </c>
      <c r="AN322" s="105" t="b">
        <v>1</v>
      </c>
      <c r="AO322" s="105">
        <v>0</v>
      </c>
      <c r="AP322" s="105" t="b">
        <v>0</v>
      </c>
      <c r="AQ322" s="105">
        <v>125394.07799999999</v>
      </c>
      <c r="AR322" s="105"/>
      <c r="AS322" s="105">
        <v>125394.07799999999</v>
      </c>
      <c r="AT322" s="105">
        <v>6</v>
      </c>
      <c r="AU322" s="105" t="b">
        <v>1</v>
      </c>
      <c r="AV322" s="105" t="b">
        <v>0</v>
      </c>
    </row>
    <row r="323" spans="1:48" s="46" customFormat="1">
      <c r="A323" s="105" t="s">
        <v>510</v>
      </c>
      <c r="B323" s="105" t="s">
        <v>665</v>
      </c>
      <c r="C323" s="105" t="s">
        <v>666</v>
      </c>
      <c r="D323" s="105">
        <v>20240501</v>
      </c>
      <c r="E323" s="105">
        <v>2024</v>
      </c>
      <c r="F323" s="105">
        <v>5</v>
      </c>
      <c r="G323" s="105" t="s">
        <v>699</v>
      </c>
      <c r="H323" s="105">
        <v>818</v>
      </c>
      <c r="I323" s="105" t="s">
        <v>668</v>
      </c>
      <c r="J323" s="105" t="s">
        <v>57</v>
      </c>
      <c r="K323" s="105" t="s">
        <v>701</v>
      </c>
      <c r="L323" s="105" t="s">
        <v>702</v>
      </c>
      <c r="M323" s="105">
        <v>0</v>
      </c>
      <c r="N323" s="105" t="s">
        <v>670</v>
      </c>
      <c r="O323" s="105" t="s">
        <v>23</v>
      </c>
      <c r="P323" s="105">
        <v>0</v>
      </c>
      <c r="Q323" s="105" t="s">
        <v>670</v>
      </c>
      <c r="R323" s="105" t="s">
        <v>23</v>
      </c>
      <c r="S323" s="105" t="s">
        <v>671</v>
      </c>
      <c r="T323" s="105" t="s">
        <v>672</v>
      </c>
      <c r="U323" s="105" t="b">
        <v>1</v>
      </c>
      <c r="V323" s="105" t="s">
        <v>745</v>
      </c>
      <c r="W323" s="105" t="s">
        <v>746</v>
      </c>
      <c r="X323" s="105">
        <v>6</v>
      </c>
      <c r="Y323" s="105" t="b">
        <v>1</v>
      </c>
      <c r="Z323" s="105" t="s">
        <v>675</v>
      </c>
      <c r="AA323" s="105" t="s">
        <v>676</v>
      </c>
      <c r="AB323" s="105" t="s">
        <v>677</v>
      </c>
      <c r="AC323" s="105">
        <v>0</v>
      </c>
      <c r="AD323" s="105" t="s">
        <v>678</v>
      </c>
      <c r="AE323" s="105">
        <v>8</v>
      </c>
      <c r="AF323" s="105" t="s">
        <v>679</v>
      </c>
      <c r="AG323" s="105">
        <v>463.86599999999999</v>
      </c>
      <c r="AH323" s="105" t="b">
        <v>1</v>
      </c>
      <c r="AI323" s="105">
        <v>-1</v>
      </c>
      <c r="AJ323" s="105" t="s">
        <v>680</v>
      </c>
      <c r="AK323" s="105">
        <v>0</v>
      </c>
      <c r="AL323" s="105" t="b">
        <v>0</v>
      </c>
      <c r="AM323" s="105">
        <v>463.86599999999999</v>
      </c>
      <c r="AN323" s="105" t="b">
        <v>1</v>
      </c>
      <c r="AO323" s="105">
        <v>0</v>
      </c>
      <c r="AP323" s="105" t="b">
        <v>0</v>
      </c>
      <c r="AQ323" s="105"/>
      <c r="AR323" s="105">
        <v>2400</v>
      </c>
      <c r="AS323" s="105">
        <v>2400</v>
      </c>
      <c r="AT323" s="105">
        <v>6</v>
      </c>
      <c r="AU323" s="105" t="b">
        <v>0</v>
      </c>
      <c r="AV323" s="105" t="b">
        <v>1</v>
      </c>
    </row>
    <row r="324" spans="1:48" s="46" customFormat="1">
      <c r="A324" s="105" t="s">
        <v>510</v>
      </c>
      <c r="B324" s="105" t="s">
        <v>665</v>
      </c>
      <c r="C324" s="105" t="s">
        <v>666</v>
      </c>
      <c r="D324" s="105">
        <v>20240501</v>
      </c>
      <c r="E324" s="105">
        <v>2024</v>
      </c>
      <c r="F324" s="105">
        <v>5</v>
      </c>
      <c r="G324" s="105" t="s">
        <v>699</v>
      </c>
      <c r="H324" s="105">
        <v>818</v>
      </c>
      <c r="I324" s="105" t="s">
        <v>668</v>
      </c>
      <c r="J324" s="105" t="s">
        <v>57</v>
      </c>
      <c r="K324" s="105" t="s">
        <v>701</v>
      </c>
      <c r="L324" s="105" t="s">
        <v>702</v>
      </c>
      <c r="M324" s="105">
        <v>729</v>
      </c>
      <c r="N324" s="105" t="s">
        <v>707</v>
      </c>
      <c r="O324" s="105" t="s">
        <v>230</v>
      </c>
      <c r="P324" s="105">
        <v>0</v>
      </c>
      <c r="Q324" s="105" t="s">
        <v>670</v>
      </c>
      <c r="R324" s="105" t="s">
        <v>23</v>
      </c>
      <c r="S324" s="105" t="s">
        <v>671</v>
      </c>
      <c r="T324" s="105" t="s">
        <v>672</v>
      </c>
      <c r="U324" s="105" t="b">
        <v>1</v>
      </c>
      <c r="V324" s="105" t="s">
        <v>745</v>
      </c>
      <c r="W324" s="105" t="s">
        <v>746</v>
      </c>
      <c r="X324" s="105">
        <v>6</v>
      </c>
      <c r="Y324" s="105" t="b">
        <v>1</v>
      </c>
      <c r="Z324" s="105" t="s">
        <v>675</v>
      </c>
      <c r="AA324" s="105" t="s">
        <v>676</v>
      </c>
      <c r="AB324" s="105" t="s">
        <v>677</v>
      </c>
      <c r="AC324" s="105">
        <v>0</v>
      </c>
      <c r="AD324" s="105" t="s">
        <v>678</v>
      </c>
      <c r="AE324" s="105">
        <v>8</v>
      </c>
      <c r="AF324" s="105" t="s">
        <v>679</v>
      </c>
      <c r="AG324" s="105">
        <v>463.86599999999999</v>
      </c>
      <c r="AH324" s="105" t="b">
        <v>1</v>
      </c>
      <c r="AI324" s="105">
        <v>-1</v>
      </c>
      <c r="AJ324" s="105" t="s">
        <v>680</v>
      </c>
      <c r="AK324" s="105">
        <v>0</v>
      </c>
      <c r="AL324" s="105" t="b">
        <v>0</v>
      </c>
      <c r="AM324" s="105">
        <v>463.86599999999999</v>
      </c>
      <c r="AN324" s="105" t="b">
        <v>1</v>
      </c>
      <c r="AO324" s="105">
        <v>0</v>
      </c>
      <c r="AP324" s="105" t="b">
        <v>0</v>
      </c>
      <c r="AQ324" s="105"/>
      <c r="AR324" s="105">
        <v>2400</v>
      </c>
      <c r="AS324" s="105">
        <v>2400</v>
      </c>
      <c r="AT324" s="105">
        <v>6</v>
      </c>
      <c r="AU324" s="105" t="b">
        <v>1</v>
      </c>
      <c r="AV324" s="105" t="b">
        <v>0</v>
      </c>
    </row>
    <row r="325" spans="1:48" s="46" customFormat="1">
      <c r="A325" s="105" t="s">
        <v>510</v>
      </c>
      <c r="B325" s="105" t="s">
        <v>665</v>
      </c>
      <c r="C325" s="105" t="s">
        <v>666</v>
      </c>
      <c r="D325" s="105">
        <v>20240601</v>
      </c>
      <c r="E325" s="105">
        <v>2024</v>
      </c>
      <c r="F325" s="105">
        <v>6</v>
      </c>
      <c r="G325" s="105" t="s">
        <v>700</v>
      </c>
      <c r="H325" s="105">
        <v>818</v>
      </c>
      <c r="I325" s="105" t="s">
        <v>668</v>
      </c>
      <c r="J325" s="105" t="s">
        <v>57</v>
      </c>
      <c r="K325" s="105" t="s">
        <v>666</v>
      </c>
      <c r="L325" s="105" t="s">
        <v>669</v>
      </c>
      <c r="M325" s="105">
        <v>0</v>
      </c>
      <c r="N325" s="105" t="s">
        <v>670</v>
      </c>
      <c r="O325" s="105" t="s">
        <v>23</v>
      </c>
      <c r="P325" s="105">
        <v>0</v>
      </c>
      <c r="Q325" s="105" t="s">
        <v>670</v>
      </c>
      <c r="R325" s="105" t="s">
        <v>23</v>
      </c>
      <c r="S325" s="105" t="s">
        <v>671</v>
      </c>
      <c r="T325" s="105" t="s">
        <v>672</v>
      </c>
      <c r="U325" s="105" t="b">
        <v>1</v>
      </c>
      <c r="V325" s="105" t="s">
        <v>745</v>
      </c>
      <c r="W325" s="105" t="s">
        <v>746</v>
      </c>
      <c r="X325" s="105">
        <v>6</v>
      </c>
      <c r="Y325" s="105" t="b">
        <v>1</v>
      </c>
      <c r="Z325" s="105" t="s">
        <v>675</v>
      </c>
      <c r="AA325" s="105" t="s">
        <v>676</v>
      </c>
      <c r="AB325" s="105" t="s">
        <v>677</v>
      </c>
      <c r="AC325" s="105">
        <v>0</v>
      </c>
      <c r="AD325" s="105" t="s">
        <v>678</v>
      </c>
      <c r="AE325" s="105">
        <v>8</v>
      </c>
      <c r="AF325" s="105" t="s">
        <v>679</v>
      </c>
      <c r="AG325" s="105">
        <v>117938.666</v>
      </c>
      <c r="AH325" s="105" t="b">
        <v>1</v>
      </c>
      <c r="AI325" s="105">
        <v>-1</v>
      </c>
      <c r="AJ325" s="105" t="s">
        <v>680</v>
      </c>
      <c r="AK325" s="105">
        <v>0</v>
      </c>
      <c r="AL325" s="105" t="b">
        <v>0</v>
      </c>
      <c r="AM325" s="105">
        <v>117938.666</v>
      </c>
      <c r="AN325" s="105" t="b">
        <v>1</v>
      </c>
      <c r="AO325" s="105">
        <v>0</v>
      </c>
      <c r="AP325" s="105" t="b">
        <v>0</v>
      </c>
      <c r="AQ325" s="105">
        <v>569272.90800000005</v>
      </c>
      <c r="AR325" s="105"/>
      <c r="AS325" s="105">
        <v>569272.90800000005</v>
      </c>
      <c r="AT325" s="105">
        <v>6</v>
      </c>
      <c r="AU325" s="105" t="b">
        <v>0</v>
      </c>
      <c r="AV325" s="105" t="b">
        <v>1</v>
      </c>
    </row>
    <row r="326" spans="1:48" s="46" customFormat="1">
      <c r="A326" s="105" t="s">
        <v>510</v>
      </c>
      <c r="B326" s="105" t="s">
        <v>665</v>
      </c>
      <c r="C326" s="105" t="s">
        <v>666</v>
      </c>
      <c r="D326" s="105">
        <v>20240601</v>
      </c>
      <c r="E326" s="105">
        <v>2024</v>
      </c>
      <c r="F326" s="105">
        <v>6</v>
      </c>
      <c r="G326" s="105" t="s">
        <v>700</v>
      </c>
      <c r="H326" s="105">
        <v>818</v>
      </c>
      <c r="I326" s="105" t="s">
        <v>668</v>
      </c>
      <c r="J326" s="105" t="s">
        <v>57</v>
      </c>
      <c r="K326" s="105" t="s">
        <v>666</v>
      </c>
      <c r="L326" s="105" t="s">
        <v>669</v>
      </c>
      <c r="M326" s="105">
        <v>156</v>
      </c>
      <c r="N326" s="105" t="s">
        <v>711</v>
      </c>
      <c r="O326" s="105" t="s">
        <v>29</v>
      </c>
      <c r="P326" s="105">
        <v>0</v>
      </c>
      <c r="Q326" s="105" t="s">
        <v>670</v>
      </c>
      <c r="R326" s="105" t="s">
        <v>23</v>
      </c>
      <c r="S326" s="105" t="s">
        <v>671</v>
      </c>
      <c r="T326" s="105" t="s">
        <v>672</v>
      </c>
      <c r="U326" s="105" t="b">
        <v>1</v>
      </c>
      <c r="V326" s="105" t="s">
        <v>745</v>
      </c>
      <c r="W326" s="105" t="s">
        <v>746</v>
      </c>
      <c r="X326" s="105">
        <v>6</v>
      </c>
      <c r="Y326" s="105" t="b">
        <v>1</v>
      </c>
      <c r="Z326" s="105" t="s">
        <v>675</v>
      </c>
      <c r="AA326" s="105" t="s">
        <v>676</v>
      </c>
      <c r="AB326" s="105" t="s">
        <v>677</v>
      </c>
      <c r="AC326" s="105">
        <v>0</v>
      </c>
      <c r="AD326" s="105" t="s">
        <v>678</v>
      </c>
      <c r="AE326" s="105">
        <v>8</v>
      </c>
      <c r="AF326" s="105" t="s">
        <v>679</v>
      </c>
      <c r="AG326" s="105">
        <v>24695.072</v>
      </c>
      <c r="AH326" s="105" t="b">
        <v>1</v>
      </c>
      <c r="AI326" s="105">
        <v>-1</v>
      </c>
      <c r="AJ326" s="105" t="s">
        <v>680</v>
      </c>
      <c r="AK326" s="105">
        <v>0</v>
      </c>
      <c r="AL326" s="105" t="b">
        <v>0</v>
      </c>
      <c r="AM326" s="105">
        <v>24695.072</v>
      </c>
      <c r="AN326" s="105" t="b">
        <v>1</v>
      </c>
      <c r="AO326" s="105">
        <v>0</v>
      </c>
      <c r="AP326" s="105" t="b">
        <v>0</v>
      </c>
      <c r="AQ326" s="105">
        <v>119199.54700000001</v>
      </c>
      <c r="AR326" s="105"/>
      <c r="AS326" s="105">
        <v>119199.54700000001</v>
      </c>
      <c r="AT326" s="105">
        <v>6</v>
      </c>
      <c r="AU326" s="105" t="b">
        <v>1</v>
      </c>
      <c r="AV326" s="105" t="b">
        <v>0</v>
      </c>
    </row>
    <row r="327" spans="1:48" s="46" customFormat="1">
      <c r="A327" s="105" t="s">
        <v>510</v>
      </c>
      <c r="B327" s="105" t="s">
        <v>665</v>
      </c>
      <c r="C327" s="105" t="s">
        <v>666</v>
      </c>
      <c r="D327" s="105">
        <v>20240601</v>
      </c>
      <c r="E327" s="105">
        <v>2024</v>
      </c>
      <c r="F327" s="105">
        <v>6</v>
      </c>
      <c r="G327" s="105" t="s">
        <v>700</v>
      </c>
      <c r="H327" s="105">
        <v>818</v>
      </c>
      <c r="I327" s="105" t="s">
        <v>668</v>
      </c>
      <c r="J327" s="105" t="s">
        <v>57</v>
      </c>
      <c r="K327" s="105" t="s">
        <v>666</v>
      </c>
      <c r="L327" s="105" t="s">
        <v>669</v>
      </c>
      <c r="M327" s="105">
        <v>276</v>
      </c>
      <c r="N327" s="105" t="s">
        <v>681</v>
      </c>
      <c r="O327" s="105" t="s">
        <v>30</v>
      </c>
      <c r="P327" s="105">
        <v>0</v>
      </c>
      <c r="Q327" s="105" t="s">
        <v>670</v>
      </c>
      <c r="R327" s="105" t="s">
        <v>23</v>
      </c>
      <c r="S327" s="105" t="s">
        <v>671</v>
      </c>
      <c r="T327" s="105" t="s">
        <v>672</v>
      </c>
      <c r="U327" s="105" t="b">
        <v>1</v>
      </c>
      <c r="V327" s="105" t="s">
        <v>745</v>
      </c>
      <c r="W327" s="105" t="s">
        <v>746</v>
      </c>
      <c r="X327" s="105">
        <v>6</v>
      </c>
      <c r="Y327" s="105" t="b">
        <v>1</v>
      </c>
      <c r="Z327" s="105" t="s">
        <v>675</v>
      </c>
      <c r="AA327" s="105" t="s">
        <v>676</v>
      </c>
      <c r="AB327" s="105" t="s">
        <v>677</v>
      </c>
      <c r="AC327" s="105">
        <v>0</v>
      </c>
      <c r="AD327" s="105" t="s">
        <v>678</v>
      </c>
      <c r="AE327" s="105">
        <v>8</v>
      </c>
      <c r="AF327" s="105" t="s">
        <v>679</v>
      </c>
      <c r="AG327" s="105">
        <v>14266.037</v>
      </c>
      <c r="AH327" s="105" t="b">
        <v>1</v>
      </c>
      <c r="AI327" s="105">
        <v>-1</v>
      </c>
      <c r="AJ327" s="105" t="s">
        <v>680</v>
      </c>
      <c r="AK327" s="105">
        <v>0</v>
      </c>
      <c r="AL327" s="105" t="b">
        <v>0</v>
      </c>
      <c r="AM327" s="105">
        <v>14266.037</v>
      </c>
      <c r="AN327" s="105" t="b">
        <v>1</v>
      </c>
      <c r="AO327" s="105">
        <v>0</v>
      </c>
      <c r="AP327" s="105" t="b">
        <v>0</v>
      </c>
      <c r="AQ327" s="105">
        <v>68860.100000000006</v>
      </c>
      <c r="AR327" s="105"/>
      <c r="AS327" s="105">
        <v>68860.100000000006</v>
      </c>
      <c r="AT327" s="105">
        <v>6</v>
      </c>
      <c r="AU327" s="105" t="b">
        <v>1</v>
      </c>
      <c r="AV327" s="105" t="b">
        <v>0</v>
      </c>
    </row>
    <row r="328" spans="1:48" s="46" customFormat="1">
      <c r="A328" s="105" t="s">
        <v>510</v>
      </c>
      <c r="B328" s="105" t="s">
        <v>665</v>
      </c>
      <c r="C328" s="105" t="s">
        <v>666</v>
      </c>
      <c r="D328" s="105">
        <v>20240601</v>
      </c>
      <c r="E328" s="105">
        <v>2024</v>
      </c>
      <c r="F328" s="105">
        <v>6</v>
      </c>
      <c r="G328" s="105" t="s">
        <v>700</v>
      </c>
      <c r="H328" s="105">
        <v>818</v>
      </c>
      <c r="I328" s="105" t="s">
        <v>668</v>
      </c>
      <c r="J328" s="105" t="s">
        <v>57</v>
      </c>
      <c r="K328" s="105" t="s">
        <v>666</v>
      </c>
      <c r="L328" s="105" t="s">
        <v>669</v>
      </c>
      <c r="M328" s="105">
        <v>380</v>
      </c>
      <c r="N328" s="105" t="s">
        <v>689</v>
      </c>
      <c r="O328" s="105" t="s">
        <v>71</v>
      </c>
      <c r="P328" s="105">
        <v>0</v>
      </c>
      <c r="Q328" s="105" t="s">
        <v>670</v>
      </c>
      <c r="R328" s="105" t="s">
        <v>23</v>
      </c>
      <c r="S328" s="105" t="s">
        <v>671</v>
      </c>
      <c r="T328" s="105" t="s">
        <v>672</v>
      </c>
      <c r="U328" s="105" t="b">
        <v>1</v>
      </c>
      <c r="V328" s="105" t="s">
        <v>745</v>
      </c>
      <c r="W328" s="105" t="s">
        <v>746</v>
      </c>
      <c r="X328" s="105">
        <v>6</v>
      </c>
      <c r="Y328" s="105" t="b">
        <v>1</v>
      </c>
      <c r="Z328" s="105" t="s">
        <v>675</v>
      </c>
      <c r="AA328" s="105" t="s">
        <v>676</v>
      </c>
      <c r="AB328" s="105" t="s">
        <v>677</v>
      </c>
      <c r="AC328" s="105">
        <v>0</v>
      </c>
      <c r="AD328" s="105" t="s">
        <v>678</v>
      </c>
      <c r="AE328" s="105">
        <v>8</v>
      </c>
      <c r="AF328" s="105" t="s">
        <v>679</v>
      </c>
      <c r="AG328" s="105">
        <v>8241.2369999999992</v>
      </c>
      <c r="AH328" s="105" t="b">
        <v>1</v>
      </c>
      <c r="AI328" s="105">
        <v>-1</v>
      </c>
      <c r="AJ328" s="105" t="s">
        <v>680</v>
      </c>
      <c r="AK328" s="105">
        <v>0</v>
      </c>
      <c r="AL328" s="105" t="b">
        <v>0</v>
      </c>
      <c r="AM328" s="105">
        <v>8241.2369999999992</v>
      </c>
      <c r="AN328" s="105" t="b">
        <v>1</v>
      </c>
      <c r="AO328" s="105">
        <v>0</v>
      </c>
      <c r="AP328" s="105" t="b">
        <v>0</v>
      </c>
      <c r="AQ328" s="105">
        <v>39779.262000000002</v>
      </c>
      <c r="AR328" s="105"/>
      <c r="AS328" s="105">
        <v>39779.262000000002</v>
      </c>
      <c r="AT328" s="105">
        <v>6</v>
      </c>
      <c r="AU328" s="105" t="b">
        <v>1</v>
      </c>
      <c r="AV328" s="105" t="b">
        <v>0</v>
      </c>
    </row>
    <row r="329" spans="1:48" s="46" customFormat="1">
      <c r="A329" s="105" t="s">
        <v>510</v>
      </c>
      <c r="B329" s="105" t="s">
        <v>665</v>
      </c>
      <c r="C329" s="105" t="s">
        <v>666</v>
      </c>
      <c r="D329" s="105">
        <v>20240601</v>
      </c>
      <c r="E329" s="105">
        <v>2024</v>
      </c>
      <c r="F329" s="105">
        <v>6</v>
      </c>
      <c r="G329" s="105" t="s">
        <v>700</v>
      </c>
      <c r="H329" s="105">
        <v>818</v>
      </c>
      <c r="I329" s="105" t="s">
        <v>668</v>
      </c>
      <c r="J329" s="105" t="s">
        <v>57</v>
      </c>
      <c r="K329" s="105" t="s">
        <v>666</v>
      </c>
      <c r="L329" s="105" t="s">
        <v>669</v>
      </c>
      <c r="M329" s="105">
        <v>442</v>
      </c>
      <c r="N329" s="105" t="s">
        <v>759</v>
      </c>
      <c r="O329" s="105" t="s">
        <v>89</v>
      </c>
      <c r="P329" s="105">
        <v>0</v>
      </c>
      <c r="Q329" s="105" t="s">
        <v>670</v>
      </c>
      <c r="R329" s="105" t="s">
        <v>23</v>
      </c>
      <c r="S329" s="105" t="s">
        <v>671</v>
      </c>
      <c r="T329" s="105" t="s">
        <v>672</v>
      </c>
      <c r="U329" s="105" t="b">
        <v>1</v>
      </c>
      <c r="V329" s="105" t="s">
        <v>745</v>
      </c>
      <c r="W329" s="105" t="s">
        <v>746</v>
      </c>
      <c r="X329" s="105">
        <v>6</v>
      </c>
      <c r="Y329" s="105" t="b">
        <v>1</v>
      </c>
      <c r="Z329" s="105" t="s">
        <v>675</v>
      </c>
      <c r="AA329" s="105" t="s">
        <v>676</v>
      </c>
      <c r="AB329" s="105" t="s">
        <v>677</v>
      </c>
      <c r="AC329" s="105">
        <v>0</v>
      </c>
      <c r="AD329" s="105" t="s">
        <v>678</v>
      </c>
      <c r="AE329" s="105">
        <v>8</v>
      </c>
      <c r="AF329" s="105" t="s">
        <v>679</v>
      </c>
      <c r="AG329" s="105">
        <v>7209.268</v>
      </c>
      <c r="AH329" s="105" t="b">
        <v>1</v>
      </c>
      <c r="AI329" s="105">
        <v>-1</v>
      </c>
      <c r="AJ329" s="105" t="s">
        <v>680</v>
      </c>
      <c r="AK329" s="105">
        <v>0</v>
      </c>
      <c r="AL329" s="105" t="b">
        <v>0</v>
      </c>
      <c r="AM329" s="105">
        <v>7209.268</v>
      </c>
      <c r="AN329" s="105" t="b">
        <v>1</v>
      </c>
      <c r="AO329" s="105">
        <v>0</v>
      </c>
      <c r="AP329" s="105" t="b">
        <v>0</v>
      </c>
      <c r="AQ329" s="105">
        <v>34798.097999999998</v>
      </c>
      <c r="AR329" s="105"/>
      <c r="AS329" s="105">
        <v>34798.097999999998</v>
      </c>
      <c r="AT329" s="105">
        <v>6</v>
      </c>
      <c r="AU329" s="105" t="b">
        <v>1</v>
      </c>
      <c r="AV329" s="105" t="b">
        <v>0</v>
      </c>
    </row>
    <row r="330" spans="1:48" s="46" customFormat="1">
      <c r="A330" s="105" t="s">
        <v>510</v>
      </c>
      <c r="B330" s="105" t="s">
        <v>665</v>
      </c>
      <c r="C330" s="105" t="s">
        <v>666</v>
      </c>
      <c r="D330" s="105">
        <v>20240601</v>
      </c>
      <c r="E330" s="105">
        <v>2024</v>
      </c>
      <c r="F330" s="105">
        <v>6</v>
      </c>
      <c r="G330" s="105" t="s">
        <v>700</v>
      </c>
      <c r="H330" s="105">
        <v>818</v>
      </c>
      <c r="I330" s="105" t="s">
        <v>668</v>
      </c>
      <c r="J330" s="105" t="s">
        <v>57</v>
      </c>
      <c r="K330" s="105" t="s">
        <v>666</v>
      </c>
      <c r="L330" s="105" t="s">
        <v>669</v>
      </c>
      <c r="M330" s="105">
        <v>699</v>
      </c>
      <c r="N330" s="105" t="s">
        <v>748</v>
      </c>
      <c r="O330" s="105" t="s">
        <v>0</v>
      </c>
      <c r="P330" s="105">
        <v>0</v>
      </c>
      <c r="Q330" s="105" t="s">
        <v>670</v>
      </c>
      <c r="R330" s="105" t="s">
        <v>23</v>
      </c>
      <c r="S330" s="105" t="s">
        <v>671</v>
      </c>
      <c r="T330" s="105" t="s">
        <v>672</v>
      </c>
      <c r="U330" s="105" t="b">
        <v>1</v>
      </c>
      <c r="V330" s="105" t="s">
        <v>745</v>
      </c>
      <c r="W330" s="105" t="s">
        <v>746</v>
      </c>
      <c r="X330" s="105">
        <v>6</v>
      </c>
      <c r="Y330" s="105" t="b">
        <v>1</v>
      </c>
      <c r="Z330" s="105" t="s">
        <v>675</v>
      </c>
      <c r="AA330" s="105" t="s">
        <v>676</v>
      </c>
      <c r="AB330" s="105" t="s">
        <v>677</v>
      </c>
      <c r="AC330" s="105">
        <v>0</v>
      </c>
      <c r="AD330" s="105" t="s">
        <v>678</v>
      </c>
      <c r="AE330" s="105">
        <v>8</v>
      </c>
      <c r="AF330" s="105" t="s">
        <v>679</v>
      </c>
      <c r="AG330" s="105">
        <v>8230.6569999999992</v>
      </c>
      <c r="AH330" s="105" t="b">
        <v>1</v>
      </c>
      <c r="AI330" s="105">
        <v>-1</v>
      </c>
      <c r="AJ330" s="105" t="s">
        <v>680</v>
      </c>
      <c r="AK330" s="105">
        <v>0</v>
      </c>
      <c r="AL330" s="105" t="b">
        <v>0</v>
      </c>
      <c r="AM330" s="105">
        <v>8230.6569999999992</v>
      </c>
      <c r="AN330" s="105" t="b">
        <v>1</v>
      </c>
      <c r="AO330" s="105">
        <v>0</v>
      </c>
      <c r="AP330" s="105" t="b">
        <v>0</v>
      </c>
      <c r="AQ330" s="105">
        <v>39728.190999999999</v>
      </c>
      <c r="AR330" s="105"/>
      <c r="AS330" s="105">
        <v>39728.190999999999</v>
      </c>
      <c r="AT330" s="105">
        <v>6</v>
      </c>
      <c r="AU330" s="105" t="b">
        <v>1</v>
      </c>
      <c r="AV330" s="105" t="b">
        <v>0</v>
      </c>
    </row>
    <row r="331" spans="1:48" s="46" customFormat="1">
      <c r="A331" s="105" t="s">
        <v>510</v>
      </c>
      <c r="B331" s="105" t="s">
        <v>665</v>
      </c>
      <c r="C331" s="105" t="s">
        <v>666</v>
      </c>
      <c r="D331" s="105">
        <v>20240601</v>
      </c>
      <c r="E331" s="105">
        <v>2024</v>
      </c>
      <c r="F331" s="105">
        <v>6</v>
      </c>
      <c r="G331" s="105" t="s">
        <v>700</v>
      </c>
      <c r="H331" s="105">
        <v>818</v>
      </c>
      <c r="I331" s="105" t="s">
        <v>668</v>
      </c>
      <c r="J331" s="105" t="s">
        <v>57</v>
      </c>
      <c r="K331" s="105" t="s">
        <v>666</v>
      </c>
      <c r="L331" s="105" t="s">
        <v>669</v>
      </c>
      <c r="M331" s="105">
        <v>792</v>
      </c>
      <c r="N331" s="105" t="s">
        <v>691</v>
      </c>
      <c r="O331" s="105" t="s">
        <v>63</v>
      </c>
      <c r="P331" s="105">
        <v>0</v>
      </c>
      <c r="Q331" s="105" t="s">
        <v>670</v>
      </c>
      <c r="R331" s="105" t="s">
        <v>23</v>
      </c>
      <c r="S331" s="105" t="s">
        <v>671</v>
      </c>
      <c r="T331" s="105" t="s">
        <v>672</v>
      </c>
      <c r="U331" s="105" t="b">
        <v>1</v>
      </c>
      <c r="V331" s="105" t="s">
        <v>745</v>
      </c>
      <c r="W331" s="105" t="s">
        <v>746</v>
      </c>
      <c r="X331" s="105">
        <v>6</v>
      </c>
      <c r="Y331" s="105" t="b">
        <v>1</v>
      </c>
      <c r="Z331" s="105" t="s">
        <v>675</v>
      </c>
      <c r="AA331" s="105" t="s">
        <v>676</v>
      </c>
      <c r="AB331" s="105" t="s">
        <v>677</v>
      </c>
      <c r="AC331" s="105">
        <v>0</v>
      </c>
      <c r="AD331" s="105" t="s">
        <v>678</v>
      </c>
      <c r="AE331" s="105">
        <v>8</v>
      </c>
      <c r="AF331" s="105" t="s">
        <v>679</v>
      </c>
      <c r="AG331" s="105">
        <v>6241.4629999999997</v>
      </c>
      <c r="AH331" s="105" t="b">
        <v>1</v>
      </c>
      <c r="AI331" s="105">
        <v>-1</v>
      </c>
      <c r="AJ331" s="105" t="s">
        <v>680</v>
      </c>
      <c r="AK331" s="105">
        <v>0</v>
      </c>
      <c r="AL331" s="105" t="b">
        <v>0</v>
      </c>
      <c r="AM331" s="105">
        <v>6241.4629999999997</v>
      </c>
      <c r="AN331" s="105" t="b">
        <v>1</v>
      </c>
      <c r="AO331" s="105">
        <v>0</v>
      </c>
      <c r="AP331" s="105" t="b">
        <v>0</v>
      </c>
      <c r="AQ331" s="105">
        <v>30126.643</v>
      </c>
      <c r="AR331" s="105"/>
      <c r="AS331" s="105">
        <v>30126.643</v>
      </c>
      <c r="AT331" s="105">
        <v>6</v>
      </c>
      <c r="AU331" s="105" t="b">
        <v>1</v>
      </c>
      <c r="AV331" s="105" t="b">
        <v>0</v>
      </c>
    </row>
    <row r="332" spans="1:48" s="46" customFormat="1">
      <c r="A332" s="105" t="s">
        <v>510</v>
      </c>
      <c r="B332" s="105" t="s">
        <v>665</v>
      </c>
      <c r="C332" s="105" t="s">
        <v>666</v>
      </c>
      <c r="D332" s="105">
        <v>20240601</v>
      </c>
      <c r="E332" s="105">
        <v>2024</v>
      </c>
      <c r="F332" s="105">
        <v>6</v>
      </c>
      <c r="G332" s="105" t="s">
        <v>700</v>
      </c>
      <c r="H332" s="105">
        <v>818</v>
      </c>
      <c r="I332" s="105" t="s">
        <v>668</v>
      </c>
      <c r="J332" s="105" t="s">
        <v>57</v>
      </c>
      <c r="K332" s="105" t="s">
        <v>666</v>
      </c>
      <c r="L332" s="105" t="s">
        <v>669</v>
      </c>
      <c r="M332" s="105">
        <v>826</v>
      </c>
      <c r="N332" s="105" t="s">
        <v>685</v>
      </c>
      <c r="O332" s="105" t="s">
        <v>64</v>
      </c>
      <c r="P332" s="105">
        <v>0</v>
      </c>
      <c r="Q332" s="105" t="s">
        <v>670</v>
      </c>
      <c r="R332" s="105" t="s">
        <v>23</v>
      </c>
      <c r="S332" s="105" t="s">
        <v>671</v>
      </c>
      <c r="T332" s="105" t="s">
        <v>672</v>
      </c>
      <c r="U332" s="105" t="b">
        <v>1</v>
      </c>
      <c r="V332" s="105" t="s">
        <v>745</v>
      </c>
      <c r="W332" s="105" t="s">
        <v>746</v>
      </c>
      <c r="X332" s="105">
        <v>6</v>
      </c>
      <c r="Y332" s="105" t="b">
        <v>1</v>
      </c>
      <c r="Z332" s="105" t="s">
        <v>675</v>
      </c>
      <c r="AA332" s="105" t="s">
        <v>676</v>
      </c>
      <c r="AB332" s="105" t="s">
        <v>677</v>
      </c>
      <c r="AC332" s="105">
        <v>0</v>
      </c>
      <c r="AD332" s="105" t="s">
        <v>678</v>
      </c>
      <c r="AE332" s="105">
        <v>8</v>
      </c>
      <c r="AF332" s="105" t="s">
        <v>679</v>
      </c>
      <c r="AG332" s="105">
        <v>36007.158000000003</v>
      </c>
      <c r="AH332" s="105" t="b">
        <v>1</v>
      </c>
      <c r="AI332" s="105">
        <v>-1</v>
      </c>
      <c r="AJ332" s="105" t="s">
        <v>680</v>
      </c>
      <c r="AK332" s="105">
        <v>0</v>
      </c>
      <c r="AL332" s="105" t="b">
        <v>0</v>
      </c>
      <c r="AM332" s="105">
        <v>36007.158000000003</v>
      </c>
      <c r="AN332" s="105" t="b">
        <v>1</v>
      </c>
      <c r="AO332" s="105">
        <v>0</v>
      </c>
      <c r="AP332" s="105" t="b">
        <v>0</v>
      </c>
      <c r="AQ332" s="105">
        <v>173801.353</v>
      </c>
      <c r="AR332" s="105"/>
      <c r="AS332" s="105">
        <v>173801.353</v>
      </c>
      <c r="AT332" s="105">
        <v>6</v>
      </c>
      <c r="AU332" s="105" t="b">
        <v>1</v>
      </c>
      <c r="AV332" s="105" t="b">
        <v>0</v>
      </c>
    </row>
    <row r="333" spans="1:48" s="46" customFormat="1">
      <c r="A333" s="105" t="s">
        <v>510</v>
      </c>
      <c r="B333" s="105" t="s">
        <v>665</v>
      </c>
      <c r="C333" s="105" t="s">
        <v>666</v>
      </c>
      <c r="D333" s="105">
        <v>20240601</v>
      </c>
      <c r="E333" s="105">
        <v>2024</v>
      </c>
      <c r="F333" s="105">
        <v>6</v>
      </c>
      <c r="G333" s="105" t="s">
        <v>700</v>
      </c>
      <c r="H333" s="105">
        <v>818</v>
      </c>
      <c r="I333" s="105" t="s">
        <v>668</v>
      </c>
      <c r="J333" s="105" t="s">
        <v>57</v>
      </c>
      <c r="K333" s="105" t="s">
        <v>666</v>
      </c>
      <c r="L333" s="105" t="s">
        <v>669</v>
      </c>
      <c r="M333" s="105">
        <v>842</v>
      </c>
      <c r="N333" s="105" t="s">
        <v>713</v>
      </c>
      <c r="O333" s="105" t="s">
        <v>713</v>
      </c>
      <c r="P333" s="105">
        <v>0</v>
      </c>
      <c r="Q333" s="105" t="s">
        <v>670</v>
      </c>
      <c r="R333" s="105" t="s">
        <v>23</v>
      </c>
      <c r="S333" s="105" t="s">
        <v>671</v>
      </c>
      <c r="T333" s="105" t="s">
        <v>672</v>
      </c>
      <c r="U333" s="105" t="b">
        <v>1</v>
      </c>
      <c r="V333" s="105" t="s">
        <v>745</v>
      </c>
      <c r="W333" s="105" t="s">
        <v>746</v>
      </c>
      <c r="X333" s="105">
        <v>6</v>
      </c>
      <c r="Y333" s="105" t="b">
        <v>1</v>
      </c>
      <c r="Z333" s="105" t="s">
        <v>675</v>
      </c>
      <c r="AA333" s="105" t="s">
        <v>676</v>
      </c>
      <c r="AB333" s="105" t="s">
        <v>677</v>
      </c>
      <c r="AC333" s="105">
        <v>0</v>
      </c>
      <c r="AD333" s="105" t="s">
        <v>678</v>
      </c>
      <c r="AE333" s="105">
        <v>8</v>
      </c>
      <c r="AF333" s="105" t="s">
        <v>679</v>
      </c>
      <c r="AG333" s="105">
        <v>13047.772999999999</v>
      </c>
      <c r="AH333" s="105" t="b">
        <v>1</v>
      </c>
      <c r="AI333" s="105">
        <v>-1</v>
      </c>
      <c r="AJ333" s="105" t="s">
        <v>680</v>
      </c>
      <c r="AK333" s="105">
        <v>0</v>
      </c>
      <c r="AL333" s="105" t="b">
        <v>0</v>
      </c>
      <c r="AM333" s="105">
        <v>13047.772999999999</v>
      </c>
      <c r="AN333" s="105" t="b">
        <v>1</v>
      </c>
      <c r="AO333" s="105">
        <v>0</v>
      </c>
      <c r="AP333" s="105" t="b">
        <v>0</v>
      </c>
      <c r="AQ333" s="105">
        <v>62979.714999999997</v>
      </c>
      <c r="AR333" s="105"/>
      <c r="AS333" s="105">
        <v>62979.714999999997</v>
      </c>
      <c r="AT333" s="105">
        <v>6</v>
      </c>
      <c r="AU333" s="105" t="b">
        <v>1</v>
      </c>
      <c r="AV333" s="105" t="b">
        <v>0</v>
      </c>
    </row>
    <row r="334" spans="1:48" s="46" customFormat="1">
      <c r="A334" s="105" t="s">
        <v>510</v>
      </c>
      <c r="B334" s="105" t="s">
        <v>665</v>
      </c>
      <c r="C334" s="105" t="s">
        <v>666</v>
      </c>
      <c r="D334" s="105">
        <v>20240101</v>
      </c>
      <c r="E334" s="105">
        <v>2024</v>
      </c>
      <c r="F334" s="105">
        <v>1</v>
      </c>
      <c r="G334" s="105" t="s">
        <v>667</v>
      </c>
      <c r="H334" s="105">
        <v>818</v>
      </c>
      <c r="I334" s="105" t="s">
        <v>668</v>
      </c>
      <c r="J334" s="105" t="s">
        <v>57</v>
      </c>
      <c r="K334" s="105" t="s">
        <v>666</v>
      </c>
      <c r="L334" s="105" t="s">
        <v>669</v>
      </c>
      <c r="M334" s="105">
        <v>0</v>
      </c>
      <c r="N334" s="105" t="s">
        <v>670</v>
      </c>
      <c r="O334" s="105" t="s">
        <v>23</v>
      </c>
      <c r="P334" s="105">
        <v>0</v>
      </c>
      <c r="Q334" s="105" t="s">
        <v>670</v>
      </c>
      <c r="R334" s="105" t="s">
        <v>23</v>
      </c>
      <c r="S334" s="105" t="s">
        <v>671</v>
      </c>
      <c r="T334" s="105" t="s">
        <v>672</v>
      </c>
      <c r="U334" s="105" t="b">
        <v>1</v>
      </c>
      <c r="V334" s="105" t="s">
        <v>745</v>
      </c>
      <c r="W334" s="105" t="s">
        <v>746</v>
      </c>
      <c r="X334" s="105">
        <v>6</v>
      </c>
      <c r="Y334" s="105" t="b">
        <v>1</v>
      </c>
      <c r="Z334" s="105" t="s">
        <v>675</v>
      </c>
      <c r="AA334" s="105" t="s">
        <v>676</v>
      </c>
      <c r="AB334" s="105" t="s">
        <v>677</v>
      </c>
      <c r="AC334" s="105">
        <v>0</v>
      </c>
      <c r="AD334" s="105" t="s">
        <v>678</v>
      </c>
      <c r="AE334" s="105">
        <v>8</v>
      </c>
      <c r="AF334" s="105" t="s">
        <v>679</v>
      </c>
      <c r="AG334" s="105">
        <v>72502.028000000006</v>
      </c>
      <c r="AH334" s="105" t="b">
        <v>1</v>
      </c>
      <c r="AI334" s="105">
        <v>-1</v>
      </c>
      <c r="AJ334" s="105" t="s">
        <v>680</v>
      </c>
      <c r="AK334" s="105">
        <v>0</v>
      </c>
      <c r="AL334" s="105" t="b">
        <v>0</v>
      </c>
      <c r="AM334" s="105">
        <v>72502.028000000006</v>
      </c>
      <c r="AN334" s="105" t="b">
        <v>1</v>
      </c>
      <c r="AO334" s="105">
        <v>0</v>
      </c>
      <c r="AP334" s="105" t="b">
        <v>0</v>
      </c>
      <c r="AQ334" s="105">
        <v>349956.81599999999</v>
      </c>
      <c r="AR334" s="105"/>
      <c r="AS334" s="105">
        <v>349956.81599999999</v>
      </c>
      <c r="AT334" s="105">
        <v>6</v>
      </c>
      <c r="AU334" s="105" t="b">
        <v>0</v>
      </c>
      <c r="AV334" s="105" t="b">
        <v>1</v>
      </c>
    </row>
    <row r="335" spans="1:48" s="46" customFormat="1">
      <c r="A335" s="105" t="s">
        <v>510</v>
      </c>
      <c r="B335" s="105" t="s">
        <v>665</v>
      </c>
      <c r="C335" s="105" t="s">
        <v>666</v>
      </c>
      <c r="D335" s="105">
        <v>20240101</v>
      </c>
      <c r="E335" s="105">
        <v>2024</v>
      </c>
      <c r="F335" s="105">
        <v>1</v>
      </c>
      <c r="G335" s="105" t="s">
        <v>667</v>
      </c>
      <c r="H335" s="105">
        <v>818</v>
      </c>
      <c r="I335" s="105" t="s">
        <v>668</v>
      </c>
      <c r="J335" s="105" t="s">
        <v>57</v>
      </c>
      <c r="K335" s="105" t="s">
        <v>666</v>
      </c>
      <c r="L335" s="105" t="s">
        <v>669</v>
      </c>
      <c r="M335" s="105">
        <v>156</v>
      </c>
      <c r="N335" s="105" t="s">
        <v>711</v>
      </c>
      <c r="O335" s="105" t="s">
        <v>29</v>
      </c>
      <c r="P335" s="105">
        <v>0</v>
      </c>
      <c r="Q335" s="105" t="s">
        <v>670</v>
      </c>
      <c r="R335" s="105" t="s">
        <v>23</v>
      </c>
      <c r="S335" s="105" t="s">
        <v>671</v>
      </c>
      <c r="T335" s="105" t="s">
        <v>672</v>
      </c>
      <c r="U335" s="105" t="b">
        <v>1</v>
      </c>
      <c r="V335" s="105" t="s">
        <v>745</v>
      </c>
      <c r="W335" s="105" t="s">
        <v>746</v>
      </c>
      <c r="X335" s="105">
        <v>6</v>
      </c>
      <c r="Y335" s="105" t="b">
        <v>1</v>
      </c>
      <c r="Z335" s="105" t="s">
        <v>675</v>
      </c>
      <c r="AA335" s="105" t="s">
        <v>676</v>
      </c>
      <c r="AB335" s="105" t="s">
        <v>677</v>
      </c>
      <c r="AC335" s="105">
        <v>0</v>
      </c>
      <c r="AD335" s="105" t="s">
        <v>678</v>
      </c>
      <c r="AE335" s="105">
        <v>8</v>
      </c>
      <c r="AF335" s="105" t="s">
        <v>679</v>
      </c>
      <c r="AG335" s="105">
        <v>23978.776000000002</v>
      </c>
      <c r="AH335" s="105" t="b">
        <v>1</v>
      </c>
      <c r="AI335" s="105">
        <v>-1</v>
      </c>
      <c r="AJ335" s="105" t="s">
        <v>680</v>
      </c>
      <c r="AK335" s="105">
        <v>0</v>
      </c>
      <c r="AL335" s="105" t="b">
        <v>0</v>
      </c>
      <c r="AM335" s="105">
        <v>23978.776000000002</v>
      </c>
      <c r="AN335" s="105" t="b">
        <v>1</v>
      </c>
      <c r="AO335" s="105">
        <v>0</v>
      </c>
      <c r="AP335" s="105" t="b">
        <v>0</v>
      </c>
      <c r="AQ335" s="105">
        <v>115742.091</v>
      </c>
      <c r="AR335" s="105"/>
      <c r="AS335" s="105">
        <v>115742.091</v>
      </c>
      <c r="AT335" s="105">
        <v>6</v>
      </c>
      <c r="AU335" s="105" t="b">
        <v>1</v>
      </c>
      <c r="AV335" s="105" t="b">
        <v>0</v>
      </c>
    </row>
    <row r="336" spans="1:48" s="46" customFormat="1">
      <c r="A336" s="105" t="s">
        <v>510</v>
      </c>
      <c r="B336" s="105" t="s">
        <v>665</v>
      </c>
      <c r="C336" s="105" t="s">
        <v>666</v>
      </c>
      <c r="D336" s="105">
        <v>20240101</v>
      </c>
      <c r="E336" s="105">
        <v>2024</v>
      </c>
      <c r="F336" s="105">
        <v>1</v>
      </c>
      <c r="G336" s="105" t="s">
        <v>667</v>
      </c>
      <c r="H336" s="105">
        <v>818</v>
      </c>
      <c r="I336" s="105" t="s">
        <v>668</v>
      </c>
      <c r="J336" s="105" t="s">
        <v>57</v>
      </c>
      <c r="K336" s="105" t="s">
        <v>666</v>
      </c>
      <c r="L336" s="105" t="s">
        <v>669</v>
      </c>
      <c r="M336" s="105">
        <v>203</v>
      </c>
      <c r="N336" s="105" t="s">
        <v>752</v>
      </c>
      <c r="O336" s="105" t="s">
        <v>753</v>
      </c>
      <c r="P336" s="105">
        <v>0</v>
      </c>
      <c r="Q336" s="105" t="s">
        <v>670</v>
      </c>
      <c r="R336" s="105" t="s">
        <v>23</v>
      </c>
      <c r="S336" s="105" t="s">
        <v>671</v>
      </c>
      <c r="T336" s="105" t="s">
        <v>672</v>
      </c>
      <c r="U336" s="105" t="b">
        <v>1</v>
      </c>
      <c r="V336" s="105" t="s">
        <v>745</v>
      </c>
      <c r="W336" s="105" t="s">
        <v>746</v>
      </c>
      <c r="X336" s="105">
        <v>6</v>
      </c>
      <c r="Y336" s="105" t="b">
        <v>1</v>
      </c>
      <c r="Z336" s="105" t="s">
        <v>675</v>
      </c>
      <c r="AA336" s="105" t="s">
        <v>676</v>
      </c>
      <c r="AB336" s="105" t="s">
        <v>677</v>
      </c>
      <c r="AC336" s="105">
        <v>0</v>
      </c>
      <c r="AD336" s="105" t="s">
        <v>678</v>
      </c>
      <c r="AE336" s="105">
        <v>8</v>
      </c>
      <c r="AF336" s="105" t="s">
        <v>679</v>
      </c>
      <c r="AG336" s="105">
        <v>17236.891</v>
      </c>
      <c r="AH336" s="105" t="b">
        <v>1</v>
      </c>
      <c r="AI336" s="105">
        <v>-1</v>
      </c>
      <c r="AJ336" s="105" t="s">
        <v>680</v>
      </c>
      <c r="AK336" s="105">
        <v>0</v>
      </c>
      <c r="AL336" s="105" t="b">
        <v>0</v>
      </c>
      <c r="AM336" s="105">
        <v>17236.891</v>
      </c>
      <c r="AN336" s="105" t="b">
        <v>1</v>
      </c>
      <c r="AO336" s="105">
        <v>0</v>
      </c>
      <c r="AP336" s="105" t="b">
        <v>0</v>
      </c>
      <c r="AQ336" s="105">
        <v>83199.983999999997</v>
      </c>
      <c r="AR336" s="105"/>
      <c r="AS336" s="105">
        <v>83199.983999999997</v>
      </c>
      <c r="AT336" s="105">
        <v>6</v>
      </c>
      <c r="AU336" s="105" t="b">
        <v>1</v>
      </c>
      <c r="AV336" s="105" t="b">
        <v>0</v>
      </c>
    </row>
    <row r="337" spans="1:48" s="46" customFormat="1">
      <c r="A337" s="105" t="s">
        <v>510</v>
      </c>
      <c r="B337" s="105" t="s">
        <v>665</v>
      </c>
      <c r="C337" s="105" t="s">
        <v>666</v>
      </c>
      <c r="D337" s="105">
        <v>20240101</v>
      </c>
      <c r="E337" s="105">
        <v>2024</v>
      </c>
      <c r="F337" s="105">
        <v>1</v>
      </c>
      <c r="G337" s="105" t="s">
        <v>667</v>
      </c>
      <c r="H337" s="105">
        <v>818</v>
      </c>
      <c r="I337" s="105" t="s">
        <v>668</v>
      </c>
      <c r="J337" s="105" t="s">
        <v>57</v>
      </c>
      <c r="K337" s="105" t="s">
        <v>666</v>
      </c>
      <c r="L337" s="105" t="s">
        <v>669</v>
      </c>
      <c r="M337" s="105">
        <v>276</v>
      </c>
      <c r="N337" s="105" t="s">
        <v>681</v>
      </c>
      <c r="O337" s="105" t="s">
        <v>30</v>
      </c>
      <c r="P337" s="105">
        <v>0</v>
      </c>
      <c r="Q337" s="105" t="s">
        <v>670</v>
      </c>
      <c r="R337" s="105" t="s">
        <v>23</v>
      </c>
      <c r="S337" s="105" t="s">
        <v>671</v>
      </c>
      <c r="T337" s="105" t="s">
        <v>672</v>
      </c>
      <c r="U337" s="105" t="b">
        <v>1</v>
      </c>
      <c r="V337" s="105" t="s">
        <v>745</v>
      </c>
      <c r="W337" s="105" t="s">
        <v>746</v>
      </c>
      <c r="X337" s="105">
        <v>6</v>
      </c>
      <c r="Y337" s="105" t="b">
        <v>1</v>
      </c>
      <c r="Z337" s="105" t="s">
        <v>675</v>
      </c>
      <c r="AA337" s="105" t="s">
        <v>676</v>
      </c>
      <c r="AB337" s="105" t="s">
        <v>677</v>
      </c>
      <c r="AC337" s="105">
        <v>0</v>
      </c>
      <c r="AD337" s="105" t="s">
        <v>678</v>
      </c>
      <c r="AE337" s="105">
        <v>8</v>
      </c>
      <c r="AF337" s="105" t="s">
        <v>679</v>
      </c>
      <c r="AG337" s="105">
        <v>22931.074000000001</v>
      </c>
      <c r="AH337" s="105" t="b">
        <v>1</v>
      </c>
      <c r="AI337" s="105">
        <v>-1</v>
      </c>
      <c r="AJ337" s="105" t="s">
        <v>680</v>
      </c>
      <c r="AK337" s="105">
        <v>0</v>
      </c>
      <c r="AL337" s="105" t="b">
        <v>0</v>
      </c>
      <c r="AM337" s="105">
        <v>22931.074000000001</v>
      </c>
      <c r="AN337" s="105" t="b">
        <v>1</v>
      </c>
      <c r="AO337" s="105">
        <v>0</v>
      </c>
      <c r="AP337" s="105" t="b">
        <v>0</v>
      </c>
      <c r="AQ337" s="105">
        <v>110684.984</v>
      </c>
      <c r="AR337" s="105"/>
      <c r="AS337" s="105">
        <v>110684.984</v>
      </c>
      <c r="AT337" s="105">
        <v>6</v>
      </c>
      <c r="AU337" s="105" t="b">
        <v>1</v>
      </c>
      <c r="AV337" s="105" t="b">
        <v>0</v>
      </c>
    </row>
    <row r="338" spans="1:48" s="46" customFormat="1">
      <c r="A338" s="105" t="s">
        <v>510</v>
      </c>
      <c r="B338" s="105" t="s">
        <v>665</v>
      </c>
      <c r="C338" s="105" t="s">
        <v>666</v>
      </c>
      <c r="D338" s="105">
        <v>20240101</v>
      </c>
      <c r="E338" s="105">
        <v>2024</v>
      </c>
      <c r="F338" s="105">
        <v>1</v>
      </c>
      <c r="G338" s="105" t="s">
        <v>667</v>
      </c>
      <c r="H338" s="105">
        <v>818</v>
      </c>
      <c r="I338" s="105" t="s">
        <v>668</v>
      </c>
      <c r="J338" s="105" t="s">
        <v>57</v>
      </c>
      <c r="K338" s="105" t="s">
        <v>666</v>
      </c>
      <c r="L338" s="105" t="s">
        <v>669</v>
      </c>
      <c r="M338" s="105">
        <v>380</v>
      </c>
      <c r="N338" s="105" t="s">
        <v>689</v>
      </c>
      <c r="O338" s="105" t="s">
        <v>71</v>
      </c>
      <c r="P338" s="105">
        <v>0</v>
      </c>
      <c r="Q338" s="105" t="s">
        <v>670</v>
      </c>
      <c r="R338" s="105" t="s">
        <v>23</v>
      </c>
      <c r="S338" s="105" t="s">
        <v>671</v>
      </c>
      <c r="T338" s="105" t="s">
        <v>672</v>
      </c>
      <c r="U338" s="105" t="b">
        <v>1</v>
      </c>
      <c r="V338" s="105" t="s">
        <v>745</v>
      </c>
      <c r="W338" s="105" t="s">
        <v>746</v>
      </c>
      <c r="X338" s="105">
        <v>6</v>
      </c>
      <c r="Y338" s="105" t="b">
        <v>1</v>
      </c>
      <c r="Z338" s="105" t="s">
        <v>675</v>
      </c>
      <c r="AA338" s="105" t="s">
        <v>676</v>
      </c>
      <c r="AB338" s="105" t="s">
        <v>677</v>
      </c>
      <c r="AC338" s="105">
        <v>0</v>
      </c>
      <c r="AD338" s="105" t="s">
        <v>678</v>
      </c>
      <c r="AE338" s="105">
        <v>8</v>
      </c>
      <c r="AF338" s="105" t="s">
        <v>679</v>
      </c>
      <c r="AG338" s="105">
        <v>981.05499999999995</v>
      </c>
      <c r="AH338" s="105" t="b">
        <v>1</v>
      </c>
      <c r="AI338" s="105">
        <v>-1</v>
      </c>
      <c r="AJ338" s="105" t="s">
        <v>680</v>
      </c>
      <c r="AK338" s="105">
        <v>0</v>
      </c>
      <c r="AL338" s="105" t="b">
        <v>0</v>
      </c>
      <c r="AM338" s="105">
        <v>981.05499999999995</v>
      </c>
      <c r="AN338" s="105" t="b">
        <v>1</v>
      </c>
      <c r="AO338" s="105">
        <v>0</v>
      </c>
      <c r="AP338" s="105" t="b">
        <v>0</v>
      </c>
      <c r="AQ338" s="105">
        <v>4735.4089999999997</v>
      </c>
      <c r="AR338" s="105"/>
      <c r="AS338" s="105">
        <v>4735.4089999999997</v>
      </c>
      <c r="AT338" s="105">
        <v>6</v>
      </c>
      <c r="AU338" s="105" t="b">
        <v>1</v>
      </c>
      <c r="AV338" s="105" t="b">
        <v>0</v>
      </c>
    </row>
    <row r="339" spans="1:48" s="46" customFormat="1">
      <c r="A339" s="105" t="s">
        <v>510</v>
      </c>
      <c r="B339" s="105" t="s">
        <v>665</v>
      </c>
      <c r="C339" s="105" t="s">
        <v>666</v>
      </c>
      <c r="D339" s="105">
        <v>20240101</v>
      </c>
      <c r="E339" s="105">
        <v>2024</v>
      </c>
      <c r="F339" s="105">
        <v>1</v>
      </c>
      <c r="G339" s="105" t="s">
        <v>667</v>
      </c>
      <c r="H339" s="105">
        <v>818</v>
      </c>
      <c r="I339" s="105" t="s">
        <v>668</v>
      </c>
      <c r="J339" s="105" t="s">
        <v>57</v>
      </c>
      <c r="K339" s="105" t="s">
        <v>666</v>
      </c>
      <c r="L339" s="105" t="s">
        <v>669</v>
      </c>
      <c r="M339" s="105">
        <v>699</v>
      </c>
      <c r="N339" s="105" t="s">
        <v>748</v>
      </c>
      <c r="O339" s="105" t="s">
        <v>0</v>
      </c>
      <c r="P339" s="105">
        <v>0</v>
      </c>
      <c r="Q339" s="105" t="s">
        <v>670</v>
      </c>
      <c r="R339" s="105" t="s">
        <v>23</v>
      </c>
      <c r="S339" s="105" t="s">
        <v>671</v>
      </c>
      <c r="T339" s="105" t="s">
        <v>672</v>
      </c>
      <c r="U339" s="105" t="b">
        <v>1</v>
      </c>
      <c r="V339" s="105" t="s">
        <v>745</v>
      </c>
      <c r="W339" s="105" t="s">
        <v>746</v>
      </c>
      <c r="X339" s="105">
        <v>6</v>
      </c>
      <c r="Y339" s="105" t="b">
        <v>1</v>
      </c>
      <c r="Z339" s="105" t="s">
        <v>675</v>
      </c>
      <c r="AA339" s="105" t="s">
        <v>676</v>
      </c>
      <c r="AB339" s="105" t="s">
        <v>677</v>
      </c>
      <c r="AC339" s="105">
        <v>0</v>
      </c>
      <c r="AD339" s="105" t="s">
        <v>678</v>
      </c>
      <c r="AE339" s="105">
        <v>8</v>
      </c>
      <c r="AF339" s="105" t="s">
        <v>679</v>
      </c>
      <c r="AG339" s="105">
        <v>1961.979</v>
      </c>
      <c r="AH339" s="105" t="b">
        <v>1</v>
      </c>
      <c r="AI339" s="105">
        <v>-1</v>
      </c>
      <c r="AJ339" s="105" t="s">
        <v>680</v>
      </c>
      <c r="AK339" s="105">
        <v>0</v>
      </c>
      <c r="AL339" s="105" t="b">
        <v>0</v>
      </c>
      <c r="AM339" s="105">
        <v>1961.979</v>
      </c>
      <c r="AN339" s="105" t="b">
        <v>1</v>
      </c>
      <c r="AO339" s="105">
        <v>0</v>
      </c>
      <c r="AP339" s="105" t="b">
        <v>0</v>
      </c>
      <c r="AQ339" s="105">
        <v>9470.1880000000001</v>
      </c>
      <c r="AR339" s="105"/>
      <c r="AS339" s="105">
        <v>9470.1880000000001</v>
      </c>
      <c r="AT339" s="105">
        <v>6</v>
      </c>
      <c r="AU339" s="105" t="b">
        <v>1</v>
      </c>
      <c r="AV339" s="105" t="b">
        <v>0</v>
      </c>
    </row>
    <row r="340" spans="1:48" s="46" customFormat="1">
      <c r="A340" s="105" t="s">
        <v>510</v>
      </c>
      <c r="B340" s="105" t="s">
        <v>665</v>
      </c>
      <c r="C340" s="105" t="s">
        <v>666</v>
      </c>
      <c r="D340" s="105">
        <v>20240101</v>
      </c>
      <c r="E340" s="105">
        <v>2024</v>
      </c>
      <c r="F340" s="105">
        <v>1</v>
      </c>
      <c r="G340" s="105" t="s">
        <v>667</v>
      </c>
      <c r="H340" s="105">
        <v>818</v>
      </c>
      <c r="I340" s="105" t="s">
        <v>668</v>
      </c>
      <c r="J340" s="105" t="s">
        <v>57</v>
      </c>
      <c r="K340" s="105" t="s">
        <v>666</v>
      </c>
      <c r="L340" s="105" t="s">
        <v>669</v>
      </c>
      <c r="M340" s="105">
        <v>792</v>
      </c>
      <c r="N340" s="105" t="s">
        <v>691</v>
      </c>
      <c r="O340" s="105" t="s">
        <v>63</v>
      </c>
      <c r="P340" s="105">
        <v>0</v>
      </c>
      <c r="Q340" s="105" t="s">
        <v>670</v>
      </c>
      <c r="R340" s="105" t="s">
        <v>23</v>
      </c>
      <c r="S340" s="105" t="s">
        <v>671</v>
      </c>
      <c r="T340" s="105" t="s">
        <v>672</v>
      </c>
      <c r="U340" s="105" t="b">
        <v>1</v>
      </c>
      <c r="V340" s="105" t="s">
        <v>745</v>
      </c>
      <c r="W340" s="105" t="s">
        <v>746</v>
      </c>
      <c r="X340" s="105">
        <v>6</v>
      </c>
      <c r="Y340" s="105" t="b">
        <v>1</v>
      </c>
      <c r="Z340" s="105" t="s">
        <v>675</v>
      </c>
      <c r="AA340" s="105" t="s">
        <v>676</v>
      </c>
      <c r="AB340" s="105" t="s">
        <v>677</v>
      </c>
      <c r="AC340" s="105">
        <v>0</v>
      </c>
      <c r="AD340" s="105" t="s">
        <v>678</v>
      </c>
      <c r="AE340" s="105">
        <v>8</v>
      </c>
      <c r="AF340" s="105" t="s">
        <v>679</v>
      </c>
      <c r="AG340" s="105">
        <v>4776.5140000000001</v>
      </c>
      <c r="AH340" s="105" t="b">
        <v>1</v>
      </c>
      <c r="AI340" s="105">
        <v>-1</v>
      </c>
      <c r="AJ340" s="105" t="s">
        <v>680</v>
      </c>
      <c r="AK340" s="105">
        <v>0</v>
      </c>
      <c r="AL340" s="105" t="b">
        <v>0</v>
      </c>
      <c r="AM340" s="105">
        <v>4776.5140000000001</v>
      </c>
      <c r="AN340" s="105" t="b">
        <v>1</v>
      </c>
      <c r="AO340" s="105">
        <v>0</v>
      </c>
      <c r="AP340" s="105" t="b">
        <v>0</v>
      </c>
      <c r="AQ340" s="105">
        <v>23055.544999999998</v>
      </c>
      <c r="AR340" s="105"/>
      <c r="AS340" s="105">
        <v>23055.544999999998</v>
      </c>
      <c r="AT340" s="105">
        <v>6</v>
      </c>
      <c r="AU340" s="105" t="b">
        <v>1</v>
      </c>
      <c r="AV340" s="105" t="b">
        <v>0</v>
      </c>
    </row>
    <row r="341" spans="1:48" s="46" customFormat="1">
      <c r="A341" s="105" t="s">
        <v>510</v>
      </c>
      <c r="B341" s="105" t="s">
        <v>665</v>
      </c>
      <c r="C341" s="105" t="s">
        <v>666</v>
      </c>
      <c r="D341" s="105">
        <v>20240101</v>
      </c>
      <c r="E341" s="105">
        <v>2024</v>
      </c>
      <c r="F341" s="105">
        <v>1</v>
      </c>
      <c r="G341" s="105" t="s">
        <v>667</v>
      </c>
      <c r="H341" s="105">
        <v>818</v>
      </c>
      <c r="I341" s="105" t="s">
        <v>668</v>
      </c>
      <c r="J341" s="105" t="s">
        <v>57</v>
      </c>
      <c r="K341" s="105" t="s">
        <v>666</v>
      </c>
      <c r="L341" s="105" t="s">
        <v>669</v>
      </c>
      <c r="M341" s="105">
        <v>842</v>
      </c>
      <c r="N341" s="105" t="s">
        <v>713</v>
      </c>
      <c r="O341" s="105" t="s">
        <v>713</v>
      </c>
      <c r="P341" s="105">
        <v>0</v>
      </c>
      <c r="Q341" s="105" t="s">
        <v>670</v>
      </c>
      <c r="R341" s="105" t="s">
        <v>23</v>
      </c>
      <c r="S341" s="105" t="s">
        <v>671</v>
      </c>
      <c r="T341" s="105" t="s">
        <v>672</v>
      </c>
      <c r="U341" s="105" t="b">
        <v>1</v>
      </c>
      <c r="V341" s="105" t="s">
        <v>745</v>
      </c>
      <c r="W341" s="105" t="s">
        <v>746</v>
      </c>
      <c r="X341" s="105">
        <v>6</v>
      </c>
      <c r="Y341" s="105" t="b">
        <v>1</v>
      </c>
      <c r="Z341" s="105" t="s">
        <v>675</v>
      </c>
      <c r="AA341" s="105" t="s">
        <v>676</v>
      </c>
      <c r="AB341" s="105" t="s">
        <v>677</v>
      </c>
      <c r="AC341" s="105">
        <v>0</v>
      </c>
      <c r="AD341" s="105" t="s">
        <v>678</v>
      </c>
      <c r="AE341" s="105">
        <v>8</v>
      </c>
      <c r="AF341" s="105" t="s">
        <v>679</v>
      </c>
      <c r="AG341" s="105">
        <v>635.73800000000006</v>
      </c>
      <c r="AH341" s="105" t="b">
        <v>1</v>
      </c>
      <c r="AI341" s="105">
        <v>-1</v>
      </c>
      <c r="AJ341" s="105" t="s">
        <v>680</v>
      </c>
      <c r="AK341" s="105">
        <v>0</v>
      </c>
      <c r="AL341" s="105" t="b">
        <v>0</v>
      </c>
      <c r="AM341" s="105">
        <v>635.73800000000006</v>
      </c>
      <c r="AN341" s="105" t="b">
        <v>1</v>
      </c>
      <c r="AO341" s="105">
        <v>0</v>
      </c>
      <c r="AP341" s="105" t="b">
        <v>0</v>
      </c>
      <c r="AQ341" s="105">
        <v>3068.614</v>
      </c>
      <c r="AR341" s="105"/>
      <c r="AS341" s="105">
        <v>3068.614</v>
      </c>
      <c r="AT341" s="105">
        <v>6</v>
      </c>
      <c r="AU341" s="105" t="b">
        <v>1</v>
      </c>
      <c r="AV341" s="105" t="b">
        <v>0</v>
      </c>
    </row>
    <row r="342" spans="1:48" s="46" customFormat="1">
      <c r="A342" s="105" t="s">
        <v>510</v>
      </c>
      <c r="B342" s="105" t="s">
        <v>665</v>
      </c>
      <c r="C342" s="105" t="s">
        <v>666</v>
      </c>
      <c r="D342" s="105">
        <v>20240201</v>
      </c>
      <c r="E342" s="105">
        <v>2024</v>
      </c>
      <c r="F342" s="105">
        <v>2</v>
      </c>
      <c r="G342" s="105" t="s">
        <v>687</v>
      </c>
      <c r="H342" s="105">
        <v>818</v>
      </c>
      <c r="I342" s="105" t="s">
        <v>668</v>
      </c>
      <c r="J342" s="105" t="s">
        <v>57</v>
      </c>
      <c r="K342" s="105" t="s">
        <v>666</v>
      </c>
      <c r="L342" s="105" t="s">
        <v>669</v>
      </c>
      <c r="M342" s="105">
        <v>0</v>
      </c>
      <c r="N342" s="105" t="s">
        <v>670</v>
      </c>
      <c r="O342" s="105" t="s">
        <v>23</v>
      </c>
      <c r="P342" s="105">
        <v>0</v>
      </c>
      <c r="Q342" s="105" t="s">
        <v>670</v>
      </c>
      <c r="R342" s="105" t="s">
        <v>23</v>
      </c>
      <c r="S342" s="105" t="s">
        <v>671</v>
      </c>
      <c r="T342" s="105" t="s">
        <v>672</v>
      </c>
      <c r="U342" s="105" t="b">
        <v>1</v>
      </c>
      <c r="V342" s="105" t="s">
        <v>745</v>
      </c>
      <c r="W342" s="105" t="s">
        <v>746</v>
      </c>
      <c r="X342" s="105">
        <v>6</v>
      </c>
      <c r="Y342" s="105" t="b">
        <v>1</v>
      </c>
      <c r="Z342" s="105" t="s">
        <v>675</v>
      </c>
      <c r="AA342" s="105" t="s">
        <v>676</v>
      </c>
      <c r="AB342" s="105" t="s">
        <v>677</v>
      </c>
      <c r="AC342" s="105">
        <v>0</v>
      </c>
      <c r="AD342" s="105" t="s">
        <v>678</v>
      </c>
      <c r="AE342" s="105">
        <v>8</v>
      </c>
      <c r="AF342" s="105" t="s">
        <v>679</v>
      </c>
      <c r="AG342" s="105">
        <v>191946.704</v>
      </c>
      <c r="AH342" s="105" t="b">
        <v>1</v>
      </c>
      <c r="AI342" s="105">
        <v>-1</v>
      </c>
      <c r="AJ342" s="105" t="s">
        <v>680</v>
      </c>
      <c r="AK342" s="105">
        <v>0</v>
      </c>
      <c r="AL342" s="105" t="b">
        <v>0</v>
      </c>
      <c r="AM342" s="105">
        <v>191946.704</v>
      </c>
      <c r="AN342" s="105" t="b">
        <v>1</v>
      </c>
      <c r="AO342" s="105">
        <v>0</v>
      </c>
      <c r="AP342" s="105" t="b">
        <v>0</v>
      </c>
      <c r="AQ342" s="105">
        <v>926499.01599999995</v>
      </c>
      <c r="AR342" s="105"/>
      <c r="AS342" s="105">
        <v>926499.01599999995</v>
      </c>
      <c r="AT342" s="105">
        <v>6</v>
      </c>
      <c r="AU342" s="105" t="b">
        <v>0</v>
      </c>
      <c r="AV342" s="105" t="b">
        <v>1</v>
      </c>
    </row>
    <row r="343" spans="1:48" s="46" customFormat="1">
      <c r="A343" s="105" t="s">
        <v>510</v>
      </c>
      <c r="B343" s="105" t="s">
        <v>665</v>
      </c>
      <c r="C343" s="105" t="s">
        <v>666</v>
      </c>
      <c r="D343" s="105">
        <v>20240201</v>
      </c>
      <c r="E343" s="105">
        <v>2024</v>
      </c>
      <c r="F343" s="105">
        <v>2</v>
      </c>
      <c r="G343" s="105" t="s">
        <v>687</v>
      </c>
      <c r="H343" s="105">
        <v>818</v>
      </c>
      <c r="I343" s="105" t="s">
        <v>668</v>
      </c>
      <c r="J343" s="105" t="s">
        <v>57</v>
      </c>
      <c r="K343" s="105" t="s">
        <v>666</v>
      </c>
      <c r="L343" s="105" t="s">
        <v>669</v>
      </c>
      <c r="M343" s="105">
        <v>156</v>
      </c>
      <c r="N343" s="105" t="s">
        <v>711</v>
      </c>
      <c r="O343" s="105" t="s">
        <v>29</v>
      </c>
      <c r="P343" s="105">
        <v>0</v>
      </c>
      <c r="Q343" s="105" t="s">
        <v>670</v>
      </c>
      <c r="R343" s="105" t="s">
        <v>23</v>
      </c>
      <c r="S343" s="105" t="s">
        <v>671</v>
      </c>
      <c r="T343" s="105" t="s">
        <v>672</v>
      </c>
      <c r="U343" s="105" t="b">
        <v>1</v>
      </c>
      <c r="V343" s="105" t="s">
        <v>745</v>
      </c>
      <c r="W343" s="105" t="s">
        <v>746</v>
      </c>
      <c r="X343" s="105">
        <v>6</v>
      </c>
      <c r="Y343" s="105" t="b">
        <v>1</v>
      </c>
      <c r="Z343" s="105" t="s">
        <v>675</v>
      </c>
      <c r="AA343" s="105" t="s">
        <v>676</v>
      </c>
      <c r="AB343" s="105" t="s">
        <v>677</v>
      </c>
      <c r="AC343" s="105">
        <v>0</v>
      </c>
      <c r="AD343" s="105" t="s">
        <v>678</v>
      </c>
      <c r="AE343" s="105">
        <v>8</v>
      </c>
      <c r="AF343" s="105" t="s">
        <v>679</v>
      </c>
      <c r="AG343" s="105">
        <v>23865.374</v>
      </c>
      <c r="AH343" s="105" t="b">
        <v>1</v>
      </c>
      <c r="AI343" s="105">
        <v>-1</v>
      </c>
      <c r="AJ343" s="105" t="s">
        <v>680</v>
      </c>
      <c r="AK343" s="105">
        <v>0</v>
      </c>
      <c r="AL343" s="105" t="b">
        <v>0</v>
      </c>
      <c r="AM343" s="105">
        <v>23865.374</v>
      </c>
      <c r="AN343" s="105" t="b">
        <v>1</v>
      </c>
      <c r="AO343" s="105">
        <v>0</v>
      </c>
      <c r="AP343" s="105" t="b">
        <v>0</v>
      </c>
      <c r="AQ343" s="105">
        <v>115194.712</v>
      </c>
      <c r="AR343" s="105"/>
      <c r="AS343" s="105">
        <v>115194.712</v>
      </c>
      <c r="AT343" s="105">
        <v>6</v>
      </c>
      <c r="AU343" s="105" t="b">
        <v>1</v>
      </c>
      <c r="AV343" s="105" t="b">
        <v>0</v>
      </c>
    </row>
    <row r="344" spans="1:48" s="46" customFormat="1">
      <c r="A344" s="105" t="s">
        <v>510</v>
      </c>
      <c r="B344" s="105" t="s">
        <v>665</v>
      </c>
      <c r="C344" s="105" t="s">
        <v>666</v>
      </c>
      <c r="D344" s="105">
        <v>20240201</v>
      </c>
      <c r="E344" s="105">
        <v>2024</v>
      </c>
      <c r="F344" s="105">
        <v>2</v>
      </c>
      <c r="G344" s="105" t="s">
        <v>687</v>
      </c>
      <c r="H344" s="105">
        <v>818</v>
      </c>
      <c r="I344" s="105" t="s">
        <v>668</v>
      </c>
      <c r="J344" s="105" t="s">
        <v>57</v>
      </c>
      <c r="K344" s="105" t="s">
        <v>666</v>
      </c>
      <c r="L344" s="105" t="s">
        <v>669</v>
      </c>
      <c r="M344" s="105">
        <v>251</v>
      </c>
      <c r="N344" s="105" t="s">
        <v>688</v>
      </c>
      <c r="O344" s="105" t="s">
        <v>69</v>
      </c>
      <c r="P344" s="105">
        <v>0</v>
      </c>
      <c r="Q344" s="105" t="s">
        <v>670</v>
      </c>
      <c r="R344" s="105" t="s">
        <v>23</v>
      </c>
      <c r="S344" s="105" t="s">
        <v>671</v>
      </c>
      <c r="T344" s="105" t="s">
        <v>672</v>
      </c>
      <c r="U344" s="105" t="b">
        <v>1</v>
      </c>
      <c r="V344" s="105" t="s">
        <v>745</v>
      </c>
      <c r="W344" s="105" t="s">
        <v>746</v>
      </c>
      <c r="X344" s="105">
        <v>6</v>
      </c>
      <c r="Y344" s="105" t="b">
        <v>1</v>
      </c>
      <c r="Z344" s="105" t="s">
        <v>675</v>
      </c>
      <c r="AA344" s="105" t="s">
        <v>676</v>
      </c>
      <c r="AB344" s="105" t="s">
        <v>677</v>
      </c>
      <c r="AC344" s="105">
        <v>0</v>
      </c>
      <c r="AD344" s="105" t="s">
        <v>678</v>
      </c>
      <c r="AE344" s="105">
        <v>8</v>
      </c>
      <c r="AF344" s="105" t="s">
        <v>679</v>
      </c>
      <c r="AG344" s="105">
        <v>1820.2180000000001</v>
      </c>
      <c r="AH344" s="105" t="b">
        <v>1</v>
      </c>
      <c r="AI344" s="105">
        <v>-1</v>
      </c>
      <c r="AJ344" s="105" t="s">
        <v>680</v>
      </c>
      <c r="AK344" s="105">
        <v>0</v>
      </c>
      <c r="AL344" s="105" t="b">
        <v>0</v>
      </c>
      <c r="AM344" s="105">
        <v>1820.2180000000001</v>
      </c>
      <c r="AN344" s="105" t="b">
        <v>1</v>
      </c>
      <c r="AO344" s="105">
        <v>0</v>
      </c>
      <c r="AP344" s="105" t="b">
        <v>0</v>
      </c>
      <c r="AQ344" s="105">
        <v>8785.9279999999999</v>
      </c>
      <c r="AR344" s="105"/>
      <c r="AS344" s="105">
        <v>8785.9279999999999</v>
      </c>
      <c r="AT344" s="105">
        <v>6</v>
      </c>
      <c r="AU344" s="105" t="b">
        <v>1</v>
      </c>
      <c r="AV344" s="105" t="b">
        <v>0</v>
      </c>
    </row>
    <row r="345" spans="1:48" s="46" customFormat="1">
      <c r="A345" s="105" t="s">
        <v>510</v>
      </c>
      <c r="B345" s="105" t="s">
        <v>665</v>
      </c>
      <c r="C345" s="105" t="s">
        <v>666</v>
      </c>
      <c r="D345" s="105">
        <v>20240201</v>
      </c>
      <c r="E345" s="105">
        <v>2024</v>
      </c>
      <c r="F345" s="105">
        <v>2</v>
      </c>
      <c r="G345" s="105" t="s">
        <v>687</v>
      </c>
      <c r="H345" s="105">
        <v>818</v>
      </c>
      <c r="I345" s="105" t="s">
        <v>668</v>
      </c>
      <c r="J345" s="105" t="s">
        <v>57</v>
      </c>
      <c r="K345" s="105" t="s">
        <v>666</v>
      </c>
      <c r="L345" s="105" t="s">
        <v>669</v>
      </c>
      <c r="M345" s="105">
        <v>276</v>
      </c>
      <c r="N345" s="105" t="s">
        <v>681</v>
      </c>
      <c r="O345" s="105" t="s">
        <v>30</v>
      </c>
      <c r="P345" s="105">
        <v>0</v>
      </c>
      <c r="Q345" s="105" t="s">
        <v>670</v>
      </c>
      <c r="R345" s="105" t="s">
        <v>23</v>
      </c>
      <c r="S345" s="105" t="s">
        <v>671</v>
      </c>
      <c r="T345" s="105" t="s">
        <v>672</v>
      </c>
      <c r="U345" s="105" t="b">
        <v>1</v>
      </c>
      <c r="V345" s="105" t="s">
        <v>745</v>
      </c>
      <c r="W345" s="105" t="s">
        <v>746</v>
      </c>
      <c r="X345" s="105">
        <v>6</v>
      </c>
      <c r="Y345" s="105" t="b">
        <v>1</v>
      </c>
      <c r="Z345" s="105" t="s">
        <v>675</v>
      </c>
      <c r="AA345" s="105" t="s">
        <v>676</v>
      </c>
      <c r="AB345" s="105" t="s">
        <v>677</v>
      </c>
      <c r="AC345" s="105">
        <v>0</v>
      </c>
      <c r="AD345" s="105" t="s">
        <v>678</v>
      </c>
      <c r="AE345" s="105">
        <v>8</v>
      </c>
      <c r="AF345" s="105" t="s">
        <v>679</v>
      </c>
      <c r="AG345" s="105">
        <v>39740.421000000002</v>
      </c>
      <c r="AH345" s="105" t="b">
        <v>1</v>
      </c>
      <c r="AI345" s="105">
        <v>-1</v>
      </c>
      <c r="AJ345" s="105" t="s">
        <v>680</v>
      </c>
      <c r="AK345" s="105">
        <v>0</v>
      </c>
      <c r="AL345" s="105" t="b">
        <v>0</v>
      </c>
      <c r="AM345" s="105">
        <v>39740.421000000002</v>
      </c>
      <c r="AN345" s="105" t="b">
        <v>1</v>
      </c>
      <c r="AO345" s="105">
        <v>0</v>
      </c>
      <c r="AP345" s="105" t="b">
        <v>0</v>
      </c>
      <c r="AQ345" s="105">
        <v>191821.27100000001</v>
      </c>
      <c r="AR345" s="105"/>
      <c r="AS345" s="105">
        <v>191821.27100000001</v>
      </c>
      <c r="AT345" s="105">
        <v>6</v>
      </c>
      <c r="AU345" s="105" t="b">
        <v>1</v>
      </c>
      <c r="AV345" s="105" t="b">
        <v>0</v>
      </c>
    </row>
    <row r="346" spans="1:48" s="46" customFormat="1">
      <c r="A346" s="105" t="s">
        <v>510</v>
      </c>
      <c r="B346" s="105" t="s">
        <v>665</v>
      </c>
      <c r="C346" s="105" t="s">
        <v>666</v>
      </c>
      <c r="D346" s="105">
        <v>20240201</v>
      </c>
      <c r="E346" s="105">
        <v>2024</v>
      </c>
      <c r="F346" s="105">
        <v>2</v>
      </c>
      <c r="G346" s="105" t="s">
        <v>687</v>
      </c>
      <c r="H346" s="105">
        <v>818</v>
      </c>
      <c r="I346" s="105" t="s">
        <v>668</v>
      </c>
      <c r="J346" s="105" t="s">
        <v>57</v>
      </c>
      <c r="K346" s="105" t="s">
        <v>666</v>
      </c>
      <c r="L346" s="105" t="s">
        <v>669</v>
      </c>
      <c r="M346" s="105">
        <v>380</v>
      </c>
      <c r="N346" s="105" t="s">
        <v>689</v>
      </c>
      <c r="O346" s="105" t="s">
        <v>71</v>
      </c>
      <c r="P346" s="105">
        <v>0</v>
      </c>
      <c r="Q346" s="105" t="s">
        <v>670</v>
      </c>
      <c r="R346" s="105" t="s">
        <v>23</v>
      </c>
      <c r="S346" s="105" t="s">
        <v>671</v>
      </c>
      <c r="T346" s="105" t="s">
        <v>672</v>
      </c>
      <c r="U346" s="105" t="b">
        <v>1</v>
      </c>
      <c r="V346" s="105" t="s">
        <v>745</v>
      </c>
      <c r="W346" s="105" t="s">
        <v>746</v>
      </c>
      <c r="X346" s="105">
        <v>6</v>
      </c>
      <c r="Y346" s="105" t="b">
        <v>1</v>
      </c>
      <c r="Z346" s="105" t="s">
        <v>675</v>
      </c>
      <c r="AA346" s="105" t="s">
        <v>676</v>
      </c>
      <c r="AB346" s="105" t="s">
        <v>677</v>
      </c>
      <c r="AC346" s="105">
        <v>0</v>
      </c>
      <c r="AD346" s="105" t="s">
        <v>678</v>
      </c>
      <c r="AE346" s="105">
        <v>8</v>
      </c>
      <c r="AF346" s="105" t="s">
        <v>679</v>
      </c>
      <c r="AG346" s="105">
        <v>4272.0259999999998</v>
      </c>
      <c r="AH346" s="105" t="b">
        <v>1</v>
      </c>
      <c r="AI346" s="105">
        <v>-1</v>
      </c>
      <c r="AJ346" s="105" t="s">
        <v>680</v>
      </c>
      <c r="AK346" s="105">
        <v>0</v>
      </c>
      <c r="AL346" s="105" t="b">
        <v>0</v>
      </c>
      <c r="AM346" s="105">
        <v>4272.0259999999998</v>
      </c>
      <c r="AN346" s="105" t="b">
        <v>1</v>
      </c>
      <c r="AO346" s="105">
        <v>0</v>
      </c>
      <c r="AP346" s="105" t="b">
        <v>0</v>
      </c>
      <c r="AQ346" s="105">
        <v>20620.453000000001</v>
      </c>
      <c r="AR346" s="105"/>
      <c r="AS346" s="105">
        <v>20620.453000000001</v>
      </c>
      <c r="AT346" s="105">
        <v>6</v>
      </c>
      <c r="AU346" s="105" t="b">
        <v>1</v>
      </c>
      <c r="AV346" s="105" t="b">
        <v>0</v>
      </c>
    </row>
    <row r="347" spans="1:48" s="46" customFormat="1">
      <c r="A347" s="105" t="s">
        <v>510</v>
      </c>
      <c r="B347" s="105" t="s">
        <v>665</v>
      </c>
      <c r="C347" s="105" t="s">
        <v>666</v>
      </c>
      <c r="D347" s="105">
        <v>20240201</v>
      </c>
      <c r="E347" s="105">
        <v>2024</v>
      </c>
      <c r="F347" s="105">
        <v>2</v>
      </c>
      <c r="G347" s="105" t="s">
        <v>687</v>
      </c>
      <c r="H347" s="105">
        <v>818</v>
      </c>
      <c r="I347" s="105" t="s">
        <v>668</v>
      </c>
      <c r="J347" s="105" t="s">
        <v>57</v>
      </c>
      <c r="K347" s="105" t="s">
        <v>666</v>
      </c>
      <c r="L347" s="105" t="s">
        <v>669</v>
      </c>
      <c r="M347" s="105">
        <v>392</v>
      </c>
      <c r="N347" s="105" t="s">
        <v>747</v>
      </c>
      <c r="O347" s="105" t="s">
        <v>32</v>
      </c>
      <c r="P347" s="105">
        <v>0</v>
      </c>
      <c r="Q347" s="105" t="s">
        <v>670</v>
      </c>
      <c r="R347" s="105" t="s">
        <v>23</v>
      </c>
      <c r="S347" s="105" t="s">
        <v>671</v>
      </c>
      <c r="T347" s="105" t="s">
        <v>672</v>
      </c>
      <c r="U347" s="105" t="b">
        <v>1</v>
      </c>
      <c r="V347" s="105" t="s">
        <v>745</v>
      </c>
      <c r="W347" s="105" t="s">
        <v>746</v>
      </c>
      <c r="X347" s="105">
        <v>6</v>
      </c>
      <c r="Y347" s="105" t="b">
        <v>1</v>
      </c>
      <c r="Z347" s="105" t="s">
        <v>675</v>
      </c>
      <c r="AA347" s="105" t="s">
        <v>676</v>
      </c>
      <c r="AB347" s="105" t="s">
        <v>677</v>
      </c>
      <c r="AC347" s="105">
        <v>0</v>
      </c>
      <c r="AD347" s="105" t="s">
        <v>678</v>
      </c>
      <c r="AE347" s="105">
        <v>8</v>
      </c>
      <c r="AF347" s="105" t="s">
        <v>679</v>
      </c>
      <c r="AG347" s="105">
        <v>43613.142999999996</v>
      </c>
      <c r="AH347" s="105" t="b">
        <v>1</v>
      </c>
      <c r="AI347" s="105">
        <v>-1</v>
      </c>
      <c r="AJ347" s="105" t="s">
        <v>680</v>
      </c>
      <c r="AK347" s="105">
        <v>0</v>
      </c>
      <c r="AL347" s="105" t="b">
        <v>0</v>
      </c>
      <c r="AM347" s="105">
        <v>43613.142999999996</v>
      </c>
      <c r="AN347" s="105" t="b">
        <v>1</v>
      </c>
      <c r="AO347" s="105">
        <v>0</v>
      </c>
      <c r="AP347" s="105" t="b">
        <v>0</v>
      </c>
      <c r="AQ347" s="105">
        <v>210514.34400000001</v>
      </c>
      <c r="AR347" s="105"/>
      <c r="AS347" s="105">
        <v>210514.34400000001</v>
      </c>
      <c r="AT347" s="105">
        <v>6</v>
      </c>
      <c r="AU347" s="105" t="b">
        <v>1</v>
      </c>
      <c r="AV347" s="105" t="b">
        <v>0</v>
      </c>
    </row>
    <row r="348" spans="1:48" s="46" customFormat="1">
      <c r="A348" s="105" t="s">
        <v>510</v>
      </c>
      <c r="B348" s="105" t="s">
        <v>665</v>
      </c>
      <c r="C348" s="105" t="s">
        <v>666</v>
      </c>
      <c r="D348" s="105">
        <v>20240201</v>
      </c>
      <c r="E348" s="105">
        <v>2024</v>
      </c>
      <c r="F348" s="105">
        <v>2</v>
      </c>
      <c r="G348" s="105" t="s">
        <v>687</v>
      </c>
      <c r="H348" s="105">
        <v>818</v>
      </c>
      <c r="I348" s="105" t="s">
        <v>668</v>
      </c>
      <c r="J348" s="105" t="s">
        <v>57</v>
      </c>
      <c r="K348" s="105" t="s">
        <v>666</v>
      </c>
      <c r="L348" s="105" t="s">
        <v>669</v>
      </c>
      <c r="M348" s="105">
        <v>528</v>
      </c>
      <c r="N348" s="105" t="s">
        <v>698</v>
      </c>
      <c r="O348" s="105" t="s">
        <v>60</v>
      </c>
      <c r="P348" s="105">
        <v>0</v>
      </c>
      <c r="Q348" s="105" t="s">
        <v>670</v>
      </c>
      <c r="R348" s="105" t="s">
        <v>23</v>
      </c>
      <c r="S348" s="105" t="s">
        <v>671</v>
      </c>
      <c r="T348" s="105" t="s">
        <v>672</v>
      </c>
      <c r="U348" s="105" t="b">
        <v>1</v>
      </c>
      <c r="V348" s="105" t="s">
        <v>745</v>
      </c>
      <c r="W348" s="105" t="s">
        <v>746</v>
      </c>
      <c r="X348" s="105">
        <v>6</v>
      </c>
      <c r="Y348" s="105" t="b">
        <v>1</v>
      </c>
      <c r="Z348" s="105" t="s">
        <v>675</v>
      </c>
      <c r="AA348" s="105" t="s">
        <v>676</v>
      </c>
      <c r="AB348" s="105" t="s">
        <v>677</v>
      </c>
      <c r="AC348" s="105">
        <v>0</v>
      </c>
      <c r="AD348" s="105" t="s">
        <v>678</v>
      </c>
      <c r="AE348" s="105">
        <v>8</v>
      </c>
      <c r="AF348" s="105" t="s">
        <v>679</v>
      </c>
      <c r="AG348" s="105">
        <v>8.1539999999999999</v>
      </c>
      <c r="AH348" s="105" t="b">
        <v>1</v>
      </c>
      <c r="AI348" s="105">
        <v>-1</v>
      </c>
      <c r="AJ348" s="105" t="s">
        <v>680</v>
      </c>
      <c r="AK348" s="105">
        <v>0</v>
      </c>
      <c r="AL348" s="105" t="b">
        <v>0</v>
      </c>
      <c r="AM348" s="105">
        <v>8.1539999999999999</v>
      </c>
      <c r="AN348" s="105" t="b">
        <v>1</v>
      </c>
      <c r="AO348" s="105">
        <v>0</v>
      </c>
      <c r="AP348" s="105" t="b">
        <v>0</v>
      </c>
      <c r="AQ348" s="105">
        <v>39.359000000000002</v>
      </c>
      <c r="AR348" s="105"/>
      <c r="AS348" s="105">
        <v>39.359000000000002</v>
      </c>
      <c r="AT348" s="105">
        <v>6</v>
      </c>
      <c r="AU348" s="105" t="b">
        <v>1</v>
      </c>
      <c r="AV348" s="105" t="b">
        <v>0</v>
      </c>
    </row>
    <row r="349" spans="1:48" s="46" customFormat="1">
      <c r="A349" s="105" t="s">
        <v>510</v>
      </c>
      <c r="B349" s="105" t="s">
        <v>665</v>
      </c>
      <c r="C349" s="105" t="s">
        <v>666</v>
      </c>
      <c r="D349" s="105">
        <v>20240201</v>
      </c>
      <c r="E349" s="105">
        <v>2024</v>
      </c>
      <c r="F349" s="105">
        <v>2</v>
      </c>
      <c r="G349" s="105" t="s">
        <v>687</v>
      </c>
      <c r="H349" s="105">
        <v>818</v>
      </c>
      <c r="I349" s="105" t="s">
        <v>668</v>
      </c>
      <c r="J349" s="105" t="s">
        <v>57</v>
      </c>
      <c r="K349" s="105" t="s">
        <v>666</v>
      </c>
      <c r="L349" s="105" t="s">
        <v>669</v>
      </c>
      <c r="M349" s="105">
        <v>682</v>
      </c>
      <c r="N349" s="105" t="s">
        <v>758</v>
      </c>
      <c r="O349" s="105" t="s">
        <v>39</v>
      </c>
      <c r="P349" s="105">
        <v>0</v>
      </c>
      <c r="Q349" s="105" t="s">
        <v>670</v>
      </c>
      <c r="R349" s="105" t="s">
        <v>23</v>
      </c>
      <c r="S349" s="105" t="s">
        <v>671</v>
      </c>
      <c r="T349" s="105" t="s">
        <v>672</v>
      </c>
      <c r="U349" s="105" t="b">
        <v>1</v>
      </c>
      <c r="V349" s="105" t="s">
        <v>745</v>
      </c>
      <c r="W349" s="105" t="s">
        <v>746</v>
      </c>
      <c r="X349" s="105">
        <v>6</v>
      </c>
      <c r="Y349" s="105" t="b">
        <v>1</v>
      </c>
      <c r="Z349" s="105" t="s">
        <v>675</v>
      </c>
      <c r="AA349" s="105" t="s">
        <v>676</v>
      </c>
      <c r="AB349" s="105" t="s">
        <v>677</v>
      </c>
      <c r="AC349" s="105">
        <v>0</v>
      </c>
      <c r="AD349" s="105" t="s">
        <v>678</v>
      </c>
      <c r="AE349" s="105">
        <v>8</v>
      </c>
      <c r="AF349" s="105" t="s">
        <v>679</v>
      </c>
      <c r="AG349" s="105">
        <v>18163.57</v>
      </c>
      <c r="AH349" s="105" t="b">
        <v>1</v>
      </c>
      <c r="AI349" s="105">
        <v>-1</v>
      </c>
      <c r="AJ349" s="105" t="s">
        <v>680</v>
      </c>
      <c r="AK349" s="105">
        <v>0</v>
      </c>
      <c r="AL349" s="105" t="b">
        <v>0</v>
      </c>
      <c r="AM349" s="105">
        <v>18163.57</v>
      </c>
      <c r="AN349" s="105" t="b">
        <v>1</v>
      </c>
      <c r="AO349" s="105">
        <v>0</v>
      </c>
      <c r="AP349" s="105" t="b">
        <v>0</v>
      </c>
      <c r="AQ349" s="105">
        <v>87672.93</v>
      </c>
      <c r="AR349" s="105"/>
      <c r="AS349" s="105">
        <v>87672.93</v>
      </c>
      <c r="AT349" s="105">
        <v>6</v>
      </c>
      <c r="AU349" s="105" t="b">
        <v>1</v>
      </c>
      <c r="AV349" s="105" t="b">
        <v>0</v>
      </c>
    </row>
    <row r="350" spans="1:48" s="46" customFormat="1">
      <c r="A350" s="105" t="s">
        <v>510</v>
      </c>
      <c r="B350" s="105" t="s">
        <v>665</v>
      </c>
      <c r="C350" s="105" t="s">
        <v>666</v>
      </c>
      <c r="D350" s="105">
        <v>20240201</v>
      </c>
      <c r="E350" s="105">
        <v>2024</v>
      </c>
      <c r="F350" s="105">
        <v>2</v>
      </c>
      <c r="G350" s="105" t="s">
        <v>687</v>
      </c>
      <c r="H350" s="105">
        <v>818</v>
      </c>
      <c r="I350" s="105" t="s">
        <v>668</v>
      </c>
      <c r="J350" s="105" t="s">
        <v>57</v>
      </c>
      <c r="K350" s="105" t="s">
        <v>666</v>
      </c>
      <c r="L350" s="105" t="s">
        <v>669</v>
      </c>
      <c r="M350" s="105">
        <v>699</v>
      </c>
      <c r="N350" s="105" t="s">
        <v>748</v>
      </c>
      <c r="O350" s="105" t="s">
        <v>0</v>
      </c>
      <c r="P350" s="105">
        <v>0</v>
      </c>
      <c r="Q350" s="105" t="s">
        <v>670</v>
      </c>
      <c r="R350" s="105" t="s">
        <v>23</v>
      </c>
      <c r="S350" s="105" t="s">
        <v>671</v>
      </c>
      <c r="T350" s="105" t="s">
        <v>672</v>
      </c>
      <c r="U350" s="105" t="b">
        <v>1</v>
      </c>
      <c r="V350" s="105" t="s">
        <v>745</v>
      </c>
      <c r="W350" s="105" t="s">
        <v>746</v>
      </c>
      <c r="X350" s="105">
        <v>6</v>
      </c>
      <c r="Y350" s="105" t="b">
        <v>1</v>
      </c>
      <c r="Z350" s="105" t="s">
        <v>675</v>
      </c>
      <c r="AA350" s="105" t="s">
        <v>676</v>
      </c>
      <c r="AB350" s="105" t="s">
        <v>677</v>
      </c>
      <c r="AC350" s="105">
        <v>0</v>
      </c>
      <c r="AD350" s="105" t="s">
        <v>678</v>
      </c>
      <c r="AE350" s="105">
        <v>8</v>
      </c>
      <c r="AF350" s="105" t="s">
        <v>679</v>
      </c>
      <c r="AG350" s="105">
        <v>2169.232</v>
      </c>
      <c r="AH350" s="105" t="b">
        <v>1</v>
      </c>
      <c r="AI350" s="105">
        <v>-1</v>
      </c>
      <c r="AJ350" s="105" t="s">
        <v>680</v>
      </c>
      <c r="AK350" s="105">
        <v>0</v>
      </c>
      <c r="AL350" s="105" t="b">
        <v>0</v>
      </c>
      <c r="AM350" s="105">
        <v>2169.232</v>
      </c>
      <c r="AN350" s="105" t="b">
        <v>1</v>
      </c>
      <c r="AO350" s="105">
        <v>0</v>
      </c>
      <c r="AP350" s="105" t="b">
        <v>0</v>
      </c>
      <c r="AQ350" s="105">
        <v>10470.57</v>
      </c>
      <c r="AR350" s="105"/>
      <c r="AS350" s="105">
        <v>10470.57</v>
      </c>
      <c r="AT350" s="105">
        <v>6</v>
      </c>
      <c r="AU350" s="105" t="b">
        <v>1</v>
      </c>
      <c r="AV350" s="105" t="b">
        <v>0</v>
      </c>
    </row>
    <row r="351" spans="1:48" s="46" customFormat="1">
      <c r="A351" s="105" t="s">
        <v>510</v>
      </c>
      <c r="B351" s="105" t="s">
        <v>665</v>
      </c>
      <c r="C351" s="105" t="s">
        <v>666</v>
      </c>
      <c r="D351" s="105">
        <v>20240201</v>
      </c>
      <c r="E351" s="105">
        <v>2024</v>
      </c>
      <c r="F351" s="105">
        <v>2</v>
      </c>
      <c r="G351" s="105" t="s">
        <v>687</v>
      </c>
      <c r="H351" s="105">
        <v>818</v>
      </c>
      <c r="I351" s="105" t="s">
        <v>668</v>
      </c>
      <c r="J351" s="105" t="s">
        <v>57</v>
      </c>
      <c r="K351" s="105" t="s">
        <v>666</v>
      </c>
      <c r="L351" s="105" t="s">
        <v>669</v>
      </c>
      <c r="M351" s="105">
        <v>764</v>
      </c>
      <c r="N351" s="105" t="s">
        <v>749</v>
      </c>
      <c r="O351" s="105" t="s">
        <v>55</v>
      </c>
      <c r="P351" s="105">
        <v>0</v>
      </c>
      <c r="Q351" s="105" t="s">
        <v>670</v>
      </c>
      <c r="R351" s="105" t="s">
        <v>23</v>
      </c>
      <c r="S351" s="105" t="s">
        <v>671</v>
      </c>
      <c r="T351" s="105" t="s">
        <v>672</v>
      </c>
      <c r="U351" s="105" t="b">
        <v>1</v>
      </c>
      <c r="V351" s="105" t="s">
        <v>745</v>
      </c>
      <c r="W351" s="105" t="s">
        <v>746</v>
      </c>
      <c r="X351" s="105">
        <v>6</v>
      </c>
      <c r="Y351" s="105" t="b">
        <v>1</v>
      </c>
      <c r="Z351" s="105" t="s">
        <v>675</v>
      </c>
      <c r="AA351" s="105" t="s">
        <v>676</v>
      </c>
      <c r="AB351" s="105" t="s">
        <v>677</v>
      </c>
      <c r="AC351" s="105">
        <v>0</v>
      </c>
      <c r="AD351" s="105" t="s">
        <v>678</v>
      </c>
      <c r="AE351" s="105">
        <v>8</v>
      </c>
      <c r="AF351" s="105" t="s">
        <v>679</v>
      </c>
      <c r="AG351" s="105">
        <v>33095.593000000001</v>
      </c>
      <c r="AH351" s="105" t="b">
        <v>1</v>
      </c>
      <c r="AI351" s="105">
        <v>-1</v>
      </c>
      <c r="AJ351" s="105" t="s">
        <v>680</v>
      </c>
      <c r="AK351" s="105">
        <v>0</v>
      </c>
      <c r="AL351" s="105" t="b">
        <v>0</v>
      </c>
      <c r="AM351" s="105">
        <v>33095.593000000001</v>
      </c>
      <c r="AN351" s="105" t="b">
        <v>1</v>
      </c>
      <c r="AO351" s="105">
        <v>0</v>
      </c>
      <c r="AP351" s="105" t="b">
        <v>0</v>
      </c>
      <c r="AQ351" s="105">
        <v>159747.649</v>
      </c>
      <c r="AR351" s="105"/>
      <c r="AS351" s="105">
        <v>159747.649</v>
      </c>
      <c r="AT351" s="105">
        <v>6</v>
      </c>
      <c r="AU351" s="105" t="b">
        <v>1</v>
      </c>
      <c r="AV351" s="105" t="b">
        <v>0</v>
      </c>
    </row>
    <row r="352" spans="1:48" s="46" customFormat="1">
      <c r="A352" s="105" t="s">
        <v>510</v>
      </c>
      <c r="B352" s="105" t="s">
        <v>665</v>
      </c>
      <c r="C352" s="105" t="s">
        <v>666</v>
      </c>
      <c r="D352" s="105">
        <v>20240201</v>
      </c>
      <c r="E352" s="105">
        <v>2024</v>
      </c>
      <c r="F352" s="105">
        <v>2</v>
      </c>
      <c r="G352" s="105" t="s">
        <v>687</v>
      </c>
      <c r="H352" s="105">
        <v>818</v>
      </c>
      <c r="I352" s="105" t="s">
        <v>668</v>
      </c>
      <c r="J352" s="105" t="s">
        <v>57</v>
      </c>
      <c r="K352" s="105" t="s">
        <v>666</v>
      </c>
      <c r="L352" s="105" t="s">
        <v>669</v>
      </c>
      <c r="M352" s="105">
        <v>784</v>
      </c>
      <c r="N352" s="105" t="s">
        <v>694</v>
      </c>
      <c r="O352" s="105" t="s">
        <v>25</v>
      </c>
      <c r="P352" s="105">
        <v>0</v>
      </c>
      <c r="Q352" s="105" t="s">
        <v>670</v>
      </c>
      <c r="R352" s="105" t="s">
        <v>23</v>
      </c>
      <c r="S352" s="105" t="s">
        <v>671</v>
      </c>
      <c r="T352" s="105" t="s">
        <v>672</v>
      </c>
      <c r="U352" s="105" t="b">
        <v>1</v>
      </c>
      <c r="V352" s="105" t="s">
        <v>745</v>
      </c>
      <c r="W352" s="105" t="s">
        <v>746</v>
      </c>
      <c r="X352" s="105">
        <v>6</v>
      </c>
      <c r="Y352" s="105" t="b">
        <v>1</v>
      </c>
      <c r="Z352" s="105" t="s">
        <v>675</v>
      </c>
      <c r="AA352" s="105" t="s">
        <v>676</v>
      </c>
      <c r="AB352" s="105" t="s">
        <v>677</v>
      </c>
      <c r="AC352" s="105">
        <v>0</v>
      </c>
      <c r="AD352" s="105" t="s">
        <v>678</v>
      </c>
      <c r="AE352" s="105">
        <v>8</v>
      </c>
      <c r="AF352" s="105" t="s">
        <v>679</v>
      </c>
      <c r="AG352" s="105">
        <v>13251.798000000001</v>
      </c>
      <c r="AH352" s="105" t="b">
        <v>1</v>
      </c>
      <c r="AI352" s="105">
        <v>-1</v>
      </c>
      <c r="AJ352" s="105" t="s">
        <v>680</v>
      </c>
      <c r="AK352" s="105">
        <v>0</v>
      </c>
      <c r="AL352" s="105" t="b">
        <v>0</v>
      </c>
      <c r="AM352" s="105">
        <v>13251.798000000001</v>
      </c>
      <c r="AN352" s="105" t="b">
        <v>1</v>
      </c>
      <c r="AO352" s="105">
        <v>0</v>
      </c>
      <c r="AP352" s="105" t="b">
        <v>0</v>
      </c>
      <c r="AQ352" s="105">
        <v>63964.516000000003</v>
      </c>
      <c r="AR352" s="105"/>
      <c r="AS352" s="105">
        <v>63964.516000000003</v>
      </c>
      <c r="AT352" s="105">
        <v>6</v>
      </c>
      <c r="AU352" s="105" t="b">
        <v>1</v>
      </c>
      <c r="AV352" s="105" t="b">
        <v>0</v>
      </c>
    </row>
    <row r="353" spans="1:48" s="46" customFormat="1">
      <c r="A353" s="105" t="s">
        <v>510</v>
      </c>
      <c r="B353" s="105" t="s">
        <v>665</v>
      </c>
      <c r="C353" s="105" t="s">
        <v>666</v>
      </c>
      <c r="D353" s="105">
        <v>20240201</v>
      </c>
      <c r="E353" s="105">
        <v>2024</v>
      </c>
      <c r="F353" s="105">
        <v>2</v>
      </c>
      <c r="G353" s="105" t="s">
        <v>687</v>
      </c>
      <c r="H353" s="105">
        <v>818</v>
      </c>
      <c r="I353" s="105" t="s">
        <v>668</v>
      </c>
      <c r="J353" s="105" t="s">
        <v>57</v>
      </c>
      <c r="K353" s="105" t="s">
        <v>666</v>
      </c>
      <c r="L353" s="105" t="s">
        <v>669</v>
      </c>
      <c r="M353" s="105">
        <v>792</v>
      </c>
      <c r="N353" s="105" t="s">
        <v>691</v>
      </c>
      <c r="O353" s="105" t="s">
        <v>63</v>
      </c>
      <c r="P353" s="105">
        <v>0</v>
      </c>
      <c r="Q353" s="105" t="s">
        <v>670</v>
      </c>
      <c r="R353" s="105" t="s">
        <v>23</v>
      </c>
      <c r="S353" s="105" t="s">
        <v>671</v>
      </c>
      <c r="T353" s="105" t="s">
        <v>672</v>
      </c>
      <c r="U353" s="105" t="b">
        <v>1</v>
      </c>
      <c r="V353" s="105" t="s">
        <v>745</v>
      </c>
      <c r="W353" s="105" t="s">
        <v>746</v>
      </c>
      <c r="X353" s="105">
        <v>6</v>
      </c>
      <c r="Y353" s="105" t="b">
        <v>1</v>
      </c>
      <c r="Z353" s="105" t="s">
        <v>675</v>
      </c>
      <c r="AA353" s="105" t="s">
        <v>676</v>
      </c>
      <c r="AB353" s="105" t="s">
        <v>677</v>
      </c>
      <c r="AC353" s="105">
        <v>0</v>
      </c>
      <c r="AD353" s="105" t="s">
        <v>678</v>
      </c>
      <c r="AE353" s="105">
        <v>8</v>
      </c>
      <c r="AF353" s="105" t="s">
        <v>679</v>
      </c>
      <c r="AG353" s="105">
        <v>11703.974</v>
      </c>
      <c r="AH353" s="105" t="b">
        <v>1</v>
      </c>
      <c r="AI353" s="105">
        <v>-1</v>
      </c>
      <c r="AJ353" s="105" t="s">
        <v>680</v>
      </c>
      <c r="AK353" s="105">
        <v>0</v>
      </c>
      <c r="AL353" s="105" t="b">
        <v>0</v>
      </c>
      <c r="AM353" s="105">
        <v>11703.974</v>
      </c>
      <c r="AN353" s="105" t="b">
        <v>1</v>
      </c>
      <c r="AO353" s="105">
        <v>0</v>
      </c>
      <c r="AP353" s="105" t="b">
        <v>0</v>
      </c>
      <c r="AQ353" s="105">
        <v>56493.391000000003</v>
      </c>
      <c r="AR353" s="105"/>
      <c r="AS353" s="105">
        <v>56493.391000000003</v>
      </c>
      <c r="AT353" s="105">
        <v>6</v>
      </c>
      <c r="AU353" s="105" t="b">
        <v>1</v>
      </c>
      <c r="AV353" s="105" t="b">
        <v>0</v>
      </c>
    </row>
    <row r="354" spans="1:48" s="46" customFormat="1">
      <c r="A354" s="105" t="s">
        <v>510</v>
      </c>
      <c r="B354" s="105" t="s">
        <v>665</v>
      </c>
      <c r="C354" s="105" t="s">
        <v>666</v>
      </c>
      <c r="D354" s="105">
        <v>20240201</v>
      </c>
      <c r="E354" s="105">
        <v>2024</v>
      </c>
      <c r="F354" s="105">
        <v>2</v>
      </c>
      <c r="G354" s="105" t="s">
        <v>687</v>
      </c>
      <c r="H354" s="105">
        <v>818</v>
      </c>
      <c r="I354" s="105" t="s">
        <v>668</v>
      </c>
      <c r="J354" s="105" t="s">
        <v>57</v>
      </c>
      <c r="K354" s="105" t="s">
        <v>666</v>
      </c>
      <c r="L354" s="105" t="s">
        <v>669</v>
      </c>
      <c r="M354" s="105">
        <v>826</v>
      </c>
      <c r="N354" s="105" t="s">
        <v>685</v>
      </c>
      <c r="O354" s="105" t="s">
        <v>64</v>
      </c>
      <c r="P354" s="105">
        <v>0</v>
      </c>
      <c r="Q354" s="105" t="s">
        <v>670</v>
      </c>
      <c r="R354" s="105" t="s">
        <v>23</v>
      </c>
      <c r="S354" s="105" t="s">
        <v>671</v>
      </c>
      <c r="T354" s="105" t="s">
        <v>672</v>
      </c>
      <c r="U354" s="105" t="b">
        <v>1</v>
      </c>
      <c r="V354" s="105" t="s">
        <v>745</v>
      </c>
      <c r="W354" s="105" t="s">
        <v>746</v>
      </c>
      <c r="X354" s="105">
        <v>6</v>
      </c>
      <c r="Y354" s="105" t="b">
        <v>1</v>
      </c>
      <c r="Z354" s="105" t="s">
        <v>675</v>
      </c>
      <c r="AA354" s="105" t="s">
        <v>676</v>
      </c>
      <c r="AB354" s="105" t="s">
        <v>677</v>
      </c>
      <c r="AC354" s="105">
        <v>0</v>
      </c>
      <c r="AD354" s="105" t="s">
        <v>678</v>
      </c>
      <c r="AE354" s="105">
        <v>8</v>
      </c>
      <c r="AF354" s="105" t="s">
        <v>679</v>
      </c>
      <c r="AG354" s="105">
        <v>243.20099999999999</v>
      </c>
      <c r="AH354" s="105" t="b">
        <v>1</v>
      </c>
      <c r="AI354" s="105">
        <v>-1</v>
      </c>
      <c r="AJ354" s="105" t="s">
        <v>680</v>
      </c>
      <c r="AK354" s="105">
        <v>0</v>
      </c>
      <c r="AL354" s="105" t="b">
        <v>0</v>
      </c>
      <c r="AM354" s="105">
        <v>243.20099999999999</v>
      </c>
      <c r="AN354" s="105" t="b">
        <v>1</v>
      </c>
      <c r="AO354" s="105">
        <v>0</v>
      </c>
      <c r="AP354" s="105" t="b">
        <v>0</v>
      </c>
      <c r="AQ354" s="105">
        <v>1173.894</v>
      </c>
      <c r="AR354" s="105"/>
      <c r="AS354" s="105">
        <v>1173.894</v>
      </c>
      <c r="AT354" s="105">
        <v>6</v>
      </c>
      <c r="AU354" s="105" t="b">
        <v>1</v>
      </c>
      <c r="AV354" s="105" t="b">
        <v>0</v>
      </c>
    </row>
    <row r="355" spans="1:48" s="46" customFormat="1">
      <c r="A355" s="105" t="s">
        <v>510</v>
      </c>
      <c r="B355" s="105" t="s">
        <v>665</v>
      </c>
      <c r="C355" s="105" t="s">
        <v>666</v>
      </c>
      <c r="D355" s="105">
        <v>20240201</v>
      </c>
      <c r="E355" s="105">
        <v>2024</v>
      </c>
      <c r="F355" s="105">
        <v>2</v>
      </c>
      <c r="G355" s="105" t="s">
        <v>687</v>
      </c>
      <c r="H355" s="105">
        <v>818</v>
      </c>
      <c r="I355" s="105" t="s">
        <v>668</v>
      </c>
      <c r="J355" s="105" t="s">
        <v>57</v>
      </c>
      <c r="K355" s="105" t="s">
        <v>701</v>
      </c>
      <c r="L355" s="105" t="s">
        <v>702</v>
      </c>
      <c r="M355" s="105">
        <v>0</v>
      </c>
      <c r="N355" s="105" t="s">
        <v>670</v>
      </c>
      <c r="O355" s="105" t="s">
        <v>23</v>
      </c>
      <c r="P355" s="105">
        <v>0</v>
      </c>
      <c r="Q355" s="105" t="s">
        <v>670</v>
      </c>
      <c r="R355" s="105" t="s">
        <v>23</v>
      </c>
      <c r="S355" s="105" t="s">
        <v>671</v>
      </c>
      <c r="T355" s="105" t="s">
        <v>672</v>
      </c>
      <c r="U355" s="105" t="b">
        <v>1</v>
      </c>
      <c r="V355" s="105" t="s">
        <v>745</v>
      </c>
      <c r="W355" s="105" t="s">
        <v>746</v>
      </c>
      <c r="X355" s="105">
        <v>6</v>
      </c>
      <c r="Y355" s="105" t="b">
        <v>1</v>
      </c>
      <c r="Z355" s="105" t="s">
        <v>675</v>
      </c>
      <c r="AA355" s="105" t="s">
        <v>676</v>
      </c>
      <c r="AB355" s="105" t="s">
        <v>677</v>
      </c>
      <c r="AC355" s="105">
        <v>0</v>
      </c>
      <c r="AD355" s="105" t="s">
        <v>678</v>
      </c>
      <c r="AE355" s="105">
        <v>8</v>
      </c>
      <c r="AF355" s="105" t="s">
        <v>679</v>
      </c>
      <c r="AG355" s="105">
        <v>1691.1790000000001</v>
      </c>
      <c r="AH355" s="105" t="b">
        <v>1</v>
      </c>
      <c r="AI355" s="105">
        <v>-1</v>
      </c>
      <c r="AJ355" s="105" t="s">
        <v>680</v>
      </c>
      <c r="AK355" s="105">
        <v>0</v>
      </c>
      <c r="AL355" s="105" t="b">
        <v>0</v>
      </c>
      <c r="AM355" s="105">
        <v>1691.1790000000001</v>
      </c>
      <c r="AN355" s="105" t="b">
        <v>1</v>
      </c>
      <c r="AO355" s="105">
        <v>0</v>
      </c>
      <c r="AP355" s="105" t="b">
        <v>0</v>
      </c>
      <c r="AQ355" s="105"/>
      <c r="AR355" s="105">
        <v>8750</v>
      </c>
      <c r="AS355" s="105">
        <v>8750</v>
      </c>
      <c r="AT355" s="105">
        <v>6</v>
      </c>
      <c r="AU355" s="105" t="b">
        <v>0</v>
      </c>
      <c r="AV355" s="105" t="b">
        <v>1</v>
      </c>
    </row>
    <row r="356" spans="1:48" s="46" customFormat="1">
      <c r="A356" s="105" t="s">
        <v>510</v>
      </c>
      <c r="B356" s="105" t="s">
        <v>665</v>
      </c>
      <c r="C356" s="105" t="s">
        <v>666</v>
      </c>
      <c r="D356" s="105">
        <v>20240201</v>
      </c>
      <c r="E356" s="105">
        <v>2024</v>
      </c>
      <c r="F356" s="105">
        <v>2</v>
      </c>
      <c r="G356" s="105" t="s">
        <v>687</v>
      </c>
      <c r="H356" s="105">
        <v>818</v>
      </c>
      <c r="I356" s="105" t="s">
        <v>668</v>
      </c>
      <c r="J356" s="105" t="s">
        <v>57</v>
      </c>
      <c r="K356" s="105" t="s">
        <v>701</v>
      </c>
      <c r="L356" s="105" t="s">
        <v>702</v>
      </c>
      <c r="M356" s="105">
        <v>586</v>
      </c>
      <c r="N356" s="105" t="s">
        <v>764</v>
      </c>
      <c r="O356" s="105" t="s">
        <v>83</v>
      </c>
      <c r="P356" s="105">
        <v>0</v>
      </c>
      <c r="Q356" s="105" t="s">
        <v>670</v>
      </c>
      <c r="R356" s="105" t="s">
        <v>23</v>
      </c>
      <c r="S356" s="105" t="s">
        <v>671</v>
      </c>
      <c r="T356" s="105" t="s">
        <v>672</v>
      </c>
      <c r="U356" s="105" t="b">
        <v>1</v>
      </c>
      <c r="V356" s="105" t="s">
        <v>745</v>
      </c>
      <c r="W356" s="105" t="s">
        <v>746</v>
      </c>
      <c r="X356" s="105">
        <v>6</v>
      </c>
      <c r="Y356" s="105" t="b">
        <v>1</v>
      </c>
      <c r="Z356" s="105" t="s">
        <v>675</v>
      </c>
      <c r="AA356" s="105" t="s">
        <v>676</v>
      </c>
      <c r="AB356" s="105" t="s">
        <v>677</v>
      </c>
      <c r="AC356" s="105">
        <v>0</v>
      </c>
      <c r="AD356" s="105" t="s">
        <v>678</v>
      </c>
      <c r="AE356" s="105">
        <v>8</v>
      </c>
      <c r="AF356" s="105" t="s">
        <v>679</v>
      </c>
      <c r="AG356" s="105">
        <v>1691.1790000000001</v>
      </c>
      <c r="AH356" s="105" t="b">
        <v>1</v>
      </c>
      <c r="AI356" s="105">
        <v>-1</v>
      </c>
      <c r="AJ356" s="105" t="s">
        <v>680</v>
      </c>
      <c r="AK356" s="105">
        <v>0</v>
      </c>
      <c r="AL356" s="105" t="b">
        <v>0</v>
      </c>
      <c r="AM356" s="105">
        <v>1691.1790000000001</v>
      </c>
      <c r="AN356" s="105" t="b">
        <v>1</v>
      </c>
      <c r="AO356" s="105">
        <v>0</v>
      </c>
      <c r="AP356" s="105" t="b">
        <v>0</v>
      </c>
      <c r="AQ356" s="105"/>
      <c r="AR356" s="105">
        <v>8750</v>
      </c>
      <c r="AS356" s="105">
        <v>8750</v>
      </c>
      <c r="AT356" s="105">
        <v>6</v>
      </c>
      <c r="AU356" s="105" t="b">
        <v>1</v>
      </c>
      <c r="AV356" s="105" t="b">
        <v>0</v>
      </c>
    </row>
    <row r="357" spans="1:48" s="46" customFormat="1">
      <c r="A357" s="105" t="s">
        <v>510</v>
      </c>
      <c r="B357" s="105" t="s">
        <v>665</v>
      </c>
      <c r="C357" s="105" t="s">
        <v>666</v>
      </c>
      <c r="D357" s="105">
        <v>20240301</v>
      </c>
      <c r="E357" s="105">
        <v>2024</v>
      </c>
      <c r="F357" s="105">
        <v>3</v>
      </c>
      <c r="G357" s="105" t="s">
        <v>692</v>
      </c>
      <c r="H357" s="105">
        <v>818</v>
      </c>
      <c r="I357" s="105" t="s">
        <v>668</v>
      </c>
      <c r="J357" s="105" t="s">
        <v>57</v>
      </c>
      <c r="K357" s="105" t="s">
        <v>666</v>
      </c>
      <c r="L357" s="105" t="s">
        <v>669</v>
      </c>
      <c r="M357" s="105">
        <v>0</v>
      </c>
      <c r="N357" s="105" t="s">
        <v>670</v>
      </c>
      <c r="O357" s="105" t="s">
        <v>23</v>
      </c>
      <c r="P357" s="105">
        <v>0</v>
      </c>
      <c r="Q357" s="105" t="s">
        <v>670</v>
      </c>
      <c r="R357" s="105" t="s">
        <v>23</v>
      </c>
      <c r="S357" s="105" t="s">
        <v>671</v>
      </c>
      <c r="T357" s="105" t="s">
        <v>672</v>
      </c>
      <c r="U357" s="105" t="b">
        <v>1</v>
      </c>
      <c r="V357" s="105" t="s">
        <v>745</v>
      </c>
      <c r="W357" s="105" t="s">
        <v>746</v>
      </c>
      <c r="X357" s="105">
        <v>6</v>
      </c>
      <c r="Y357" s="105" t="b">
        <v>1</v>
      </c>
      <c r="Z357" s="105" t="s">
        <v>675</v>
      </c>
      <c r="AA357" s="105" t="s">
        <v>676</v>
      </c>
      <c r="AB357" s="105" t="s">
        <v>677</v>
      </c>
      <c r="AC357" s="105">
        <v>0</v>
      </c>
      <c r="AD357" s="105" t="s">
        <v>678</v>
      </c>
      <c r="AE357" s="105">
        <v>8</v>
      </c>
      <c r="AF357" s="105" t="s">
        <v>679</v>
      </c>
      <c r="AG357" s="105">
        <v>169643.13500000001</v>
      </c>
      <c r="AH357" s="105" t="b">
        <v>1</v>
      </c>
      <c r="AI357" s="105">
        <v>-1</v>
      </c>
      <c r="AJ357" s="105" t="s">
        <v>680</v>
      </c>
      <c r="AK357" s="105">
        <v>0</v>
      </c>
      <c r="AL357" s="105" t="b">
        <v>0</v>
      </c>
      <c r="AM357" s="105">
        <v>169643.13500000001</v>
      </c>
      <c r="AN357" s="105" t="b">
        <v>1</v>
      </c>
      <c r="AO357" s="105">
        <v>0</v>
      </c>
      <c r="AP357" s="105" t="b">
        <v>0</v>
      </c>
      <c r="AQ357" s="105">
        <v>818842.90899999999</v>
      </c>
      <c r="AR357" s="105"/>
      <c r="AS357" s="105">
        <v>818842.90899999999</v>
      </c>
      <c r="AT357" s="105">
        <v>6</v>
      </c>
      <c r="AU357" s="105" t="b">
        <v>0</v>
      </c>
      <c r="AV357" s="105" t="b">
        <v>1</v>
      </c>
    </row>
    <row r="358" spans="1:48" s="46" customFormat="1">
      <c r="A358" s="105" t="s">
        <v>510</v>
      </c>
      <c r="B358" s="105" t="s">
        <v>665</v>
      </c>
      <c r="C358" s="105" t="s">
        <v>666</v>
      </c>
      <c r="D358" s="105">
        <v>20240301</v>
      </c>
      <c r="E358" s="105">
        <v>2024</v>
      </c>
      <c r="F358" s="105">
        <v>3</v>
      </c>
      <c r="G358" s="105" t="s">
        <v>692</v>
      </c>
      <c r="H358" s="105">
        <v>818</v>
      </c>
      <c r="I358" s="105" t="s">
        <v>668</v>
      </c>
      <c r="J358" s="105" t="s">
        <v>57</v>
      </c>
      <c r="K358" s="105" t="s">
        <v>666</v>
      </c>
      <c r="L358" s="105" t="s">
        <v>669</v>
      </c>
      <c r="M358" s="105">
        <v>40</v>
      </c>
      <c r="N358" s="105" t="s">
        <v>750</v>
      </c>
      <c r="O358" s="105" t="s">
        <v>43</v>
      </c>
      <c r="P358" s="105">
        <v>0</v>
      </c>
      <c r="Q358" s="105" t="s">
        <v>670</v>
      </c>
      <c r="R358" s="105" t="s">
        <v>23</v>
      </c>
      <c r="S358" s="105" t="s">
        <v>671</v>
      </c>
      <c r="T358" s="105" t="s">
        <v>672</v>
      </c>
      <c r="U358" s="105" t="b">
        <v>1</v>
      </c>
      <c r="V358" s="105" t="s">
        <v>745</v>
      </c>
      <c r="W358" s="105" t="s">
        <v>746</v>
      </c>
      <c r="X358" s="105">
        <v>6</v>
      </c>
      <c r="Y358" s="105" t="b">
        <v>1</v>
      </c>
      <c r="Z358" s="105" t="s">
        <v>675</v>
      </c>
      <c r="AA358" s="105" t="s">
        <v>676</v>
      </c>
      <c r="AB358" s="105" t="s">
        <v>677</v>
      </c>
      <c r="AC358" s="105">
        <v>0</v>
      </c>
      <c r="AD358" s="105" t="s">
        <v>678</v>
      </c>
      <c r="AE358" s="105">
        <v>8</v>
      </c>
      <c r="AF358" s="105" t="s">
        <v>679</v>
      </c>
      <c r="AG358" s="105">
        <v>1763.981</v>
      </c>
      <c r="AH358" s="105" t="b">
        <v>1</v>
      </c>
      <c r="AI358" s="105">
        <v>-1</v>
      </c>
      <c r="AJ358" s="105" t="s">
        <v>680</v>
      </c>
      <c r="AK358" s="105">
        <v>0</v>
      </c>
      <c r="AL358" s="105" t="b">
        <v>0</v>
      </c>
      <c r="AM358" s="105">
        <v>1763.981</v>
      </c>
      <c r="AN358" s="105" t="b">
        <v>1</v>
      </c>
      <c r="AO358" s="105">
        <v>0</v>
      </c>
      <c r="AP358" s="105" t="b">
        <v>0</v>
      </c>
      <c r="AQ358" s="105">
        <v>8514.4830000000002</v>
      </c>
      <c r="AR358" s="105"/>
      <c r="AS358" s="105">
        <v>8514.4830000000002</v>
      </c>
      <c r="AT358" s="105">
        <v>6</v>
      </c>
      <c r="AU358" s="105" t="b">
        <v>1</v>
      </c>
      <c r="AV358" s="105" t="b">
        <v>0</v>
      </c>
    </row>
    <row r="359" spans="1:48" s="46" customFormat="1">
      <c r="A359" s="105" t="s">
        <v>510</v>
      </c>
      <c r="B359" s="105" t="s">
        <v>665</v>
      </c>
      <c r="C359" s="105" t="s">
        <v>666</v>
      </c>
      <c r="D359" s="105">
        <v>20240301</v>
      </c>
      <c r="E359" s="105">
        <v>2024</v>
      </c>
      <c r="F359" s="105">
        <v>3</v>
      </c>
      <c r="G359" s="105" t="s">
        <v>692</v>
      </c>
      <c r="H359" s="105">
        <v>818</v>
      </c>
      <c r="I359" s="105" t="s">
        <v>668</v>
      </c>
      <c r="J359" s="105" t="s">
        <v>57</v>
      </c>
      <c r="K359" s="105" t="s">
        <v>666</v>
      </c>
      <c r="L359" s="105" t="s">
        <v>669</v>
      </c>
      <c r="M359" s="105">
        <v>56</v>
      </c>
      <c r="N359" s="105" t="s">
        <v>696</v>
      </c>
      <c r="O359" s="105" t="s">
        <v>74</v>
      </c>
      <c r="P359" s="105">
        <v>0</v>
      </c>
      <c r="Q359" s="105" t="s">
        <v>670</v>
      </c>
      <c r="R359" s="105" t="s">
        <v>23</v>
      </c>
      <c r="S359" s="105" t="s">
        <v>671</v>
      </c>
      <c r="T359" s="105" t="s">
        <v>672</v>
      </c>
      <c r="U359" s="105" t="b">
        <v>1</v>
      </c>
      <c r="V359" s="105" t="s">
        <v>745</v>
      </c>
      <c r="W359" s="105" t="s">
        <v>746</v>
      </c>
      <c r="X359" s="105">
        <v>6</v>
      </c>
      <c r="Y359" s="105" t="b">
        <v>1</v>
      </c>
      <c r="Z359" s="105" t="s">
        <v>675</v>
      </c>
      <c r="AA359" s="105" t="s">
        <v>676</v>
      </c>
      <c r="AB359" s="105" t="s">
        <v>677</v>
      </c>
      <c r="AC359" s="105">
        <v>0</v>
      </c>
      <c r="AD359" s="105" t="s">
        <v>678</v>
      </c>
      <c r="AE359" s="105">
        <v>8</v>
      </c>
      <c r="AF359" s="105" t="s">
        <v>679</v>
      </c>
      <c r="AG359" s="105">
        <v>49727.877999999997</v>
      </c>
      <c r="AH359" s="105" t="b">
        <v>1</v>
      </c>
      <c r="AI359" s="105">
        <v>-1</v>
      </c>
      <c r="AJ359" s="105" t="s">
        <v>680</v>
      </c>
      <c r="AK359" s="105">
        <v>0</v>
      </c>
      <c r="AL359" s="105" t="b">
        <v>0</v>
      </c>
      <c r="AM359" s="105">
        <v>49727.877999999997</v>
      </c>
      <c r="AN359" s="105" t="b">
        <v>1</v>
      </c>
      <c r="AO359" s="105">
        <v>0</v>
      </c>
      <c r="AP359" s="105" t="b">
        <v>0</v>
      </c>
      <c r="AQ359" s="105">
        <v>240029.283</v>
      </c>
      <c r="AR359" s="105"/>
      <c r="AS359" s="105">
        <v>240029.283</v>
      </c>
      <c r="AT359" s="105">
        <v>6</v>
      </c>
      <c r="AU359" s="105" t="b">
        <v>1</v>
      </c>
      <c r="AV359" s="105" t="b">
        <v>0</v>
      </c>
    </row>
    <row r="360" spans="1:48" s="46" customFormat="1">
      <c r="A360" s="105" t="s">
        <v>510</v>
      </c>
      <c r="B360" s="105" t="s">
        <v>665</v>
      </c>
      <c r="C360" s="105" t="s">
        <v>666</v>
      </c>
      <c r="D360" s="105">
        <v>20240301</v>
      </c>
      <c r="E360" s="105">
        <v>2024</v>
      </c>
      <c r="F360" s="105">
        <v>3</v>
      </c>
      <c r="G360" s="105" t="s">
        <v>692</v>
      </c>
      <c r="H360" s="105">
        <v>818</v>
      </c>
      <c r="I360" s="105" t="s">
        <v>668</v>
      </c>
      <c r="J360" s="105" t="s">
        <v>57</v>
      </c>
      <c r="K360" s="105" t="s">
        <v>666</v>
      </c>
      <c r="L360" s="105" t="s">
        <v>669</v>
      </c>
      <c r="M360" s="105">
        <v>156</v>
      </c>
      <c r="N360" s="105" t="s">
        <v>711</v>
      </c>
      <c r="O360" s="105" t="s">
        <v>29</v>
      </c>
      <c r="P360" s="105">
        <v>0</v>
      </c>
      <c r="Q360" s="105" t="s">
        <v>670</v>
      </c>
      <c r="R360" s="105" t="s">
        <v>23</v>
      </c>
      <c r="S360" s="105" t="s">
        <v>671</v>
      </c>
      <c r="T360" s="105" t="s">
        <v>672</v>
      </c>
      <c r="U360" s="105" t="b">
        <v>1</v>
      </c>
      <c r="V360" s="105" t="s">
        <v>745</v>
      </c>
      <c r="W360" s="105" t="s">
        <v>746</v>
      </c>
      <c r="X360" s="105">
        <v>6</v>
      </c>
      <c r="Y360" s="105" t="b">
        <v>1</v>
      </c>
      <c r="Z360" s="105" t="s">
        <v>675</v>
      </c>
      <c r="AA360" s="105" t="s">
        <v>676</v>
      </c>
      <c r="AB360" s="105" t="s">
        <v>677</v>
      </c>
      <c r="AC360" s="105">
        <v>0</v>
      </c>
      <c r="AD360" s="105" t="s">
        <v>678</v>
      </c>
      <c r="AE360" s="105">
        <v>8</v>
      </c>
      <c r="AF360" s="105" t="s">
        <v>679</v>
      </c>
      <c r="AG360" s="105">
        <v>20504.035</v>
      </c>
      <c r="AH360" s="105" t="b">
        <v>1</v>
      </c>
      <c r="AI360" s="105">
        <v>-1</v>
      </c>
      <c r="AJ360" s="105" t="s">
        <v>680</v>
      </c>
      <c r="AK360" s="105">
        <v>0</v>
      </c>
      <c r="AL360" s="105" t="b">
        <v>0</v>
      </c>
      <c r="AM360" s="105">
        <v>20504.035</v>
      </c>
      <c r="AN360" s="105" t="b">
        <v>1</v>
      </c>
      <c r="AO360" s="105">
        <v>0</v>
      </c>
      <c r="AP360" s="105" t="b">
        <v>0</v>
      </c>
      <c r="AQ360" s="105">
        <v>98970.013999999996</v>
      </c>
      <c r="AR360" s="105"/>
      <c r="AS360" s="105">
        <v>98970.013999999996</v>
      </c>
      <c r="AT360" s="105">
        <v>6</v>
      </c>
      <c r="AU360" s="105" t="b">
        <v>1</v>
      </c>
      <c r="AV360" s="105" t="b">
        <v>0</v>
      </c>
    </row>
    <row r="361" spans="1:48" s="46" customFormat="1">
      <c r="A361" s="105" t="s">
        <v>510</v>
      </c>
      <c r="B361" s="105" t="s">
        <v>665</v>
      </c>
      <c r="C361" s="105" t="s">
        <v>666</v>
      </c>
      <c r="D361" s="105">
        <v>20240301</v>
      </c>
      <c r="E361" s="105">
        <v>2024</v>
      </c>
      <c r="F361" s="105">
        <v>3</v>
      </c>
      <c r="G361" s="105" t="s">
        <v>692</v>
      </c>
      <c r="H361" s="105">
        <v>818</v>
      </c>
      <c r="I361" s="105" t="s">
        <v>668</v>
      </c>
      <c r="J361" s="105" t="s">
        <v>57</v>
      </c>
      <c r="K361" s="105" t="s">
        <v>666</v>
      </c>
      <c r="L361" s="105" t="s">
        <v>669</v>
      </c>
      <c r="M361" s="105">
        <v>276</v>
      </c>
      <c r="N361" s="105" t="s">
        <v>681</v>
      </c>
      <c r="O361" s="105" t="s">
        <v>30</v>
      </c>
      <c r="P361" s="105">
        <v>0</v>
      </c>
      <c r="Q361" s="105" t="s">
        <v>670</v>
      </c>
      <c r="R361" s="105" t="s">
        <v>23</v>
      </c>
      <c r="S361" s="105" t="s">
        <v>671</v>
      </c>
      <c r="T361" s="105" t="s">
        <v>672</v>
      </c>
      <c r="U361" s="105" t="b">
        <v>1</v>
      </c>
      <c r="V361" s="105" t="s">
        <v>745</v>
      </c>
      <c r="W361" s="105" t="s">
        <v>746</v>
      </c>
      <c r="X361" s="105">
        <v>6</v>
      </c>
      <c r="Y361" s="105" t="b">
        <v>1</v>
      </c>
      <c r="Z361" s="105" t="s">
        <v>675</v>
      </c>
      <c r="AA361" s="105" t="s">
        <v>676</v>
      </c>
      <c r="AB361" s="105" t="s">
        <v>677</v>
      </c>
      <c r="AC361" s="105">
        <v>0</v>
      </c>
      <c r="AD361" s="105" t="s">
        <v>678</v>
      </c>
      <c r="AE361" s="105">
        <v>8</v>
      </c>
      <c r="AF361" s="105" t="s">
        <v>679</v>
      </c>
      <c r="AG361" s="105">
        <v>14504.802</v>
      </c>
      <c r="AH361" s="105" t="b">
        <v>1</v>
      </c>
      <c r="AI361" s="105">
        <v>-1</v>
      </c>
      <c r="AJ361" s="105" t="s">
        <v>680</v>
      </c>
      <c r="AK361" s="105">
        <v>0</v>
      </c>
      <c r="AL361" s="105" t="b">
        <v>0</v>
      </c>
      <c r="AM361" s="105">
        <v>14504.802</v>
      </c>
      <c r="AN361" s="105" t="b">
        <v>1</v>
      </c>
      <c r="AO361" s="105">
        <v>0</v>
      </c>
      <c r="AP361" s="105" t="b">
        <v>0</v>
      </c>
      <c r="AQ361" s="105">
        <v>70012.585000000006</v>
      </c>
      <c r="AR361" s="105"/>
      <c r="AS361" s="105">
        <v>70012.585000000006</v>
      </c>
      <c r="AT361" s="105">
        <v>6</v>
      </c>
      <c r="AU361" s="105" t="b">
        <v>1</v>
      </c>
      <c r="AV361" s="105" t="b">
        <v>0</v>
      </c>
    </row>
    <row r="362" spans="1:48" s="46" customFormat="1">
      <c r="A362" s="105" t="s">
        <v>510</v>
      </c>
      <c r="B362" s="105" t="s">
        <v>665</v>
      </c>
      <c r="C362" s="105" t="s">
        <v>666</v>
      </c>
      <c r="D362" s="105">
        <v>20240301</v>
      </c>
      <c r="E362" s="105">
        <v>2024</v>
      </c>
      <c r="F362" s="105">
        <v>3</v>
      </c>
      <c r="G362" s="105" t="s">
        <v>692</v>
      </c>
      <c r="H362" s="105">
        <v>818</v>
      </c>
      <c r="I362" s="105" t="s">
        <v>668</v>
      </c>
      <c r="J362" s="105" t="s">
        <v>57</v>
      </c>
      <c r="K362" s="105" t="s">
        <v>666</v>
      </c>
      <c r="L362" s="105" t="s">
        <v>669</v>
      </c>
      <c r="M362" s="105">
        <v>300</v>
      </c>
      <c r="N362" s="105" t="s">
        <v>719</v>
      </c>
      <c r="O362" s="105" t="s">
        <v>65</v>
      </c>
      <c r="P362" s="105">
        <v>0</v>
      </c>
      <c r="Q362" s="105" t="s">
        <v>670</v>
      </c>
      <c r="R362" s="105" t="s">
        <v>23</v>
      </c>
      <c r="S362" s="105" t="s">
        <v>671</v>
      </c>
      <c r="T362" s="105" t="s">
        <v>672</v>
      </c>
      <c r="U362" s="105" t="b">
        <v>1</v>
      </c>
      <c r="V362" s="105" t="s">
        <v>745</v>
      </c>
      <c r="W362" s="105" t="s">
        <v>746</v>
      </c>
      <c r="X362" s="105">
        <v>6</v>
      </c>
      <c r="Y362" s="105" t="b">
        <v>1</v>
      </c>
      <c r="Z362" s="105" t="s">
        <v>675</v>
      </c>
      <c r="AA362" s="105" t="s">
        <v>676</v>
      </c>
      <c r="AB362" s="105" t="s">
        <v>677</v>
      </c>
      <c r="AC362" s="105">
        <v>0</v>
      </c>
      <c r="AD362" s="105" t="s">
        <v>678</v>
      </c>
      <c r="AE362" s="105">
        <v>8</v>
      </c>
      <c r="AF362" s="105" t="s">
        <v>679</v>
      </c>
      <c r="AG362" s="105">
        <v>4948.2839999999997</v>
      </c>
      <c r="AH362" s="105" t="b">
        <v>1</v>
      </c>
      <c r="AI362" s="105">
        <v>-1</v>
      </c>
      <c r="AJ362" s="105" t="s">
        <v>680</v>
      </c>
      <c r="AK362" s="105">
        <v>0</v>
      </c>
      <c r="AL362" s="105" t="b">
        <v>0</v>
      </c>
      <c r="AM362" s="105">
        <v>4948.2839999999997</v>
      </c>
      <c r="AN362" s="105" t="b">
        <v>1</v>
      </c>
      <c r="AO362" s="105">
        <v>0</v>
      </c>
      <c r="AP362" s="105" t="b">
        <v>0</v>
      </c>
      <c r="AQ362" s="105">
        <v>23884.65</v>
      </c>
      <c r="AR362" s="105"/>
      <c r="AS362" s="105">
        <v>23884.65</v>
      </c>
      <c r="AT362" s="105">
        <v>6</v>
      </c>
      <c r="AU362" s="105" t="b">
        <v>1</v>
      </c>
      <c r="AV362" s="105" t="b">
        <v>0</v>
      </c>
    </row>
    <row r="363" spans="1:48" s="46" customFormat="1">
      <c r="A363" s="105" t="s">
        <v>510</v>
      </c>
      <c r="B363" s="105" t="s">
        <v>665</v>
      </c>
      <c r="C363" s="105" t="s">
        <v>666</v>
      </c>
      <c r="D363" s="105">
        <v>20240301</v>
      </c>
      <c r="E363" s="105">
        <v>2024</v>
      </c>
      <c r="F363" s="105">
        <v>3</v>
      </c>
      <c r="G363" s="105" t="s">
        <v>692</v>
      </c>
      <c r="H363" s="105">
        <v>818</v>
      </c>
      <c r="I363" s="105" t="s">
        <v>668</v>
      </c>
      <c r="J363" s="105" t="s">
        <v>57</v>
      </c>
      <c r="K363" s="105" t="s">
        <v>666</v>
      </c>
      <c r="L363" s="105" t="s">
        <v>669</v>
      </c>
      <c r="M363" s="105">
        <v>380</v>
      </c>
      <c r="N363" s="105" t="s">
        <v>689</v>
      </c>
      <c r="O363" s="105" t="s">
        <v>71</v>
      </c>
      <c r="P363" s="105">
        <v>0</v>
      </c>
      <c r="Q363" s="105" t="s">
        <v>670</v>
      </c>
      <c r="R363" s="105" t="s">
        <v>23</v>
      </c>
      <c r="S363" s="105" t="s">
        <v>671</v>
      </c>
      <c r="T363" s="105" t="s">
        <v>672</v>
      </c>
      <c r="U363" s="105" t="b">
        <v>1</v>
      </c>
      <c r="V363" s="105" t="s">
        <v>745</v>
      </c>
      <c r="W363" s="105" t="s">
        <v>746</v>
      </c>
      <c r="X363" s="105">
        <v>6</v>
      </c>
      <c r="Y363" s="105" t="b">
        <v>1</v>
      </c>
      <c r="Z363" s="105" t="s">
        <v>675</v>
      </c>
      <c r="AA363" s="105" t="s">
        <v>676</v>
      </c>
      <c r="AB363" s="105" t="s">
        <v>677</v>
      </c>
      <c r="AC363" s="105">
        <v>0</v>
      </c>
      <c r="AD363" s="105" t="s">
        <v>678</v>
      </c>
      <c r="AE363" s="105">
        <v>8</v>
      </c>
      <c r="AF363" s="105" t="s">
        <v>679</v>
      </c>
      <c r="AG363" s="105">
        <v>6976.1019999999999</v>
      </c>
      <c r="AH363" s="105" t="b">
        <v>1</v>
      </c>
      <c r="AI363" s="105">
        <v>-1</v>
      </c>
      <c r="AJ363" s="105" t="s">
        <v>680</v>
      </c>
      <c r="AK363" s="105">
        <v>0</v>
      </c>
      <c r="AL363" s="105" t="b">
        <v>0</v>
      </c>
      <c r="AM363" s="105">
        <v>6976.1019999999999</v>
      </c>
      <c r="AN363" s="105" t="b">
        <v>1</v>
      </c>
      <c r="AO363" s="105">
        <v>0</v>
      </c>
      <c r="AP363" s="105" t="b">
        <v>0</v>
      </c>
      <c r="AQ363" s="105">
        <v>33672.635999999999</v>
      </c>
      <c r="AR363" s="105"/>
      <c r="AS363" s="105">
        <v>33672.635999999999</v>
      </c>
      <c r="AT363" s="105">
        <v>6</v>
      </c>
      <c r="AU363" s="105" t="b">
        <v>1</v>
      </c>
      <c r="AV363" s="105" t="b">
        <v>0</v>
      </c>
    </row>
    <row r="364" spans="1:48" s="46" customFormat="1">
      <c r="A364" s="105" t="s">
        <v>510</v>
      </c>
      <c r="B364" s="105" t="s">
        <v>665</v>
      </c>
      <c r="C364" s="105" t="s">
        <v>666</v>
      </c>
      <c r="D364" s="105">
        <v>20240301</v>
      </c>
      <c r="E364" s="105">
        <v>2024</v>
      </c>
      <c r="F364" s="105">
        <v>3</v>
      </c>
      <c r="G364" s="105" t="s">
        <v>692</v>
      </c>
      <c r="H364" s="105">
        <v>818</v>
      </c>
      <c r="I364" s="105" t="s">
        <v>668</v>
      </c>
      <c r="J364" s="105" t="s">
        <v>57</v>
      </c>
      <c r="K364" s="105" t="s">
        <v>666</v>
      </c>
      <c r="L364" s="105" t="s">
        <v>669</v>
      </c>
      <c r="M364" s="105">
        <v>699</v>
      </c>
      <c r="N364" s="105" t="s">
        <v>748</v>
      </c>
      <c r="O364" s="105" t="s">
        <v>0</v>
      </c>
      <c r="P364" s="105">
        <v>0</v>
      </c>
      <c r="Q364" s="105" t="s">
        <v>670</v>
      </c>
      <c r="R364" s="105" t="s">
        <v>23</v>
      </c>
      <c r="S364" s="105" t="s">
        <v>671</v>
      </c>
      <c r="T364" s="105" t="s">
        <v>672</v>
      </c>
      <c r="U364" s="105" t="b">
        <v>1</v>
      </c>
      <c r="V364" s="105" t="s">
        <v>745</v>
      </c>
      <c r="W364" s="105" t="s">
        <v>746</v>
      </c>
      <c r="X364" s="105">
        <v>6</v>
      </c>
      <c r="Y364" s="105" t="b">
        <v>1</v>
      </c>
      <c r="Z364" s="105" t="s">
        <v>675</v>
      </c>
      <c r="AA364" s="105" t="s">
        <v>676</v>
      </c>
      <c r="AB364" s="105" t="s">
        <v>677</v>
      </c>
      <c r="AC364" s="105">
        <v>0</v>
      </c>
      <c r="AD364" s="105" t="s">
        <v>678</v>
      </c>
      <c r="AE364" s="105">
        <v>8</v>
      </c>
      <c r="AF364" s="105" t="s">
        <v>679</v>
      </c>
      <c r="AG364" s="105">
        <v>5804.8059999999996</v>
      </c>
      <c r="AH364" s="105" t="b">
        <v>1</v>
      </c>
      <c r="AI364" s="105">
        <v>-1</v>
      </c>
      <c r="AJ364" s="105" t="s">
        <v>680</v>
      </c>
      <c r="AK364" s="105">
        <v>0</v>
      </c>
      <c r="AL364" s="105" t="b">
        <v>0</v>
      </c>
      <c r="AM364" s="105">
        <v>5804.8059999999996</v>
      </c>
      <c r="AN364" s="105" t="b">
        <v>1</v>
      </c>
      <c r="AO364" s="105">
        <v>0</v>
      </c>
      <c r="AP364" s="105" t="b">
        <v>0</v>
      </c>
      <c r="AQ364" s="105">
        <v>28018.960999999999</v>
      </c>
      <c r="AR364" s="105"/>
      <c r="AS364" s="105">
        <v>28018.960999999999</v>
      </c>
      <c r="AT364" s="105">
        <v>6</v>
      </c>
      <c r="AU364" s="105" t="b">
        <v>1</v>
      </c>
      <c r="AV364" s="105" t="b">
        <v>0</v>
      </c>
    </row>
    <row r="365" spans="1:48" s="46" customFormat="1">
      <c r="A365" s="105" t="s">
        <v>510</v>
      </c>
      <c r="B365" s="105" t="s">
        <v>665</v>
      </c>
      <c r="C365" s="105" t="s">
        <v>666</v>
      </c>
      <c r="D365" s="105">
        <v>20240301</v>
      </c>
      <c r="E365" s="105">
        <v>2024</v>
      </c>
      <c r="F365" s="105">
        <v>3</v>
      </c>
      <c r="G365" s="105" t="s">
        <v>692</v>
      </c>
      <c r="H365" s="105">
        <v>818</v>
      </c>
      <c r="I365" s="105" t="s">
        <v>668</v>
      </c>
      <c r="J365" s="105" t="s">
        <v>57</v>
      </c>
      <c r="K365" s="105" t="s">
        <v>666</v>
      </c>
      <c r="L365" s="105" t="s">
        <v>669</v>
      </c>
      <c r="M365" s="105">
        <v>764</v>
      </c>
      <c r="N365" s="105" t="s">
        <v>749</v>
      </c>
      <c r="O365" s="105" t="s">
        <v>55</v>
      </c>
      <c r="P365" s="105">
        <v>0</v>
      </c>
      <c r="Q365" s="105" t="s">
        <v>670</v>
      </c>
      <c r="R365" s="105" t="s">
        <v>23</v>
      </c>
      <c r="S365" s="105" t="s">
        <v>671</v>
      </c>
      <c r="T365" s="105" t="s">
        <v>672</v>
      </c>
      <c r="U365" s="105" t="b">
        <v>1</v>
      </c>
      <c r="V365" s="105" t="s">
        <v>745</v>
      </c>
      <c r="W365" s="105" t="s">
        <v>746</v>
      </c>
      <c r="X365" s="105">
        <v>6</v>
      </c>
      <c r="Y365" s="105" t="b">
        <v>1</v>
      </c>
      <c r="Z365" s="105" t="s">
        <v>675</v>
      </c>
      <c r="AA365" s="105" t="s">
        <v>676</v>
      </c>
      <c r="AB365" s="105" t="s">
        <v>677</v>
      </c>
      <c r="AC365" s="105">
        <v>0</v>
      </c>
      <c r="AD365" s="105" t="s">
        <v>678</v>
      </c>
      <c r="AE365" s="105">
        <v>8</v>
      </c>
      <c r="AF365" s="105" t="s">
        <v>679</v>
      </c>
      <c r="AG365" s="105">
        <v>45688.385000000002</v>
      </c>
      <c r="AH365" s="105" t="b">
        <v>1</v>
      </c>
      <c r="AI365" s="105">
        <v>-1</v>
      </c>
      <c r="AJ365" s="105" t="s">
        <v>680</v>
      </c>
      <c r="AK365" s="105">
        <v>0</v>
      </c>
      <c r="AL365" s="105" t="b">
        <v>0</v>
      </c>
      <c r="AM365" s="105">
        <v>45688.385000000002</v>
      </c>
      <c r="AN365" s="105" t="b">
        <v>1</v>
      </c>
      <c r="AO365" s="105">
        <v>0</v>
      </c>
      <c r="AP365" s="105" t="b">
        <v>0</v>
      </c>
      <c r="AQ365" s="105">
        <v>220531.234</v>
      </c>
      <c r="AR365" s="105"/>
      <c r="AS365" s="105">
        <v>220531.234</v>
      </c>
      <c r="AT365" s="105">
        <v>6</v>
      </c>
      <c r="AU365" s="105" t="b">
        <v>1</v>
      </c>
      <c r="AV365" s="105" t="b">
        <v>0</v>
      </c>
    </row>
    <row r="366" spans="1:48" s="46" customFormat="1">
      <c r="A366" s="105" t="s">
        <v>510</v>
      </c>
      <c r="B366" s="105" t="s">
        <v>665</v>
      </c>
      <c r="C366" s="105" t="s">
        <v>666</v>
      </c>
      <c r="D366" s="105">
        <v>20240301</v>
      </c>
      <c r="E366" s="105">
        <v>2024</v>
      </c>
      <c r="F366" s="105">
        <v>3</v>
      </c>
      <c r="G366" s="105" t="s">
        <v>692</v>
      </c>
      <c r="H366" s="105">
        <v>818</v>
      </c>
      <c r="I366" s="105" t="s">
        <v>668</v>
      </c>
      <c r="J366" s="105" t="s">
        <v>57</v>
      </c>
      <c r="K366" s="105" t="s">
        <v>666</v>
      </c>
      <c r="L366" s="105" t="s">
        <v>669</v>
      </c>
      <c r="M366" s="105">
        <v>792</v>
      </c>
      <c r="N366" s="105" t="s">
        <v>691</v>
      </c>
      <c r="O366" s="105" t="s">
        <v>63</v>
      </c>
      <c r="P366" s="105">
        <v>0</v>
      </c>
      <c r="Q366" s="105" t="s">
        <v>670</v>
      </c>
      <c r="R366" s="105" t="s">
        <v>23</v>
      </c>
      <c r="S366" s="105" t="s">
        <v>671</v>
      </c>
      <c r="T366" s="105" t="s">
        <v>672</v>
      </c>
      <c r="U366" s="105" t="b">
        <v>1</v>
      </c>
      <c r="V366" s="105" t="s">
        <v>745</v>
      </c>
      <c r="W366" s="105" t="s">
        <v>746</v>
      </c>
      <c r="X366" s="105">
        <v>6</v>
      </c>
      <c r="Y366" s="105" t="b">
        <v>1</v>
      </c>
      <c r="Z366" s="105" t="s">
        <v>675</v>
      </c>
      <c r="AA366" s="105" t="s">
        <v>676</v>
      </c>
      <c r="AB366" s="105" t="s">
        <v>677</v>
      </c>
      <c r="AC366" s="105">
        <v>0</v>
      </c>
      <c r="AD366" s="105" t="s">
        <v>678</v>
      </c>
      <c r="AE366" s="105">
        <v>8</v>
      </c>
      <c r="AF366" s="105" t="s">
        <v>679</v>
      </c>
      <c r="AG366" s="105">
        <v>4715.0529999999999</v>
      </c>
      <c r="AH366" s="105" t="b">
        <v>1</v>
      </c>
      <c r="AI366" s="105">
        <v>-1</v>
      </c>
      <c r="AJ366" s="105" t="s">
        <v>680</v>
      </c>
      <c r="AK366" s="105">
        <v>0</v>
      </c>
      <c r="AL366" s="105" t="b">
        <v>0</v>
      </c>
      <c r="AM366" s="105">
        <v>4715.0529999999999</v>
      </c>
      <c r="AN366" s="105" t="b">
        <v>1</v>
      </c>
      <c r="AO366" s="105">
        <v>0</v>
      </c>
      <c r="AP366" s="105" t="b">
        <v>0</v>
      </c>
      <c r="AQ366" s="105">
        <v>22758.881000000001</v>
      </c>
      <c r="AR366" s="105"/>
      <c r="AS366" s="105">
        <v>22758.881000000001</v>
      </c>
      <c r="AT366" s="105">
        <v>6</v>
      </c>
      <c r="AU366" s="105" t="b">
        <v>1</v>
      </c>
      <c r="AV366" s="105" t="b">
        <v>0</v>
      </c>
    </row>
    <row r="367" spans="1:48" s="46" customFormat="1">
      <c r="A367" s="105" t="s">
        <v>510</v>
      </c>
      <c r="B367" s="105" t="s">
        <v>665</v>
      </c>
      <c r="C367" s="105" t="s">
        <v>666</v>
      </c>
      <c r="D367" s="105">
        <v>20240301</v>
      </c>
      <c r="E367" s="105">
        <v>2024</v>
      </c>
      <c r="F367" s="105">
        <v>3</v>
      </c>
      <c r="G367" s="105" t="s">
        <v>692</v>
      </c>
      <c r="H367" s="105">
        <v>818</v>
      </c>
      <c r="I367" s="105" t="s">
        <v>668</v>
      </c>
      <c r="J367" s="105" t="s">
        <v>57</v>
      </c>
      <c r="K367" s="105" t="s">
        <v>666</v>
      </c>
      <c r="L367" s="105" t="s">
        <v>669</v>
      </c>
      <c r="M367" s="105">
        <v>826</v>
      </c>
      <c r="N367" s="105" t="s">
        <v>685</v>
      </c>
      <c r="O367" s="105" t="s">
        <v>64</v>
      </c>
      <c r="P367" s="105">
        <v>0</v>
      </c>
      <c r="Q367" s="105" t="s">
        <v>670</v>
      </c>
      <c r="R367" s="105" t="s">
        <v>23</v>
      </c>
      <c r="S367" s="105" t="s">
        <v>671</v>
      </c>
      <c r="T367" s="105" t="s">
        <v>672</v>
      </c>
      <c r="U367" s="105" t="b">
        <v>1</v>
      </c>
      <c r="V367" s="105" t="s">
        <v>745</v>
      </c>
      <c r="W367" s="105" t="s">
        <v>746</v>
      </c>
      <c r="X367" s="105">
        <v>6</v>
      </c>
      <c r="Y367" s="105" t="b">
        <v>1</v>
      </c>
      <c r="Z367" s="105" t="s">
        <v>675</v>
      </c>
      <c r="AA367" s="105" t="s">
        <v>676</v>
      </c>
      <c r="AB367" s="105" t="s">
        <v>677</v>
      </c>
      <c r="AC367" s="105">
        <v>0</v>
      </c>
      <c r="AD367" s="105" t="s">
        <v>678</v>
      </c>
      <c r="AE367" s="105">
        <v>8</v>
      </c>
      <c r="AF367" s="105" t="s">
        <v>679</v>
      </c>
      <c r="AG367" s="105">
        <v>12367.674000000001</v>
      </c>
      <c r="AH367" s="105" t="b">
        <v>1</v>
      </c>
      <c r="AI367" s="105">
        <v>-1</v>
      </c>
      <c r="AJ367" s="105" t="s">
        <v>680</v>
      </c>
      <c r="AK367" s="105">
        <v>0</v>
      </c>
      <c r="AL367" s="105" t="b">
        <v>0</v>
      </c>
      <c r="AM367" s="105">
        <v>12367.674000000001</v>
      </c>
      <c r="AN367" s="105" t="b">
        <v>1</v>
      </c>
      <c r="AO367" s="105">
        <v>0</v>
      </c>
      <c r="AP367" s="105" t="b">
        <v>0</v>
      </c>
      <c r="AQ367" s="105">
        <v>59696.974999999999</v>
      </c>
      <c r="AR367" s="105"/>
      <c r="AS367" s="105">
        <v>59696.974999999999</v>
      </c>
      <c r="AT367" s="105">
        <v>6</v>
      </c>
      <c r="AU367" s="105" t="b">
        <v>1</v>
      </c>
      <c r="AV367" s="105" t="b">
        <v>0</v>
      </c>
    </row>
    <row r="368" spans="1:48" s="46" customFormat="1">
      <c r="A368" s="105" t="s">
        <v>510</v>
      </c>
      <c r="B368" s="105" t="s">
        <v>665</v>
      </c>
      <c r="C368" s="105" t="s">
        <v>666</v>
      </c>
      <c r="D368" s="105">
        <v>20240301</v>
      </c>
      <c r="E368" s="105">
        <v>2024</v>
      </c>
      <c r="F368" s="105">
        <v>3</v>
      </c>
      <c r="G368" s="105" t="s">
        <v>692</v>
      </c>
      <c r="H368" s="105">
        <v>818</v>
      </c>
      <c r="I368" s="105" t="s">
        <v>668</v>
      </c>
      <c r="J368" s="105" t="s">
        <v>57</v>
      </c>
      <c r="K368" s="105" t="s">
        <v>666</v>
      </c>
      <c r="L368" s="105" t="s">
        <v>669</v>
      </c>
      <c r="M368" s="105">
        <v>842</v>
      </c>
      <c r="N368" s="105" t="s">
        <v>713</v>
      </c>
      <c r="O368" s="105" t="s">
        <v>713</v>
      </c>
      <c r="P368" s="105">
        <v>0</v>
      </c>
      <c r="Q368" s="105" t="s">
        <v>670</v>
      </c>
      <c r="R368" s="105" t="s">
        <v>23</v>
      </c>
      <c r="S368" s="105" t="s">
        <v>671</v>
      </c>
      <c r="T368" s="105" t="s">
        <v>672</v>
      </c>
      <c r="U368" s="105" t="b">
        <v>1</v>
      </c>
      <c r="V368" s="105" t="s">
        <v>745</v>
      </c>
      <c r="W368" s="105" t="s">
        <v>746</v>
      </c>
      <c r="X368" s="105">
        <v>6</v>
      </c>
      <c r="Y368" s="105" t="b">
        <v>1</v>
      </c>
      <c r="Z368" s="105" t="s">
        <v>675</v>
      </c>
      <c r="AA368" s="105" t="s">
        <v>676</v>
      </c>
      <c r="AB368" s="105" t="s">
        <v>677</v>
      </c>
      <c r="AC368" s="105">
        <v>0</v>
      </c>
      <c r="AD368" s="105" t="s">
        <v>678</v>
      </c>
      <c r="AE368" s="105">
        <v>8</v>
      </c>
      <c r="AF368" s="105" t="s">
        <v>679</v>
      </c>
      <c r="AG368" s="105">
        <v>2642.1350000000002</v>
      </c>
      <c r="AH368" s="105" t="b">
        <v>1</v>
      </c>
      <c r="AI368" s="105">
        <v>-1</v>
      </c>
      <c r="AJ368" s="105" t="s">
        <v>680</v>
      </c>
      <c r="AK368" s="105">
        <v>0</v>
      </c>
      <c r="AL368" s="105" t="b">
        <v>0</v>
      </c>
      <c r="AM368" s="105">
        <v>2642.1350000000002</v>
      </c>
      <c r="AN368" s="105" t="b">
        <v>1</v>
      </c>
      <c r="AO368" s="105">
        <v>0</v>
      </c>
      <c r="AP368" s="105" t="b">
        <v>0</v>
      </c>
      <c r="AQ368" s="105">
        <v>12753.206</v>
      </c>
      <c r="AR368" s="105"/>
      <c r="AS368" s="105">
        <v>12753.206</v>
      </c>
      <c r="AT368" s="105">
        <v>6</v>
      </c>
      <c r="AU368" s="105" t="b">
        <v>1</v>
      </c>
      <c r="AV368" s="105" t="b">
        <v>0</v>
      </c>
    </row>
    <row r="369" spans="1:48" s="46" customFormat="1">
      <c r="A369" s="105" t="s">
        <v>510</v>
      </c>
      <c r="B369" s="105" t="s">
        <v>665</v>
      </c>
      <c r="C369" s="105" t="s">
        <v>666</v>
      </c>
      <c r="D369" s="105">
        <v>20240301</v>
      </c>
      <c r="E369" s="105">
        <v>2024</v>
      </c>
      <c r="F369" s="105">
        <v>3</v>
      </c>
      <c r="G369" s="105" t="s">
        <v>692</v>
      </c>
      <c r="H369" s="105">
        <v>818</v>
      </c>
      <c r="I369" s="105" t="s">
        <v>668</v>
      </c>
      <c r="J369" s="105" t="s">
        <v>57</v>
      </c>
      <c r="K369" s="105" t="s">
        <v>701</v>
      </c>
      <c r="L369" s="105" t="s">
        <v>702</v>
      </c>
      <c r="M369" s="105">
        <v>0</v>
      </c>
      <c r="N369" s="105" t="s">
        <v>670</v>
      </c>
      <c r="O369" s="105" t="s">
        <v>23</v>
      </c>
      <c r="P369" s="105">
        <v>0</v>
      </c>
      <c r="Q369" s="105" t="s">
        <v>670</v>
      </c>
      <c r="R369" s="105" t="s">
        <v>23</v>
      </c>
      <c r="S369" s="105" t="s">
        <v>671</v>
      </c>
      <c r="T369" s="105" t="s">
        <v>672</v>
      </c>
      <c r="U369" s="105" t="b">
        <v>1</v>
      </c>
      <c r="V369" s="105" t="s">
        <v>745</v>
      </c>
      <c r="W369" s="105" t="s">
        <v>746</v>
      </c>
      <c r="X369" s="105">
        <v>6</v>
      </c>
      <c r="Y369" s="105" t="b">
        <v>1</v>
      </c>
      <c r="Z369" s="105" t="s">
        <v>675</v>
      </c>
      <c r="AA369" s="105" t="s">
        <v>676</v>
      </c>
      <c r="AB369" s="105" t="s">
        <v>677</v>
      </c>
      <c r="AC369" s="105">
        <v>0</v>
      </c>
      <c r="AD369" s="105" t="s">
        <v>678</v>
      </c>
      <c r="AE369" s="105">
        <v>8</v>
      </c>
      <c r="AF369" s="105" t="s">
        <v>679</v>
      </c>
      <c r="AG369" s="105">
        <v>76.344999999999999</v>
      </c>
      <c r="AH369" s="105" t="b">
        <v>1</v>
      </c>
      <c r="AI369" s="105">
        <v>-1</v>
      </c>
      <c r="AJ369" s="105" t="s">
        <v>680</v>
      </c>
      <c r="AK369" s="105">
        <v>0</v>
      </c>
      <c r="AL369" s="105" t="b">
        <v>0</v>
      </c>
      <c r="AM369" s="105">
        <v>76.344999999999999</v>
      </c>
      <c r="AN369" s="105" t="b">
        <v>1</v>
      </c>
      <c r="AO369" s="105">
        <v>0</v>
      </c>
      <c r="AP369" s="105" t="b">
        <v>0</v>
      </c>
      <c r="AQ369" s="105"/>
      <c r="AR369" s="105">
        <v>395</v>
      </c>
      <c r="AS369" s="105">
        <v>395</v>
      </c>
      <c r="AT369" s="105">
        <v>6</v>
      </c>
      <c r="AU369" s="105" t="b">
        <v>0</v>
      </c>
      <c r="AV369" s="105" t="b">
        <v>1</v>
      </c>
    </row>
    <row r="370" spans="1:48" s="46" customFormat="1">
      <c r="A370" s="105" t="s">
        <v>510</v>
      </c>
      <c r="B370" s="105" t="s">
        <v>665</v>
      </c>
      <c r="C370" s="105" t="s">
        <v>666</v>
      </c>
      <c r="D370" s="105">
        <v>20240301</v>
      </c>
      <c r="E370" s="105">
        <v>2024</v>
      </c>
      <c r="F370" s="105">
        <v>3</v>
      </c>
      <c r="G370" s="105" t="s">
        <v>692</v>
      </c>
      <c r="H370" s="105">
        <v>818</v>
      </c>
      <c r="I370" s="105" t="s">
        <v>668</v>
      </c>
      <c r="J370" s="105" t="s">
        <v>57</v>
      </c>
      <c r="K370" s="105" t="s">
        <v>701</v>
      </c>
      <c r="L370" s="105" t="s">
        <v>702</v>
      </c>
      <c r="M370" s="105">
        <v>784</v>
      </c>
      <c r="N370" s="105" t="s">
        <v>694</v>
      </c>
      <c r="O370" s="105" t="s">
        <v>25</v>
      </c>
      <c r="P370" s="105">
        <v>0</v>
      </c>
      <c r="Q370" s="105" t="s">
        <v>670</v>
      </c>
      <c r="R370" s="105" t="s">
        <v>23</v>
      </c>
      <c r="S370" s="105" t="s">
        <v>671</v>
      </c>
      <c r="T370" s="105" t="s">
        <v>672</v>
      </c>
      <c r="U370" s="105" t="b">
        <v>1</v>
      </c>
      <c r="V370" s="105" t="s">
        <v>745</v>
      </c>
      <c r="W370" s="105" t="s">
        <v>746</v>
      </c>
      <c r="X370" s="105">
        <v>6</v>
      </c>
      <c r="Y370" s="105" t="b">
        <v>1</v>
      </c>
      <c r="Z370" s="105" t="s">
        <v>675</v>
      </c>
      <c r="AA370" s="105" t="s">
        <v>676</v>
      </c>
      <c r="AB370" s="105" t="s">
        <v>677</v>
      </c>
      <c r="AC370" s="105">
        <v>0</v>
      </c>
      <c r="AD370" s="105" t="s">
        <v>678</v>
      </c>
      <c r="AE370" s="105">
        <v>8</v>
      </c>
      <c r="AF370" s="105" t="s">
        <v>679</v>
      </c>
      <c r="AG370" s="105">
        <v>76.344999999999999</v>
      </c>
      <c r="AH370" s="105" t="b">
        <v>1</v>
      </c>
      <c r="AI370" s="105">
        <v>-1</v>
      </c>
      <c r="AJ370" s="105" t="s">
        <v>680</v>
      </c>
      <c r="AK370" s="105">
        <v>0</v>
      </c>
      <c r="AL370" s="105" t="b">
        <v>0</v>
      </c>
      <c r="AM370" s="105">
        <v>76.344999999999999</v>
      </c>
      <c r="AN370" s="105" t="b">
        <v>1</v>
      </c>
      <c r="AO370" s="105">
        <v>0</v>
      </c>
      <c r="AP370" s="105" t="b">
        <v>0</v>
      </c>
      <c r="AQ370" s="105"/>
      <c r="AR370" s="105">
        <v>395</v>
      </c>
      <c r="AS370" s="105">
        <v>395</v>
      </c>
      <c r="AT370" s="105">
        <v>6</v>
      </c>
      <c r="AU370" s="105" t="b">
        <v>1</v>
      </c>
      <c r="AV370" s="105" t="b">
        <v>0</v>
      </c>
    </row>
    <row r="371" spans="1:48" s="46" customFormat="1">
      <c r="A371" s="105" t="s">
        <v>510</v>
      </c>
      <c r="B371" s="105" t="s">
        <v>665</v>
      </c>
      <c r="C371" s="105" t="s">
        <v>666</v>
      </c>
      <c r="D371" s="105">
        <v>20240401</v>
      </c>
      <c r="E371" s="105">
        <v>2024</v>
      </c>
      <c r="F371" s="105">
        <v>4</v>
      </c>
      <c r="G371" s="105" t="s">
        <v>695</v>
      </c>
      <c r="H371" s="105">
        <v>818</v>
      </c>
      <c r="I371" s="105" t="s">
        <v>668</v>
      </c>
      <c r="J371" s="105" t="s">
        <v>57</v>
      </c>
      <c r="K371" s="105" t="s">
        <v>666</v>
      </c>
      <c r="L371" s="105" t="s">
        <v>669</v>
      </c>
      <c r="M371" s="105">
        <v>0</v>
      </c>
      <c r="N371" s="105" t="s">
        <v>670</v>
      </c>
      <c r="O371" s="105" t="s">
        <v>23</v>
      </c>
      <c r="P371" s="105">
        <v>0</v>
      </c>
      <c r="Q371" s="105" t="s">
        <v>670</v>
      </c>
      <c r="R371" s="105" t="s">
        <v>23</v>
      </c>
      <c r="S371" s="105" t="s">
        <v>671</v>
      </c>
      <c r="T371" s="105" t="s">
        <v>672</v>
      </c>
      <c r="U371" s="105" t="b">
        <v>1</v>
      </c>
      <c r="V371" s="105" t="s">
        <v>745</v>
      </c>
      <c r="W371" s="105" t="s">
        <v>746</v>
      </c>
      <c r="X371" s="105">
        <v>6</v>
      </c>
      <c r="Y371" s="105" t="b">
        <v>1</v>
      </c>
      <c r="Z371" s="105" t="s">
        <v>675</v>
      </c>
      <c r="AA371" s="105" t="s">
        <v>676</v>
      </c>
      <c r="AB371" s="105" t="s">
        <v>677</v>
      </c>
      <c r="AC371" s="105">
        <v>0</v>
      </c>
      <c r="AD371" s="105" t="s">
        <v>678</v>
      </c>
      <c r="AE371" s="105">
        <v>8</v>
      </c>
      <c r="AF371" s="105" t="s">
        <v>679</v>
      </c>
      <c r="AG371" s="105">
        <v>291428.636</v>
      </c>
      <c r="AH371" s="105" t="b">
        <v>1</v>
      </c>
      <c r="AI371" s="105">
        <v>-1</v>
      </c>
      <c r="AJ371" s="105" t="s">
        <v>680</v>
      </c>
      <c r="AK371" s="105">
        <v>0</v>
      </c>
      <c r="AL371" s="105" t="b">
        <v>0</v>
      </c>
      <c r="AM371" s="105">
        <v>291428.636</v>
      </c>
      <c r="AN371" s="105" t="b">
        <v>1</v>
      </c>
      <c r="AO371" s="105">
        <v>0</v>
      </c>
      <c r="AP371" s="105" t="b">
        <v>0</v>
      </c>
      <c r="AQ371" s="105">
        <v>1406683.933</v>
      </c>
      <c r="AR371" s="105"/>
      <c r="AS371" s="105">
        <v>1406683.933</v>
      </c>
      <c r="AT371" s="105">
        <v>6</v>
      </c>
      <c r="AU371" s="105" t="b">
        <v>0</v>
      </c>
      <c r="AV371" s="105" t="b">
        <v>1</v>
      </c>
    </row>
    <row r="372" spans="1:48" s="46" customFormat="1">
      <c r="A372" s="105" t="s">
        <v>510</v>
      </c>
      <c r="B372" s="105" t="s">
        <v>665</v>
      </c>
      <c r="C372" s="105" t="s">
        <v>666</v>
      </c>
      <c r="D372" s="105">
        <v>20240401</v>
      </c>
      <c r="E372" s="105">
        <v>2024</v>
      </c>
      <c r="F372" s="105">
        <v>4</v>
      </c>
      <c r="G372" s="105" t="s">
        <v>695</v>
      </c>
      <c r="H372" s="105">
        <v>818</v>
      </c>
      <c r="I372" s="105" t="s">
        <v>668</v>
      </c>
      <c r="J372" s="105" t="s">
        <v>57</v>
      </c>
      <c r="K372" s="105" t="s">
        <v>666</v>
      </c>
      <c r="L372" s="105" t="s">
        <v>669</v>
      </c>
      <c r="M372" s="105">
        <v>40</v>
      </c>
      <c r="N372" s="105" t="s">
        <v>750</v>
      </c>
      <c r="O372" s="105" t="s">
        <v>43</v>
      </c>
      <c r="P372" s="105">
        <v>0</v>
      </c>
      <c r="Q372" s="105" t="s">
        <v>670</v>
      </c>
      <c r="R372" s="105" t="s">
        <v>23</v>
      </c>
      <c r="S372" s="105" t="s">
        <v>671</v>
      </c>
      <c r="T372" s="105" t="s">
        <v>672</v>
      </c>
      <c r="U372" s="105" t="b">
        <v>1</v>
      </c>
      <c r="V372" s="105" t="s">
        <v>745</v>
      </c>
      <c r="W372" s="105" t="s">
        <v>746</v>
      </c>
      <c r="X372" s="105">
        <v>6</v>
      </c>
      <c r="Y372" s="105" t="b">
        <v>1</v>
      </c>
      <c r="Z372" s="105" t="s">
        <v>675</v>
      </c>
      <c r="AA372" s="105" t="s">
        <v>676</v>
      </c>
      <c r="AB372" s="105" t="s">
        <v>677</v>
      </c>
      <c r="AC372" s="105">
        <v>0</v>
      </c>
      <c r="AD372" s="105" t="s">
        <v>678</v>
      </c>
      <c r="AE372" s="105">
        <v>8</v>
      </c>
      <c r="AF372" s="105" t="s">
        <v>679</v>
      </c>
      <c r="AG372" s="105">
        <v>2616.7689999999998</v>
      </c>
      <c r="AH372" s="105" t="b">
        <v>1</v>
      </c>
      <c r="AI372" s="105">
        <v>-1</v>
      </c>
      <c r="AJ372" s="105" t="s">
        <v>680</v>
      </c>
      <c r="AK372" s="105">
        <v>0</v>
      </c>
      <c r="AL372" s="105" t="b">
        <v>0</v>
      </c>
      <c r="AM372" s="105">
        <v>2616.7689999999998</v>
      </c>
      <c r="AN372" s="105" t="b">
        <v>1</v>
      </c>
      <c r="AO372" s="105">
        <v>0</v>
      </c>
      <c r="AP372" s="105" t="b">
        <v>0</v>
      </c>
      <c r="AQ372" s="105">
        <v>12630.768</v>
      </c>
      <c r="AR372" s="105"/>
      <c r="AS372" s="105">
        <v>12630.768</v>
      </c>
      <c r="AT372" s="105">
        <v>6</v>
      </c>
      <c r="AU372" s="105" t="b">
        <v>1</v>
      </c>
      <c r="AV372" s="105" t="b">
        <v>0</v>
      </c>
    </row>
    <row r="373" spans="1:48" s="46" customFormat="1">
      <c r="A373" s="105" t="s">
        <v>510</v>
      </c>
      <c r="B373" s="105" t="s">
        <v>665</v>
      </c>
      <c r="C373" s="105" t="s">
        <v>666</v>
      </c>
      <c r="D373" s="105">
        <v>20240401</v>
      </c>
      <c r="E373" s="105">
        <v>2024</v>
      </c>
      <c r="F373" s="105">
        <v>4</v>
      </c>
      <c r="G373" s="105" t="s">
        <v>695</v>
      </c>
      <c r="H373" s="105">
        <v>818</v>
      </c>
      <c r="I373" s="105" t="s">
        <v>668</v>
      </c>
      <c r="J373" s="105" t="s">
        <v>57</v>
      </c>
      <c r="K373" s="105" t="s">
        <v>666</v>
      </c>
      <c r="L373" s="105" t="s">
        <v>669</v>
      </c>
      <c r="M373" s="105">
        <v>56</v>
      </c>
      <c r="N373" s="105" t="s">
        <v>696</v>
      </c>
      <c r="O373" s="105" t="s">
        <v>74</v>
      </c>
      <c r="P373" s="105">
        <v>0</v>
      </c>
      <c r="Q373" s="105" t="s">
        <v>670</v>
      </c>
      <c r="R373" s="105" t="s">
        <v>23</v>
      </c>
      <c r="S373" s="105" t="s">
        <v>671</v>
      </c>
      <c r="T373" s="105" t="s">
        <v>672</v>
      </c>
      <c r="U373" s="105" t="b">
        <v>1</v>
      </c>
      <c r="V373" s="105" t="s">
        <v>745</v>
      </c>
      <c r="W373" s="105" t="s">
        <v>746</v>
      </c>
      <c r="X373" s="105">
        <v>6</v>
      </c>
      <c r="Y373" s="105" t="b">
        <v>1</v>
      </c>
      <c r="Z373" s="105" t="s">
        <v>675</v>
      </c>
      <c r="AA373" s="105" t="s">
        <v>676</v>
      </c>
      <c r="AB373" s="105" t="s">
        <v>677</v>
      </c>
      <c r="AC373" s="105">
        <v>0</v>
      </c>
      <c r="AD373" s="105" t="s">
        <v>678</v>
      </c>
      <c r="AE373" s="105">
        <v>8</v>
      </c>
      <c r="AF373" s="105" t="s">
        <v>679</v>
      </c>
      <c r="AG373" s="105">
        <v>57460.71</v>
      </c>
      <c r="AH373" s="105" t="b">
        <v>1</v>
      </c>
      <c r="AI373" s="105">
        <v>-1</v>
      </c>
      <c r="AJ373" s="105" t="s">
        <v>680</v>
      </c>
      <c r="AK373" s="105">
        <v>0</v>
      </c>
      <c r="AL373" s="105" t="b">
        <v>0</v>
      </c>
      <c r="AM373" s="105">
        <v>57460.71</v>
      </c>
      <c r="AN373" s="105" t="b">
        <v>1</v>
      </c>
      <c r="AO373" s="105">
        <v>0</v>
      </c>
      <c r="AP373" s="105" t="b">
        <v>0</v>
      </c>
      <c r="AQ373" s="105">
        <v>277354.54700000002</v>
      </c>
      <c r="AR373" s="105"/>
      <c r="AS373" s="105">
        <v>277354.54700000002</v>
      </c>
      <c r="AT373" s="105">
        <v>6</v>
      </c>
      <c r="AU373" s="105" t="b">
        <v>1</v>
      </c>
      <c r="AV373" s="105" t="b">
        <v>0</v>
      </c>
    </row>
    <row r="374" spans="1:48" s="46" customFormat="1">
      <c r="A374" s="105" t="s">
        <v>510</v>
      </c>
      <c r="B374" s="105" t="s">
        <v>665</v>
      </c>
      <c r="C374" s="105" t="s">
        <v>666</v>
      </c>
      <c r="D374" s="105">
        <v>20240401</v>
      </c>
      <c r="E374" s="105">
        <v>2024</v>
      </c>
      <c r="F374" s="105">
        <v>4</v>
      </c>
      <c r="G374" s="105" t="s">
        <v>695</v>
      </c>
      <c r="H374" s="105">
        <v>818</v>
      </c>
      <c r="I374" s="105" t="s">
        <v>668</v>
      </c>
      <c r="J374" s="105" t="s">
        <v>57</v>
      </c>
      <c r="K374" s="105" t="s">
        <v>666</v>
      </c>
      <c r="L374" s="105" t="s">
        <v>669</v>
      </c>
      <c r="M374" s="105">
        <v>156</v>
      </c>
      <c r="N374" s="105" t="s">
        <v>711</v>
      </c>
      <c r="O374" s="105" t="s">
        <v>29</v>
      </c>
      <c r="P374" s="105">
        <v>0</v>
      </c>
      <c r="Q374" s="105" t="s">
        <v>670</v>
      </c>
      <c r="R374" s="105" t="s">
        <v>23</v>
      </c>
      <c r="S374" s="105" t="s">
        <v>671</v>
      </c>
      <c r="T374" s="105" t="s">
        <v>672</v>
      </c>
      <c r="U374" s="105" t="b">
        <v>1</v>
      </c>
      <c r="V374" s="105" t="s">
        <v>745</v>
      </c>
      <c r="W374" s="105" t="s">
        <v>746</v>
      </c>
      <c r="X374" s="105">
        <v>6</v>
      </c>
      <c r="Y374" s="105" t="b">
        <v>1</v>
      </c>
      <c r="Z374" s="105" t="s">
        <v>675</v>
      </c>
      <c r="AA374" s="105" t="s">
        <v>676</v>
      </c>
      <c r="AB374" s="105" t="s">
        <v>677</v>
      </c>
      <c r="AC374" s="105">
        <v>0</v>
      </c>
      <c r="AD374" s="105" t="s">
        <v>678</v>
      </c>
      <c r="AE374" s="105">
        <v>8</v>
      </c>
      <c r="AF374" s="105" t="s">
        <v>679</v>
      </c>
      <c r="AG374" s="105">
        <v>209556.65400000001</v>
      </c>
      <c r="AH374" s="105" t="b">
        <v>1</v>
      </c>
      <c r="AI374" s="105">
        <v>-1</v>
      </c>
      <c r="AJ374" s="105" t="s">
        <v>680</v>
      </c>
      <c r="AK374" s="105">
        <v>0</v>
      </c>
      <c r="AL374" s="105" t="b">
        <v>0</v>
      </c>
      <c r="AM374" s="105">
        <v>209556.65400000001</v>
      </c>
      <c r="AN374" s="105" t="b">
        <v>1</v>
      </c>
      <c r="AO374" s="105">
        <v>0</v>
      </c>
      <c r="AP374" s="105" t="b">
        <v>0</v>
      </c>
      <c r="AQ374" s="105">
        <v>1011499.701</v>
      </c>
      <c r="AR374" s="105"/>
      <c r="AS374" s="105">
        <v>1011499.701</v>
      </c>
      <c r="AT374" s="105">
        <v>6</v>
      </c>
      <c r="AU374" s="105" t="b">
        <v>1</v>
      </c>
      <c r="AV374" s="105" t="b">
        <v>0</v>
      </c>
    </row>
    <row r="375" spans="1:48" s="46" customFormat="1">
      <c r="A375" s="105" t="s">
        <v>510</v>
      </c>
      <c r="B375" s="105" t="s">
        <v>665</v>
      </c>
      <c r="C375" s="105" t="s">
        <v>666</v>
      </c>
      <c r="D375" s="105">
        <v>20240401</v>
      </c>
      <c r="E375" s="105">
        <v>2024</v>
      </c>
      <c r="F375" s="105">
        <v>4</v>
      </c>
      <c r="G375" s="105" t="s">
        <v>695</v>
      </c>
      <c r="H375" s="105">
        <v>818</v>
      </c>
      <c r="I375" s="105" t="s">
        <v>668</v>
      </c>
      <c r="J375" s="105" t="s">
        <v>57</v>
      </c>
      <c r="K375" s="105" t="s">
        <v>666</v>
      </c>
      <c r="L375" s="105" t="s">
        <v>669</v>
      </c>
      <c r="M375" s="105">
        <v>276</v>
      </c>
      <c r="N375" s="105" t="s">
        <v>681</v>
      </c>
      <c r="O375" s="105" t="s">
        <v>30</v>
      </c>
      <c r="P375" s="105">
        <v>0</v>
      </c>
      <c r="Q375" s="105" t="s">
        <v>670</v>
      </c>
      <c r="R375" s="105" t="s">
        <v>23</v>
      </c>
      <c r="S375" s="105" t="s">
        <v>671</v>
      </c>
      <c r="T375" s="105" t="s">
        <v>672</v>
      </c>
      <c r="U375" s="105" t="b">
        <v>1</v>
      </c>
      <c r="V375" s="105" t="s">
        <v>745</v>
      </c>
      <c r="W375" s="105" t="s">
        <v>746</v>
      </c>
      <c r="X375" s="105">
        <v>6</v>
      </c>
      <c r="Y375" s="105" t="b">
        <v>1</v>
      </c>
      <c r="Z375" s="105" t="s">
        <v>675</v>
      </c>
      <c r="AA375" s="105" t="s">
        <v>676</v>
      </c>
      <c r="AB375" s="105" t="s">
        <v>677</v>
      </c>
      <c r="AC375" s="105">
        <v>0</v>
      </c>
      <c r="AD375" s="105" t="s">
        <v>678</v>
      </c>
      <c r="AE375" s="105">
        <v>8</v>
      </c>
      <c r="AF375" s="105" t="s">
        <v>679</v>
      </c>
      <c r="AG375" s="105">
        <v>4775.4629999999997</v>
      </c>
      <c r="AH375" s="105" t="b">
        <v>1</v>
      </c>
      <c r="AI375" s="105">
        <v>-1</v>
      </c>
      <c r="AJ375" s="105" t="s">
        <v>680</v>
      </c>
      <c r="AK375" s="105">
        <v>0</v>
      </c>
      <c r="AL375" s="105" t="b">
        <v>0</v>
      </c>
      <c r="AM375" s="105">
        <v>4775.4629999999997</v>
      </c>
      <c r="AN375" s="105" t="b">
        <v>1</v>
      </c>
      <c r="AO375" s="105">
        <v>0</v>
      </c>
      <c r="AP375" s="105" t="b">
        <v>0</v>
      </c>
      <c r="AQ375" s="105">
        <v>23050.469000000001</v>
      </c>
      <c r="AR375" s="105"/>
      <c r="AS375" s="105">
        <v>23050.469000000001</v>
      </c>
      <c r="AT375" s="105">
        <v>6</v>
      </c>
      <c r="AU375" s="105" t="b">
        <v>1</v>
      </c>
      <c r="AV375" s="105" t="b">
        <v>0</v>
      </c>
    </row>
    <row r="376" spans="1:48" s="46" customFormat="1">
      <c r="A376" s="105" t="s">
        <v>510</v>
      </c>
      <c r="B376" s="105" t="s">
        <v>665</v>
      </c>
      <c r="C376" s="105" t="s">
        <v>666</v>
      </c>
      <c r="D376" s="105">
        <v>20240401</v>
      </c>
      <c r="E376" s="105">
        <v>2024</v>
      </c>
      <c r="F376" s="105">
        <v>4</v>
      </c>
      <c r="G376" s="105" t="s">
        <v>695</v>
      </c>
      <c r="H376" s="105">
        <v>818</v>
      </c>
      <c r="I376" s="105" t="s">
        <v>668</v>
      </c>
      <c r="J376" s="105" t="s">
        <v>57</v>
      </c>
      <c r="K376" s="105" t="s">
        <v>666</v>
      </c>
      <c r="L376" s="105" t="s">
        <v>669</v>
      </c>
      <c r="M376" s="105">
        <v>300</v>
      </c>
      <c r="N376" s="105" t="s">
        <v>719</v>
      </c>
      <c r="O376" s="105" t="s">
        <v>65</v>
      </c>
      <c r="P376" s="105">
        <v>0</v>
      </c>
      <c r="Q376" s="105" t="s">
        <v>670</v>
      </c>
      <c r="R376" s="105" t="s">
        <v>23</v>
      </c>
      <c r="S376" s="105" t="s">
        <v>671</v>
      </c>
      <c r="T376" s="105" t="s">
        <v>672</v>
      </c>
      <c r="U376" s="105" t="b">
        <v>1</v>
      </c>
      <c r="V376" s="105" t="s">
        <v>745</v>
      </c>
      <c r="W376" s="105" t="s">
        <v>746</v>
      </c>
      <c r="X376" s="105">
        <v>6</v>
      </c>
      <c r="Y376" s="105" t="b">
        <v>1</v>
      </c>
      <c r="Z376" s="105" t="s">
        <v>675</v>
      </c>
      <c r="AA376" s="105" t="s">
        <v>676</v>
      </c>
      <c r="AB376" s="105" t="s">
        <v>677</v>
      </c>
      <c r="AC376" s="105">
        <v>0</v>
      </c>
      <c r="AD376" s="105" t="s">
        <v>678</v>
      </c>
      <c r="AE376" s="105">
        <v>8</v>
      </c>
      <c r="AF376" s="105" t="s">
        <v>679</v>
      </c>
      <c r="AG376" s="105">
        <v>3274.4259999999999</v>
      </c>
      <c r="AH376" s="105" t="b">
        <v>1</v>
      </c>
      <c r="AI376" s="105">
        <v>-1</v>
      </c>
      <c r="AJ376" s="105" t="s">
        <v>680</v>
      </c>
      <c r="AK376" s="105">
        <v>0</v>
      </c>
      <c r="AL376" s="105" t="b">
        <v>0</v>
      </c>
      <c r="AM376" s="105">
        <v>3274.4259999999999</v>
      </c>
      <c r="AN376" s="105" t="b">
        <v>1</v>
      </c>
      <c r="AO376" s="105">
        <v>0</v>
      </c>
      <c r="AP376" s="105" t="b">
        <v>0</v>
      </c>
      <c r="AQ376" s="105">
        <v>15805.18</v>
      </c>
      <c r="AR376" s="105"/>
      <c r="AS376" s="105">
        <v>15805.18</v>
      </c>
      <c r="AT376" s="105">
        <v>6</v>
      </c>
      <c r="AU376" s="105" t="b">
        <v>1</v>
      </c>
      <c r="AV376" s="105" t="b">
        <v>0</v>
      </c>
    </row>
    <row r="377" spans="1:48" s="46" customFormat="1">
      <c r="A377" s="105" t="s">
        <v>510</v>
      </c>
      <c r="B377" s="105" t="s">
        <v>665</v>
      </c>
      <c r="C377" s="105" t="s">
        <v>666</v>
      </c>
      <c r="D377" s="105">
        <v>20240401</v>
      </c>
      <c r="E377" s="105">
        <v>2024</v>
      </c>
      <c r="F377" s="105">
        <v>4</v>
      </c>
      <c r="G377" s="105" t="s">
        <v>695</v>
      </c>
      <c r="H377" s="105">
        <v>818</v>
      </c>
      <c r="I377" s="105" t="s">
        <v>668</v>
      </c>
      <c r="J377" s="105" t="s">
        <v>57</v>
      </c>
      <c r="K377" s="105" t="s">
        <v>666</v>
      </c>
      <c r="L377" s="105" t="s">
        <v>669</v>
      </c>
      <c r="M377" s="105">
        <v>380</v>
      </c>
      <c r="N377" s="105" t="s">
        <v>689</v>
      </c>
      <c r="O377" s="105" t="s">
        <v>71</v>
      </c>
      <c r="P377" s="105">
        <v>0</v>
      </c>
      <c r="Q377" s="105" t="s">
        <v>670</v>
      </c>
      <c r="R377" s="105" t="s">
        <v>23</v>
      </c>
      <c r="S377" s="105" t="s">
        <v>671</v>
      </c>
      <c r="T377" s="105" t="s">
        <v>672</v>
      </c>
      <c r="U377" s="105" t="b">
        <v>1</v>
      </c>
      <c r="V377" s="105" t="s">
        <v>745</v>
      </c>
      <c r="W377" s="105" t="s">
        <v>746</v>
      </c>
      <c r="X377" s="105">
        <v>6</v>
      </c>
      <c r="Y377" s="105" t="b">
        <v>1</v>
      </c>
      <c r="Z377" s="105" t="s">
        <v>675</v>
      </c>
      <c r="AA377" s="105" t="s">
        <v>676</v>
      </c>
      <c r="AB377" s="105" t="s">
        <v>677</v>
      </c>
      <c r="AC377" s="105">
        <v>0</v>
      </c>
      <c r="AD377" s="105" t="s">
        <v>678</v>
      </c>
      <c r="AE377" s="105">
        <v>8</v>
      </c>
      <c r="AF377" s="105" t="s">
        <v>679</v>
      </c>
      <c r="AG377" s="105">
        <v>8587.9930000000004</v>
      </c>
      <c r="AH377" s="105" t="b">
        <v>1</v>
      </c>
      <c r="AI377" s="105">
        <v>-1</v>
      </c>
      <c r="AJ377" s="105" t="s">
        <v>680</v>
      </c>
      <c r="AK377" s="105">
        <v>0</v>
      </c>
      <c r="AL377" s="105" t="b">
        <v>0</v>
      </c>
      <c r="AM377" s="105">
        <v>8587.9930000000004</v>
      </c>
      <c r="AN377" s="105" t="b">
        <v>1</v>
      </c>
      <c r="AO377" s="105">
        <v>0</v>
      </c>
      <c r="AP377" s="105" t="b">
        <v>0</v>
      </c>
      <c r="AQ377" s="105">
        <v>41453.002</v>
      </c>
      <c r="AR377" s="105"/>
      <c r="AS377" s="105">
        <v>41453.002</v>
      </c>
      <c r="AT377" s="105">
        <v>6</v>
      </c>
      <c r="AU377" s="105" t="b">
        <v>1</v>
      </c>
      <c r="AV377" s="105" t="b">
        <v>0</v>
      </c>
    </row>
    <row r="378" spans="1:48" s="46" customFormat="1">
      <c r="A378" s="105" t="s">
        <v>510</v>
      </c>
      <c r="B378" s="105" t="s">
        <v>665</v>
      </c>
      <c r="C378" s="105" t="s">
        <v>666</v>
      </c>
      <c r="D378" s="105">
        <v>20240401</v>
      </c>
      <c r="E378" s="105">
        <v>2024</v>
      </c>
      <c r="F378" s="105">
        <v>4</v>
      </c>
      <c r="G378" s="105" t="s">
        <v>695</v>
      </c>
      <c r="H378" s="105">
        <v>818</v>
      </c>
      <c r="I378" s="105" t="s">
        <v>668</v>
      </c>
      <c r="J378" s="105" t="s">
        <v>57</v>
      </c>
      <c r="K378" s="105" t="s">
        <v>666</v>
      </c>
      <c r="L378" s="105" t="s">
        <v>669</v>
      </c>
      <c r="M378" s="105">
        <v>699</v>
      </c>
      <c r="N378" s="105" t="s">
        <v>748</v>
      </c>
      <c r="O378" s="105" t="s">
        <v>0</v>
      </c>
      <c r="P378" s="105">
        <v>0</v>
      </c>
      <c r="Q378" s="105" t="s">
        <v>670</v>
      </c>
      <c r="R378" s="105" t="s">
        <v>23</v>
      </c>
      <c r="S378" s="105" t="s">
        <v>671</v>
      </c>
      <c r="T378" s="105" t="s">
        <v>672</v>
      </c>
      <c r="U378" s="105" t="b">
        <v>1</v>
      </c>
      <c r="V378" s="105" t="s">
        <v>745</v>
      </c>
      <c r="W378" s="105" t="s">
        <v>746</v>
      </c>
      <c r="X378" s="105">
        <v>6</v>
      </c>
      <c r="Y378" s="105" t="b">
        <v>1</v>
      </c>
      <c r="Z378" s="105" t="s">
        <v>675</v>
      </c>
      <c r="AA378" s="105" t="s">
        <v>676</v>
      </c>
      <c r="AB378" s="105" t="s">
        <v>677</v>
      </c>
      <c r="AC378" s="105">
        <v>0</v>
      </c>
      <c r="AD378" s="105" t="s">
        <v>678</v>
      </c>
      <c r="AE378" s="105">
        <v>8</v>
      </c>
      <c r="AF378" s="105" t="s">
        <v>679</v>
      </c>
      <c r="AG378" s="105">
        <v>2176.69</v>
      </c>
      <c r="AH378" s="105" t="b">
        <v>1</v>
      </c>
      <c r="AI378" s="105">
        <v>-1</v>
      </c>
      <c r="AJ378" s="105" t="s">
        <v>680</v>
      </c>
      <c r="AK378" s="105">
        <v>0</v>
      </c>
      <c r="AL378" s="105" t="b">
        <v>0</v>
      </c>
      <c r="AM378" s="105">
        <v>2176.69</v>
      </c>
      <c r="AN378" s="105" t="b">
        <v>1</v>
      </c>
      <c r="AO378" s="105">
        <v>0</v>
      </c>
      <c r="AP378" s="105" t="b">
        <v>0</v>
      </c>
      <c r="AQ378" s="105">
        <v>10506.57</v>
      </c>
      <c r="AR378" s="105"/>
      <c r="AS378" s="105">
        <v>10506.57</v>
      </c>
      <c r="AT378" s="105">
        <v>6</v>
      </c>
      <c r="AU378" s="105" t="b">
        <v>1</v>
      </c>
      <c r="AV378" s="105" t="b">
        <v>0</v>
      </c>
    </row>
    <row r="379" spans="1:48" s="46" customFormat="1">
      <c r="A379" s="105" t="s">
        <v>510</v>
      </c>
      <c r="B379" s="105" t="s">
        <v>665</v>
      </c>
      <c r="C379" s="105" t="s">
        <v>666</v>
      </c>
      <c r="D379" s="105">
        <v>20240401</v>
      </c>
      <c r="E379" s="105">
        <v>2024</v>
      </c>
      <c r="F379" s="105">
        <v>4</v>
      </c>
      <c r="G379" s="105" t="s">
        <v>695</v>
      </c>
      <c r="H379" s="105">
        <v>818</v>
      </c>
      <c r="I379" s="105" t="s">
        <v>668</v>
      </c>
      <c r="J379" s="105" t="s">
        <v>57</v>
      </c>
      <c r="K379" s="105" t="s">
        <v>666</v>
      </c>
      <c r="L379" s="105" t="s">
        <v>669</v>
      </c>
      <c r="M379" s="105">
        <v>792</v>
      </c>
      <c r="N379" s="105" t="s">
        <v>691</v>
      </c>
      <c r="O379" s="105" t="s">
        <v>63</v>
      </c>
      <c r="P379" s="105">
        <v>0</v>
      </c>
      <c r="Q379" s="105" t="s">
        <v>670</v>
      </c>
      <c r="R379" s="105" t="s">
        <v>23</v>
      </c>
      <c r="S379" s="105" t="s">
        <v>671</v>
      </c>
      <c r="T379" s="105" t="s">
        <v>672</v>
      </c>
      <c r="U379" s="105" t="b">
        <v>1</v>
      </c>
      <c r="V379" s="105" t="s">
        <v>745</v>
      </c>
      <c r="W379" s="105" t="s">
        <v>746</v>
      </c>
      <c r="X379" s="105">
        <v>6</v>
      </c>
      <c r="Y379" s="105" t="b">
        <v>1</v>
      </c>
      <c r="Z379" s="105" t="s">
        <v>675</v>
      </c>
      <c r="AA379" s="105" t="s">
        <v>676</v>
      </c>
      <c r="AB379" s="105" t="s">
        <v>677</v>
      </c>
      <c r="AC379" s="105">
        <v>0</v>
      </c>
      <c r="AD379" s="105" t="s">
        <v>678</v>
      </c>
      <c r="AE379" s="105">
        <v>8</v>
      </c>
      <c r="AF379" s="105" t="s">
        <v>679</v>
      </c>
      <c r="AG379" s="105">
        <v>134.53899999999999</v>
      </c>
      <c r="AH379" s="105" t="b">
        <v>1</v>
      </c>
      <c r="AI379" s="105">
        <v>-1</v>
      </c>
      <c r="AJ379" s="105" t="s">
        <v>680</v>
      </c>
      <c r="AK379" s="105">
        <v>0</v>
      </c>
      <c r="AL379" s="105" t="b">
        <v>0</v>
      </c>
      <c r="AM379" s="105">
        <v>134.53899999999999</v>
      </c>
      <c r="AN379" s="105" t="b">
        <v>1</v>
      </c>
      <c r="AO379" s="105">
        <v>0</v>
      </c>
      <c r="AP379" s="105" t="b">
        <v>0</v>
      </c>
      <c r="AQ379" s="105">
        <v>649.4</v>
      </c>
      <c r="AR379" s="105"/>
      <c r="AS379" s="105">
        <v>649.4</v>
      </c>
      <c r="AT379" s="105">
        <v>6</v>
      </c>
      <c r="AU379" s="105" t="b">
        <v>1</v>
      </c>
      <c r="AV379" s="105" t="b">
        <v>0</v>
      </c>
    </row>
    <row r="380" spans="1:48" s="46" customFormat="1">
      <c r="A380" s="105" t="s">
        <v>510</v>
      </c>
      <c r="B380" s="105" t="s">
        <v>665</v>
      </c>
      <c r="C380" s="105" t="s">
        <v>666</v>
      </c>
      <c r="D380" s="105">
        <v>20240401</v>
      </c>
      <c r="E380" s="105">
        <v>2024</v>
      </c>
      <c r="F380" s="105">
        <v>4</v>
      </c>
      <c r="G380" s="105" t="s">
        <v>695</v>
      </c>
      <c r="H380" s="105">
        <v>818</v>
      </c>
      <c r="I380" s="105" t="s">
        <v>668</v>
      </c>
      <c r="J380" s="105" t="s">
        <v>57</v>
      </c>
      <c r="K380" s="105" t="s">
        <v>666</v>
      </c>
      <c r="L380" s="105" t="s">
        <v>669</v>
      </c>
      <c r="M380" s="105">
        <v>826</v>
      </c>
      <c r="N380" s="105" t="s">
        <v>685</v>
      </c>
      <c r="O380" s="105" t="s">
        <v>64</v>
      </c>
      <c r="P380" s="105">
        <v>0</v>
      </c>
      <c r="Q380" s="105" t="s">
        <v>670</v>
      </c>
      <c r="R380" s="105" t="s">
        <v>23</v>
      </c>
      <c r="S380" s="105" t="s">
        <v>671</v>
      </c>
      <c r="T380" s="105" t="s">
        <v>672</v>
      </c>
      <c r="U380" s="105" t="b">
        <v>1</v>
      </c>
      <c r="V380" s="105" t="s">
        <v>745</v>
      </c>
      <c r="W380" s="105" t="s">
        <v>746</v>
      </c>
      <c r="X380" s="105">
        <v>6</v>
      </c>
      <c r="Y380" s="105" t="b">
        <v>1</v>
      </c>
      <c r="Z380" s="105" t="s">
        <v>675</v>
      </c>
      <c r="AA380" s="105" t="s">
        <v>676</v>
      </c>
      <c r="AB380" s="105" t="s">
        <v>677</v>
      </c>
      <c r="AC380" s="105">
        <v>0</v>
      </c>
      <c r="AD380" s="105" t="s">
        <v>678</v>
      </c>
      <c r="AE380" s="105">
        <v>8</v>
      </c>
      <c r="AF380" s="105" t="s">
        <v>679</v>
      </c>
      <c r="AG380" s="105">
        <v>2845.3919999999998</v>
      </c>
      <c r="AH380" s="105" t="b">
        <v>1</v>
      </c>
      <c r="AI380" s="105">
        <v>-1</v>
      </c>
      <c r="AJ380" s="105" t="s">
        <v>680</v>
      </c>
      <c r="AK380" s="105">
        <v>0</v>
      </c>
      <c r="AL380" s="105" t="b">
        <v>0</v>
      </c>
      <c r="AM380" s="105">
        <v>2845.3919999999998</v>
      </c>
      <c r="AN380" s="105" t="b">
        <v>1</v>
      </c>
      <c r="AO380" s="105">
        <v>0</v>
      </c>
      <c r="AP380" s="105" t="b">
        <v>0</v>
      </c>
      <c r="AQ380" s="105">
        <v>13734.296</v>
      </c>
      <c r="AR380" s="105"/>
      <c r="AS380" s="105">
        <v>13734.296</v>
      </c>
      <c r="AT380" s="105">
        <v>6</v>
      </c>
      <c r="AU380" s="105" t="b">
        <v>1</v>
      </c>
      <c r="AV380" s="105" t="b">
        <v>0</v>
      </c>
    </row>
    <row r="381" spans="1:48" s="46" customFormat="1">
      <c r="A381" s="105" t="s">
        <v>510</v>
      </c>
      <c r="B381" s="105" t="s">
        <v>665</v>
      </c>
      <c r="C381" s="105" t="s">
        <v>666</v>
      </c>
      <c r="D381" s="105">
        <v>20240501</v>
      </c>
      <c r="E381" s="105">
        <v>2024</v>
      </c>
      <c r="F381" s="105">
        <v>5</v>
      </c>
      <c r="G381" s="105" t="s">
        <v>699</v>
      </c>
      <c r="H381" s="105">
        <v>818</v>
      </c>
      <c r="I381" s="105" t="s">
        <v>668</v>
      </c>
      <c r="J381" s="105" t="s">
        <v>57</v>
      </c>
      <c r="K381" s="105" t="s">
        <v>666</v>
      </c>
      <c r="L381" s="105" t="s">
        <v>669</v>
      </c>
      <c r="M381" s="105">
        <v>0</v>
      </c>
      <c r="N381" s="105" t="s">
        <v>670</v>
      </c>
      <c r="O381" s="105" t="s">
        <v>23</v>
      </c>
      <c r="P381" s="105">
        <v>0</v>
      </c>
      <c r="Q381" s="105" t="s">
        <v>670</v>
      </c>
      <c r="R381" s="105" t="s">
        <v>23</v>
      </c>
      <c r="S381" s="105" t="s">
        <v>671</v>
      </c>
      <c r="T381" s="105" t="s">
        <v>672</v>
      </c>
      <c r="U381" s="105" t="b">
        <v>1</v>
      </c>
      <c r="V381" s="105" t="s">
        <v>745</v>
      </c>
      <c r="W381" s="105" t="s">
        <v>746</v>
      </c>
      <c r="X381" s="105">
        <v>6</v>
      </c>
      <c r="Y381" s="105" t="b">
        <v>1</v>
      </c>
      <c r="Z381" s="105" t="s">
        <v>675</v>
      </c>
      <c r="AA381" s="105" t="s">
        <v>676</v>
      </c>
      <c r="AB381" s="105" t="s">
        <v>677</v>
      </c>
      <c r="AC381" s="105">
        <v>0</v>
      </c>
      <c r="AD381" s="105" t="s">
        <v>678</v>
      </c>
      <c r="AE381" s="105">
        <v>8</v>
      </c>
      <c r="AF381" s="105" t="s">
        <v>679</v>
      </c>
      <c r="AG381" s="105">
        <v>285614.56400000001</v>
      </c>
      <c r="AH381" s="105" t="b">
        <v>1</v>
      </c>
      <c r="AI381" s="105">
        <v>-1</v>
      </c>
      <c r="AJ381" s="105" t="s">
        <v>680</v>
      </c>
      <c r="AK381" s="105">
        <v>0</v>
      </c>
      <c r="AL381" s="105" t="b">
        <v>0</v>
      </c>
      <c r="AM381" s="105">
        <v>285614.56400000001</v>
      </c>
      <c r="AN381" s="105" t="b">
        <v>1</v>
      </c>
      <c r="AO381" s="105">
        <v>0</v>
      </c>
      <c r="AP381" s="105" t="b">
        <v>0</v>
      </c>
      <c r="AQ381" s="105">
        <v>1378620.2479999999</v>
      </c>
      <c r="AR381" s="105"/>
      <c r="AS381" s="105">
        <v>1378620.2479999999</v>
      </c>
      <c r="AT381" s="105">
        <v>6</v>
      </c>
      <c r="AU381" s="105" t="b">
        <v>0</v>
      </c>
      <c r="AV381" s="105" t="b">
        <v>1</v>
      </c>
    </row>
    <row r="382" spans="1:48" s="46" customFormat="1">
      <c r="A382" s="105" t="s">
        <v>510</v>
      </c>
      <c r="B382" s="105" t="s">
        <v>665</v>
      </c>
      <c r="C382" s="105" t="s">
        <v>666</v>
      </c>
      <c r="D382" s="105">
        <v>20240501</v>
      </c>
      <c r="E382" s="105">
        <v>2024</v>
      </c>
      <c r="F382" s="105">
        <v>5</v>
      </c>
      <c r="G382" s="105" t="s">
        <v>699</v>
      </c>
      <c r="H382" s="105">
        <v>818</v>
      </c>
      <c r="I382" s="105" t="s">
        <v>668</v>
      </c>
      <c r="J382" s="105" t="s">
        <v>57</v>
      </c>
      <c r="K382" s="105" t="s">
        <v>666</v>
      </c>
      <c r="L382" s="105" t="s">
        <v>669</v>
      </c>
      <c r="M382" s="105">
        <v>36</v>
      </c>
      <c r="N382" s="105" t="s">
        <v>765</v>
      </c>
      <c r="O382" s="105" t="s">
        <v>24</v>
      </c>
      <c r="P382" s="105">
        <v>0</v>
      </c>
      <c r="Q382" s="105" t="s">
        <v>670</v>
      </c>
      <c r="R382" s="105" t="s">
        <v>23</v>
      </c>
      <c r="S382" s="105" t="s">
        <v>671</v>
      </c>
      <c r="T382" s="105" t="s">
        <v>672</v>
      </c>
      <c r="U382" s="105" t="b">
        <v>1</v>
      </c>
      <c r="V382" s="105" t="s">
        <v>745</v>
      </c>
      <c r="W382" s="105" t="s">
        <v>746</v>
      </c>
      <c r="X382" s="105">
        <v>6</v>
      </c>
      <c r="Y382" s="105" t="b">
        <v>1</v>
      </c>
      <c r="Z382" s="105" t="s">
        <v>675</v>
      </c>
      <c r="AA382" s="105" t="s">
        <v>676</v>
      </c>
      <c r="AB382" s="105" t="s">
        <v>677</v>
      </c>
      <c r="AC382" s="105">
        <v>0</v>
      </c>
      <c r="AD382" s="105" t="s">
        <v>678</v>
      </c>
      <c r="AE382" s="105">
        <v>8</v>
      </c>
      <c r="AF382" s="105" t="s">
        <v>679</v>
      </c>
      <c r="AG382" s="105">
        <v>526.77599999999995</v>
      </c>
      <c r="AH382" s="105" t="b">
        <v>1</v>
      </c>
      <c r="AI382" s="105">
        <v>-1</v>
      </c>
      <c r="AJ382" s="105" t="s">
        <v>680</v>
      </c>
      <c r="AK382" s="105">
        <v>0</v>
      </c>
      <c r="AL382" s="105" t="b">
        <v>0</v>
      </c>
      <c r="AM382" s="105">
        <v>526.77599999999995</v>
      </c>
      <c r="AN382" s="105" t="b">
        <v>1</v>
      </c>
      <c r="AO382" s="105">
        <v>0</v>
      </c>
      <c r="AP382" s="105" t="b">
        <v>0</v>
      </c>
      <c r="AQ382" s="105">
        <v>2542.674</v>
      </c>
      <c r="AR382" s="105"/>
      <c r="AS382" s="105">
        <v>2542.674</v>
      </c>
      <c r="AT382" s="105">
        <v>6</v>
      </c>
      <c r="AU382" s="105" t="b">
        <v>1</v>
      </c>
      <c r="AV382" s="105" t="b">
        <v>0</v>
      </c>
    </row>
    <row r="383" spans="1:48" s="46" customFormat="1">
      <c r="A383" s="105" t="s">
        <v>510</v>
      </c>
      <c r="B383" s="105" t="s">
        <v>665</v>
      </c>
      <c r="C383" s="105" t="s">
        <v>666</v>
      </c>
      <c r="D383" s="105">
        <v>20240501</v>
      </c>
      <c r="E383" s="105">
        <v>2024</v>
      </c>
      <c r="F383" s="105">
        <v>5</v>
      </c>
      <c r="G383" s="105" t="s">
        <v>699</v>
      </c>
      <c r="H383" s="105">
        <v>818</v>
      </c>
      <c r="I383" s="105" t="s">
        <v>668</v>
      </c>
      <c r="J383" s="105" t="s">
        <v>57</v>
      </c>
      <c r="K383" s="105" t="s">
        <v>666</v>
      </c>
      <c r="L383" s="105" t="s">
        <v>669</v>
      </c>
      <c r="M383" s="105">
        <v>156</v>
      </c>
      <c r="N383" s="105" t="s">
        <v>711</v>
      </c>
      <c r="O383" s="105" t="s">
        <v>29</v>
      </c>
      <c r="P383" s="105">
        <v>0</v>
      </c>
      <c r="Q383" s="105" t="s">
        <v>670</v>
      </c>
      <c r="R383" s="105" t="s">
        <v>23</v>
      </c>
      <c r="S383" s="105" t="s">
        <v>671</v>
      </c>
      <c r="T383" s="105" t="s">
        <v>672</v>
      </c>
      <c r="U383" s="105" t="b">
        <v>1</v>
      </c>
      <c r="V383" s="105" t="s">
        <v>745</v>
      </c>
      <c r="W383" s="105" t="s">
        <v>746</v>
      </c>
      <c r="X383" s="105">
        <v>6</v>
      </c>
      <c r="Y383" s="105" t="b">
        <v>1</v>
      </c>
      <c r="Z383" s="105" t="s">
        <v>675</v>
      </c>
      <c r="AA383" s="105" t="s">
        <v>676</v>
      </c>
      <c r="AB383" s="105" t="s">
        <v>677</v>
      </c>
      <c r="AC383" s="105">
        <v>0</v>
      </c>
      <c r="AD383" s="105" t="s">
        <v>678</v>
      </c>
      <c r="AE383" s="105">
        <v>8</v>
      </c>
      <c r="AF383" s="105" t="s">
        <v>679</v>
      </c>
      <c r="AG383" s="105">
        <v>78871.192999999999</v>
      </c>
      <c r="AH383" s="105" t="b">
        <v>1</v>
      </c>
      <c r="AI383" s="105">
        <v>-1</v>
      </c>
      <c r="AJ383" s="105" t="s">
        <v>680</v>
      </c>
      <c r="AK383" s="105">
        <v>0</v>
      </c>
      <c r="AL383" s="105" t="b">
        <v>0</v>
      </c>
      <c r="AM383" s="105">
        <v>78871.192999999999</v>
      </c>
      <c r="AN383" s="105" t="b">
        <v>1</v>
      </c>
      <c r="AO383" s="105">
        <v>0</v>
      </c>
      <c r="AP383" s="105" t="b">
        <v>0</v>
      </c>
      <c r="AQ383" s="105">
        <v>380699.85700000002</v>
      </c>
      <c r="AR383" s="105"/>
      <c r="AS383" s="105">
        <v>380699.85700000002</v>
      </c>
      <c r="AT383" s="105">
        <v>6</v>
      </c>
      <c r="AU383" s="105" t="b">
        <v>1</v>
      </c>
      <c r="AV383" s="105" t="b">
        <v>0</v>
      </c>
    </row>
    <row r="384" spans="1:48" s="46" customFormat="1">
      <c r="A384" s="105" t="s">
        <v>510</v>
      </c>
      <c r="B384" s="105" t="s">
        <v>665</v>
      </c>
      <c r="C384" s="105" t="s">
        <v>666</v>
      </c>
      <c r="D384" s="105">
        <v>20240501</v>
      </c>
      <c r="E384" s="105">
        <v>2024</v>
      </c>
      <c r="F384" s="105">
        <v>5</v>
      </c>
      <c r="G384" s="105" t="s">
        <v>699</v>
      </c>
      <c r="H384" s="105">
        <v>818</v>
      </c>
      <c r="I384" s="105" t="s">
        <v>668</v>
      </c>
      <c r="J384" s="105" t="s">
        <v>57</v>
      </c>
      <c r="K384" s="105" t="s">
        <v>666</v>
      </c>
      <c r="L384" s="105" t="s">
        <v>669</v>
      </c>
      <c r="M384" s="105">
        <v>203</v>
      </c>
      <c r="N384" s="105" t="s">
        <v>752</v>
      </c>
      <c r="O384" s="105" t="s">
        <v>753</v>
      </c>
      <c r="P384" s="105">
        <v>0</v>
      </c>
      <c r="Q384" s="105" t="s">
        <v>670</v>
      </c>
      <c r="R384" s="105" t="s">
        <v>23</v>
      </c>
      <c r="S384" s="105" t="s">
        <v>671</v>
      </c>
      <c r="T384" s="105" t="s">
        <v>672</v>
      </c>
      <c r="U384" s="105" t="b">
        <v>1</v>
      </c>
      <c r="V384" s="105" t="s">
        <v>745</v>
      </c>
      <c r="W384" s="105" t="s">
        <v>746</v>
      </c>
      <c r="X384" s="105">
        <v>6</v>
      </c>
      <c r="Y384" s="105" t="b">
        <v>1</v>
      </c>
      <c r="Z384" s="105" t="s">
        <v>675</v>
      </c>
      <c r="AA384" s="105" t="s">
        <v>676</v>
      </c>
      <c r="AB384" s="105" t="s">
        <v>677</v>
      </c>
      <c r="AC384" s="105">
        <v>0</v>
      </c>
      <c r="AD384" s="105" t="s">
        <v>678</v>
      </c>
      <c r="AE384" s="105">
        <v>8</v>
      </c>
      <c r="AF384" s="105" t="s">
        <v>679</v>
      </c>
      <c r="AG384" s="105">
        <v>16532.463</v>
      </c>
      <c r="AH384" s="105" t="b">
        <v>1</v>
      </c>
      <c r="AI384" s="105">
        <v>-1</v>
      </c>
      <c r="AJ384" s="105" t="s">
        <v>680</v>
      </c>
      <c r="AK384" s="105">
        <v>0</v>
      </c>
      <c r="AL384" s="105" t="b">
        <v>0</v>
      </c>
      <c r="AM384" s="105">
        <v>16532.463</v>
      </c>
      <c r="AN384" s="105" t="b">
        <v>1</v>
      </c>
      <c r="AO384" s="105">
        <v>0</v>
      </c>
      <c r="AP384" s="105" t="b">
        <v>0</v>
      </c>
      <c r="AQ384" s="105">
        <v>79799.812999999995</v>
      </c>
      <c r="AR384" s="105"/>
      <c r="AS384" s="105">
        <v>79799.812999999995</v>
      </c>
      <c r="AT384" s="105">
        <v>6</v>
      </c>
      <c r="AU384" s="105" t="b">
        <v>1</v>
      </c>
      <c r="AV384" s="105" t="b">
        <v>0</v>
      </c>
    </row>
    <row r="385" spans="1:48" s="46" customFormat="1">
      <c r="A385" s="105" t="s">
        <v>510</v>
      </c>
      <c r="B385" s="105" t="s">
        <v>665</v>
      </c>
      <c r="C385" s="105" t="s">
        <v>666</v>
      </c>
      <c r="D385" s="105">
        <v>20240501</v>
      </c>
      <c r="E385" s="105">
        <v>2024</v>
      </c>
      <c r="F385" s="105">
        <v>5</v>
      </c>
      <c r="G385" s="105" t="s">
        <v>699</v>
      </c>
      <c r="H385" s="105">
        <v>818</v>
      </c>
      <c r="I385" s="105" t="s">
        <v>668</v>
      </c>
      <c r="J385" s="105" t="s">
        <v>57</v>
      </c>
      <c r="K385" s="105" t="s">
        <v>666</v>
      </c>
      <c r="L385" s="105" t="s">
        <v>669</v>
      </c>
      <c r="M385" s="105">
        <v>276</v>
      </c>
      <c r="N385" s="105" t="s">
        <v>681</v>
      </c>
      <c r="O385" s="105" t="s">
        <v>30</v>
      </c>
      <c r="P385" s="105">
        <v>0</v>
      </c>
      <c r="Q385" s="105" t="s">
        <v>670</v>
      </c>
      <c r="R385" s="105" t="s">
        <v>23</v>
      </c>
      <c r="S385" s="105" t="s">
        <v>671</v>
      </c>
      <c r="T385" s="105" t="s">
        <v>672</v>
      </c>
      <c r="U385" s="105" t="b">
        <v>1</v>
      </c>
      <c r="V385" s="105" t="s">
        <v>745</v>
      </c>
      <c r="W385" s="105" t="s">
        <v>746</v>
      </c>
      <c r="X385" s="105">
        <v>6</v>
      </c>
      <c r="Y385" s="105" t="b">
        <v>1</v>
      </c>
      <c r="Z385" s="105" t="s">
        <v>675</v>
      </c>
      <c r="AA385" s="105" t="s">
        <v>676</v>
      </c>
      <c r="AB385" s="105" t="s">
        <v>677</v>
      </c>
      <c r="AC385" s="105">
        <v>0</v>
      </c>
      <c r="AD385" s="105" t="s">
        <v>678</v>
      </c>
      <c r="AE385" s="105">
        <v>8</v>
      </c>
      <c r="AF385" s="105" t="s">
        <v>679</v>
      </c>
      <c r="AG385" s="105">
        <v>51812.373</v>
      </c>
      <c r="AH385" s="105" t="b">
        <v>1</v>
      </c>
      <c r="AI385" s="105">
        <v>-1</v>
      </c>
      <c r="AJ385" s="105" t="s">
        <v>680</v>
      </c>
      <c r="AK385" s="105">
        <v>0</v>
      </c>
      <c r="AL385" s="105" t="b">
        <v>0</v>
      </c>
      <c r="AM385" s="105">
        <v>51812.373</v>
      </c>
      <c r="AN385" s="105" t="b">
        <v>1</v>
      </c>
      <c r="AO385" s="105">
        <v>0</v>
      </c>
      <c r="AP385" s="105" t="b">
        <v>0</v>
      </c>
      <c r="AQ385" s="105">
        <v>250090.84099999999</v>
      </c>
      <c r="AR385" s="105"/>
      <c r="AS385" s="105">
        <v>250090.84099999999</v>
      </c>
      <c r="AT385" s="105">
        <v>6</v>
      </c>
      <c r="AU385" s="105" t="b">
        <v>1</v>
      </c>
      <c r="AV385" s="105" t="b">
        <v>0</v>
      </c>
    </row>
    <row r="386" spans="1:48" s="46" customFormat="1">
      <c r="A386" s="105" t="s">
        <v>510</v>
      </c>
      <c r="B386" s="105" t="s">
        <v>665</v>
      </c>
      <c r="C386" s="105" t="s">
        <v>666</v>
      </c>
      <c r="D386" s="105">
        <v>20240501</v>
      </c>
      <c r="E386" s="105">
        <v>2024</v>
      </c>
      <c r="F386" s="105">
        <v>5</v>
      </c>
      <c r="G386" s="105" t="s">
        <v>699</v>
      </c>
      <c r="H386" s="105">
        <v>818</v>
      </c>
      <c r="I386" s="105" t="s">
        <v>668</v>
      </c>
      <c r="J386" s="105" t="s">
        <v>57</v>
      </c>
      <c r="K386" s="105" t="s">
        <v>666</v>
      </c>
      <c r="L386" s="105" t="s">
        <v>669</v>
      </c>
      <c r="M386" s="105">
        <v>380</v>
      </c>
      <c r="N386" s="105" t="s">
        <v>689</v>
      </c>
      <c r="O386" s="105" t="s">
        <v>71</v>
      </c>
      <c r="P386" s="105">
        <v>0</v>
      </c>
      <c r="Q386" s="105" t="s">
        <v>670</v>
      </c>
      <c r="R386" s="105" t="s">
        <v>23</v>
      </c>
      <c r="S386" s="105" t="s">
        <v>671</v>
      </c>
      <c r="T386" s="105" t="s">
        <v>672</v>
      </c>
      <c r="U386" s="105" t="b">
        <v>1</v>
      </c>
      <c r="V386" s="105" t="s">
        <v>745</v>
      </c>
      <c r="W386" s="105" t="s">
        <v>746</v>
      </c>
      <c r="X386" s="105">
        <v>6</v>
      </c>
      <c r="Y386" s="105" t="b">
        <v>1</v>
      </c>
      <c r="Z386" s="105" t="s">
        <v>675</v>
      </c>
      <c r="AA386" s="105" t="s">
        <v>676</v>
      </c>
      <c r="AB386" s="105" t="s">
        <v>677</v>
      </c>
      <c r="AC386" s="105">
        <v>0</v>
      </c>
      <c r="AD386" s="105" t="s">
        <v>678</v>
      </c>
      <c r="AE386" s="105">
        <v>8</v>
      </c>
      <c r="AF386" s="105" t="s">
        <v>679</v>
      </c>
      <c r="AG386" s="105">
        <v>1298.915</v>
      </c>
      <c r="AH386" s="105" t="b">
        <v>1</v>
      </c>
      <c r="AI386" s="105">
        <v>-1</v>
      </c>
      <c r="AJ386" s="105" t="s">
        <v>680</v>
      </c>
      <c r="AK386" s="105">
        <v>0</v>
      </c>
      <c r="AL386" s="105" t="b">
        <v>0</v>
      </c>
      <c r="AM386" s="105">
        <v>1298.915</v>
      </c>
      <c r="AN386" s="105" t="b">
        <v>1</v>
      </c>
      <c r="AO386" s="105">
        <v>0</v>
      </c>
      <c r="AP386" s="105" t="b">
        <v>0</v>
      </c>
      <c r="AQ386" s="105">
        <v>6269.6760000000004</v>
      </c>
      <c r="AR386" s="105"/>
      <c r="AS386" s="105">
        <v>6269.6760000000004</v>
      </c>
      <c r="AT386" s="105">
        <v>6</v>
      </c>
      <c r="AU386" s="105" t="b">
        <v>1</v>
      </c>
      <c r="AV386" s="105" t="b">
        <v>0</v>
      </c>
    </row>
    <row r="387" spans="1:48" s="46" customFormat="1">
      <c r="A387" s="105" t="s">
        <v>510</v>
      </c>
      <c r="B387" s="105" t="s">
        <v>665</v>
      </c>
      <c r="C387" s="105" t="s">
        <v>666</v>
      </c>
      <c r="D387" s="105">
        <v>20240501</v>
      </c>
      <c r="E387" s="105">
        <v>2024</v>
      </c>
      <c r="F387" s="105">
        <v>5</v>
      </c>
      <c r="G387" s="105" t="s">
        <v>699</v>
      </c>
      <c r="H387" s="105">
        <v>818</v>
      </c>
      <c r="I387" s="105" t="s">
        <v>668</v>
      </c>
      <c r="J387" s="105" t="s">
        <v>57</v>
      </c>
      <c r="K387" s="105" t="s">
        <v>666</v>
      </c>
      <c r="L387" s="105" t="s">
        <v>669</v>
      </c>
      <c r="M387" s="105">
        <v>392</v>
      </c>
      <c r="N387" s="105" t="s">
        <v>747</v>
      </c>
      <c r="O387" s="105" t="s">
        <v>32</v>
      </c>
      <c r="P387" s="105">
        <v>0</v>
      </c>
      <c r="Q387" s="105" t="s">
        <v>670</v>
      </c>
      <c r="R387" s="105" t="s">
        <v>23</v>
      </c>
      <c r="S387" s="105" t="s">
        <v>671</v>
      </c>
      <c r="T387" s="105" t="s">
        <v>672</v>
      </c>
      <c r="U387" s="105" t="b">
        <v>1</v>
      </c>
      <c r="V387" s="105" t="s">
        <v>745</v>
      </c>
      <c r="W387" s="105" t="s">
        <v>746</v>
      </c>
      <c r="X387" s="105">
        <v>6</v>
      </c>
      <c r="Y387" s="105" t="b">
        <v>1</v>
      </c>
      <c r="Z387" s="105" t="s">
        <v>675</v>
      </c>
      <c r="AA387" s="105" t="s">
        <v>676</v>
      </c>
      <c r="AB387" s="105" t="s">
        <v>677</v>
      </c>
      <c r="AC387" s="105">
        <v>0</v>
      </c>
      <c r="AD387" s="105" t="s">
        <v>678</v>
      </c>
      <c r="AE387" s="105">
        <v>8</v>
      </c>
      <c r="AF387" s="105" t="s">
        <v>679</v>
      </c>
      <c r="AG387" s="105">
        <v>39767.019</v>
      </c>
      <c r="AH387" s="105" t="b">
        <v>1</v>
      </c>
      <c r="AI387" s="105">
        <v>-1</v>
      </c>
      <c r="AJ387" s="105" t="s">
        <v>680</v>
      </c>
      <c r="AK387" s="105">
        <v>0</v>
      </c>
      <c r="AL387" s="105" t="b">
        <v>0</v>
      </c>
      <c r="AM387" s="105">
        <v>39767.019</v>
      </c>
      <c r="AN387" s="105" t="b">
        <v>1</v>
      </c>
      <c r="AO387" s="105">
        <v>0</v>
      </c>
      <c r="AP387" s="105" t="b">
        <v>0</v>
      </c>
      <c r="AQ387" s="105">
        <v>191949.65599999999</v>
      </c>
      <c r="AR387" s="105"/>
      <c r="AS387" s="105">
        <v>191949.65599999999</v>
      </c>
      <c r="AT387" s="105">
        <v>6</v>
      </c>
      <c r="AU387" s="105" t="b">
        <v>1</v>
      </c>
      <c r="AV387" s="105" t="b">
        <v>0</v>
      </c>
    </row>
    <row r="388" spans="1:48" s="46" customFormat="1">
      <c r="A388" s="105" t="s">
        <v>510</v>
      </c>
      <c r="B388" s="105" t="s">
        <v>665</v>
      </c>
      <c r="C388" s="105" t="s">
        <v>666</v>
      </c>
      <c r="D388" s="105">
        <v>20240501</v>
      </c>
      <c r="E388" s="105">
        <v>2024</v>
      </c>
      <c r="F388" s="105">
        <v>5</v>
      </c>
      <c r="G388" s="105" t="s">
        <v>699</v>
      </c>
      <c r="H388" s="105">
        <v>818</v>
      </c>
      <c r="I388" s="105" t="s">
        <v>668</v>
      </c>
      <c r="J388" s="105" t="s">
        <v>57</v>
      </c>
      <c r="K388" s="105" t="s">
        <v>666</v>
      </c>
      <c r="L388" s="105" t="s">
        <v>669</v>
      </c>
      <c r="M388" s="105">
        <v>442</v>
      </c>
      <c r="N388" s="105" t="s">
        <v>759</v>
      </c>
      <c r="O388" s="105" t="s">
        <v>89</v>
      </c>
      <c r="P388" s="105">
        <v>0</v>
      </c>
      <c r="Q388" s="105" t="s">
        <v>670</v>
      </c>
      <c r="R388" s="105" t="s">
        <v>23</v>
      </c>
      <c r="S388" s="105" t="s">
        <v>671</v>
      </c>
      <c r="T388" s="105" t="s">
        <v>672</v>
      </c>
      <c r="U388" s="105" t="b">
        <v>1</v>
      </c>
      <c r="V388" s="105" t="s">
        <v>745</v>
      </c>
      <c r="W388" s="105" t="s">
        <v>746</v>
      </c>
      <c r="X388" s="105">
        <v>6</v>
      </c>
      <c r="Y388" s="105" t="b">
        <v>1</v>
      </c>
      <c r="Z388" s="105" t="s">
        <v>675</v>
      </c>
      <c r="AA388" s="105" t="s">
        <v>676</v>
      </c>
      <c r="AB388" s="105" t="s">
        <v>677</v>
      </c>
      <c r="AC388" s="105">
        <v>0</v>
      </c>
      <c r="AD388" s="105" t="s">
        <v>678</v>
      </c>
      <c r="AE388" s="105">
        <v>8</v>
      </c>
      <c r="AF388" s="105" t="s">
        <v>679</v>
      </c>
      <c r="AG388" s="105">
        <v>6275.3090000000002</v>
      </c>
      <c r="AH388" s="105" t="b">
        <v>1</v>
      </c>
      <c r="AI388" s="105">
        <v>-1</v>
      </c>
      <c r="AJ388" s="105" t="s">
        <v>680</v>
      </c>
      <c r="AK388" s="105">
        <v>0</v>
      </c>
      <c r="AL388" s="105" t="b">
        <v>0</v>
      </c>
      <c r="AM388" s="105">
        <v>6275.3090000000002</v>
      </c>
      <c r="AN388" s="105" t="b">
        <v>1</v>
      </c>
      <c r="AO388" s="105">
        <v>0</v>
      </c>
      <c r="AP388" s="105" t="b">
        <v>0</v>
      </c>
      <c r="AQ388" s="105">
        <v>30290.01</v>
      </c>
      <c r="AR388" s="105"/>
      <c r="AS388" s="105">
        <v>30290.01</v>
      </c>
      <c r="AT388" s="105">
        <v>6</v>
      </c>
      <c r="AU388" s="105" t="b">
        <v>1</v>
      </c>
      <c r="AV388" s="105" t="b">
        <v>0</v>
      </c>
    </row>
    <row r="389" spans="1:48" s="46" customFormat="1">
      <c r="A389" s="105" t="s">
        <v>510</v>
      </c>
      <c r="B389" s="105" t="s">
        <v>665</v>
      </c>
      <c r="C389" s="105" t="s">
        <v>666</v>
      </c>
      <c r="D389" s="105">
        <v>20240501</v>
      </c>
      <c r="E389" s="105">
        <v>2024</v>
      </c>
      <c r="F389" s="105">
        <v>5</v>
      </c>
      <c r="G389" s="105" t="s">
        <v>699</v>
      </c>
      <c r="H389" s="105">
        <v>818</v>
      </c>
      <c r="I389" s="105" t="s">
        <v>668</v>
      </c>
      <c r="J389" s="105" t="s">
        <v>57</v>
      </c>
      <c r="K389" s="105" t="s">
        <v>666</v>
      </c>
      <c r="L389" s="105" t="s">
        <v>669</v>
      </c>
      <c r="M389" s="105">
        <v>682</v>
      </c>
      <c r="N389" s="105" t="s">
        <v>758</v>
      </c>
      <c r="O389" s="105" t="s">
        <v>39</v>
      </c>
      <c r="P389" s="105">
        <v>0</v>
      </c>
      <c r="Q389" s="105" t="s">
        <v>670</v>
      </c>
      <c r="R389" s="105" t="s">
        <v>23</v>
      </c>
      <c r="S389" s="105" t="s">
        <v>671</v>
      </c>
      <c r="T389" s="105" t="s">
        <v>672</v>
      </c>
      <c r="U389" s="105" t="b">
        <v>1</v>
      </c>
      <c r="V389" s="105" t="s">
        <v>745</v>
      </c>
      <c r="W389" s="105" t="s">
        <v>746</v>
      </c>
      <c r="X389" s="105">
        <v>6</v>
      </c>
      <c r="Y389" s="105" t="b">
        <v>1</v>
      </c>
      <c r="Z389" s="105" t="s">
        <v>675</v>
      </c>
      <c r="AA389" s="105" t="s">
        <v>676</v>
      </c>
      <c r="AB389" s="105" t="s">
        <v>677</v>
      </c>
      <c r="AC389" s="105">
        <v>0</v>
      </c>
      <c r="AD389" s="105" t="s">
        <v>678</v>
      </c>
      <c r="AE389" s="105">
        <v>8</v>
      </c>
      <c r="AF389" s="105" t="s">
        <v>679</v>
      </c>
      <c r="AG389" s="105">
        <v>3429.627</v>
      </c>
      <c r="AH389" s="105" t="b">
        <v>1</v>
      </c>
      <c r="AI389" s="105">
        <v>-1</v>
      </c>
      <c r="AJ389" s="105" t="s">
        <v>680</v>
      </c>
      <c r="AK389" s="105">
        <v>0</v>
      </c>
      <c r="AL389" s="105" t="b">
        <v>0</v>
      </c>
      <c r="AM389" s="105">
        <v>3429.627</v>
      </c>
      <c r="AN389" s="105" t="b">
        <v>1</v>
      </c>
      <c r="AO389" s="105">
        <v>0</v>
      </c>
      <c r="AP389" s="105" t="b">
        <v>0</v>
      </c>
      <c r="AQ389" s="105">
        <v>16554.312999999998</v>
      </c>
      <c r="AR389" s="105"/>
      <c r="AS389" s="105">
        <v>16554.312999999998</v>
      </c>
      <c r="AT389" s="105">
        <v>6</v>
      </c>
      <c r="AU389" s="105" t="b">
        <v>1</v>
      </c>
      <c r="AV389" s="105" t="b">
        <v>0</v>
      </c>
    </row>
    <row r="390" spans="1:48" s="46" customFormat="1">
      <c r="A390" s="105" t="s">
        <v>510</v>
      </c>
      <c r="B390" s="105" t="s">
        <v>665</v>
      </c>
      <c r="C390" s="105" t="s">
        <v>666</v>
      </c>
      <c r="D390" s="105">
        <v>20240501</v>
      </c>
      <c r="E390" s="105">
        <v>2024</v>
      </c>
      <c r="F390" s="105">
        <v>5</v>
      </c>
      <c r="G390" s="105" t="s">
        <v>699</v>
      </c>
      <c r="H390" s="105">
        <v>818</v>
      </c>
      <c r="I390" s="105" t="s">
        <v>668</v>
      </c>
      <c r="J390" s="105" t="s">
        <v>57</v>
      </c>
      <c r="K390" s="105" t="s">
        <v>666</v>
      </c>
      <c r="L390" s="105" t="s">
        <v>669</v>
      </c>
      <c r="M390" s="105">
        <v>699</v>
      </c>
      <c r="N390" s="105" t="s">
        <v>748</v>
      </c>
      <c r="O390" s="105" t="s">
        <v>0</v>
      </c>
      <c r="P390" s="105">
        <v>0</v>
      </c>
      <c r="Q390" s="105" t="s">
        <v>670</v>
      </c>
      <c r="R390" s="105" t="s">
        <v>23</v>
      </c>
      <c r="S390" s="105" t="s">
        <v>671</v>
      </c>
      <c r="T390" s="105" t="s">
        <v>672</v>
      </c>
      <c r="U390" s="105" t="b">
        <v>1</v>
      </c>
      <c r="V390" s="105" t="s">
        <v>745</v>
      </c>
      <c r="W390" s="105" t="s">
        <v>746</v>
      </c>
      <c r="X390" s="105">
        <v>6</v>
      </c>
      <c r="Y390" s="105" t="b">
        <v>1</v>
      </c>
      <c r="Z390" s="105" t="s">
        <v>675</v>
      </c>
      <c r="AA390" s="105" t="s">
        <v>676</v>
      </c>
      <c r="AB390" s="105" t="s">
        <v>677</v>
      </c>
      <c r="AC390" s="105">
        <v>0</v>
      </c>
      <c r="AD390" s="105" t="s">
        <v>678</v>
      </c>
      <c r="AE390" s="105">
        <v>8</v>
      </c>
      <c r="AF390" s="105" t="s">
        <v>679</v>
      </c>
      <c r="AG390" s="105">
        <v>37284.186000000002</v>
      </c>
      <c r="AH390" s="105" t="b">
        <v>1</v>
      </c>
      <c r="AI390" s="105">
        <v>-1</v>
      </c>
      <c r="AJ390" s="105" t="s">
        <v>680</v>
      </c>
      <c r="AK390" s="105">
        <v>0</v>
      </c>
      <c r="AL390" s="105" t="b">
        <v>0</v>
      </c>
      <c r="AM390" s="105">
        <v>37284.186000000002</v>
      </c>
      <c r="AN390" s="105" t="b">
        <v>1</v>
      </c>
      <c r="AO390" s="105">
        <v>0</v>
      </c>
      <c r="AP390" s="105" t="b">
        <v>0</v>
      </c>
      <c r="AQ390" s="105">
        <v>179965.38099999999</v>
      </c>
      <c r="AR390" s="105"/>
      <c r="AS390" s="105">
        <v>179965.38099999999</v>
      </c>
      <c r="AT390" s="105">
        <v>6</v>
      </c>
      <c r="AU390" s="105" t="b">
        <v>1</v>
      </c>
      <c r="AV390" s="105" t="b">
        <v>0</v>
      </c>
    </row>
    <row r="391" spans="1:48" s="46" customFormat="1">
      <c r="A391" s="105" t="s">
        <v>510</v>
      </c>
      <c r="B391" s="105" t="s">
        <v>665</v>
      </c>
      <c r="C391" s="105" t="s">
        <v>666</v>
      </c>
      <c r="D391" s="105">
        <v>20240501</v>
      </c>
      <c r="E391" s="105">
        <v>2024</v>
      </c>
      <c r="F391" s="105">
        <v>5</v>
      </c>
      <c r="G391" s="105" t="s">
        <v>699</v>
      </c>
      <c r="H391" s="105">
        <v>818</v>
      </c>
      <c r="I391" s="105" t="s">
        <v>668</v>
      </c>
      <c r="J391" s="105" t="s">
        <v>57</v>
      </c>
      <c r="K391" s="105" t="s">
        <v>666</v>
      </c>
      <c r="L391" s="105" t="s">
        <v>669</v>
      </c>
      <c r="M391" s="105">
        <v>764</v>
      </c>
      <c r="N391" s="105" t="s">
        <v>749</v>
      </c>
      <c r="O391" s="105" t="s">
        <v>55</v>
      </c>
      <c r="P391" s="105">
        <v>0</v>
      </c>
      <c r="Q391" s="105" t="s">
        <v>670</v>
      </c>
      <c r="R391" s="105" t="s">
        <v>23</v>
      </c>
      <c r="S391" s="105" t="s">
        <v>671</v>
      </c>
      <c r="T391" s="105" t="s">
        <v>672</v>
      </c>
      <c r="U391" s="105" t="b">
        <v>1</v>
      </c>
      <c r="V391" s="105" t="s">
        <v>745</v>
      </c>
      <c r="W391" s="105" t="s">
        <v>746</v>
      </c>
      <c r="X391" s="105">
        <v>6</v>
      </c>
      <c r="Y391" s="105" t="b">
        <v>1</v>
      </c>
      <c r="Z391" s="105" t="s">
        <v>675</v>
      </c>
      <c r="AA391" s="105" t="s">
        <v>676</v>
      </c>
      <c r="AB391" s="105" t="s">
        <v>677</v>
      </c>
      <c r="AC391" s="105">
        <v>0</v>
      </c>
      <c r="AD391" s="105" t="s">
        <v>678</v>
      </c>
      <c r="AE391" s="105">
        <v>8</v>
      </c>
      <c r="AF391" s="105" t="s">
        <v>679</v>
      </c>
      <c r="AG391" s="105">
        <v>15146.468000000001</v>
      </c>
      <c r="AH391" s="105" t="b">
        <v>1</v>
      </c>
      <c r="AI391" s="105">
        <v>-1</v>
      </c>
      <c r="AJ391" s="105" t="s">
        <v>680</v>
      </c>
      <c r="AK391" s="105">
        <v>0</v>
      </c>
      <c r="AL391" s="105" t="b">
        <v>0</v>
      </c>
      <c r="AM391" s="105">
        <v>15146.468000000001</v>
      </c>
      <c r="AN391" s="105" t="b">
        <v>1</v>
      </c>
      <c r="AO391" s="105">
        <v>0</v>
      </c>
      <c r="AP391" s="105" t="b">
        <v>0</v>
      </c>
      <c r="AQ391" s="105">
        <v>73109.812999999995</v>
      </c>
      <c r="AR391" s="105"/>
      <c r="AS391" s="105">
        <v>73109.812999999995</v>
      </c>
      <c r="AT391" s="105">
        <v>6</v>
      </c>
      <c r="AU391" s="105" t="b">
        <v>1</v>
      </c>
      <c r="AV391" s="105" t="b">
        <v>0</v>
      </c>
    </row>
    <row r="392" spans="1:48" s="46" customFormat="1">
      <c r="A392" s="105" t="s">
        <v>510</v>
      </c>
      <c r="B392" s="105" t="s">
        <v>665</v>
      </c>
      <c r="C392" s="105" t="s">
        <v>666</v>
      </c>
      <c r="D392" s="105">
        <v>20240501</v>
      </c>
      <c r="E392" s="105">
        <v>2024</v>
      </c>
      <c r="F392" s="105">
        <v>5</v>
      </c>
      <c r="G392" s="105" t="s">
        <v>699</v>
      </c>
      <c r="H392" s="105">
        <v>818</v>
      </c>
      <c r="I392" s="105" t="s">
        <v>668</v>
      </c>
      <c r="J392" s="105" t="s">
        <v>57</v>
      </c>
      <c r="K392" s="105" t="s">
        <v>666</v>
      </c>
      <c r="L392" s="105" t="s">
        <v>669</v>
      </c>
      <c r="M392" s="105">
        <v>792</v>
      </c>
      <c r="N392" s="105" t="s">
        <v>691</v>
      </c>
      <c r="O392" s="105" t="s">
        <v>63</v>
      </c>
      <c r="P392" s="105">
        <v>0</v>
      </c>
      <c r="Q392" s="105" t="s">
        <v>670</v>
      </c>
      <c r="R392" s="105" t="s">
        <v>23</v>
      </c>
      <c r="S392" s="105" t="s">
        <v>671</v>
      </c>
      <c r="T392" s="105" t="s">
        <v>672</v>
      </c>
      <c r="U392" s="105" t="b">
        <v>1</v>
      </c>
      <c r="V392" s="105" t="s">
        <v>745</v>
      </c>
      <c r="W392" s="105" t="s">
        <v>746</v>
      </c>
      <c r="X392" s="105">
        <v>6</v>
      </c>
      <c r="Y392" s="105" t="b">
        <v>1</v>
      </c>
      <c r="Z392" s="105" t="s">
        <v>675</v>
      </c>
      <c r="AA392" s="105" t="s">
        <v>676</v>
      </c>
      <c r="AB392" s="105" t="s">
        <v>677</v>
      </c>
      <c r="AC392" s="105">
        <v>0</v>
      </c>
      <c r="AD392" s="105" t="s">
        <v>678</v>
      </c>
      <c r="AE392" s="105">
        <v>8</v>
      </c>
      <c r="AF392" s="105" t="s">
        <v>679</v>
      </c>
      <c r="AG392" s="105">
        <v>2431.59</v>
      </c>
      <c r="AH392" s="105" t="b">
        <v>1</v>
      </c>
      <c r="AI392" s="105">
        <v>-1</v>
      </c>
      <c r="AJ392" s="105" t="s">
        <v>680</v>
      </c>
      <c r="AK392" s="105">
        <v>0</v>
      </c>
      <c r="AL392" s="105" t="b">
        <v>0</v>
      </c>
      <c r="AM392" s="105">
        <v>2431.59</v>
      </c>
      <c r="AN392" s="105" t="b">
        <v>1</v>
      </c>
      <c r="AO392" s="105">
        <v>0</v>
      </c>
      <c r="AP392" s="105" t="b">
        <v>0</v>
      </c>
      <c r="AQ392" s="105">
        <v>11736.933000000001</v>
      </c>
      <c r="AR392" s="105"/>
      <c r="AS392" s="105">
        <v>11736.933000000001</v>
      </c>
      <c r="AT392" s="105">
        <v>6</v>
      </c>
      <c r="AU392" s="105" t="b">
        <v>1</v>
      </c>
      <c r="AV392" s="105" t="b">
        <v>0</v>
      </c>
    </row>
    <row r="393" spans="1:48" s="46" customFormat="1">
      <c r="A393" s="105" t="s">
        <v>510</v>
      </c>
      <c r="B393" s="105" t="s">
        <v>665</v>
      </c>
      <c r="C393" s="105" t="s">
        <v>666</v>
      </c>
      <c r="D393" s="105">
        <v>20240501</v>
      </c>
      <c r="E393" s="105">
        <v>2024</v>
      </c>
      <c r="F393" s="105">
        <v>5</v>
      </c>
      <c r="G393" s="105" t="s">
        <v>699</v>
      </c>
      <c r="H393" s="105">
        <v>818</v>
      </c>
      <c r="I393" s="105" t="s">
        <v>668</v>
      </c>
      <c r="J393" s="105" t="s">
        <v>57</v>
      </c>
      <c r="K393" s="105" t="s">
        <v>666</v>
      </c>
      <c r="L393" s="105" t="s">
        <v>669</v>
      </c>
      <c r="M393" s="105">
        <v>826</v>
      </c>
      <c r="N393" s="105" t="s">
        <v>685</v>
      </c>
      <c r="O393" s="105" t="s">
        <v>64</v>
      </c>
      <c r="P393" s="105">
        <v>0</v>
      </c>
      <c r="Q393" s="105" t="s">
        <v>670</v>
      </c>
      <c r="R393" s="105" t="s">
        <v>23</v>
      </c>
      <c r="S393" s="105" t="s">
        <v>671</v>
      </c>
      <c r="T393" s="105" t="s">
        <v>672</v>
      </c>
      <c r="U393" s="105" t="b">
        <v>1</v>
      </c>
      <c r="V393" s="105" t="s">
        <v>745</v>
      </c>
      <c r="W393" s="105" t="s">
        <v>746</v>
      </c>
      <c r="X393" s="105">
        <v>6</v>
      </c>
      <c r="Y393" s="105" t="b">
        <v>1</v>
      </c>
      <c r="Z393" s="105" t="s">
        <v>675</v>
      </c>
      <c r="AA393" s="105" t="s">
        <v>676</v>
      </c>
      <c r="AB393" s="105" t="s">
        <v>677</v>
      </c>
      <c r="AC393" s="105">
        <v>0</v>
      </c>
      <c r="AD393" s="105" t="s">
        <v>678</v>
      </c>
      <c r="AE393" s="105">
        <v>8</v>
      </c>
      <c r="AF393" s="105" t="s">
        <v>679</v>
      </c>
      <c r="AG393" s="105">
        <v>6260.2259999999997</v>
      </c>
      <c r="AH393" s="105" t="b">
        <v>1</v>
      </c>
      <c r="AI393" s="105">
        <v>-1</v>
      </c>
      <c r="AJ393" s="105" t="s">
        <v>680</v>
      </c>
      <c r="AK393" s="105">
        <v>0</v>
      </c>
      <c r="AL393" s="105" t="b">
        <v>0</v>
      </c>
      <c r="AM393" s="105">
        <v>6260.2259999999997</v>
      </c>
      <c r="AN393" s="105" t="b">
        <v>1</v>
      </c>
      <c r="AO393" s="105">
        <v>0</v>
      </c>
      <c r="AP393" s="105" t="b">
        <v>0</v>
      </c>
      <c r="AQ393" s="105">
        <v>30217.205999999998</v>
      </c>
      <c r="AR393" s="105"/>
      <c r="AS393" s="105">
        <v>30217.205999999998</v>
      </c>
      <c r="AT393" s="105">
        <v>6</v>
      </c>
      <c r="AU393" s="105" t="b">
        <v>1</v>
      </c>
      <c r="AV393" s="105" t="b">
        <v>0</v>
      </c>
    </row>
    <row r="394" spans="1:48" s="46" customFormat="1">
      <c r="A394" s="105" t="s">
        <v>510</v>
      </c>
      <c r="B394" s="105" t="s">
        <v>665</v>
      </c>
      <c r="C394" s="105" t="s">
        <v>666</v>
      </c>
      <c r="D394" s="105">
        <v>20240501</v>
      </c>
      <c r="E394" s="105">
        <v>2024</v>
      </c>
      <c r="F394" s="105">
        <v>5</v>
      </c>
      <c r="G394" s="105" t="s">
        <v>699</v>
      </c>
      <c r="H394" s="105">
        <v>818</v>
      </c>
      <c r="I394" s="105" t="s">
        <v>668</v>
      </c>
      <c r="J394" s="105" t="s">
        <v>57</v>
      </c>
      <c r="K394" s="105" t="s">
        <v>666</v>
      </c>
      <c r="L394" s="105" t="s">
        <v>669</v>
      </c>
      <c r="M394" s="105">
        <v>842</v>
      </c>
      <c r="N394" s="105" t="s">
        <v>713</v>
      </c>
      <c r="O394" s="105" t="s">
        <v>713</v>
      </c>
      <c r="P394" s="105">
        <v>0</v>
      </c>
      <c r="Q394" s="105" t="s">
        <v>670</v>
      </c>
      <c r="R394" s="105" t="s">
        <v>23</v>
      </c>
      <c r="S394" s="105" t="s">
        <v>671</v>
      </c>
      <c r="T394" s="105" t="s">
        <v>672</v>
      </c>
      <c r="U394" s="105" t="b">
        <v>1</v>
      </c>
      <c r="V394" s="105" t="s">
        <v>745</v>
      </c>
      <c r="W394" s="105" t="s">
        <v>746</v>
      </c>
      <c r="X394" s="105">
        <v>6</v>
      </c>
      <c r="Y394" s="105" t="b">
        <v>1</v>
      </c>
      <c r="Z394" s="105" t="s">
        <v>675</v>
      </c>
      <c r="AA394" s="105" t="s">
        <v>676</v>
      </c>
      <c r="AB394" s="105" t="s">
        <v>677</v>
      </c>
      <c r="AC394" s="105">
        <v>0</v>
      </c>
      <c r="AD394" s="105" t="s">
        <v>678</v>
      </c>
      <c r="AE394" s="105">
        <v>8</v>
      </c>
      <c r="AF394" s="105" t="s">
        <v>679</v>
      </c>
      <c r="AG394" s="105">
        <v>25978.419000000002</v>
      </c>
      <c r="AH394" s="105" t="b">
        <v>1</v>
      </c>
      <c r="AI394" s="105">
        <v>-1</v>
      </c>
      <c r="AJ394" s="105" t="s">
        <v>680</v>
      </c>
      <c r="AK394" s="105">
        <v>0</v>
      </c>
      <c r="AL394" s="105" t="b">
        <v>0</v>
      </c>
      <c r="AM394" s="105">
        <v>25978.419000000002</v>
      </c>
      <c r="AN394" s="105" t="b">
        <v>1</v>
      </c>
      <c r="AO394" s="105">
        <v>0</v>
      </c>
      <c r="AP394" s="105" t="b">
        <v>0</v>
      </c>
      <c r="AQ394" s="105">
        <v>125394.07799999999</v>
      </c>
      <c r="AR394" s="105"/>
      <c r="AS394" s="105">
        <v>125394.07799999999</v>
      </c>
      <c r="AT394" s="105">
        <v>6</v>
      </c>
      <c r="AU394" s="105" t="b">
        <v>1</v>
      </c>
      <c r="AV394" s="105" t="b">
        <v>0</v>
      </c>
    </row>
    <row r="395" spans="1:48" s="46" customFormat="1">
      <c r="A395" s="105" t="s">
        <v>510</v>
      </c>
      <c r="B395" s="105" t="s">
        <v>665</v>
      </c>
      <c r="C395" s="105" t="s">
        <v>666</v>
      </c>
      <c r="D395" s="105">
        <v>20240501</v>
      </c>
      <c r="E395" s="105">
        <v>2024</v>
      </c>
      <c r="F395" s="105">
        <v>5</v>
      </c>
      <c r="G395" s="105" t="s">
        <v>699</v>
      </c>
      <c r="H395" s="105">
        <v>818</v>
      </c>
      <c r="I395" s="105" t="s">
        <v>668</v>
      </c>
      <c r="J395" s="105" t="s">
        <v>57</v>
      </c>
      <c r="K395" s="105" t="s">
        <v>701</v>
      </c>
      <c r="L395" s="105" t="s">
        <v>702</v>
      </c>
      <c r="M395" s="105">
        <v>0</v>
      </c>
      <c r="N395" s="105" t="s">
        <v>670</v>
      </c>
      <c r="O395" s="105" t="s">
        <v>23</v>
      </c>
      <c r="P395" s="105">
        <v>0</v>
      </c>
      <c r="Q395" s="105" t="s">
        <v>670</v>
      </c>
      <c r="R395" s="105" t="s">
        <v>23</v>
      </c>
      <c r="S395" s="105" t="s">
        <v>671</v>
      </c>
      <c r="T395" s="105" t="s">
        <v>672</v>
      </c>
      <c r="U395" s="105" t="b">
        <v>1</v>
      </c>
      <c r="V395" s="105" t="s">
        <v>745</v>
      </c>
      <c r="W395" s="105" t="s">
        <v>746</v>
      </c>
      <c r="X395" s="105">
        <v>6</v>
      </c>
      <c r="Y395" s="105" t="b">
        <v>1</v>
      </c>
      <c r="Z395" s="105" t="s">
        <v>675</v>
      </c>
      <c r="AA395" s="105" t="s">
        <v>676</v>
      </c>
      <c r="AB395" s="105" t="s">
        <v>677</v>
      </c>
      <c r="AC395" s="105">
        <v>0</v>
      </c>
      <c r="AD395" s="105" t="s">
        <v>678</v>
      </c>
      <c r="AE395" s="105">
        <v>8</v>
      </c>
      <c r="AF395" s="105" t="s">
        <v>679</v>
      </c>
      <c r="AG395" s="105">
        <v>463.86599999999999</v>
      </c>
      <c r="AH395" s="105" t="b">
        <v>1</v>
      </c>
      <c r="AI395" s="105">
        <v>-1</v>
      </c>
      <c r="AJ395" s="105" t="s">
        <v>680</v>
      </c>
      <c r="AK395" s="105">
        <v>0</v>
      </c>
      <c r="AL395" s="105" t="b">
        <v>0</v>
      </c>
      <c r="AM395" s="105">
        <v>463.86599999999999</v>
      </c>
      <c r="AN395" s="105" t="b">
        <v>1</v>
      </c>
      <c r="AO395" s="105">
        <v>0</v>
      </c>
      <c r="AP395" s="105" t="b">
        <v>0</v>
      </c>
      <c r="AQ395" s="105"/>
      <c r="AR395" s="105">
        <v>2400</v>
      </c>
      <c r="AS395" s="105">
        <v>2400</v>
      </c>
      <c r="AT395" s="105">
        <v>6</v>
      </c>
      <c r="AU395" s="105" t="b">
        <v>0</v>
      </c>
      <c r="AV395" s="105" t="b">
        <v>1</v>
      </c>
    </row>
    <row r="396" spans="1:48" s="46" customFormat="1">
      <c r="A396" s="105" t="s">
        <v>510</v>
      </c>
      <c r="B396" s="105" t="s">
        <v>665</v>
      </c>
      <c r="C396" s="105" t="s">
        <v>666</v>
      </c>
      <c r="D396" s="105">
        <v>20240501</v>
      </c>
      <c r="E396" s="105">
        <v>2024</v>
      </c>
      <c r="F396" s="105">
        <v>5</v>
      </c>
      <c r="G396" s="105" t="s">
        <v>699</v>
      </c>
      <c r="H396" s="105">
        <v>818</v>
      </c>
      <c r="I396" s="105" t="s">
        <v>668</v>
      </c>
      <c r="J396" s="105" t="s">
        <v>57</v>
      </c>
      <c r="K396" s="105" t="s">
        <v>701</v>
      </c>
      <c r="L396" s="105" t="s">
        <v>702</v>
      </c>
      <c r="M396" s="105">
        <v>729</v>
      </c>
      <c r="N396" s="105" t="s">
        <v>707</v>
      </c>
      <c r="O396" s="105" t="s">
        <v>230</v>
      </c>
      <c r="P396" s="105">
        <v>0</v>
      </c>
      <c r="Q396" s="105" t="s">
        <v>670</v>
      </c>
      <c r="R396" s="105" t="s">
        <v>23</v>
      </c>
      <c r="S396" s="105" t="s">
        <v>671</v>
      </c>
      <c r="T396" s="105" t="s">
        <v>672</v>
      </c>
      <c r="U396" s="105" t="b">
        <v>1</v>
      </c>
      <c r="V396" s="105" t="s">
        <v>745</v>
      </c>
      <c r="W396" s="105" t="s">
        <v>746</v>
      </c>
      <c r="X396" s="105">
        <v>6</v>
      </c>
      <c r="Y396" s="105" t="b">
        <v>1</v>
      </c>
      <c r="Z396" s="105" t="s">
        <v>675</v>
      </c>
      <c r="AA396" s="105" t="s">
        <v>676</v>
      </c>
      <c r="AB396" s="105" t="s">
        <v>677</v>
      </c>
      <c r="AC396" s="105">
        <v>0</v>
      </c>
      <c r="AD396" s="105" t="s">
        <v>678</v>
      </c>
      <c r="AE396" s="105">
        <v>8</v>
      </c>
      <c r="AF396" s="105" t="s">
        <v>679</v>
      </c>
      <c r="AG396" s="105">
        <v>463.86599999999999</v>
      </c>
      <c r="AH396" s="105" t="b">
        <v>1</v>
      </c>
      <c r="AI396" s="105">
        <v>-1</v>
      </c>
      <c r="AJ396" s="105" t="s">
        <v>680</v>
      </c>
      <c r="AK396" s="105">
        <v>0</v>
      </c>
      <c r="AL396" s="105" t="b">
        <v>0</v>
      </c>
      <c r="AM396" s="105">
        <v>463.86599999999999</v>
      </c>
      <c r="AN396" s="105" t="b">
        <v>1</v>
      </c>
      <c r="AO396" s="105">
        <v>0</v>
      </c>
      <c r="AP396" s="105" t="b">
        <v>0</v>
      </c>
      <c r="AQ396" s="105"/>
      <c r="AR396" s="105">
        <v>2400</v>
      </c>
      <c r="AS396" s="105">
        <v>2400</v>
      </c>
      <c r="AT396" s="105">
        <v>6</v>
      </c>
      <c r="AU396" s="105" t="b">
        <v>1</v>
      </c>
      <c r="AV396" s="105" t="b">
        <v>0</v>
      </c>
    </row>
    <row r="397" spans="1:48" s="46" customFormat="1">
      <c r="A397" s="105" t="s">
        <v>510</v>
      </c>
      <c r="B397" s="105" t="s">
        <v>665</v>
      </c>
      <c r="C397" s="105" t="s">
        <v>666</v>
      </c>
      <c r="D397" s="105">
        <v>20240601</v>
      </c>
      <c r="E397" s="105">
        <v>2024</v>
      </c>
      <c r="F397" s="105">
        <v>6</v>
      </c>
      <c r="G397" s="105" t="s">
        <v>700</v>
      </c>
      <c r="H397" s="105">
        <v>818</v>
      </c>
      <c r="I397" s="105" t="s">
        <v>668</v>
      </c>
      <c r="J397" s="105" t="s">
        <v>57</v>
      </c>
      <c r="K397" s="105" t="s">
        <v>666</v>
      </c>
      <c r="L397" s="105" t="s">
        <v>669</v>
      </c>
      <c r="M397" s="105">
        <v>0</v>
      </c>
      <c r="N397" s="105" t="s">
        <v>670</v>
      </c>
      <c r="O397" s="105" t="s">
        <v>23</v>
      </c>
      <c r="P397" s="105">
        <v>0</v>
      </c>
      <c r="Q397" s="105" t="s">
        <v>670</v>
      </c>
      <c r="R397" s="105" t="s">
        <v>23</v>
      </c>
      <c r="S397" s="105" t="s">
        <v>671</v>
      </c>
      <c r="T397" s="105" t="s">
        <v>672</v>
      </c>
      <c r="U397" s="105" t="b">
        <v>1</v>
      </c>
      <c r="V397" s="105" t="s">
        <v>745</v>
      </c>
      <c r="W397" s="105" t="s">
        <v>746</v>
      </c>
      <c r="X397" s="105">
        <v>6</v>
      </c>
      <c r="Y397" s="105" t="b">
        <v>1</v>
      </c>
      <c r="Z397" s="105" t="s">
        <v>675</v>
      </c>
      <c r="AA397" s="105" t="s">
        <v>676</v>
      </c>
      <c r="AB397" s="105" t="s">
        <v>677</v>
      </c>
      <c r="AC397" s="105">
        <v>0</v>
      </c>
      <c r="AD397" s="105" t="s">
        <v>678</v>
      </c>
      <c r="AE397" s="105">
        <v>8</v>
      </c>
      <c r="AF397" s="105" t="s">
        <v>679</v>
      </c>
      <c r="AG397" s="105">
        <v>117938.666</v>
      </c>
      <c r="AH397" s="105" t="b">
        <v>1</v>
      </c>
      <c r="AI397" s="105">
        <v>-1</v>
      </c>
      <c r="AJ397" s="105" t="s">
        <v>680</v>
      </c>
      <c r="AK397" s="105">
        <v>0</v>
      </c>
      <c r="AL397" s="105" t="b">
        <v>0</v>
      </c>
      <c r="AM397" s="105">
        <v>117938.666</v>
      </c>
      <c r="AN397" s="105" t="b">
        <v>1</v>
      </c>
      <c r="AO397" s="105">
        <v>0</v>
      </c>
      <c r="AP397" s="105" t="b">
        <v>0</v>
      </c>
      <c r="AQ397" s="105">
        <v>569272.90800000005</v>
      </c>
      <c r="AR397" s="105"/>
      <c r="AS397" s="105">
        <v>569272.90800000005</v>
      </c>
      <c r="AT397" s="105">
        <v>6</v>
      </c>
      <c r="AU397" s="105" t="b">
        <v>0</v>
      </c>
      <c r="AV397" s="105" t="b">
        <v>1</v>
      </c>
    </row>
    <row r="398" spans="1:48" s="46" customFormat="1">
      <c r="A398" s="105" t="s">
        <v>510</v>
      </c>
      <c r="B398" s="105" t="s">
        <v>665</v>
      </c>
      <c r="C398" s="105" t="s">
        <v>666</v>
      </c>
      <c r="D398" s="105">
        <v>20240601</v>
      </c>
      <c r="E398" s="105">
        <v>2024</v>
      </c>
      <c r="F398" s="105">
        <v>6</v>
      </c>
      <c r="G398" s="105" t="s">
        <v>700</v>
      </c>
      <c r="H398" s="105">
        <v>818</v>
      </c>
      <c r="I398" s="105" t="s">
        <v>668</v>
      </c>
      <c r="J398" s="105" t="s">
        <v>57</v>
      </c>
      <c r="K398" s="105" t="s">
        <v>666</v>
      </c>
      <c r="L398" s="105" t="s">
        <v>669</v>
      </c>
      <c r="M398" s="105">
        <v>156</v>
      </c>
      <c r="N398" s="105" t="s">
        <v>711</v>
      </c>
      <c r="O398" s="105" t="s">
        <v>29</v>
      </c>
      <c r="P398" s="105">
        <v>0</v>
      </c>
      <c r="Q398" s="105" t="s">
        <v>670</v>
      </c>
      <c r="R398" s="105" t="s">
        <v>23</v>
      </c>
      <c r="S398" s="105" t="s">
        <v>671</v>
      </c>
      <c r="T398" s="105" t="s">
        <v>672</v>
      </c>
      <c r="U398" s="105" t="b">
        <v>1</v>
      </c>
      <c r="V398" s="105" t="s">
        <v>745</v>
      </c>
      <c r="W398" s="105" t="s">
        <v>746</v>
      </c>
      <c r="X398" s="105">
        <v>6</v>
      </c>
      <c r="Y398" s="105" t="b">
        <v>1</v>
      </c>
      <c r="Z398" s="105" t="s">
        <v>675</v>
      </c>
      <c r="AA398" s="105" t="s">
        <v>676</v>
      </c>
      <c r="AB398" s="105" t="s">
        <v>677</v>
      </c>
      <c r="AC398" s="105">
        <v>0</v>
      </c>
      <c r="AD398" s="105" t="s">
        <v>678</v>
      </c>
      <c r="AE398" s="105">
        <v>8</v>
      </c>
      <c r="AF398" s="105" t="s">
        <v>679</v>
      </c>
      <c r="AG398" s="105">
        <v>24695.072</v>
      </c>
      <c r="AH398" s="105" t="b">
        <v>1</v>
      </c>
      <c r="AI398" s="105">
        <v>-1</v>
      </c>
      <c r="AJ398" s="105" t="s">
        <v>680</v>
      </c>
      <c r="AK398" s="105">
        <v>0</v>
      </c>
      <c r="AL398" s="105" t="b">
        <v>0</v>
      </c>
      <c r="AM398" s="105">
        <v>24695.072</v>
      </c>
      <c r="AN398" s="105" t="b">
        <v>1</v>
      </c>
      <c r="AO398" s="105">
        <v>0</v>
      </c>
      <c r="AP398" s="105" t="b">
        <v>0</v>
      </c>
      <c r="AQ398" s="105">
        <v>119199.54700000001</v>
      </c>
      <c r="AR398" s="105"/>
      <c r="AS398" s="105">
        <v>119199.54700000001</v>
      </c>
      <c r="AT398" s="105">
        <v>6</v>
      </c>
      <c r="AU398" s="105" t="b">
        <v>1</v>
      </c>
      <c r="AV398" s="105" t="b">
        <v>0</v>
      </c>
    </row>
    <row r="399" spans="1:48" s="46" customFormat="1">
      <c r="A399" s="105" t="s">
        <v>510</v>
      </c>
      <c r="B399" s="105" t="s">
        <v>665</v>
      </c>
      <c r="C399" s="105" t="s">
        <v>666</v>
      </c>
      <c r="D399" s="105">
        <v>20240601</v>
      </c>
      <c r="E399" s="105">
        <v>2024</v>
      </c>
      <c r="F399" s="105">
        <v>6</v>
      </c>
      <c r="G399" s="105" t="s">
        <v>700</v>
      </c>
      <c r="H399" s="105">
        <v>818</v>
      </c>
      <c r="I399" s="105" t="s">
        <v>668</v>
      </c>
      <c r="J399" s="105" t="s">
        <v>57</v>
      </c>
      <c r="K399" s="105" t="s">
        <v>666</v>
      </c>
      <c r="L399" s="105" t="s">
        <v>669</v>
      </c>
      <c r="M399" s="105">
        <v>276</v>
      </c>
      <c r="N399" s="105" t="s">
        <v>681</v>
      </c>
      <c r="O399" s="105" t="s">
        <v>30</v>
      </c>
      <c r="P399" s="105">
        <v>0</v>
      </c>
      <c r="Q399" s="105" t="s">
        <v>670</v>
      </c>
      <c r="R399" s="105" t="s">
        <v>23</v>
      </c>
      <c r="S399" s="105" t="s">
        <v>671</v>
      </c>
      <c r="T399" s="105" t="s">
        <v>672</v>
      </c>
      <c r="U399" s="105" t="b">
        <v>1</v>
      </c>
      <c r="V399" s="105" t="s">
        <v>745</v>
      </c>
      <c r="W399" s="105" t="s">
        <v>746</v>
      </c>
      <c r="X399" s="105">
        <v>6</v>
      </c>
      <c r="Y399" s="105" t="b">
        <v>1</v>
      </c>
      <c r="Z399" s="105" t="s">
        <v>675</v>
      </c>
      <c r="AA399" s="105" t="s">
        <v>676</v>
      </c>
      <c r="AB399" s="105" t="s">
        <v>677</v>
      </c>
      <c r="AC399" s="105">
        <v>0</v>
      </c>
      <c r="AD399" s="105" t="s">
        <v>678</v>
      </c>
      <c r="AE399" s="105">
        <v>8</v>
      </c>
      <c r="AF399" s="105" t="s">
        <v>679</v>
      </c>
      <c r="AG399" s="105">
        <v>14266.037</v>
      </c>
      <c r="AH399" s="105" t="b">
        <v>1</v>
      </c>
      <c r="AI399" s="105">
        <v>-1</v>
      </c>
      <c r="AJ399" s="105" t="s">
        <v>680</v>
      </c>
      <c r="AK399" s="105">
        <v>0</v>
      </c>
      <c r="AL399" s="105" t="b">
        <v>0</v>
      </c>
      <c r="AM399" s="105">
        <v>14266.037</v>
      </c>
      <c r="AN399" s="105" t="b">
        <v>1</v>
      </c>
      <c r="AO399" s="105">
        <v>0</v>
      </c>
      <c r="AP399" s="105" t="b">
        <v>0</v>
      </c>
      <c r="AQ399" s="105">
        <v>68860.100000000006</v>
      </c>
      <c r="AR399" s="105"/>
      <c r="AS399" s="105">
        <v>68860.100000000006</v>
      </c>
      <c r="AT399" s="105">
        <v>6</v>
      </c>
      <c r="AU399" s="105" t="b">
        <v>1</v>
      </c>
      <c r="AV399" s="105" t="b">
        <v>0</v>
      </c>
    </row>
    <row r="400" spans="1:48" s="46" customFormat="1">
      <c r="A400" s="105" t="s">
        <v>510</v>
      </c>
      <c r="B400" s="105" t="s">
        <v>665</v>
      </c>
      <c r="C400" s="105" t="s">
        <v>666</v>
      </c>
      <c r="D400" s="105">
        <v>20240601</v>
      </c>
      <c r="E400" s="105">
        <v>2024</v>
      </c>
      <c r="F400" s="105">
        <v>6</v>
      </c>
      <c r="G400" s="105" t="s">
        <v>700</v>
      </c>
      <c r="H400" s="105">
        <v>818</v>
      </c>
      <c r="I400" s="105" t="s">
        <v>668</v>
      </c>
      <c r="J400" s="105" t="s">
        <v>57</v>
      </c>
      <c r="K400" s="105" t="s">
        <v>666</v>
      </c>
      <c r="L400" s="105" t="s">
        <v>669</v>
      </c>
      <c r="M400" s="105">
        <v>380</v>
      </c>
      <c r="N400" s="105" t="s">
        <v>689</v>
      </c>
      <c r="O400" s="105" t="s">
        <v>71</v>
      </c>
      <c r="P400" s="105">
        <v>0</v>
      </c>
      <c r="Q400" s="105" t="s">
        <v>670</v>
      </c>
      <c r="R400" s="105" t="s">
        <v>23</v>
      </c>
      <c r="S400" s="105" t="s">
        <v>671</v>
      </c>
      <c r="T400" s="105" t="s">
        <v>672</v>
      </c>
      <c r="U400" s="105" t="b">
        <v>1</v>
      </c>
      <c r="V400" s="105" t="s">
        <v>745</v>
      </c>
      <c r="W400" s="105" t="s">
        <v>746</v>
      </c>
      <c r="X400" s="105">
        <v>6</v>
      </c>
      <c r="Y400" s="105" t="b">
        <v>1</v>
      </c>
      <c r="Z400" s="105" t="s">
        <v>675</v>
      </c>
      <c r="AA400" s="105" t="s">
        <v>676</v>
      </c>
      <c r="AB400" s="105" t="s">
        <v>677</v>
      </c>
      <c r="AC400" s="105">
        <v>0</v>
      </c>
      <c r="AD400" s="105" t="s">
        <v>678</v>
      </c>
      <c r="AE400" s="105">
        <v>8</v>
      </c>
      <c r="AF400" s="105" t="s">
        <v>679</v>
      </c>
      <c r="AG400" s="105">
        <v>8241.2369999999992</v>
      </c>
      <c r="AH400" s="105" t="b">
        <v>1</v>
      </c>
      <c r="AI400" s="105">
        <v>-1</v>
      </c>
      <c r="AJ400" s="105" t="s">
        <v>680</v>
      </c>
      <c r="AK400" s="105">
        <v>0</v>
      </c>
      <c r="AL400" s="105" t="b">
        <v>0</v>
      </c>
      <c r="AM400" s="105">
        <v>8241.2369999999992</v>
      </c>
      <c r="AN400" s="105" t="b">
        <v>1</v>
      </c>
      <c r="AO400" s="105">
        <v>0</v>
      </c>
      <c r="AP400" s="105" t="b">
        <v>0</v>
      </c>
      <c r="AQ400" s="105">
        <v>39779.262000000002</v>
      </c>
      <c r="AR400" s="105"/>
      <c r="AS400" s="105">
        <v>39779.262000000002</v>
      </c>
      <c r="AT400" s="105">
        <v>6</v>
      </c>
      <c r="AU400" s="105" t="b">
        <v>1</v>
      </c>
      <c r="AV400" s="105" t="b">
        <v>0</v>
      </c>
    </row>
    <row r="401" spans="1:48" s="46" customFormat="1">
      <c r="A401" s="105" t="s">
        <v>510</v>
      </c>
      <c r="B401" s="105" t="s">
        <v>665</v>
      </c>
      <c r="C401" s="105" t="s">
        <v>666</v>
      </c>
      <c r="D401" s="105">
        <v>20240601</v>
      </c>
      <c r="E401" s="105">
        <v>2024</v>
      </c>
      <c r="F401" s="105">
        <v>6</v>
      </c>
      <c r="G401" s="105" t="s">
        <v>700</v>
      </c>
      <c r="H401" s="105">
        <v>818</v>
      </c>
      <c r="I401" s="105" t="s">
        <v>668</v>
      </c>
      <c r="J401" s="105" t="s">
        <v>57</v>
      </c>
      <c r="K401" s="105" t="s">
        <v>666</v>
      </c>
      <c r="L401" s="105" t="s">
        <v>669</v>
      </c>
      <c r="M401" s="105">
        <v>442</v>
      </c>
      <c r="N401" s="105" t="s">
        <v>759</v>
      </c>
      <c r="O401" s="105" t="s">
        <v>89</v>
      </c>
      <c r="P401" s="105">
        <v>0</v>
      </c>
      <c r="Q401" s="105" t="s">
        <v>670</v>
      </c>
      <c r="R401" s="105" t="s">
        <v>23</v>
      </c>
      <c r="S401" s="105" t="s">
        <v>671</v>
      </c>
      <c r="T401" s="105" t="s">
        <v>672</v>
      </c>
      <c r="U401" s="105" t="b">
        <v>1</v>
      </c>
      <c r="V401" s="105" t="s">
        <v>745</v>
      </c>
      <c r="W401" s="105" t="s">
        <v>746</v>
      </c>
      <c r="X401" s="105">
        <v>6</v>
      </c>
      <c r="Y401" s="105" t="b">
        <v>1</v>
      </c>
      <c r="Z401" s="105" t="s">
        <v>675</v>
      </c>
      <c r="AA401" s="105" t="s">
        <v>676</v>
      </c>
      <c r="AB401" s="105" t="s">
        <v>677</v>
      </c>
      <c r="AC401" s="105">
        <v>0</v>
      </c>
      <c r="AD401" s="105" t="s">
        <v>678</v>
      </c>
      <c r="AE401" s="105">
        <v>8</v>
      </c>
      <c r="AF401" s="105" t="s">
        <v>679</v>
      </c>
      <c r="AG401" s="105">
        <v>7209.268</v>
      </c>
      <c r="AH401" s="105" t="b">
        <v>1</v>
      </c>
      <c r="AI401" s="105">
        <v>-1</v>
      </c>
      <c r="AJ401" s="105" t="s">
        <v>680</v>
      </c>
      <c r="AK401" s="105">
        <v>0</v>
      </c>
      <c r="AL401" s="105" t="b">
        <v>0</v>
      </c>
      <c r="AM401" s="105">
        <v>7209.268</v>
      </c>
      <c r="AN401" s="105" t="b">
        <v>1</v>
      </c>
      <c r="AO401" s="105">
        <v>0</v>
      </c>
      <c r="AP401" s="105" t="b">
        <v>0</v>
      </c>
      <c r="AQ401" s="105">
        <v>34798.097999999998</v>
      </c>
      <c r="AR401" s="105"/>
      <c r="AS401" s="105">
        <v>34798.097999999998</v>
      </c>
      <c r="AT401" s="105">
        <v>6</v>
      </c>
      <c r="AU401" s="105" t="b">
        <v>1</v>
      </c>
      <c r="AV401" s="105" t="b">
        <v>0</v>
      </c>
    </row>
    <row r="402" spans="1:48" s="46" customFormat="1">
      <c r="A402" s="105" t="s">
        <v>510</v>
      </c>
      <c r="B402" s="105" t="s">
        <v>665</v>
      </c>
      <c r="C402" s="105" t="s">
        <v>666</v>
      </c>
      <c r="D402" s="105">
        <v>20240601</v>
      </c>
      <c r="E402" s="105">
        <v>2024</v>
      </c>
      <c r="F402" s="105">
        <v>6</v>
      </c>
      <c r="G402" s="105" t="s">
        <v>700</v>
      </c>
      <c r="H402" s="105">
        <v>818</v>
      </c>
      <c r="I402" s="105" t="s">
        <v>668</v>
      </c>
      <c r="J402" s="105" t="s">
        <v>57</v>
      </c>
      <c r="K402" s="105" t="s">
        <v>666</v>
      </c>
      <c r="L402" s="105" t="s">
        <v>669</v>
      </c>
      <c r="M402" s="105">
        <v>699</v>
      </c>
      <c r="N402" s="105" t="s">
        <v>748</v>
      </c>
      <c r="O402" s="105" t="s">
        <v>0</v>
      </c>
      <c r="P402" s="105">
        <v>0</v>
      </c>
      <c r="Q402" s="105" t="s">
        <v>670</v>
      </c>
      <c r="R402" s="105" t="s">
        <v>23</v>
      </c>
      <c r="S402" s="105" t="s">
        <v>671</v>
      </c>
      <c r="T402" s="105" t="s">
        <v>672</v>
      </c>
      <c r="U402" s="105" t="b">
        <v>1</v>
      </c>
      <c r="V402" s="105" t="s">
        <v>745</v>
      </c>
      <c r="W402" s="105" t="s">
        <v>746</v>
      </c>
      <c r="X402" s="105">
        <v>6</v>
      </c>
      <c r="Y402" s="105" t="b">
        <v>1</v>
      </c>
      <c r="Z402" s="105" t="s">
        <v>675</v>
      </c>
      <c r="AA402" s="105" t="s">
        <v>676</v>
      </c>
      <c r="AB402" s="105" t="s">
        <v>677</v>
      </c>
      <c r="AC402" s="105">
        <v>0</v>
      </c>
      <c r="AD402" s="105" t="s">
        <v>678</v>
      </c>
      <c r="AE402" s="105">
        <v>8</v>
      </c>
      <c r="AF402" s="105" t="s">
        <v>679</v>
      </c>
      <c r="AG402" s="105">
        <v>8230.6569999999992</v>
      </c>
      <c r="AH402" s="105" t="b">
        <v>1</v>
      </c>
      <c r="AI402" s="105">
        <v>-1</v>
      </c>
      <c r="AJ402" s="105" t="s">
        <v>680</v>
      </c>
      <c r="AK402" s="105">
        <v>0</v>
      </c>
      <c r="AL402" s="105" t="b">
        <v>0</v>
      </c>
      <c r="AM402" s="105">
        <v>8230.6569999999992</v>
      </c>
      <c r="AN402" s="105" t="b">
        <v>1</v>
      </c>
      <c r="AO402" s="105">
        <v>0</v>
      </c>
      <c r="AP402" s="105" t="b">
        <v>0</v>
      </c>
      <c r="AQ402" s="105">
        <v>39728.190999999999</v>
      </c>
      <c r="AR402" s="105"/>
      <c r="AS402" s="105">
        <v>39728.190999999999</v>
      </c>
      <c r="AT402" s="105">
        <v>6</v>
      </c>
      <c r="AU402" s="105" t="b">
        <v>1</v>
      </c>
      <c r="AV402" s="105" t="b">
        <v>0</v>
      </c>
    </row>
    <row r="403" spans="1:48" s="46" customFormat="1">
      <c r="A403" s="105" t="s">
        <v>510</v>
      </c>
      <c r="B403" s="105" t="s">
        <v>665</v>
      </c>
      <c r="C403" s="105" t="s">
        <v>666</v>
      </c>
      <c r="D403" s="105">
        <v>20240601</v>
      </c>
      <c r="E403" s="105">
        <v>2024</v>
      </c>
      <c r="F403" s="105">
        <v>6</v>
      </c>
      <c r="G403" s="105" t="s">
        <v>700</v>
      </c>
      <c r="H403" s="105">
        <v>818</v>
      </c>
      <c r="I403" s="105" t="s">
        <v>668</v>
      </c>
      <c r="J403" s="105" t="s">
        <v>57</v>
      </c>
      <c r="K403" s="105" t="s">
        <v>666</v>
      </c>
      <c r="L403" s="105" t="s">
        <v>669</v>
      </c>
      <c r="M403" s="105">
        <v>792</v>
      </c>
      <c r="N403" s="105" t="s">
        <v>691</v>
      </c>
      <c r="O403" s="105" t="s">
        <v>63</v>
      </c>
      <c r="P403" s="105">
        <v>0</v>
      </c>
      <c r="Q403" s="105" t="s">
        <v>670</v>
      </c>
      <c r="R403" s="105" t="s">
        <v>23</v>
      </c>
      <c r="S403" s="105" t="s">
        <v>671</v>
      </c>
      <c r="T403" s="105" t="s">
        <v>672</v>
      </c>
      <c r="U403" s="105" t="b">
        <v>1</v>
      </c>
      <c r="V403" s="105" t="s">
        <v>745</v>
      </c>
      <c r="W403" s="105" t="s">
        <v>746</v>
      </c>
      <c r="X403" s="105">
        <v>6</v>
      </c>
      <c r="Y403" s="105" t="b">
        <v>1</v>
      </c>
      <c r="Z403" s="105" t="s">
        <v>675</v>
      </c>
      <c r="AA403" s="105" t="s">
        <v>676</v>
      </c>
      <c r="AB403" s="105" t="s">
        <v>677</v>
      </c>
      <c r="AC403" s="105">
        <v>0</v>
      </c>
      <c r="AD403" s="105" t="s">
        <v>678</v>
      </c>
      <c r="AE403" s="105">
        <v>8</v>
      </c>
      <c r="AF403" s="105" t="s">
        <v>679</v>
      </c>
      <c r="AG403" s="105">
        <v>6241.4629999999997</v>
      </c>
      <c r="AH403" s="105" t="b">
        <v>1</v>
      </c>
      <c r="AI403" s="105">
        <v>-1</v>
      </c>
      <c r="AJ403" s="105" t="s">
        <v>680</v>
      </c>
      <c r="AK403" s="105">
        <v>0</v>
      </c>
      <c r="AL403" s="105" t="b">
        <v>0</v>
      </c>
      <c r="AM403" s="105">
        <v>6241.4629999999997</v>
      </c>
      <c r="AN403" s="105" t="b">
        <v>1</v>
      </c>
      <c r="AO403" s="105">
        <v>0</v>
      </c>
      <c r="AP403" s="105" t="b">
        <v>0</v>
      </c>
      <c r="AQ403" s="105">
        <v>30126.643</v>
      </c>
      <c r="AR403" s="105"/>
      <c r="AS403" s="105">
        <v>30126.643</v>
      </c>
      <c r="AT403" s="105">
        <v>6</v>
      </c>
      <c r="AU403" s="105" t="b">
        <v>1</v>
      </c>
      <c r="AV403" s="105" t="b">
        <v>0</v>
      </c>
    </row>
    <row r="404" spans="1:48" s="46" customFormat="1">
      <c r="A404" s="105" t="s">
        <v>510</v>
      </c>
      <c r="B404" s="105" t="s">
        <v>665</v>
      </c>
      <c r="C404" s="105" t="s">
        <v>666</v>
      </c>
      <c r="D404" s="105">
        <v>20240601</v>
      </c>
      <c r="E404" s="105">
        <v>2024</v>
      </c>
      <c r="F404" s="105">
        <v>6</v>
      </c>
      <c r="G404" s="105" t="s">
        <v>700</v>
      </c>
      <c r="H404" s="105">
        <v>818</v>
      </c>
      <c r="I404" s="105" t="s">
        <v>668</v>
      </c>
      <c r="J404" s="105" t="s">
        <v>57</v>
      </c>
      <c r="K404" s="105" t="s">
        <v>666</v>
      </c>
      <c r="L404" s="105" t="s">
        <v>669</v>
      </c>
      <c r="M404" s="105">
        <v>826</v>
      </c>
      <c r="N404" s="105" t="s">
        <v>685</v>
      </c>
      <c r="O404" s="105" t="s">
        <v>64</v>
      </c>
      <c r="P404" s="105">
        <v>0</v>
      </c>
      <c r="Q404" s="105" t="s">
        <v>670</v>
      </c>
      <c r="R404" s="105" t="s">
        <v>23</v>
      </c>
      <c r="S404" s="105" t="s">
        <v>671</v>
      </c>
      <c r="T404" s="105" t="s">
        <v>672</v>
      </c>
      <c r="U404" s="105" t="b">
        <v>1</v>
      </c>
      <c r="V404" s="105" t="s">
        <v>745</v>
      </c>
      <c r="W404" s="105" t="s">
        <v>746</v>
      </c>
      <c r="X404" s="105">
        <v>6</v>
      </c>
      <c r="Y404" s="105" t="b">
        <v>1</v>
      </c>
      <c r="Z404" s="105" t="s">
        <v>675</v>
      </c>
      <c r="AA404" s="105" t="s">
        <v>676</v>
      </c>
      <c r="AB404" s="105" t="s">
        <v>677</v>
      </c>
      <c r="AC404" s="105">
        <v>0</v>
      </c>
      <c r="AD404" s="105" t="s">
        <v>678</v>
      </c>
      <c r="AE404" s="105">
        <v>8</v>
      </c>
      <c r="AF404" s="105" t="s">
        <v>679</v>
      </c>
      <c r="AG404" s="105">
        <v>36007.158000000003</v>
      </c>
      <c r="AH404" s="105" t="b">
        <v>1</v>
      </c>
      <c r="AI404" s="105">
        <v>-1</v>
      </c>
      <c r="AJ404" s="105" t="s">
        <v>680</v>
      </c>
      <c r="AK404" s="105">
        <v>0</v>
      </c>
      <c r="AL404" s="105" t="b">
        <v>0</v>
      </c>
      <c r="AM404" s="105">
        <v>36007.158000000003</v>
      </c>
      <c r="AN404" s="105" t="b">
        <v>1</v>
      </c>
      <c r="AO404" s="105">
        <v>0</v>
      </c>
      <c r="AP404" s="105" t="b">
        <v>0</v>
      </c>
      <c r="AQ404" s="105">
        <v>173801.353</v>
      </c>
      <c r="AR404" s="105"/>
      <c r="AS404" s="105">
        <v>173801.353</v>
      </c>
      <c r="AT404" s="105">
        <v>6</v>
      </c>
      <c r="AU404" s="105" t="b">
        <v>1</v>
      </c>
      <c r="AV404" s="105" t="b">
        <v>0</v>
      </c>
    </row>
    <row r="405" spans="1:48" s="46" customFormat="1">
      <c r="A405" s="105" t="s">
        <v>510</v>
      </c>
      <c r="B405" s="105" t="s">
        <v>665</v>
      </c>
      <c r="C405" s="105" t="s">
        <v>666</v>
      </c>
      <c r="D405" s="105">
        <v>20240601</v>
      </c>
      <c r="E405" s="105">
        <v>2024</v>
      </c>
      <c r="F405" s="105">
        <v>6</v>
      </c>
      <c r="G405" s="105" t="s">
        <v>700</v>
      </c>
      <c r="H405" s="105">
        <v>818</v>
      </c>
      <c r="I405" s="105" t="s">
        <v>668</v>
      </c>
      <c r="J405" s="105" t="s">
        <v>57</v>
      </c>
      <c r="K405" s="105" t="s">
        <v>666</v>
      </c>
      <c r="L405" s="105" t="s">
        <v>669</v>
      </c>
      <c r="M405" s="105">
        <v>842</v>
      </c>
      <c r="N405" s="105" t="s">
        <v>713</v>
      </c>
      <c r="O405" s="105" t="s">
        <v>713</v>
      </c>
      <c r="P405" s="105">
        <v>0</v>
      </c>
      <c r="Q405" s="105" t="s">
        <v>670</v>
      </c>
      <c r="R405" s="105" t="s">
        <v>23</v>
      </c>
      <c r="S405" s="105" t="s">
        <v>671</v>
      </c>
      <c r="T405" s="105" t="s">
        <v>672</v>
      </c>
      <c r="U405" s="105" t="b">
        <v>1</v>
      </c>
      <c r="V405" s="105" t="s">
        <v>745</v>
      </c>
      <c r="W405" s="105" t="s">
        <v>746</v>
      </c>
      <c r="X405" s="105">
        <v>6</v>
      </c>
      <c r="Y405" s="105" t="b">
        <v>1</v>
      </c>
      <c r="Z405" s="105" t="s">
        <v>675</v>
      </c>
      <c r="AA405" s="105" t="s">
        <v>676</v>
      </c>
      <c r="AB405" s="105" t="s">
        <v>677</v>
      </c>
      <c r="AC405" s="105">
        <v>0</v>
      </c>
      <c r="AD405" s="105" t="s">
        <v>678</v>
      </c>
      <c r="AE405" s="105">
        <v>8</v>
      </c>
      <c r="AF405" s="105" t="s">
        <v>679</v>
      </c>
      <c r="AG405" s="105">
        <v>13047.772999999999</v>
      </c>
      <c r="AH405" s="105" t="b">
        <v>1</v>
      </c>
      <c r="AI405" s="105">
        <v>-1</v>
      </c>
      <c r="AJ405" s="105" t="s">
        <v>680</v>
      </c>
      <c r="AK405" s="105">
        <v>0</v>
      </c>
      <c r="AL405" s="105" t="b">
        <v>0</v>
      </c>
      <c r="AM405" s="105">
        <v>13047.772999999999</v>
      </c>
      <c r="AN405" s="105" t="b">
        <v>1</v>
      </c>
      <c r="AO405" s="105">
        <v>0</v>
      </c>
      <c r="AP405" s="105" t="b">
        <v>0</v>
      </c>
      <c r="AQ405" s="105">
        <v>62979.714999999997</v>
      </c>
      <c r="AR405" s="105"/>
      <c r="AS405" s="105">
        <v>62979.714999999997</v>
      </c>
      <c r="AT405" s="105">
        <v>6</v>
      </c>
      <c r="AU405" s="105" t="b">
        <v>1</v>
      </c>
      <c r="AV405" s="105" t="b">
        <v>0</v>
      </c>
    </row>
  </sheetData>
  <autoFilter ref="A85:AV405" xr:uid="{F3F10634-D2FE-4936-A347-8358BC4145AD}"/>
  <mergeCells count="8">
    <mergeCell ref="C13:H13"/>
    <mergeCell ref="I13:N13"/>
    <mergeCell ref="P13:P14"/>
    <mergeCell ref="Q13:Q14"/>
    <mergeCell ref="C46:H46"/>
    <mergeCell ref="I46:N46"/>
    <mergeCell ref="P46:P47"/>
    <mergeCell ref="Q46:Q47"/>
  </mergeCells>
  <hyperlinks>
    <hyperlink ref="B3" r:id="rId3" display="https://comtradeplus.un.org/TradeFlow?Frequency=M&amp;Flows=X&amp;CommodityCodes=391590&amp;Partners=0&amp;Reporters=818&amp;period=All&amp;AggregateBy=none&amp;BreakdownMode=plus" xr:uid="{707065BE-CBC8-4B76-963B-3B3089D8D335}"/>
    <hyperlink ref="C3" r:id="rId4" display="https://comtradeplus.un.org/TradeFlow?Frequency=M&amp;Flows=X&amp;CommodityCodes=391590&amp;Partners=0&amp;Reporters=818&amp;period=All&amp;AggregateBy=none&amp;BreakdownMode=plus" xr:uid="{3EF8503C-6C20-47BE-80D2-43E1945E88A2}"/>
  </hyperlinks>
  <pageMargins left="0.75" right="0.75" top="1" bottom="1" header="0.5" footer="0.5"/>
  <pageSetup paperSize="9" scale="40" orientation="landscape" horizontalDpi="300" verticalDpi="300"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9377-020C-4FAE-9A10-94525D639F46}">
  <dimension ref="A1:AV551"/>
  <sheetViews>
    <sheetView topLeftCell="A74" workbookViewId="0">
      <selection activeCell="B78" sqref="B78:Q121"/>
    </sheetView>
  </sheetViews>
  <sheetFormatPr defaultRowHeight="13.5"/>
  <cols>
    <col min="1" max="1" width="8.28515625" style="46" customWidth="1"/>
    <col min="2" max="2" width="19.85546875" style="46" bestFit="1" customWidth="1"/>
    <col min="3" max="3" width="19.42578125" style="46" customWidth="1"/>
    <col min="4" max="4" width="20.85546875" style="46" customWidth="1"/>
    <col min="5" max="10" width="11.28515625" style="46" bestFit="1" customWidth="1"/>
    <col min="11" max="13" width="12.42578125" style="46" bestFit="1" customWidth="1"/>
    <col min="14" max="14" width="11.28515625" style="46" bestFit="1" customWidth="1"/>
    <col min="15" max="15" width="13.7109375" style="46" bestFit="1" customWidth="1"/>
    <col min="16" max="16" width="13" style="46" bestFit="1" customWidth="1"/>
    <col min="17" max="17" width="11.42578125" style="46" bestFit="1" customWidth="1"/>
    <col min="18" max="18" width="12.7109375" style="46" bestFit="1" customWidth="1"/>
    <col min="19" max="19" width="19.140625" style="46" bestFit="1" customWidth="1"/>
    <col min="20" max="32" width="12.28515625" style="46" bestFit="1" customWidth="1"/>
    <col min="33" max="33" width="11.42578125" style="46" bestFit="1" customWidth="1"/>
    <col min="34" max="35" width="14.42578125" style="46" bestFit="1" customWidth="1"/>
    <col min="36" max="36" width="14" style="46" bestFit="1" customWidth="1"/>
    <col min="37" max="37" width="6.28515625" style="46" bestFit="1" customWidth="1"/>
    <col min="38" max="38" width="16.7109375" style="46" bestFit="1" customWidth="1"/>
    <col min="39" max="39" width="12.140625" style="46" bestFit="1" customWidth="1"/>
    <col min="40" max="40" width="18" style="46" bestFit="1" customWidth="1"/>
    <col min="41" max="41" width="9.28515625" style="46" bestFit="1" customWidth="1"/>
    <col min="42" max="42" width="20.140625" style="46" bestFit="1" customWidth="1"/>
    <col min="43" max="43" width="12.140625" style="46" bestFit="1" customWidth="1"/>
    <col min="44" max="44" width="8.5703125" style="46" bestFit="1" customWidth="1"/>
    <col min="45" max="45" width="13" style="46" bestFit="1" customWidth="1"/>
    <col min="46" max="46" width="20.140625" style="46" bestFit="1" customWidth="1"/>
    <col min="47" max="47" width="10.5703125" style="46" bestFit="1" customWidth="1"/>
    <col min="48" max="48" width="11.28515625" style="46" bestFit="1" customWidth="1"/>
    <col min="49" max="16384" width="9.140625" style="46"/>
  </cols>
  <sheetData>
    <row r="1" spans="1:32">
      <c r="A1" s="25" t="s">
        <v>880</v>
      </c>
      <c r="B1" s="240"/>
      <c r="C1" s="240"/>
      <c r="D1" s="241">
        <f>'EX-1A SV Summary'!D31</f>
        <v>38249970</v>
      </c>
    </row>
    <row r="2" spans="1:32">
      <c r="A2" s="26" t="s">
        <v>984</v>
      </c>
      <c r="B2" s="242"/>
      <c r="C2" s="242"/>
      <c r="D2" s="242"/>
    </row>
    <row r="3" spans="1:32">
      <c r="A3" s="243" t="s">
        <v>882</v>
      </c>
      <c r="S3" s="100" t="s">
        <v>626</v>
      </c>
      <c r="T3" s="46" t="s">
        <v>57</v>
      </c>
    </row>
    <row r="5" spans="1:32" ht="27">
      <c r="A5" s="29"/>
      <c r="B5" s="102" t="s">
        <v>203</v>
      </c>
      <c r="C5" s="102" t="s">
        <v>48</v>
      </c>
      <c r="D5" s="102" t="s">
        <v>204</v>
      </c>
      <c r="S5" s="100" t="s">
        <v>733</v>
      </c>
      <c r="T5" s="100" t="s">
        <v>621</v>
      </c>
      <c r="U5" s="100" t="s">
        <v>622</v>
      </c>
    </row>
    <row r="6" spans="1:32">
      <c r="A6" s="29"/>
      <c r="B6" s="103">
        <f>SUMIFS(O:O,P:P,"Include",Q:Q,"QTY")*1000</f>
        <v>58601394779.000008</v>
      </c>
      <c r="C6" s="103">
        <f>SUMIFS(O:O,P:P,"Include",Q:Q,"VAL")*1000</f>
        <v>276535650339.00006</v>
      </c>
      <c r="D6" s="104">
        <f>C6/B6</f>
        <v>4.7189260832763908</v>
      </c>
      <c r="T6" s="46">
        <v>2023</v>
      </c>
      <c r="Z6" s="46">
        <v>2024</v>
      </c>
      <c r="AF6" s="46" t="s">
        <v>732</v>
      </c>
    </row>
    <row r="7" spans="1:32">
      <c r="A7" s="29"/>
      <c r="B7" s="98"/>
      <c r="C7" s="26"/>
      <c r="S7" s="100" t="s">
        <v>631</v>
      </c>
      <c r="T7" s="46">
        <v>7</v>
      </c>
      <c r="U7" s="46">
        <v>8</v>
      </c>
      <c r="V7" s="46">
        <v>9</v>
      </c>
      <c r="W7" s="46">
        <v>10</v>
      </c>
      <c r="X7" s="46">
        <v>11</v>
      </c>
      <c r="Y7" s="46">
        <v>12</v>
      </c>
      <c r="Z7" s="46">
        <v>1</v>
      </c>
      <c r="AA7" s="46">
        <v>2</v>
      </c>
      <c r="AB7" s="46">
        <v>3</v>
      </c>
      <c r="AC7" s="46">
        <v>4</v>
      </c>
      <c r="AD7" s="46">
        <v>5</v>
      </c>
      <c r="AE7" s="46">
        <v>6</v>
      </c>
    </row>
    <row r="8" spans="1:32">
      <c r="A8" s="99" t="s">
        <v>740</v>
      </c>
      <c r="B8" s="99" t="s">
        <v>45</v>
      </c>
      <c r="C8" s="26"/>
      <c r="S8" s="46" t="s">
        <v>120</v>
      </c>
      <c r="T8" s="101">
        <v>7455.0039999999999</v>
      </c>
      <c r="U8" s="101"/>
      <c r="V8" s="101"/>
      <c r="W8" s="101"/>
      <c r="X8" s="101"/>
      <c r="Y8" s="101"/>
      <c r="Z8" s="101"/>
      <c r="AA8" s="101"/>
      <c r="AB8" s="101"/>
      <c r="AC8" s="101"/>
      <c r="AD8" s="101"/>
      <c r="AE8" s="101"/>
      <c r="AF8" s="101">
        <v>7455.0039999999999</v>
      </c>
    </row>
    <row r="9" spans="1:32">
      <c r="B9" s="29" t="s">
        <v>902</v>
      </c>
      <c r="C9" s="26"/>
      <c r="S9" s="46" t="s">
        <v>24</v>
      </c>
      <c r="T9" s="101">
        <v>50255.673000000003</v>
      </c>
      <c r="U9" s="101">
        <v>16828.991999999998</v>
      </c>
      <c r="V9" s="101">
        <v>1807.7239999999999</v>
      </c>
      <c r="W9" s="101">
        <v>15662.487999999999</v>
      </c>
      <c r="X9" s="101">
        <v>37274.025000000001</v>
      </c>
      <c r="Y9" s="101"/>
      <c r="Z9" s="101">
        <v>1176.741</v>
      </c>
      <c r="AA9" s="101">
        <v>1706.9480000000001</v>
      </c>
      <c r="AB9" s="101">
        <v>1259.6389999999999</v>
      </c>
      <c r="AC9" s="101"/>
      <c r="AD9" s="101">
        <v>34501.866000000002</v>
      </c>
      <c r="AE9" s="101">
        <v>6939.8680000000004</v>
      </c>
      <c r="AF9" s="101">
        <v>167413.96399999998</v>
      </c>
    </row>
    <row r="10" spans="1:32">
      <c r="A10" s="29"/>
      <c r="B10" s="134"/>
      <c r="C10" s="133"/>
      <c r="S10" s="46" t="s">
        <v>43</v>
      </c>
      <c r="T10" s="101">
        <v>14791.938</v>
      </c>
      <c r="U10" s="101">
        <v>2039.854</v>
      </c>
      <c r="V10" s="101">
        <v>1168.933</v>
      </c>
      <c r="W10" s="101"/>
      <c r="X10" s="101"/>
      <c r="Y10" s="101">
        <v>4019.498</v>
      </c>
      <c r="Z10" s="101"/>
      <c r="AA10" s="101"/>
      <c r="AB10" s="101">
        <v>2486.3130000000001</v>
      </c>
      <c r="AC10" s="101">
        <v>22757.107</v>
      </c>
      <c r="AD10" s="101"/>
      <c r="AE10" s="101">
        <v>4953.6769999999997</v>
      </c>
      <c r="AF10" s="101">
        <v>52217.319999999992</v>
      </c>
    </row>
    <row r="11" spans="1:32">
      <c r="B11" s="105"/>
      <c r="C11" s="321">
        <v>2023</v>
      </c>
      <c r="D11" s="322"/>
      <c r="E11" s="322"/>
      <c r="F11" s="322"/>
      <c r="G11" s="322"/>
      <c r="H11" s="323"/>
      <c r="I11" s="321">
        <v>2024</v>
      </c>
      <c r="J11" s="322"/>
      <c r="K11" s="322"/>
      <c r="L11" s="322"/>
      <c r="M11" s="322"/>
      <c r="N11" s="323"/>
      <c r="O11" s="112" t="s">
        <v>732</v>
      </c>
      <c r="P11" s="320" t="s">
        <v>209</v>
      </c>
      <c r="Q11" s="320" t="s">
        <v>155</v>
      </c>
      <c r="S11" s="46" t="s">
        <v>74</v>
      </c>
      <c r="T11" s="101">
        <v>29973.200000000001</v>
      </c>
      <c r="U11" s="101">
        <v>72596.92</v>
      </c>
      <c r="V11" s="101">
        <v>42165.108</v>
      </c>
      <c r="W11" s="101">
        <v>40955.154000000002</v>
      </c>
      <c r="X11" s="101">
        <v>199879.82699999999</v>
      </c>
      <c r="Y11" s="101">
        <v>4467.3090000000002</v>
      </c>
      <c r="Z11" s="101">
        <v>57877.538</v>
      </c>
      <c r="AA11" s="101">
        <v>76003.048999999999</v>
      </c>
      <c r="AB11" s="101">
        <v>42985.737999999998</v>
      </c>
      <c r="AC11" s="101">
        <v>171650.815</v>
      </c>
      <c r="AD11" s="101">
        <v>101528.02499999999</v>
      </c>
      <c r="AE11" s="101">
        <v>6555.8919999999998</v>
      </c>
      <c r="AF11" s="101">
        <v>846638.57500000007</v>
      </c>
    </row>
    <row r="12" spans="1:32">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66</v>
      </c>
      <c r="T12" s="101">
        <v>48026.188000000002</v>
      </c>
      <c r="U12" s="101"/>
      <c r="V12" s="101"/>
      <c r="W12" s="101">
        <v>29461.5</v>
      </c>
      <c r="X12" s="101">
        <v>27527.319</v>
      </c>
      <c r="Y12" s="101">
        <v>10460.517</v>
      </c>
      <c r="Z12" s="101">
        <v>3801.9360000000001</v>
      </c>
      <c r="AA12" s="101">
        <v>26806.948</v>
      </c>
      <c r="AB12" s="101">
        <v>34779.576000000001</v>
      </c>
      <c r="AC12" s="101">
        <v>9117.2379999999994</v>
      </c>
      <c r="AD12" s="101">
        <v>15075.089</v>
      </c>
      <c r="AE12" s="101">
        <v>2190.4540000000002</v>
      </c>
      <c r="AF12" s="101">
        <v>207246.76500000001</v>
      </c>
    </row>
    <row r="13" spans="1:32">
      <c r="B13" s="105" t="s">
        <v>120</v>
      </c>
      <c r="C13" s="106">
        <v>7455.0039999999999</v>
      </c>
      <c r="D13" s="106"/>
      <c r="E13" s="106"/>
      <c r="F13" s="106"/>
      <c r="G13" s="106"/>
      <c r="H13" s="106"/>
      <c r="I13" s="106"/>
      <c r="J13" s="106"/>
      <c r="K13" s="106"/>
      <c r="L13" s="106"/>
      <c r="M13" s="106"/>
      <c r="N13" s="106"/>
      <c r="O13" s="106">
        <v>7455.0039999999999</v>
      </c>
      <c r="P13" s="105" t="s">
        <v>211</v>
      </c>
      <c r="Q13" s="105" t="s">
        <v>744</v>
      </c>
      <c r="S13" s="46" t="s">
        <v>81</v>
      </c>
      <c r="T13" s="101"/>
      <c r="U13" s="101"/>
      <c r="V13" s="101"/>
      <c r="W13" s="101"/>
      <c r="X13" s="101"/>
      <c r="Y13" s="101"/>
      <c r="Z13" s="101"/>
      <c r="AA13" s="101"/>
      <c r="AB13" s="101"/>
      <c r="AC13" s="101">
        <v>2011.5930000000001</v>
      </c>
      <c r="AD13" s="101"/>
      <c r="AE13" s="101"/>
      <c r="AF13" s="101">
        <v>2011.5930000000001</v>
      </c>
    </row>
    <row r="14" spans="1:32">
      <c r="B14" s="105" t="s">
        <v>24</v>
      </c>
      <c r="C14" s="106">
        <v>50255.673000000003</v>
      </c>
      <c r="D14" s="106">
        <v>16828.991999999998</v>
      </c>
      <c r="E14" s="106">
        <v>1807.7239999999999</v>
      </c>
      <c r="F14" s="106">
        <v>15662.487999999999</v>
      </c>
      <c r="G14" s="106">
        <v>37274.025000000001</v>
      </c>
      <c r="H14" s="106"/>
      <c r="I14" s="106">
        <v>1176.741</v>
      </c>
      <c r="J14" s="106">
        <v>1706.9480000000001</v>
      </c>
      <c r="K14" s="106">
        <v>1259.6389999999999</v>
      </c>
      <c r="L14" s="106"/>
      <c r="M14" s="106">
        <v>34501.866000000002</v>
      </c>
      <c r="N14" s="106">
        <v>6939.8680000000004</v>
      </c>
      <c r="O14" s="106">
        <v>167413.96399999998</v>
      </c>
      <c r="P14" s="105" t="s">
        <v>211</v>
      </c>
      <c r="Q14" s="105" t="s">
        <v>744</v>
      </c>
      <c r="S14" s="46" t="s">
        <v>70</v>
      </c>
      <c r="T14" s="101"/>
      <c r="U14" s="101"/>
      <c r="V14" s="101"/>
      <c r="W14" s="101"/>
      <c r="X14" s="101">
        <v>5070.1180000000004</v>
      </c>
      <c r="Y14" s="101">
        <v>216.68799999999999</v>
      </c>
      <c r="Z14" s="101">
        <v>39724.084000000003</v>
      </c>
      <c r="AA14" s="101">
        <v>1216.73</v>
      </c>
      <c r="AB14" s="101">
        <v>275.92200000000003</v>
      </c>
      <c r="AC14" s="101">
        <v>2924.498</v>
      </c>
      <c r="AD14" s="101">
        <v>664.83399999999995</v>
      </c>
      <c r="AE14" s="101">
        <v>1870.5740000000001</v>
      </c>
      <c r="AF14" s="101">
        <v>51963.448000000004</v>
      </c>
    </row>
    <row r="15" spans="1:32">
      <c r="B15" s="105" t="s">
        <v>43</v>
      </c>
      <c r="C15" s="106">
        <v>14791.938</v>
      </c>
      <c r="D15" s="106">
        <v>2039.854</v>
      </c>
      <c r="E15" s="106">
        <v>1168.933</v>
      </c>
      <c r="F15" s="106"/>
      <c r="G15" s="106"/>
      <c r="H15" s="106">
        <v>4019.498</v>
      </c>
      <c r="I15" s="106"/>
      <c r="J15" s="106"/>
      <c r="K15" s="106">
        <v>2486.3130000000001</v>
      </c>
      <c r="L15" s="106">
        <v>22757.107</v>
      </c>
      <c r="M15" s="106"/>
      <c r="N15" s="106">
        <v>4953.6769999999997</v>
      </c>
      <c r="O15" s="106">
        <v>52217.319999999992</v>
      </c>
      <c r="P15" s="105" t="s">
        <v>211</v>
      </c>
      <c r="Q15" s="105" t="s">
        <v>744</v>
      </c>
      <c r="S15" s="46" t="s">
        <v>101</v>
      </c>
      <c r="T15" s="101"/>
      <c r="U15" s="101"/>
      <c r="V15" s="101"/>
      <c r="W15" s="101"/>
      <c r="X15" s="101"/>
      <c r="Y15" s="101"/>
      <c r="Z15" s="101"/>
      <c r="AA15" s="101"/>
      <c r="AB15" s="101"/>
      <c r="AC15" s="101">
        <v>10754.861999999999</v>
      </c>
      <c r="AD15" s="101"/>
      <c r="AE15" s="101"/>
      <c r="AF15" s="101">
        <v>10754.861999999999</v>
      </c>
    </row>
    <row r="16" spans="1:32">
      <c r="B16" s="105" t="s">
        <v>74</v>
      </c>
      <c r="C16" s="106">
        <v>29973.200000000001</v>
      </c>
      <c r="D16" s="106">
        <v>72596.92</v>
      </c>
      <c r="E16" s="106">
        <v>42165.108</v>
      </c>
      <c r="F16" s="106">
        <v>40955.154000000002</v>
      </c>
      <c r="G16" s="106">
        <v>199879.82699999999</v>
      </c>
      <c r="H16" s="106">
        <v>4467.3090000000002</v>
      </c>
      <c r="I16" s="106">
        <v>57877.538</v>
      </c>
      <c r="J16" s="106">
        <v>76003.048999999999</v>
      </c>
      <c r="K16" s="106">
        <v>42985.737999999998</v>
      </c>
      <c r="L16" s="106">
        <v>171650.815</v>
      </c>
      <c r="M16" s="106">
        <v>101528.02499999999</v>
      </c>
      <c r="N16" s="106">
        <v>6555.8919999999998</v>
      </c>
      <c r="O16" s="106">
        <v>846638.57500000007</v>
      </c>
      <c r="P16" s="105" t="s">
        <v>211</v>
      </c>
      <c r="Q16" s="105" t="s">
        <v>744</v>
      </c>
      <c r="S16" s="46" t="s">
        <v>29</v>
      </c>
      <c r="T16" s="101">
        <v>830078.97600000002</v>
      </c>
      <c r="U16" s="101">
        <v>778578.94</v>
      </c>
      <c r="V16" s="101">
        <v>425293.28399999999</v>
      </c>
      <c r="W16" s="101">
        <v>799268.5</v>
      </c>
      <c r="X16" s="101">
        <v>595904.228</v>
      </c>
      <c r="Y16" s="101">
        <v>409309.00799999997</v>
      </c>
      <c r="Z16" s="101">
        <v>724389.84</v>
      </c>
      <c r="AA16" s="101">
        <v>736605.57</v>
      </c>
      <c r="AB16" s="101">
        <v>693586.95</v>
      </c>
      <c r="AC16" s="101">
        <v>492741.04100000003</v>
      </c>
      <c r="AD16" s="101">
        <v>825500.47400000005</v>
      </c>
      <c r="AE16" s="101">
        <v>510083.64399999997</v>
      </c>
      <c r="AF16" s="101">
        <v>7821340.4550000019</v>
      </c>
    </row>
    <row r="17" spans="2:32">
      <c r="B17" s="105" t="s">
        <v>66</v>
      </c>
      <c r="C17" s="106">
        <v>48026.188000000002</v>
      </c>
      <c r="D17" s="106"/>
      <c r="E17" s="106"/>
      <c r="F17" s="106">
        <v>29461.5</v>
      </c>
      <c r="G17" s="106">
        <v>27527.319</v>
      </c>
      <c r="H17" s="106">
        <v>10460.517</v>
      </c>
      <c r="I17" s="106">
        <v>3801.9360000000001</v>
      </c>
      <c r="J17" s="106">
        <v>26806.948</v>
      </c>
      <c r="K17" s="106">
        <v>34779.576000000001</v>
      </c>
      <c r="L17" s="106">
        <v>9117.2379999999994</v>
      </c>
      <c r="M17" s="106">
        <v>15075.089</v>
      </c>
      <c r="N17" s="106">
        <v>2190.4540000000002</v>
      </c>
      <c r="O17" s="106">
        <v>207246.76500000001</v>
      </c>
      <c r="P17" s="105" t="s">
        <v>211</v>
      </c>
      <c r="Q17" s="105" t="s">
        <v>744</v>
      </c>
      <c r="S17" s="46" t="s">
        <v>990</v>
      </c>
      <c r="T17" s="101">
        <v>427.98599999999999</v>
      </c>
      <c r="U17" s="101"/>
      <c r="V17" s="101"/>
      <c r="W17" s="101"/>
      <c r="X17" s="101">
        <v>164.28100000000001</v>
      </c>
      <c r="Y17" s="101"/>
      <c r="Z17" s="101"/>
      <c r="AA17" s="101">
        <v>2257.4810000000002</v>
      </c>
      <c r="AB17" s="101"/>
      <c r="AC17" s="101"/>
      <c r="AD17" s="101">
        <v>37126.203999999998</v>
      </c>
      <c r="AE17" s="101"/>
      <c r="AF17" s="101">
        <v>39975.951999999997</v>
      </c>
    </row>
    <row r="18" spans="2:32">
      <c r="B18" s="105" t="s">
        <v>81</v>
      </c>
      <c r="C18" s="106"/>
      <c r="D18" s="106"/>
      <c r="E18" s="106"/>
      <c r="F18" s="106"/>
      <c r="G18" s="106"/>
      <c r="H18" s="106"/>
      <c r="I18" s="106"/>
      <c r="J18" s="106"/>
      <c r="K18" s="106"/>
      <c r="L18" s="106">
        <v>2011.5930000000001</v>
      </c>
      <c r="M18" s="106"/>
      <c r="N18" s="106"/>
      <c r="O18" s="106">
        <v>2011.5930000000001</v>
      </c>
      <c r="P18" s="105" t="s">
        <v>211</v>
      </c>
      <c r="Q18" s="105" t="s">
        <v>744</v>
      </c>
      <c r="S18" s="46" t="s">
        <v>753</v>
      </c>
      <c r="T18" s="101"/>
      <c r="U18" s="101"/>
      <c r="V18" s="101"/>
      <c r="W18" s="101"/>
      <c r="X18" s="101"/>
      <c r="Y18" s="101"/>
      <c r="Z18" s="101"/>
      <c r="AA18" s="101"/>
      <c r="AB18" s="101"/>
      <c r="AC18" s="101"/>
      <c r="AD18" s="101">
        <v>4788.2669999999998</v>
      </c>
      <c r="AE18" s="101"/>
      <c r="AF18" s="101">
        <v>4788.2669999999998</v>
      </c>
    </row>
    <row r="19" spans="2:32">
      <c r="B19" s="105" t="s">
        <v>70</v>
      </c>
      <c r="C19" s="106"/>
      <c r="D19" s="106"/>
      <c r="E19" s="106"/>
      <c r="F19" s="106"/>
      <c r="G19" s="106">
        <v>5070.1180000000004</v>
      </c>
      <c r="H19" s="106">
        <v>216.68799999999999</v>
      </c>
      <c r="I19" s="106">
        <v>39724.084000000003</v>
      </c>
      <c r="J19" s="106">
        <v>1216.73</v>
      </c>
      <c r="K19" s="106">
        <v>275.92200000000003</v>
      </c>
      <c r="L19" s="106">
        <v>2924.498</v>
      </c>
      <c r="M19" s="106">
        <v>664.83399999999995</v>
      </c>
      <c r="N19" s="106">
        <v>1870.5740000000001</v>
      </c>
      <c r="O19" s="106">
        <v>51963.448000000004</v>
      </c>
      <c r="P19" s="105" t="s">
        <v>211</v>
      </c>
      <c r="Q19" s="105" t="s">
        <v>744</v>
      </c>
      <c r="S19" s="46" t="s">
        <v>72</v>
      </c>
      <c r="T19" s="101">
        <v>29359.304</v>
      </c>
      <c r="U19" s="101">
        <v>41881.563999999998</v>
      </c>
      <c r="V19" s="101">
        <v>30199.403999999999</v>
      </c>
      <c r="W19" s="101">
        <v>34825.184000000001</v>
      </c>
      <c r="X19" s="101">
        <v>72671.160999999993</v>
      </c>
      <c r="Y19" s="101">
        <v>2400.364</v>
      </c>
      <c r="Z19" s="101">
        <v>15727.673000000001</v>
      </c>
      <c r="AA19" s="101">
        <v>60330.813000000002</v>
      </c>
      <c r="AB19" s="101">
        <v>78587.716</v>
      </c>
      <c r="AC19" s="101">
        <v>8072.2539999999999</v>
      </c>
      <c r="AD19" s="101">
        <v>73304.349000000002</v>
      </c>
      <c r="AE19" s="101">
        <v>12456.296</v>
      </c>
      <c r="AF19" s="101">
        <v>459816.08199999999</v>
      </c>
    </row>
    <row r="20" spans="2:32">
      <c r="B20" s="105" t="s">
        <v>101</v>
      </c>
      <c r="C20" s="106"/>
      <c r="D20" s="106"/>
      <c r="E20" s="106"/>
      <c r="F20" s="106"/>
      <c r="G20" s="106"/>
      <c r="H20" s="106"/>
      <c r="I20" s="106"/>
      <c r="J20" s="106"/>
      <c r="K20" s="106"/>
      <c r="L20" s="106">
        <v>10754.861999999999</v>
      </c>
      <c r="M20" s="106"/>
      <c r="N20" s="106"/>
      <c r="O20" s="106">
        <v>10754.861999999999</v>
      </c>
      <c r="P20" s="105" t="s">
        <v>211</v>
      </c>
      <c r="Q20" s="105" t="s">
        <v>744</v>
      </c>
      <c r="S20" s="46" t="s">
        <v>103</v>
      </c>
      <c r="T20" s="101"/>
      <c r="U20" s="101">
        <v>2592.85</v>
      </c>
      <c r="V20" s="101"/>
      <c r="W20" s="101"/>
      <c r="X20" s="101"/>
      <c r="Y20" s="101"/>
      <c r="Z20" s="101"/>
      <c r="AA20" s="101"/>
      <c r="AB20" s="101"/>
      <c r="AC20" s="101"/>
      <c r="AD20" s="101"/>
      <c r="AE20" s="101"/>
      <c r="AF20" s="101">
        <v>2592.85</v>
      </c>
    </row>
    <row r="21" spans="2:32">
      <c r="B21" s="105" t="s">
        <v>29</v>
      </c>
      <c r="C21" s="106">
        <v>830078.97600000002</v>
      </c>
      <c r="D21" s="106">
        <v>778578.94</v>
      </c>
      <c r="E21" s="106">
        <v>425293.28399999999</v>
      </c>
      <c r="F21" s="106">
        <v>799268.5</v>
      </c>
      <c r="G21" s="106">
        <v>595904.228</v>
      </c>
      <c r="H21" s="106">
        <v>409309.00799999997</v>
      </c>
      <c r="I21" s="106">
        <v>724389.84</v>
      </c>
      <c r="J21" s="106">
        <v>736605.57</v>
      </c>
      <c r="K21" s="106">
        <v>693586.95</v>
      </c>
      <c r="L21" s="106">
        <v>492741.04100000003</v>
      </c>
      <c r="M21" s="106">
        <v>825500.47400000005</v>
      </c>
      <c r="N21" s="106">
        <v>510083.64399999997</v>
      </c>
      <c r="O21" s="106">
        <v>7821340.4550000019</v>
      </c>
      <c r="P21" s="105" t="s">
        <v>210</v>
      </c>
      <c r="Q21" s="105" t="s">
        <v>744</v>
      </c>
      <c r="S21" s="46" t="s">
        <v>73</v>
      </c>
      <c r="T21" s="101"/>
      <c r="U21" s="101"/>
      <c r="V21" s="101"/>
      <c r="W21" s="101"/>
      <c r="X21" s="101"/>
      <c r="Y21" s="101"/>
      <c r="Z21" s="101"/>
      <c r="AA21" s="101">
        <v>266.80700000000002</v>
      </c>
      <c r="AB21" s="101">
        <v>1387.7260000000001</v>
      </c>
      <c r="AC21" s="101"/>
      <c r="AD21" s="101"/>
      <c r="AE21" s="101"/>
      <c r="AF21" s="101">
        <v>1654.5330000000001</v>
      </c>
    </row>
    <row r="22" spans="2:32">
      <c r="B22" s="105" t="s">
        <v>990</v>
      </c>
      <c r="C22" s="106">
        <v>427.98599999999999</v>
      </c>
      <c r="D22" s="106"/>
      <c r="E22" s="106"/>
      <c r="F22" s="106"/>
      <c r="G22" s="106">
        <v>164.28100000000001</v>
      </c>
      <c r="H22" s="106"/>
      <c r="I22" s="106"/>
      <c r="J22" s="106">
        <v>2257.4810000000002</v>
      </c>
      <c r="K22" s="106"/>
      <c r="L22" s="106"/>
      <c r="M22" s="106">
        <v>37126.203999999998</v>
      </c>
      <c r="N22" s="106"/>
      <c r="O22" s="106">
        <v>39975.951999999997</v>
      </c>
      <c r="P22" s="105" t="s">
        <v>210</v>
      </c>
      <c r="Q22" s="105" t="s">
        <v>744</v>
      </c>
      <c r="S22" s="46" t="s">
        <v>69</v>
      </c>
      <c r="T22" s="101">
        <v>395008.91499999998</v>
      </c>
      <c r="U22" s="101">
        <v>252150.50099999999</v>
      </c>
      <c r="V22" s="101">
        <v>128007.14200000001</v>
      </c>
      <c r="W22" s="101">
        <v>103399.611</v>
      </c>
      <c r="X22" s="101">
        <v>102630.749</v>
      </c>
      <c r="Y22" s="101">
        <v>83094.263000000006</v>
      </c>
      <c r="Z22" s="101">
        <v>287877.54300000001</v>
      </c>
      <c r="AA22" s="101">
        <v>110166.735</v>
      </c>
      <c r="AB22" s="101">
        <v>111585.20699999999</v>
      </c>
      <c r="AC22" s="101">
        <v>178257.57399999999</v>
      </c>
      <c r="AD22" s="101">
        <v>176224.40299999999</v>
      </c>
      <c r="AE22" s="101">
        <v>73513.37</v>
      </c>
      <c r="AF22" s="101">
        <v>2001916.0129999998</v>
      </c>
    </row>
    <row r="23" spans="2:32">
      <c r="B23" s="105" t="s">
        <v>753</v>
      </c>
      <c r="C23" s="106"/>
      <c r="D23" s="106"/>
      <c r="E23" s="106"/>
      <c r="F23" s="106"/>
      <c r="G23" s="106"/>
      <c r="H23" s="106"/>
      <c r="I23" s="106"/>
      <c r="J23" s="106"/>
      <c r="K23" s="106"/>
      <c r="L23" s="106"/>
      <c r="M23" s="106">
        <v>4788.2669999999998</v>
      </c>
      <c r="N23" s="106"/>
      <c r="O23" s="106">
        <v>4788.2669999999998</v>
      </c>
      <c r="P23" s="105" t="s">
        <v>211</v>
      </c>
      <c r="Q23" s="105" t="s">
        <v>744</v>
      </c>
      <c r="S23" s="46" t="s">
        <v>196</v>
      </c>
      <c r="T23" s="101"/>
      <c r="U23" s="101"/>
      <c r="V23" s="101"/>
      <c r="W23" s="101"/>
      <c r="X23" s="101"/>
      <c r="Y23" s="101">
        <v>19144.256000000001</v>
      </c>
      <c r="Z23" s="101"/>
      <c r="AA23" s="101">
        <v>4600.6490000000003</v>
      </c>
      <c r="AB23" s="101"/>
      <c r="AC23" s="101"/>
      <c r="AD23" s="101">
        <v>8739.2960000000003</v>
      </c>
      <c r="AE23" s="101"/>
      <c r="AF23" s="101">
        <v>32484.201000000001</v>
      </c>
    </row>
    <row r="24" spans="2:32">
      <c r="B24" s="105" t="s">
        <v>72</v>
      </c>
      <c r="C24" s="106">
        <v>29359.304</v>
      </c>
      <c r="D24" s="106">
        <v>41881.563999999998</v>
      </c>
      <c r="E24" s="106">
        <v>30199.403999999999</v>
      </c>
      <c r="F24" s="106">
        <v>34825.184000000001</v>
      </c>
      <c r="G24" s="106">
        <v>72671.160999999993</v>
      </c>
      <c r="H24" s="106">
        <v>2400.364</v>
      </c>
      <c r="I24" s="106">
        <v>15727.673000000001</v>
      </c>
      <c r="J24" s="106">
        <v>60330.813000000002</v>
      </c>
      <c r="K24" s="106">
        <v>78587.716</v>
      </c>
      <c r="L24" s="106">
        <v>8072.2539999999999</v>
      </c>
      <c r="M24" s="106">
        <v>73304.349000000002</v>
      </c>
      <c r="N24" s="106">
        <v>12456.296</v>
      </c>
      <c r="O24" s="106">
        <v>459816.08199999999</v>
      </c>
      <c r="P24" s="105" t="s">
        <v>211</v>
      </c>
      <c r="Q24" s="105" t="s">
        <v>744</v>
      </c>
      <c r="S24" s="46" t="s">
        <v>30</v>
      </c>
      <c r="T24" s="101">
        <v>633807.13300000003</v>
      </c>
      <c r="U24" s="101">
        <v>438130.48800000001</v>
      </c>
      <c r="V24" s="101">
        <v>421955.49300000002</v>
      </c>
      <c r="W24" s="101">
        <v>623354.46299999999</v>
      </c>
      <c r="X24" s="101">
        <v>384202.67</v>
      </c>
      <c r="Y24" s="101">
        <v>393706.283</v>
      </c>
      <c r="Z24" s="101">
        <v>445570.99599999998</v>
      </c>
      <c r="AA24" s="101">
        <v>556079.31099999999</v>
      </c>
      <c r="AB24" s="101">
        <v>358295.86200000002</v>
      </c>
      <c r="AC24" s="101">
        <v>468491.98300000001</v>
      </c>
      <c r="AD24" s="101">
        <v>549445.76399999997</v>
      </c>
      <c r="AE24" s="101">
        <v>343255.484</v>
      </c>
      <c r="AF24" s="101">
        <v>5616295.9299999988</v>
      </c>
    </row>
    <row r="25" spans="2:32">
      <c r="B25" s="105" t="s">
        <v>103</v>
      </c>
      <c r="C25" s="106"/>
      <c r="D25" s="106">
        <v>2592.85</v>
      </c>
      <c r="E25" s="106"/>
      <c r="F25" s="106"/>
      <c r="G25" s="106"/>
      <c r="H25" s="106"/>
      <c r="I25" s="106"/>
      <c r="J25" s="106"/>
      <c r="K25" s="106"/>
      <c r="L25" s="106"/>
      <c r="M25" s="106"/>
      <c r="N25" s="106"/>
      <c r="O25" s="106">
        <v>2592.85</v>
      </c>
      <c r="P25" s="105" t="s">
        <v>211</v>
      </c>
      <c r="Q25" s="105" t="s">
        <v>744</v>
      </c>
      <c r="S25" s="46" t="s">
        <v>65</v>
      </c>
      <c r="T25" s="101"/>
      <c r="U25" s="101"/>
      <c r="V25" s="101">
        <v>14993.894</v>
      </c>
      <c r="W25" s="101"/>
      <c r="X25" s="101"/>
      <c r="Y25" s="101"/>
      <c r="Z25" s="101">
        <v>139.60400000000001</v>
      </c>
      <c r="AA25" s="101">
        <v>8003.5039999999999</v>
      </c>
      <c r="AB25" s="101">
        <v>854.83199999999999</v>
      </c>
      <c r="AC25" s="101"/>
      <c r="AD25" s="101"/>
      <c r="AE25" s="101"/>
      <c r="AF25" s="101">
        <v>23991.833999999999</v>
      </c>
    </row>
    <row r="26" spans="2:32">
      <c r="B26" s="105" t="s">
        <v>73</v>
      </c>
      <c r="C26" s="106"/>
      <c r="D26" s="106"/>
      <c r="E26" s="106"/>
      <c r="F26" s="106"/>
      <c r="G26" s="106"/>
      <c r="H26" s="106"/>
      <c r="I26" s="106"/>
      <c r="J26" s="106">
        <v>266.80700000000002</v>
      </c>
      <c r="K26" s="106">
        <v>1387.7260000000001</v>
      </c>
      <c r="L26" s="106"/>
      <c r="M26" s="106"/>
      <c r="N26" s="106"/>
      <c r="O26" s="106">
        <v>1654.5330000000001</v>
      </c>
      <c r="P26" s="105" t="s">
        <v>211</v>
      </c>
      <c r="Q26" s="105" t="s">
        <v>744</v>
      </c>
      <c r="S26" s="46" t="s">
        <v>82</v>
      </c>
      <c r="T26" s="101"/>
      <c r="U26" s="101"/>
      <c r="V26" s="101"/>
      <c r="W26" s="101"/>
      <c r="X26" s="101"/>
      <c r="Y26" s="101"/>
      <c r="Z26" s="101"/>
      <c r="AA26" s="101"/>
      <c r="AB26" s="101">
        <v>5846.4120000000003</v>
      </c>
      <c r="AC26" s="101"/>
      <c r="AD26" s="101"/>
      <c r="AE26" s="101"/>
      <c r="AF26" s="101">
        <v>5846.4120000000003</v>
      </c>
    </row>
    <row r="27" spans="2:32">
      <c r="B27" s="105" t="s">
        <v>69</v>
      </c>
      <c r="C27" s="106">
        <v>395008.91499999998</v>
      </c>
      <c r="D27" s="106">
        <v>252150.50099999999</v>
      </c>
      <c r="E27" s="106">
        <v>128007.14200000001</v>
      </c>
      <c r="F27" s="106">
        <v>103399.611</v>
      </c>
      <c r="G27" s="106">
        <v>102630.749</v>
      </c>
      <c r="H27" s="106">
        <v>83094.263000000006</v>
      </c>
      <c r="I27" s="106">
        <v>287877.54300000001</v>
      </c>
      <c r="J27" s="106">
        <v>110166.735</v>
      </c>
      <c r="K27" s="106">
        <v>111585.20699999999</v>
      </c>
      <c r="L27" s="106">
        <v>178257.57399999999</v>
      </c>
      <c r="M27" s="106">
        <v>176224.40299999999</v>
      </c>
      <c r="N27" s="106">
        <v>73513.37</v>
      </c>
      <c r="O27" s="106">
        <v>2001916.0129999998</v>
      </c>
      <c r="P27" s="105" t="s">
        <v>211</v>
      </c>
      <c r="Q27" s="105" t="s">
        <v>744</v>
      </c>
      <c r="S27" s="46" t="s">
        <v>0</v>
      </c>
      <c r="T27" s="101">
        <v>383051.283</v>
      </c>
      <c r="U27" s="101">
        <v>295591.88199999998</v>
      </c>
      <c r="V27" s="101">
        <v>289186.54499999998</v>
      </c>
      <c r="W27" s="101">
        <v>389302.43199999997</v>
      </c>
      <c r="X27" s="101">
        <v>277728.71600000001</v>
      </c>
      <c r="Y27" s="101">
        <v>180504.64499999999</v>
      </c>
      <c r="Z27" s="101">
        <v>136962.85399999999</v>
      </c>
      <c r="AA27" s="101">
        <v>233371.003</v>
      </c>
      <c r="AB27" s="101">
        <v>158973.54500000001</v>
      </c>
      <c r="AC27" s="101">
        <v>197743.59099999999</v>
      </c>
      <c r="AD27" s="101">
        <v>364756.43300000002</v>
      </c>
      <c r="AE27" s="101">
        <v>167340.68400000001</v>
      </c>
      <c r="AF27" s="101">
        <v>3074513.6129999999</v>
      </c>
    </row>
    <row r="28" spans="2:32">
      <c r="B28" s="105" t="s">
        <v>196</v>
      </c>
      <c r="C28" s="106"/>
      <c r="D28" s="106"/>
      <c r="E28" s="106"/>
      <c r="F28" s="106"/>
      <c r="G28" s="106"/>
      <c r="H28" s="106">
        <v>19144.256000000001</v>
      </c>
      <c r="I28" s="106"/>
      <c r="J28" s="106">
        <v>4600.6490000000003</v>
      </c>
      <c r="K28" s="106"/>
      <c r="L28" s="106"/>
      <c r="M28" s="106">
        <v>8739.2960000000003</v>
      </c>
      <c r="N28" s="106"/>
      <c r="O28" s="106">
        <v>32484.201000000001</v>
      </c>
      <c r="P28" s="105" t="s">
        <v>211</v>
      </c>
      <c r="Q28" s="105" t="s">
        <v>744</v>
      </c>
      <c r="S28" s="46" t="s">
        <v>44</v>
      </c>
      <c r="T28" s="101"/>
      <c r="U28" s="101"/>
      <c r="V28" s="101"/>
      <c r="W28" s="101">
        <v>412.72199999999998</v>
      </c>
      <c r="X28" s="101"/>
      <c r="Y28" s="101">
        <v>8860.9189999999999</v>
      </c>
      <c r="Z28" s="101">
        <v>3.423</v>
      </c>
      <c r="AA28" s="101"/>
      <c r="AB28" s="101">
        <v>37167.815000000002</v>
      </c>
      <c r="AC28" s="101"/>
      <c r="AD28" s="101">
        <v>5467.8509999999997</v>
      </c>
      <c r="AE28" s="101">
        <v>21969.620999999999</v>
      </c>
      <c r="AF28" s="101">
        <v>73882.350999999995</v>
      </c>
    </row>
    <row r="29" spans="2:32">
      <c r="B29" s="105" t="s">
        <v>30</v>
      </c>
      <c r="C29" s="106">
        <v>633807.13300000003</v>
      </c>
      <c r="D29" s="106">
        <v>438130.48800000001</v>
      </c>
      <c r="E29" s="106">
        <v>421955.49300000002</v>
      </c>
      <c r="F29" s="106">
        <v>623354.46299999999</v>
      </c>
      <c r="G29" s="106">
        <v>384202.67</v>
      </c>
      <c r="H29" s="106">
        <v>393706.283</v>
      </c>
      <c r="I29" s="106">
        <v>445570.99599999998</v>
      </c>
      <c r="J29" s="106">
        <v>556079.31099999999</v>
      </c>
      <c r="K29" s="106">
        <v>358295.86200000002</v>
      </c>
      <c r="L29" s="106">
        <v>468491.98300000001</v>
      </c>
      <c r="M29" s="106">
        <v>549445.76399999997</v>
      </c>
      <c r="N29" s="106">
        <v>343255.484</v>
      </c>
      <c r="O29" s="106">
        <v>5616295.9299999988</v>
      </c>
      <c r="P29" s="105" t="s">
        <v>211</v>
      </c>
      <c r="Q29" s="105" t="s">
        <v>744</v>
      </c>
      <c r="S29" s="46" t="s">
        <v>87</v>
      </c>
      <c r="T29" s="101"/>
      <c r="U29" s="101"/>
      <c r="V29" s="101">
        <v>5956.951</v>
      </c>
      <c r="W29" s="101"/>
      <c r="X29" s="101"/>
      <c r="Y29" s="101"/>
      <c r="Z29" s="101"/>
      <c r="AA29" s="101"/>
      <c r="AB29" s="101">
        <v>8190.29</v>
      </c>
      <c r="AC29" s="101"/>
      <c r="AD29" s="101"/>
      <c r="AE29" s="101"/>
      <c r="AF29" s="101">
        <v>14147.241</v>
      </c>
    </row>
    <row r="30" spans="2:32">
      <c r="B30" s="105" t="s">
        <v>65</v>
      </c>
      <c r="C30" s="106"/>
      <c r="D30" s="106"/>
      <c r="E30" s="106">
        <v>14993.894</v>
      </c>
      <c r="F30" s="106"/>
      <c r="G30" s="106"/>
      <c r="H30" s="106"/>
      <c r="I30" s="106">
        <v>139.60400000000001</v>
      </c>
      <c r="J30" s="106">
        <v>8003.5039999999999</v>
      </c>
      <c r="K30" s="106">
        <v>854.83199999999999</v>
      </c>
      <c r="L30" s="106"/>
      <c r="M30" s="106"/>
      <c r="N30" s="106"/>
      <c r="O30" s="106">
        <v>23991.833999999999</v>
      </c>
      <c r="P30" s="105" t="s">
        <v>211</v>
      </c>
      <c r="Q30" s="105" t="s">
        <v>744</v>
      </c>
      <c r="S30" s="46" t="s">
        <v>100</v>
      </c>
      <c r="T30" s="101">
        <v>8879.3760000000002</v>
      </c>
      <c r="U30" s="101"/>
      <c r="V30" s="101"/>
      <c r="W30" s="101">
        <v>13119.379000000001</v>
      </c>
      <c r="X30" s="101">
        <v>19559.383999999998</v>
      </c>
      <c r="Y30" s="101">
        <v>22404.616999999998</v>
      </c>
      <c r="Z30" s="101"/>
      <c r="AA30" s="101">
        <v>2101.1509999999998</v>
      </c>
      <c r="AB30" s="101">
        <v>8180.6840000000002</v>
      </c>
      <c r="AC30" s="101">
        <v>15472.124</v>
      </c>
      <c r="AD30" s="101">
        <v>6365.8220000000001</v>
      </c>
      <c r="AE30" s="101">
        <v>8877.1689999999999</v>
      </c>
      <c r="AF30" s="101">
        <v>104959.70599999998</v>
      </c>
    </row>
    <row r="31" spans="2:32">
      <c r="B31" s="105" t="s">
        <v>82</v>
      </c>
      <c r="C31" s="106"/>
      <c r="D31" s="106"/>
      <c r="E31" s="106"/>
      <c r="F31" s="106"/>
      <c r="G31" s="106"/>
      <c r="H31" s="106"/>
      <c r="I31" s="106"/>
      <c r="J31" s="106"/>
      <c r="K31" s="106">
        <v>5846.4120000000003</v>
      </c>
      <c r="L31" s="106"/>
      <c r="M31" s="106"/>
      <c r="N31" s="106"/>
      <c r="O31" s="106">
        <v>5846.4120000000003</v>
      </c>
      <c r="P31" s="105" t="s">
        <v>211</v>
      </c>
      <c r="Q31" s="105" t="s">
        <v>744</v>
      </c>
      <c r="S31" s="46" t="s">
        <v>71</v>
      </c>
      <c r="T31" s="101">
        <v>169219.133</v>
      </c>
      <c r="U31" s="101">
        <v>323688.85600000003</v>
      </c>
      <c r="V31" s="101">
        <v>164566.193</v>
      </c>
      <c r="W31" s="101">
        <v>201481.19200000001</v>
      </c>
      <c r="X31" s="101">
        <v>134290.715</v>
      </c>
      <c r="Y31" s="101">
        <v>108070.197</v>
      </c>
      <c r="Z31" s="101">
        <v>97489.043999999994</v>
      </c>
      <c r="AA31" s="101">
        <v>90097.702000000005</v>
      </c>
      <c r="AB31" s="101">
        <v>311125.59899999999</v>
      </c>
      <c r="AC31" s="101">
        <v>260717.14799999999</v>
      </c>
      <c r="AD31" s="101">
        <v>141186.296</v>
      </c>
      <c r="AE31" s="101">
        <v>167778.44399999999</v>
      </c>
      <c r="AF31" s="101">
        <v>2169710.5190000003</v>
      </c>
    </row>
    <row r="32" spans="2:32">
      <c r="B32" s="105" t="s">
        <v>0</v>
      </c>
      <c r="C32" s="106">
        <v>383051.283</v>
      </c>
      <c r="D32" s="106">
        <v>295591.88199999998</v>
      </c>
      <c r="E32" s="106">
        <v>289186.54499999998</v>
      </c>
      <c r="F32" s="106">
        <v>389302.43199999997</v>
      </c>
      <c r="G32" s="106">
        <v>277728.71600000001</v>
      </c>
      <c r="H32" s="106">
        <v>180504.64499999999</v>
      </c>
      <c r="I32" s="106">
        <v>136962.85399999999</v>
      </c>
      <c r="J32" s="106">
        <v>233371.003</v>
      </c>
      <c r="K32" s="106">
        <v>158973.54500000001</v>
      </c>
      <c r="L32" s="106">
        <v>197743.59099999999</v>
      </c>
      <c r="M32" s="106">
        <v>364756.43300000002</v>
      </c>
      <c r="N32" s="106">
        <v>167340.68400000001</v>
      </c>
      <c r="O32" s="106">
        <v>3074513.6129999999</v>
      </c>
      <c r="P32" s="105" t="s">
        <v>211</v>
      </c>
      <c r="Q32" s="105" t="s">
        <v>744</v>
      </c>
      <c r="S32" s="46" t="s">
        <v>32</v>
      </c>
      <c r="T32" s="101"/>
      <c r="U32" s="101">
        <v>1663.15</v>
      </c>
      <c r="V32" s="101">
        <v>5231.3770000000004</v>
      </c>
      <c r="W32" s="101">
        <v>5921.6260000000002</v>
      </c>
      <c r="X32" s="101">
        <v>1116.2840000000001</v>
      </c>
      <c r="Y32" s="101">
        <v>339.80799999999999</v>
      </c>
      <c r="Z32" s="101">
        <v>4014.1190000000001</v>
      </c>
      <c r="AA32" s="101">
        <v>28370.048999999999</v>
      </c>
      <c r="AB32" s="101">
        <v>40.411000000000001</v>
      </c>
      <c r="AC32" s="101">
        <v>4182.3559999999998</v>
      </c>
      <c r="AD32" s="101">
        <v>17123.437999999998</v>
      </c>
      <c r="AE32" s="101">
        <v>480.32</v>
      </c>
      <c r="AF32" s="101">
        <v>68482.938000000009</v>
      </c>
    </row>
    <row r="33" spans="2:32">
      <c r="B33" s="105" t="s">
        <v>44</v>
      </c>
      <c r="C33" s="106"/>
      <c r="D33" s="106"/>
      <c r="E33" s="106"/>
      <c r="F33" s="106">
        <v>412.72199999999998</v>
      </c>
      <c r="G33" s="106"/>
      <c r="H33" s="106">
        <v>8860.9189999999999</v>
      </c>
      <c r="I33" s="106">
        <v>3.423</v>
      </c>
      <c r="J33" s="106"/>
      <c r="K33" s="106">
        <v>37167.815000000002</v>
      </c>
      <c r="L33" s="106"/>
      <c r="M33" s="106">
        <v>5467.8509999999997</v>
      </c>
      <c r="N33" s="106">
        <v>21969.620999999999</v>
      </c>
      <c r="O33" s="106">
        <v>73882.350999999995</v>
      </c>
      <c r="P33" s="105" t="s">
        <v>211</v>
      </c>
      <c r="Q33" s="105" t="s">
        <v>744</v>
      </c>
      <c r="S33" s="46" t="s">
        <v>214</v>
      </c>
      <c r="T33" s="101"/>
      <c r="U33" s="101"/>
      <c r="V33" s="101">
        <v>36650.290999999997</v>
      </c>
      <c r="W33" s="101"/>
      <c r="X33" s="101">
        <v>13297.099</v>
      </c>
      <c r="Y33" s="101">
        <v>30277.016</v>
      </c>
      <c r="Z33" s="101"/>
      <c r="AA33" s="101"/>
      <c r="AB33" s="101"/>
      <c r="AC33" s="101">
        <v>24033.437999999998</v>
      </c>
      <c r="AD33" s="101">
        <v>1573.4559999999999</v>
      </c>
      <c r="AE33" s="101">
        <v>74464.932000000001</v>
      </c>
      <c r="AF33" s="101">
        <v>180296.23200000002</v>
      </c>
    </row>
    <row r="34" spans="2:32">
      <c r="B34" s="105" t="s">
        <v>87</v>
      </c>
      <c r="C34" s="106"/>
      <c r="D34" s="106"/>
      <c r="E34" s="106">
        <v>5956.951</v>
      </c>
      <c r="F34" s="106"/>
      <c r="G34" s="106"/>
      <c r="H34" s="106"/>
      <c r="I34" s="106"/>
      <c r="J34" s="106"/>
      <c r="K34" s="106">
        <v>8190.29</v>
      </c>
      <c r="L34" s="106"/>
      <c r="M34" s="106"/>
      <c r="N34" s="106"/>
      <c r="O34" s="106">
        <v>14147.241</v>
      </c>
      <c r="P34" s="105" t="s">
        <v>211</v>
      </c>
      <c r="Q34" s="105" t="s">
        <v>744</v>
      </c>
      <c r="S34" s="46" t="s">
        <v>88</v>
      </c>
      <c r="T34" s="101"/>
      <c r="U34" s="101"/>
      <c r="V34" s="101"/>
      <c r="W34" s="101"/>
      <c r="X34" s="101"/>
      <c r="Y34" s="101"/>
      <c r="Z34" s="101"/>
      <c r="AA34" s="101"/>
      <c r="AB34" s="101"/>
      <c r="AC34" s="101"/>
      <c r="AD34" s="101">
        <v>1323.7750000000001</v>
      </c>
      <c r="AE34" s="101"/>
      <c r="AF34" s="101">
        <v>1323.7750000000001</v>
      </c>
    </row>
    <row r="35" spans="2:32">
      <c r="B35" s="105" t="s">
        <v>100</v>
      </c>
      <c r="C35" s="106">
        <v>8879.3760000000002</v>
      </c>
      <c r="D35" s="106"/>
      <c r="E35" s="106"/>
      <c r="F35" s="106">
        <v>13119.379000000001</v>
      </c>
      <c r="G35" s="106">
        <v>19559.383999999998</v>
      </c>
      <c r="H35" s="106">
        <v>22404.616999999998</v>
      </c>
      <c r="I35" s="106"/>
      <c r="J35" s="106">
        <v>2101.1509999999998</v>
      </c>
      <c r="K35" s="106">
        <v>8180.6840000000002</v>
      </c>
      <c r="L35" s="106">
        <v>15472.124</v>
      </c>
      <c r="M35" s="106">
        <v>6365.8220000000001</v>
      </c>
      <c r="N35" s="106">
        <v>8877.1689999999999</v>
      </c>
      <c r="O35" s="106">
        <v>104959.70599999998</v>
      </c>
      <c r="P35" s="105" t="s">
        <v>211</v>
      </c>
      <c r="Q35" s="105" t="s">
        <v>744</v>
      </c>
      <c r="S35" s="46" t="s">
        <v>89</v>
      </c>
      <c r="T35" s="101"/>
      <c r="U35" s="101">
        <v>741.24900000000002</v>
      </c>
      <c r="V35" s="101"/>
      <c r="W35" s="101"/>
      <c r="X35" s="101"/>
      <c r="Y35" s="101"/>
      <c r="Z35" s="101"/>
      <c r="AA35" s="101"/>
      <c r="AB35" s="101"/>
      <c r="AC35" s="101"/>
      <c r="AD35" s="101"/>
      <c r="AE35" s="101"/>
      <c r="AF35" s="101">
        <v>741.24900000000002</v>
      </c>
    </row>
    <row r="36" spans="2:32">
      <c r="B36" s="105" t="s">
        <v>71</v>
      </c>
      <c r="C36" s="106">
        <v>169219.133</v>
      </c>
      <c r="D36" s="106">
        <v>323688.85600000003</v>
      </c>
      <c r="E36" s="106">
        <v>164566.193</v>
      </c>
      <c r="F36" s="106">
        <v>201481.19200000001</v>
      </c>
      <c r="G36" s="106">
        <v>134290.715</v>
      </c>
      <c r="H36" s="106">
        <v>108070.197</v>
      </c>
      <c r="I36" s="106">
        <v>97489.043999999994</v>
      </c>
      <c r="J36" s="106">
        <v>90097.702000000005</v>
      </c>
      <c r="K36" s="106">
        <v>311125.59899999999</v>
      </c>
      <c r="L36" s="106">
        <v>260717.14799999999</v>
      </c>
      <c r="M36" s="106">
        <v>141186.296</v>
      </c>
      <c r="N36" s="106">
        <v>167778.44399999999</v>
      </c>
      <c r="O36" s="106">
        <v>2169710.5190000003</v>
      </c>
      <c r="P36" s="105" t="s">
        <v>211</v>
      </c>
      <c r="Q36" s="105" t="s">
        <v>744</v>
      </c>
      <c r="S36" s="46" t="s">
        <v>26</v>
      </c>
      <c r="T36" s="101">
        <v>24978.074000000001</v>
      </c>
      <c r="U36" s="101">
        <v>43701.248</v>
      </c>
      <c r="V36" s="101">
        <v>1188.0640000000001</v>
      </c>
      <c r="W36" s="101"/>
      <c r="X36" s="101">
        <v>8186.3109999999997</v>
      </c>
      <c r="Y36" s="101">
        <v>8941.4060000000009</v>
      </c>
      <c r="Z36" s="101">
        <v>49818.985999999997</v>
      </c>
      <c r="AA36" s="101"/>
      <c r="AB36" s="101">
        <v>10681.566999999999</v>
      </c>
      <c r="AC36" s="101"/>
      <c r="AD36" s="101">
        <v>30749.516</v>
      </c>
      <c r="AE36" s="101">
        <v>1275.3399999999999</v>
      </c>
      <c r="AF36" s="101">
        <v>179520.51200000002</v>
      </c>
    </row>
    <row r="37" spans="2:32">
      <c r="B37" s="105" t="s">
        <v>32</v>
      </c>
      <c r="C37" s="106"/>
      <c r="D37" s="106">
        <v>1663.15</v>
      </c>
      <c r="E37" s="106">
        <v>5231.3770000000004</v>
      </c>
      <c r="F37" s="106">
        <v>5921.6260000000002</v>
      </c>
      <c r="G37" s="106">
        <v>1116.2840000000001</v>
      </c>
      <c r="H37" s="106">
        <v>339.80799999999999</v>
      </c>
      <c r="I37" s="106">
        <v>4014.1190000000001</v>
      </c>
      <c r="J37" s="106">
        <v>28370.048999999999</v>
      </c>
      <c r="K37" s="106">
        <v>40.411000000000001</v>
      </c>
      <c r="L37" s="106">
        <v>4182.3559999999998</v>
      </c>
      <c r="M37" s="106">
        <v>17123.437999999998</v>
      </c>
      <c r="N37" s="106">
        <v>480.32</v>
      </c>
      <c r="O37" s="106">
        <v>68482.938000000009</v>
      </c>
      <c r="P37" s="105" t="s">
        <v>211</v>
      </c>
      <c r="Q37" s="105" t="s">
        <v>744</v>
      </c>
      <c r="S37" s="46" t="s">
        <v>80</v>
      </c>
      <c r="T37" s="101"/>
      <c r="U37" s="101">
        <v>19915.494999999999</v>
      </c>
      <c r="V37" s="101"/>
      <c r="W37" s="101"/>
      <c r="X37" s="101">
        <v>1196.069</v>
      </c>
      <c r="Y37" s="101"/>
      <c r="Z37" s="101"/>
      <c r="AA37" s="101"/>
      <c r="AB37" s="101"/>
      <c r="AC37" s="101">
        <v>23855.207999999999</v>
      </c>
      <c r="AD37" s="101">
        <v>50.356999999999999</v>
      </c>
      <c r="AE37" s="101"/>
      <c r="AF37" s="101">
        <v>45017.129000000001</v>
      </c>
    </row>
    <row r="38" spans="2:32">
      <c r="B38" s="105" t="s">
        <v>214</v>
      </c>
      <c r="C38" s="106"/>
      <c r="D38" s="106"/>
      <c r="E38" s="106">
        <v>36650.290999999997</v>
      </c>
      <c r="F38" s="106"/>
      <c r="G38" s="106">
        <v>13297.099</v>
      </c>
      <c r="H38" s="106">
        <v>30277.016</v>
      </c>
      <c r="I38" s="106"/>
      <c r="J38" s="106"/>
      <c r="K38" s="106"/>
      <c r="L38" s="106">
        <v>24033.437999999998</v>
      </c>
      <c r="M38" s="106">
        <v>1573.4559999999999</v>
      </c>
      <c r="N38" s="106">
        <v>74464.932000000001</v>
      </c>
      <c r="O38" s="106">
        <v>180296.23200000002</v>
      </c>
      <c r="P38" s="105" t="s">
        <v>211</v>
      </c>
      <c r="Q38" s="105" t="s">
        <v>744</v>
      </c>
      <c r="S38" s="46" t="s">
        <v>60</v>
      </c>
      <c r="T38" s="101"/>
      <c r="U38" s="101">
        <v>76588.964999999997</v>
      </c>
      <c r="V38" s="101">
        <v>27204.224999999999</v>
      </c>
      <c r="W38" s="101">
        <v>74729.676999999996</v>
      </c>
      <c r="X38" s="101">
        <v>104773.62300000001</v>
      </c>
      <c r="Y38" s="101">
        <v>193732.51699999999</v>
      </c>
      <c r="Z38" s="101">
        <v>124657.537</v>
      </c>
      <c r="AA38" s="101">
        <v>177560.08300000001</v>
      </c>
      <c r="AB38" s="101">
        <v>105768.519</v>
      </c>
      <c r="AC38" s="101">
        <v>95742.831000000006</v>
      </c>
      <c r="AD38" s="101">
        <v>115831.319</v>
      </c>
      <c r="AE38" s="101">
        <v>109801.38400000001</v>
      </c>
      <c r="AF38" s="101">
        <v>1206390.68</v>
      </c>
    </row>
    <row r="39" spans="2:32">
      <c r="B39" s="105" t="s">
        <v>88</v>
      </c>
      <c r="C39" s="106"/>
      <c r="D39" s="106"/>
      <c r="E39" s="106"/>
      <c r="F39" s="106"/>
      <c r="G39" s="106"/>
      <c r="H39" s="106"/>
      <c r="I39" s="106"/>
      <c r="J39" s="106"/>
      <c r="K39" s="106"/>
      <c r="L39" s="106"/>
      <c r="M39" s="106">
        <v>1323.7750000000001</v>
      </c>
      <c r="N39" s="106"/>
      <c r="O39" s="106">
        <v>1323.7750000000001</v>
      </c>
      <c r="P39" s="105" t="s">
        <v>211</v>
      </c>
      <c r="Q39" s="105" t="s">
        <v>744</v>
      </c>
      <c r="S39" s="46" t="s">
        <v>36</v>
      </c>
      <c r="T39" s="101"/>
      <c r="U39" s="101"/>
      <c r="V39" s="101"/>
      <c r="W39" s="101"/>
      <c r="X39" s="101"/>
      <c r="Y39" s="101"/>
      <c r="Z39" s="101">
        <v>13335.94</v>
      </c>
      <c r="AA39" s="101"/>
      <c r="AB39" s="101"/>
      <c r="AC39" s="101"/>
      <c r="AD39" s="101"/>
      <c r="AE39" s="101"/>
      <c r="AF39" s="101">
        <v>13335.94</v>
      </c>
    </row>
    <row r="40" spans="2:32">
      <c r="B40" s="105" t="s">
        <v>89</v>
      </c>
      <c r="C40" s="106"/>
      <c r="D40" s="106">
        <v>741.24900000000002</v>
      </c>
      <c r="E40" s="106"/>
      <c r="F40" s="106"/>
      <c r="G40" s="106"/>
      <c r="H40" s="106"/>
      <c r="I40" s="106"/>
      <c r="J40" s="106"/>
      <c r="K40" s="106"/>
      <c r="L40" s="106"/>
      <c r="M40" s="106"/>
      <c r="N40" s="106"/>
      <c r="O40" s="106">
        <v>741.24900000000002</v>
      </c>
      <c r="P40" s="105" t="s">
        <v>211</v>
      </c>
      <c r="Q40" s="105" t="s">
        <v>744</v>
      </c>
      <c r="S40" s="46" t="s">
        <v>61</v>
      </c>
      <c r="T40" s="101">
        <v>3490.0970000000002</v>
      </c>
      <c r="U40" s="101"/>
      <c r="V40" s="101"/>
      <c r="W40" s="101">
        <v>11654.235000000001</v>
      </c>
      <c r="X40" s="101">
        <v>20600.973000000002</v>
      </c>
      <c r="Y40" s="101"/>
      <c r="Z40" s="101"/>
      <c r="AA40" s="101"/>
      <c r="AB40" s="101">
        <v>1253.8489999999999</v>
      </c>
      <c r="AC40" s="101"/>
      <c r="AD40" s="101"/>
      <c r="AE40" s="101">
        <v>99.039000000000001</v>
      </c>
      <c r="AF40" s="101">
        <v>37098.192999999999</v>
      </c>
    </row>
    <row r="41" spans="2:32">
      <c r="B41" s="105" t="s">
        <v>26</v>
      </c>
      <c r="C41" s="106">
        <v>24978.074000000001</v>
      </c>
      <c r="D41" s="106">
        <v>43701.248</v>
      </c>
      <c r="E41" s="106">
        <v>1188.0640000000001</v>
      </c>
      <c r="F41" s="106"/>
      <c r="G41" s="106">
        <v>8186.3109999999997</v>
      </c>
      <c r="H41" s="106">
        <v>8941.4060000000009</v>
      </c>
      <c r="I41" s="106">
        <v>49818.985999999997</v>
      </c>
      <c r="J41" s="106"/>
      <c r="K41" s="106">
        <v>10681.566999999999</v>
      </c>
      <c r="L41" s="106"/>
      <c r="M41" s="106">
        <v>30749.516</v>
      </c>
      <c r="N41" s="106">
        <v>1275.3399999999999</v>
      </c>
      <c r="O41" s="106">
        <v>179520.51200000002</v>
      </c>
      <c r="P41" s="105" t="s">
        <v>211</v>
      </c>
      <c r="Q41" s="105" t="s">
        <v>744</v>
      </c>
      <c r="S41" s="46" t="s">
        <v>763</v>
      </c>
      <c r="T41" s="101">
        <v>21373.203000000001</v>
      </c>
      <c r="U41" s="101"/>
      <c r="V41" s="101"/>
      <c r="W41" s="101"/>
      <c r="X41" s="101">
        <v>58423.481</v>
      </c>
      <c r="Y41" s="101"/>
      <c r="Z41" s="101">
        <v>34947.002</v>
      </c>
      <c r="AA41" s="101">
        <v>26895.963</v>
      </c>
      <c r="AB41" s="101"/>
      <c r="AC41" s="101">
        <v>12736.986999999999</v>
      </c>
      <c r="AD41" s="101"/>
      <c r="AE41" s="101"/>
      <c r="AF41" s="101">
        <v>154376.636</v>
      </c>
    </row>
    <row r="42" spans="2:32">
      <c r="B42" s="105" t="s">
        <v>80</v>
      </c>
      <c r="C42" s="106"/>
      <c r="D42" s="106">
        <v>19915.494999999999</v>
      </c>
      <c r="E42" s="106"/>
      <c r="F42" s="106"/>
      <c r="G42" s="106">
        <v>1196.069</v>
      </c>
      <c r="H42" s="106"/>
      <c r="I42" s="106"/>
      <c r="J42" s="106"/>
      <c r="K42" s="106"/>
      <c r="L42" s="106">
        <v>23855.207999999999</v>
      </c>
      <c r="M42" s="106">
        <v>50.356999999999999</v>
      </c>
      <c r="N42" s="106"/>
      <c r="O42" s="106">
        <v>45017.129000000001</v>
      </c>
      <c r="P42" s="105" t="s">
        <v>211</v>
      </c>
      <c r="Q42" s="105" t="s">
        <v>744</v>
      </c>
      <c r="S42" s="46" t="s">
        <v>683</v>
      </c>
      <c r="T42" s="101"/>
      <c r="U42" s="101">
        <v>27506.496999999999</v>
      </c>
      <c r="V42" s="101">
        <v>74611.517999999996</v>
      </c>
      <c r="W42" s="101">
        <v>70005.421000000002</v>
      </c>
      <c r="X42" s="101">
        <v>61429.533000000003</v>
      </c>
      <c r="Y42" s="101">
        <v>60009.288999999997</v>
      </c>
      <c r="Z42" s="101">
        <v>15027.906000000001</v>
      </c>
      <c r="AA42" s="101">
        <v>33772.491000000002</v>
      </c>
      <c r="AB42" s="101">
        <v>17567.868999999999</v>
      </c>
      <c r="AC42" s="101">
        <v>3084.3330000000001</v>
      </c>
      <c r="AD42" s="101">
        <v>18686.094000000001</v>
      </c>
      <c r="AE42" s="101">
        <v>16587.916000000001</v>
      </c>
      <c r="AF42" s="101">
        <v>398288.86699999997</v>
      </c>
    </row>
    <row r="43" spans="2:32">
      <c r="B43" s="105" t="s">
        <v>60</v>
      </c>
      <c r="C43" s="106"/>
      <c r="D43" s="106">
        <v>76588.964999999997</v>
      </c>
      <c r="E43" s="106">
        <v>27204.224999999999</v>
      </c>
      <c r="F43" s="106">
        <v>74729.676999999996</v>
      </c>
      <c r="G43" s="106">
        <v>104773.62300000001</v>
      </c>
      <c r="H43" s="106">
        <v>193732.51699999999</v>
      </c>
      <c r="I43" s="106">
        <v>124657.537</v>
      </c>
      <c r="J43" s="106">
        <v>177560.08300000001</v>
      </c>
      <c r="K43" s="106">
        <v>105768.519</v>
      </c>
      <c r="L43" s="106">
        <v>95742.831000000006</v>
      </c>
      <c r="M43" s="106">
        <v>115831.319</v>
      </c>
      <c r="N43" s="106">
        <v>109801.38400000001</v>
      </c>
      <c r="O43" s="106">
        <v>1206390.68</v>
      </c>
      <c r="P43" s="105" t="s">
        <v>211</v>
      </c>
      <c r="Q43" s="105" t="s">
        <v>744</v>
      </c>
      <c r="S43" s="46" t="s">
        <v>62</v>
      </c>
      <c r="T43" s="101"/>
      <c r="U43" s="101"/>
      <c r="V43" s="101"/>
      <c r="W43" s="101">
        <v>20361.891</v>
      </c>
      <c r="X43" s="101"/>
      <c r="Y43" s="101"/>
      <c r="Z43" s="101"/>
      <c r="AA43" s="101"/>
      <c r="AB43" s="101"/>
      <c r="AC43" s="101"/>
      <c r="AD43" s="101"/>
      <c r="AE43" s="101"/>
      <c r="AF43" s="101">
        <v>20361.891</v>
      </c>
    </row>
    <row r="44" spans="2:32">
      <c r="B44" s="105" t="s">
        <v>36</v>
      </c>
      <c r="C44" s="106"/>
      <c r="D44" s="106"/>
      <c r="E44" s="106"/>
      <c r="F44" s="106"/>
      <c r="G44" s="106"/>
      <c r="H44" s="106"/>
      <c r="I44" s="106">
        <v>13335.94</v>
      </c>
      <c r="J44" s="106"/>
      <c r="K44" s="106"/>
      <c r="L44" s="106"/>
      <c r="M44" s="106"/>
      <c r="N44" s="106"/>
      <c r="O44" s="106">
        <v>13335.94</v>
      </c>
      <c r="P44" s="105" t="s">
        <v>211</v>
      </c>
      <c r="Q44" s="105" t="s">
        <v>744</v>
      </c>
      <c r="S44" s="46" t="s">
        <v>84</v>
      </c>
      <c r="T44" s="101"/>
      <c r="U44" s="101">
        <v>1617.9290000000001</v>
      </c>
      <c r="V44" s="101">
        <v>12913.428</v>
      </c>
      <c r="W44" s="101">
        <v>1281.152</v>
      </c>
      <c r="X44" s="101">
        <v>37194.682000000001</v>
      </c>
      <c r="Y44" s="101">
        <v>3027.7469999999998</v>
      </c>
      <c r="Z44" s="101">
        <v>3264.4760000000001</v>
      </c>
      <c r="AA44" s="101">
        <v>12287.046</v>
      </c>
      <c r="AB44" s="101"/>
      <c r="AC44" s="101"/>
      <c r="AD44" s="101"/>
      <c r="AE44" s="101"/>
      <c r="AF44" s="101">
        <v>71586.460000000006</v>
      </c>
    </row>
    <row r="45" spans="2:32">
      <c r="B45" s="105" t="s">
        <v>61</v>
      </c>
      <c r="C45" s="106">
        <v>3490.0970000000002</v>
      </c>
      <c r="D45" s="106"/>
      <c r="E45" s="106"/>
      <c r="F45" s="106">
        <v>11654.235000000001</v>
      </c>
      <c r="G45" s="106">
        <v>20600.973000000002</v>
      </c>
      <c r="H45" s="106"/>
      <c r="I45" s="106"/>
      <c r="J45" s="106"/>
      <c r="K45" s="106">
        <v>1253.8489999999999</v>
      </c>
      <c r="L45" s="106"/>
      <c r="M45" s="106"/>
      <c r="N45" s="106">
        <v>99.039000000000001</v>
      </c>
      <c r="O45" s="106">
        <v>37098.192999999999</v>
      </c>
      <c r="P45" s="105" t="s">
        <v>211</v>
      </c>
      <c r="Q45" s="105" t="s">
        <v>744</v>
      </c>
      <c r="S45" s="46" t="s">
        <v>85</v>
      </c>
      <c r="T45" s="101"/>
      <c r="U45" s="101"/>
      <c r="V45" s="101">
        <v>191.661</v>
      </c>
      <c r="W45" s="101"/>
      <c r="X45" s="101"/>
      <c r="Y45" s="101"/>
      <c r="Z45" s="101">
        <v>10346.679</v>
      </c>
      <c r="AA45" s="101"/>
      <c r="AB45" s="101"/>
      <c r="AC45" s="101"/>
      <c r="AD45" s="101"/>
      <c r="AE45" s="101"/>
      <c r="AF45" s="101">
        <v>10538.34</v>
      </c>
    </row>
    <row r="46" spans="2:32">
      <c r="B46" s="105" t="s">
        <v>763</v>
      </c>
      <c r="C46" s="106">
        <v>21373.203000000001</v>
      </c>
      <c r="D46" s="106"/>
      <c r="E46" s="106"/>
      <c r="F46" s="106"/>
      <c r="G46" s="106">
        <v>58423.481</v>
      </c>
      <c r="H46" s="106"/>
      <c r="I46" s="106">
        <v>34947.002</v>
      </c>
      <c r="J46" s="106">
        <v>26895.963</v>
      </c>
      <c r="K46" s="106"/>
      <c r="L46" s="106">
        <v>12736.986999999999</v>
      </c>
      <c r="M46" s="106"/>
      <c r="N46" s="106"/>
      <c r="O46" s="106">
        <v>154376.636</v>
      </c>
      <c r="P46" s="105" t="s">
        <v>211</v>
      </c>
      <c r="Q46" s="105" t="s">
        <v>744</v>
      </c>
      <c r="S46" s="46" t="s">
        <v>37</v>
      </c>
      <c r="T46" s="101">
        <v>185132.34</v>
      </c>
      <c r="U46" s="101">
        <v>84865.388000000006</v>
      </c>
      <c r="V46" s="101">
        <v>102883.845</v>
      </c>
      <c r="W46" s="101">
        <v>87167.092000000004</v>
      </c>
      <c r="X46" s="101">
        <v>42898.766000000003</v>
      </c>
      <c r="Y46" s="101">
        <v>13638.697</v>
      </c>
      <c r="Z46" s="101">
        <v>212336.75700000001</v>
      </c>
      <c r="AA46" s="101">
        <v>71921.024999999994</v>
      </c>
      <c r="AB46" s="101">
        <v>17232.734</v>
      </c>
      <c r="AC46" s="101">
        <v>118745.87699999999</v>
      </c>
      <c r="AD46" s="101">
        <v>21125.573</v>
      </c>
      <c r="AE46" s="101">
        <v>101734.23299999999</v>
      </c>
      <c r="AF46" s="101">
        <v>1059682.327</v>
      </c>
    </row>
    <row r="47" spans="2:32">
      <c r="B47" s="105" t="s">
        <v>683</v>
      </c>
      <c r="C47" s="106"/>
      <c r="D47" s="106">
        <v>27506.496999999999</v>
      </c>
      <c r="E47" s="106">
        <v>74611.517999999996</v>
      </c>
      <c r="F47" s="106">
        <v>70005.421000000002</v>
      </c>
      <c r="G47" s="106">
        <v>61429.533000000003</v>
      </c>
      <c r="H47" s="106">
        <v>60009.288999999997</v>
      </c>
      <c r="I47" s="106">
        <v>15027.906000000001</v>
      </c>
      <c r="J47" s="106">
        <v>33772.491000000002</v>
      </c>
      <c r="K47" s="106">
        <v>17567.868999999999</v>
      </c>
      <c r="L47" s="106">
        <v>3084.3330000000001</v>
      </c>
      <c r="M47" s="106">
        <v>18686.094000000001</v>
      </c>
      <c r="N47" s="106">
        <v>16587.916000000001</v>
      </c>
      <c r="O47" s="106">
        <v>398288.86699999997</v>
      </c>
      <c r="P47" s="105" t="s">
        <v>210</v>
      </c>
      <c r="Q47" s="105" t="s">
        <v>744</v>
      </c>
      <c r="S47" s="46" t="s">
        <v>755</v>
      </c>
      <c r="T47" s="101">
        <v>34488.591999999997</v>
      </c>
      <c r="U47" s="101">
        <v>61653.216999999997</v>
      </c>
      <c r="V47" s="101">
        <v>20765.987000000001</v>
      </c>
      <c r="W47" s="101">
        <v>26310.241999999998</v>
      </c>
      <c r="X47" s="101">
        <v>39719.955000000002</v>
      </c>
      <c r="Y47" s="101">
        <v>48498.402999999998</v>
      </c>
      <c r="Z47" s="101">
        <v>27122.964</v>
      </c>
      <c r="AA47" s="101">
        <v>64179.807999999997</v>
      </c>
      <c r="AB47" s="101">
        <v>22126.392</v>
      </c>
      <c r="AC47" s="101">
        <v>34794.667999999998</v>
      </c>
      <c r="AD47" s="101">
        <v>64718.114000000001</v>
      </c>
      <c r="AE47" s="101">
        <v>33870.203000000001</v>
      </c>
      <c r="AF47" s="101">
        <v>478248.54499999998</v>
      </c>
    </row>
    <row r="48" spans="2:32">
      <c r="B48" s="105" t="s">
        <v>62</v>
      </c>
      <c r="C48" s="106"/>
      <c r="D48" s="106"/>
      <c r="E48" s="106"/>
      <c r="F48" s="106">
        <v>20361.891</v>
      </c>
      <c r="G48" s="106"/>
      <c r="H48" s="106"/>
      <c r="I48" s="106"/>
      <c r="J48" s="106"/>
      <c r="K48" s="106"/>
      <c r="L48" s="106"/>
      <c r="M48" s="106"/>
      <c r="N48" s="106"/>
      <c r="O48" s="106">
        <v>20361.891</v>
      </c>
      <c r="P48" s="105" t="s">
        <v>211</v>
      </c>
      <c r="Q48" s="105" t="s">
        <v>744</v>
      </c>
      <c r="S48" s="46" t="s">
        <v>79</v>
      </c>
      <c r="T48" s="101"/>
      <c r="U48" s="101"/>
      <c r="V48" s="101"/>
      <c r="W48" s="101"/>
      <c r="X48" s="101"/>
      <c r="Y48" s="101">
        <v>4800.7449999999999</v>
      </c>
      <c r="Z48" s="101"/>
      <c r="AA48" s="101"/>
      <c r="AB48" s="101"/>
      <c r="AC48" s="101"/>
      <c r="AD48" s="101"/>
      <c r="AE48" s="101"/>
      <c r="AF48" s="101">
        <v>4800.7449999999999</v>
      </c>
    </row>
    <row r="49" spans="2:32">
      <c r="B49" s="105" t="s">
        <v>84</v>
      </c>
      <c r="C49" s="106"/>
      <c r="D49" s="106">
        <v>1617.9290000000001</v>
      </c>
      <c r="E49" s="106">
        <v>12913.428</v>
      </c>
      <c r="F49" s="106">
        <v>1281.152</v>
      </c>
      <c r="G49" s="106">
        <v>37194.682000000001</v>
      </c>
      <c r="H49" s="106">
        <v>3027.7469999999998</v>
      </c>
      <c r="I49" s="106">
        <v>3264.4760000000001</v>
      </c>
      <c r="J49" s="106">
        <v>12287.046</v>
      </c>
      <c r="K49" s="106"/>
      <c r="L49" s="106"/>
      <c r="M49" s="106"/>
      <c r="N49" s="106"/>
      <c r="O49" s="106">
        <v>71586.460000000006</v>
      </c>
      <c r="P49" s="105" t="s">
        <v>211</v>
      </c>
      <c r="Q49" s="105" t="s">
        <v>744</v>
      </c>
      <c r="S49" s="46" t="s">
        <v>38</v>
      </c>
      <c r="T49" s="101"/>
      <c r="U49" s="101"/>
      <c r="V49" s="101"/>
      <c r="W49" s="101">
        <v>154.953</v>
      </c>
      <c r="X49" s="101"/>
      <c r="Y49" s="101">
        <v>12015.446</v>
      </c>
      <c r="Z49" s="101"/>
      <c r="AA49" s="101">
        <v>3996.527</v>
      </c>
      <c r="AB49" s="101"/>
      <c r="AC49" s="101"/>
      <c r="AD49" s="101"/>
      <c r="AE49" s="101">
        <v>57.69</v>
      </c>
      <c r="AF49" s="101">
        <v>16224.616</v>
      </c>
    </row>
    <row r="50" spans="2:32">
      <c r="B50" s="105" t="s">
        <v>85</v>
      </c>
      <c r="C50" s="106"/>
      <c r="D50" s="106"/>
      <c r="E50" s="106">
        <v>191.661</v>
      </c>
      <c r="F50" s="106"/>
      <c r="G50" s="106"/>
      <c r="H50" s="106"/>
      <c r="I50" s="106">
        <v>10346.679</v>
      </c>
      <c r="J50" s="106"/>
      <c r="K50" s="106"/>
      <c r="L50" s="106"/>
      <c r="M50" s="106"/>
      <c r="N50" s="106"/>
      <c r="O50" s="106">
        <v>10538.34</v>
      </c>
      <c r="P50" s="105" t="s">
        <v>211</v>
      </c>
      <c r="Q50" s="105" t="s">
        <v>744</v>
      </c>
      <c r="S50" s="46" t="s">
        <v>39</v>
      </c>
      <c r="T50" s="101">
        <v>22.280999999999999</v>
      </c>
      <c r="U50" s="101">
        <v>44190.637999999999</v>
      </c>
      <c r="V50" s="101">
        <v>63283.618000000002</v>
      </c>
      <c r="W50" s="101">
        <v>47872.553</v>
      </c>
      <c r="X50" s="101">
        <v>50476.112999999998</v>
      </c>
      <c r="Y50" s="101">
        <v>14848.844999999999</v>
      </c>
      <c r="Z50" s="101">
        <v>7495.8360000000002</v>
      </c>
      <c r="AA50" s="101">
        <v>40381.008000000002</v>
      </c>
      <c r="AB50" s="101">
        <v>42688.832000000002</v>
      </c>
      <c r="AC50" s="101">
        <v>38486.512999999999</v>
      </c>
      <c r="AD50" s="101">
        <v>63322.072999999997</v>
      </c>
      <c r="AE50" s="101">
        <v>5233.4549999999999</v>
      </c>
      <c r="AF50" s="101">
        <v>418301.76500000001</v>
      </c>
    </row>
    <row r="51" spans="2:32">
      <c r="B51" s="105" t="s">
        <v>37</v>
      </c>
      <c r="C51" s="106">
        <v>185132.34</v>
      </c>
      <c r="D51" s="106">
        <v>84865.388000000006</v>
      </c>
      <c r="E51" s="106">
        <v>102883.845</v>
      </c>
      <c r="F51" s="106">
        <v>87167.092000000004</v>
      </c>
      <c r="G51" s="106">
        <v>42898.766000000003</v>
      </c>
      <c r="H51" s="106">
        <v>13638.697</v>
      </c>
      <c r="I51" s="106">
        <v>212336.75700000001</v>
      </c>
      <c r="J51" s="106">
        <v>71921.024999999994</v>
      </c>
      <c r="K51" s="106">
        <v>17232.734</v>
      </c>
      <c r="L51" s="106">
        <v>118745.87699999999</v>
      </c>
      <c r="M51" s="106">
        <v>21125.573</v>
      </c>
      <c r="N51" s="106">
        <v>101734.23299999999</v>
      </c>
      <c r="O51" s="106">
        <v>1059682.327</v>
      </c>
      <c r="P51" s="105" t="s">
        <v>211</v>
      </c>
      <c r="Q51" s="105" t="s">
        <v>744</v>
      </c>
      <c r="S51" s="46" t="s">
        <v>280</v>
      </c>
      <c r="T51" s="101"/>
      <c r="U51" s="101"/>
      <c r="V51" s="101"/>
      <c r="W51" s="101"/>
      <c r="X51" s="101"/>
      <c r="Y51" s="101"/>
      <c r="Z51" s="101"/>
      <c r="AA51" s="101"/>
      <c r="AB51" s="101"/>
      <c r="AC51" s="101"/>
      <c r="AD51" s="101"/>
      <c r="AE51" s="101">
        <v>8494.8670000000002</v>
      </c>
      <c r="AF51" s="101">
        <v>8494.8670000000002</v>
      </c>
    </row>
    <row r="52" spans="2:32">
      <c r="B52" s="105" t="s">
        <v>755</v>
      </c>
      <c r="C52" s="106">
        <v>34488.591999999997</v>
      </c>
      <c r="D52" s="106">
        <v>61653.216999999997</v>
      </c>
      <c r="E52" s="106">
        <v>20765.987000000001</v>
      </c>
      <c r="F52" s="106">
        <v>26310.241999999998</v>
      </c>
      <c r="G52" s="106">
        <v>39719.955000000002</v>
      </c>
      <c r="H52" s="106">
        <v>48498.402999999998</v>
      </c>
      <c r="I52" s="106">
        <v>27122.964</v>
      </c>
      <c r="J52" s="106">
        <v>64179.807999999997</v>
      </c>
      <c r="K52" s="106">
        <v>22126.392</v>
      </c>
      <c r="L52" s="106">
        <v>34794.667999999998</v>
      </c>
      <c r="M52" s="106">
        <v>64718.114000000001</v>
      </c>
      <c r="N52" s="106">
        <v>33870.203000000001</v>
      </c>
      <c r="O52" s="106">
        <v>478248.54499999998</v>
      </c>
      <c r="P52" s="105" t="s">
        <v>211</v>
      </c>
      <c r="Q52" s="105" t="s">
        <v>744</v>
      </c>
      <c r="S52" s="46" t="s">
        <v>28</v>
      </c>
      <c r="T52" s="101">
        <v>72724.491999999998</v>
      </c>
      <c r="U52" s="101">
        <v>35585.625999999997</v>
      </c>
      <c r="V52" s="101">
        <v>14332.992</v>
      </c>
      <c r="W52" s="101">
        <v>6955.6959999999999</v>
      </c>
      <c r="X52" s="101">
        <v>4109.5870000000004</v>
      </c>
      <c r="Y52" s="101">
        <v>5183.9129999999996</v>
      </c>
      <c r="Z52" s="101">
        <v>5413.52</v>
      </c>
      <c r="AA52" s="101">
        <v>28826.93</v>
      </c>
      <c r="AB52" s="101"/>
      <c r="AC52" s="101">
        <v>11843.784</v>
      </c>
      <c r="AD52" s="101">
        <v>53379.069000000003</v>
      </c>
      <c r="AE52" s="101">
        <v>111.24</v>
      </c>
      <c r="AF52" s="101">
        <v>238466.84899999999</v>
      </c>
    </row>
    <row r="53" spans="2:32">
      <c r="B53" s="105" t="s">
        <v>79</v>
      </c>
      <c r="C53" s="106"/>
      <c r="D53" s="106"/>
      <c r="E53" s="106"/>
      <c r="F53" s="106"/>
      <c r="G53" s="106"/>
      <c r="H53" s="106">
        <v>4800.7449999999999</v>
      </c>
      <c r="I53" s="106"/>
      <c r="J53" s="106"/>
      <c r="K53" s="106"/>
      <c r="L53" s="106"/>
      <c r="M53" s="106"/>
      <c r="N53" s="106"/>
      <c r="O53" s="106">
        <v>4800.7449999999999</v>
      </c>
      <c r="P53" s="105" t="s">
        <v>211</v>
      </c>
      <c r="Q53" s="105" t="s">
        <v>744</v>
      </c>
      <c r="S53" s="46" t="s">
        <v>67</v>
      </c>
      <c r="T53" s="101"/>
      <c r="U53" s="101">
        <v>4292.2460000000001</v>
      </c>
      <c r="V53" s="101"/>
      <c r="W53" s="101"/>
      <c r="X53" s="101"/>
      <c r="Y53" s="101"/>
      <c r="Z53" s="101"/>
      <c r="AA53" s="101"/>
      <c r="AB53" s="101"/>
      <c r="AC53" s="101"/>
      <c r="AD53" s="101"/>
      <c r="AE53" s="101"/>
      <c r="AF53" s="101">
        <v>4292.2460000000001</v>
      </c>
    </row>
    <row r="54" spans="2:32">
      <c r="B54" s="105" t="s">
        <v>38</v>
      </c>
      <c r="C54" s="106"/>
      <c r="D54" s="106"/>
      <c r="E54" s="106"/>
      <c r="F54" s="106">
        <v>154.953</v>
      </c>
      <c r="G54" s="106"/>
      <c r="H54" s="106">
        <v>12015.446</v>
      </c>
      <c r="I54" s="106"/>
      <c r="J54" s="106">
        <v>3996.527</v>
      </c>
      <c r="K54" s="106"/>
      <c r="L54" s="106"/>
      <c r="M54" s="106"/>
      <c r="N54" s="106">
        <v>57.69</v>
      </c>
      <c r="O54" s="106">
        <v>16224.616</v>
      </c>
      <c r="P54" s="105" t="s">
        <v>210</v>
      </c>
      <c r="Q54" s="105" t="s">
        <v>744</v>
      </c>
      <c r="S54" s="46" t="s">
        <v>201</v>
      </c>
      <c r="T54" s="101"/>
      <c r="U54" s="101"/>
      <c r="V54" s="101">
        <v>1645.816</v>
      </c>
      <c r="W54" s="101">
        <v>872.62900000000002</v>
      </c>
      <c r="X54" s="101">
        <v>1123.3630000000001</v>
      </c>
      <c r="Y54" s="101">
        <v>1007.81</v>
      </c>
      <c r="Z54" s="101"/>
      <c r="AA54" s="101"/>
      <c r="AB54" s="101"/>
      <c r="AC54" s="101"/>
      <c r="AD54" s="101"/>
      <c r="AE54" s="101"/>
      <c r="AF54" s="101">
        <v>4649.6180000000004</v>
      </c>
    </row>
    <row r="55" spans="2:32">
      <c r="B55" s="105" t="s">
        <v>39</v>
      </c>
      <c r="C55" s="106">
        <v>22.280999999999999</v>
      </c>
      <c r="D55" s="106">
        <v>44190.637999999999</v>
      </c>
      <c r="E55" s="106">
        <v>63283.618000000002</v>
      </c>
      <c r="F55" s="106">
        <v>47872.553</v>
      </c>
      <c r="G55" s="106">
        <v>50476.112999999998</v>
      </c>
      <c r="H55" s="106">
        <v>14848.844999999999</v>
      </c>
      <c r="I55" s="106">
        <v>7495.8360000000002</v>
      </c>
      <c r="J55" s="106">
        <v>40381.008000000002</v>
      </c>
      <c r="K55" s="106">
        <v>42688.832000000002</v>
      </c>
      <c r="L55" s="106">
        <v>38486.512999999999</v>
      </c>
      <c r="M55" s="106">
        <v>63322.072999999997</v>
      </c>
      <c r="N55" s="106">
        <v>5233.4549999999999</v>
      </c>
      <c r="O55" s="106">
        <v>418301.76500000001</v>
      </c>
      <c r="P55" s="105" t="s">
        <v>211</v>
      </c>
      <c r="Q55" s="105" t="s">
        <v>744</v>
      </c>
      <c r="S55" s="46" t="s">
        <v>40</v>
      </c>
      <c r="T55" s="101">
        <v>17059.087</v>
      </c>
      <c r="U55" s="101">
        <v>1091.68</v>
      </c>
      <c r="V55" s="101"/>
      <c r="W55" s="101">
        <v>13730.677</v>
      </c>
      <c r="X55" s="101"/>
      <c r="Y55" s="101"/>
      <c r="Z55" s="101">
        <v>23814.899000000001</v>
      </c>
      <c r="AA55" s="101"/>
      <c r="AB55" s="101">
        <v>8797.6740000000009</v>
      </c>
      <c r="AC55" s="101"/>
      <c r="AD55" s="101"/>
      <c r="AE55" s="101">
        <v>8873.7379999999994</v>
      </c>
      <c r="AF55" s="101">
        <v>73367.755000000005</v>
      </c>
    </row>
    <row r="56" spans="2:32">
      <c r="B56" s="105" t="s">
        <v>280</v>
      </c>
      <c r="C56" s="106"/>
      <c r="D56" s="106"/>
      <c r="E56" s="106"/>
      <c r="F56" s="106"/>
      <c r="G56" s="106"/>
      <c r="H56" s="106"/>
      <c r="I56" s="106"/>
      <c r="J56" s="106"/>
      <c r="K56" s="106"/>
      <c r="L56" s="106"/>
      <c r="M56" s="106"/>
      <c r="N56" s="106">
        <v>8494.8670000000002</v>
      </c>
      <c r="O56" s="106">
        <v>8494.8670000000002</v>
      </c>
      <c r="P56" s="105" t="s">
        <v>211</v>
      </c>
      <c r="Q56" s="105" t="s">
        <v>744</v>
      </c>
      <c r="S56" s="46" t="s">
        <v>51</v>
      </c>
      <c r="T56" s="101">
        <v>352220.837</v>
      </c>
      <c r="U56" s="101">
        <v>178586.73699999999</v>
      </c>
      <c r="V56" s="101">
        <v>297039.68400000001</v>
      </c>
      <c r="W56" s="101">
        <v>226368.72899999999</v>
      </c>
      <c r="X56" s="101">
        <v>321671.58399999997</v>
      </c>
      <c r="Y56" s="101">
        <v>185778.22500000001</v>
      </c>
      <c r="Z56" s="101">
        <v>148960.56700000001</v>
      </c>
      <c r="AA56" s="101">
        <v>362785.45500000002</v>
      </c>
      <c r="AB56" s="101">
        <v>336436.46399999998</v>
      </c>
      <c r="AC56" s="101">
        <v>325170.41100000002</v>
      </c>
      <c r="AD56" s="101">
        <v>563422.48499999999</v>
      </c>
      <c r="AE56" s="101">
        <v>284974.924</v>
      </c>
      <c r="AF56" s="101">
        <v>3583416.102</v>
      </c>
    </row>
    <row r="57" spans="2:32">
      <c r="B57" s="105" t="s">
        <v>28</v>
      </c>
      <c r="C57" s="106">
        <v>72724.491999999998</v>
      </c>
      <c r="D57" s="106">
        <v>35585.625999999997</v>
      </c>
      <c r="E57" s="106">
        <v>14332.992</v>
      </c>
      <c r="F57" s="106">
        <v>6955.6959999999999</v>
      </c>
      <c r="G57" s="106">
        <v>4109.5870000000004</v>
      </c>
      <c r="H57" s="106">
        <v>5183.9129999999996</v>
      </c>
      <c r="I57" s="106">
        <v>5413.52</v>
      </c>
      <c r="J57" s="106">
        <v>28826.93</v>
      </c>
      <c r="K57" s="106"/>
      <c r="L57" s="106">
        <v>11843.784</v>
      </c>
      <c r="M57" s="106">
        <v>53379.069000000003</v>
      </c>
      <c r="N57" s="106">
        <v>111.24</v>
      </c>
      <c r="O57" s="106">
        <v>238466.84899999999</v>
      </c>
      <c r="P57" s="105" t="s">
        <v>211</v>
      </c>
      <c r="Q57" s="105" t="s">
        <v>744</v>
      </c>
      <c r="S57" s="46" t="s">
        <v>68</v>
      </c>
      <c r="T57" s="101"/>
      <c r="U57" s="101">
        <v>4567.902</v>
      </c>
      <c r="V57" s="101"/>
      <c r="W57" s="101"/>
      <c r="X57" s="101"/>
      <c r="Y57" s="101">
        <v>1313.482</v>
      </c>
      <c r="Z57" s="101">
        <v>479.14499999999998</v>
      </c>
      <c r="AA57" s="101">
        <v>12848.127</v>
      </c>
      <c r="AB57" s="101">
        <v>40315.222000000002</v>
      </c>
      <c r="AC57" s="101">
        <v>180227.31899999999</v>
      </c>
      <c r="AD57" s="101">
        <v>6337.607</v>
      </c>
      <c r="AE57" s="101">
        <v>554.69100000000003</v>
      </c>
      <c r="AF57" s="101">
        <v>246643.49499999997</v>
      </c>
    </row>
    <row r="58" spans="2:32">
      <c r="B58" s="105" t="s">
        <v>67</v>
      </c>
      <c r="C58" s="106"/>
      <c r="D58" s="106">
        <v>4292.2460000000001</v>
      </c>
      <c r="E58" s="106"/>
      <c r="F58" s="106"/>
      <c r="G58" s="106"/>
      <c r="H58" s="106"/>
      <c r="I58" s="106"/>
      <c r="J58" s="106"/>
      <c r="K58" s="106"/>
      <c r="L58" s="106"/>
      <c r="M58" s="106"/>
      <c r="N58" s="106"/>
      <c r="O58" s="106">
        <v>4292.2460000000001</v>
      </c>
      <c r="P58" s="105" t="s">
        <v>211</v>
      </c>
      <c r="Q58" s="105" t="s">
        <v>744</v>
      </c>
      <c r="S58" s="46" t="s">
        <v>41</v>
      </c>
      <c r="T58" s="101">
        <v>17394.401000000002</v>
      </c>
      <c r="U58" s="101">
        <v>23045.294000000002</v>
      </c>
      <c r="V58" s="101">
        <v>13555.125</v>
      </c>
      <c r="W58" s="101">
        <v>10634.367</v>
      </c>
      <c r="X58" s="101">
        <v>8942.1790000000001</v>
      </c>
      <c r="Y58" s="101"/>
      <c r="Z58" s="101">
        <v>12446.665999999999</v>
      </c>
      <c r="AA58" s="101">
        <v>9285.0370000000003</v>
      </c>
      <c r="AB58" s="101">
        <v>96939.524000000005</v>
      </c>
      <c r="AC58" s="101">
        <v>16269.612999999999</v>
      </c>
      <c r="AD58" s="101"/>
      <c r="AE58" s="101">
        <v>6374.5209999999997</v>
      </c>
      <c r="AF58" s="101">
        <v>214886.72700000001</v>
      </c>
    </row>
    <row r="59" spans="2:32">
      <c r="B59" s="105" t="s">
        <v>201</v>
      </c>
      <c r="C59" s="106"/>
      <c r="D59" s="106"/>
      <c r="E59" s="106">
        <v>1645.816</v>
      </c>
      <c r="F59" s="106">
        <v>872.62900000000002</v>
      </c>
      <c r="G59" s="106">
        <v>1123.3630000000001</v>
      </c>
      <c r="H59" s="106">
        <v>1007.81</v>
      </c>
      <c r="I59" s="106"/>
      <c r="J59" s="106"/>
      <c r="K59" s="106"/>
      <c r="L59" s="106"/>
      <c r="M59" s="106"/>
      <c r="N59" s="106"/>
      <c r="O59" s="106">
        <v>4649.6180000000004</v>
      </c>
      <c r="P59" s="105" t="s">
        <v>211</v>
      </c>
      <c r="Q59" s="105" t="s">
        <v>744</v>
      </c>
      <c r="S59" s="46" t="s">
        <v>55</v>
      </c>
      <c r="T59" s="101">
        <v>8187.7139999999999</v>
      </c>
      <c r="U59" s="101">
        <v>1050.835</v>
      </c>
      <c r="V59" s="101">
        <v>7997.0039999999999</v>
      </c>
      <c r="W59" s="101">
        <v>4026.4459999999999</v>
      </c>
      <c r="X59" s="101">
        <v>13944.671</v>
      </c>
      <c r="Y59" s="101">
        <v>1849.68</v>
      </c>
      <c r="Z59" s="101">
        <v>4263.8850000000002</v>
      </c>
      <c r="AA59" s="101">
        <v>14662.135</v>
      </c>
      <c r="AB59" s="101">
        <v>86.299000000000007</v>
      </c>
      <c r="AC59" s="101">
        <v>2704.5740000000001</v>
      </c>
      <c r="AD59" s="101">
        <v>8653.2870000000003</v>
      </c>
      <c r="AE59" s="101"/>
      <c r="AF59" s="101">
        <v>67426.53</v>
      </c>
    </row>
    <row r="60" spans="2:32">
      <c r="B60" s="105" t="s">
        <v>40</v>
      </c>
      <c r="C60" s="106">
        <v>17059.087</v>
      </c>
      <c r="D60" s="106">
        <v>1091.68</v>
      </c>
      <c r="E60" s="106"/>
      <c r="F60" s="106">
        <v>13730.677</v>
      </c>
      <c r="G60" s="106"/>
      <c r="H60" s="106"/>
      <c r="I60" s="106">
        <v>23814.899000000001</v>
      </c>
      <c r="J60" s="106"/>
      <c r="K60" s="106">
        <v>8797.6740000000009</v>
      </c>
      <c r="L60" s="106"/>
      <c r="M60" s="106"/>
      <c r="N60" s="106">
        <v>8873.7379999999994</v>
      </c>
      <c r="O60" s="106">
        <v>73367.755000000005</v>
      </c>
      <c r="P60" s="105" t="s">
        <v>211</v>
      </c>
      <c r="Q60" s="105" t="s">
        <v>744</v>
      </c>
      <c r="S60" s="46" t="s">
        <v>63</v>
      </c>
      <c r="T60" s="101">
        <v>218983.226</v>
      </c>
      <c r="U60" s="101">
        <v>74496.922000000006</v>
      </c>
      <c r="V60" s="101">
        <v>272175.59999999998</v>
      </c>
      <c r="W60" s="101">
        <v>242787.00200000001</v>
      </c>
      <c r="X60" s="101">
        <v>276414.20699999999</v>
      </c>
      <c r="Y60" s="101">
        <v>177095.59099999999</v>
      </c>
      <c r="Z60" s="101">
        <v>213448.69899999999</v>
      </c>
      <c r="AA60" s="101">
        <v>187723.14300000001</v>
      </c>
      <c r="AB60" s="101">
        <v>109141.193</v>
      </c>
      <c r="AC60" s="101">
        <v>194049.68700000001</v>
      </c>
      <c r="AD60" s="101">
        <v>203483.549</v>
      </c>
      <c r="AE60" s="101">
        <v>149668.19500000001</v>
      </c>
      <c r="AF60" s="101">
        <v>2319467.0139999995</v>
      </c>
    </row>
    <row r="61" spans="2:32">
      <c r="B61" s="105" t="s">
        <v>51</v>
      </c>
      <c r="C61" s="106">
        <v>352220.837</v>
      </c>
      <c r="D61" s="106">
        <v>178586.73699999999</v>
      </c>
      <c r="E61" s="106">
        <v>297039.68400000001</v>
      </c>
      <c r="F61" s="106">
        <v>226368.72899999999</v>
      </c>
      <c r="G61" s="106">
        <v>321671.58399999997</v>
      </c>
      <c r="H61" s="106">
        <v>185778.22500000001</v>
      </c>
      <c r="I61" s="106">
        <v>148960.56700000001</v>
      </c>
      <c r="J61" s="106">
        <v>362785.45500000002</v>
      </c>
      <c r="K61" s="106">
        <v>336436.46399999998</v>
      </c>
      <c r="L61" s="106">
        <v>325170.41100000002</v>
      </c>
      <c r="M61" s="106">
        <v>563422.48499999999</v>
      </c>
      <c r="N61" s="106">
        <v>284974.924</v>
      </c>
      <c r="O61" s="106">
        <v>3583416.102</v>
      </c>
      <c r="P61" s="105" t="s">
        <v>211</v>
      </c>
      <c r="Q61" s="105" t="s">
        <v>744</v>
      </c>
      <c r="S61" s="46" t="s">
        <v>110</v>
      </c>
      <c r="T61" s="101"/>
      <c r="U61" s="101"/>
      <c r="V61" s="101">
        <v>40557.811000000002</v>
      </c>
      <c r="W61" s="101"/>
      <c r="X61" s="101"/>
      <c r="Y61" s="101">
        <v>18317.728999999999</v>
      </c>
      <c r="Z61" s="101"/>
      <c r="AA61" s="101"/>
      <c r="AB61" s="101">
        <v>15239.971</v>
      </c>
      <c r="AC61" s="101"/>
      <c r="AD61" s="101"/>
      <c r="AE61" s="101"/>
      <c r="AF61" s="101">
        <v>74115.510999999999</v>
      </c>
    </row>
    <row r="62" spans="2:32">
      <c r="B62" s="105" t="s">
        <v>68</v>
      </c>
      <c r="C62" s="106"/>
      <c r="D62" s="106">
        <v>4567.902</v>
      </c>
      <c r="E62" s="106"/>
      <c r="F62" s="106"/>
      <c r="G62" s="106"/>
      <c r="H62" s="106">
        <v>1313.482</v>
      </c>
      <c r="I62" s="106">
        <v>479.14499999999998</v>
      </c>
      <c r="J62" s="106">
        <v>12848.127</v>
      </c>
      <c r="K62" s="106">
        <v>40315.222000000002</v>
      </c>
      <c r="L62" s="106">
        <v>180227.31899999999</v>
      </c>
      <c r="M62" s="106">
        <v>6337.607</v>
      </c>
      <c r="N62" s="106">
        <v>554.69100000000003</v>
      </c>
      <c r="O62" s="106">
        <v>246643.49499999997</v>
      </c>
      <c r="P62" s="105" t="s">
        <v>211</v>
      </c>
      <c r="Q62" s="105" t="s">
        <v>744</v>
      </c>
      <c r="S62" s="46" t="s">
        <v>25</v>
      </c>
      <c r="T62" s="101">
        <v>36453.495000000003</v>
      </c>
      <c r="U62" s="101">
        <v>138126.63</v>
      </c>
      <c r="V62" s="101">
        <v>5332.2030000000004</v>
      </c>
      <c r="W62" s="101">
        <v>123294.769</v>
      </c>
      <c r="X62" s="101">
        <v>99370.645999999993</v>
      </c>
      <c r="Y62" s="101">
        <v>63631.866000000002</v>
      </c>
      <c r="Z62" s="101">
        <v>121889.712</v>
      </c>
      <c r="AA62" s="101">
        <v>78225.38</v>
      </c>
      <c r="AB62" s="101">
        <v>58137.012000000002</v>
      </c>
      <c r="AC62" s="101">
        <v>33613.527000000002</v>
      </c>
      <c r="AD62" s="101">
        <v>28531.043000000001</v>
      </c>
      <c r="AE62" s="101">
        <v>51737.53</v>
      </c>
      <c r="AF62" s="101">
        <v>838343.81299999997</v>
      </c>
    </row>
    <row r="63" spans="2:32">
      <c r="B63" s="105" t="s">
        <v>41</v>
      </c>
      <c r="C63" s="106">
        <v>17394.401000000002</v>
      </c>
      <c r="D63" s="106">
        <v>23045.294000000002</v>
      </c>
      <c r="E63" s="106">
        <v>13555.125</v>
      </c>
      <c r="F63" s="106">
        <v>10634.367</v>
      </c>
      <c r="G63" s="106">
        <v>8942.1790000000001</v>
      </c>
      <c r="H63" s="106"/>
      <c r="I63" s="106">
        <v>12446.665999999999</v>
      </c>
      <c r="J63" s="106">
        <v>9285.0370000000003</v>
      </c>
      <c r="K63" s="106">
        <v>96939.524000000005</v>
      </c>
      <c r="L63" s="106">
        <v>16269.612999999999</v>
      </c>
      <c r="M63" s="106"/>
      <c r="N63" s="106">
        <v>6374.5209999999997</v>
      </c>
      <c r="O63" s="106">
        <v>214886.72700000001</v>
      </c>
      <c r="P63" s="105" t="s">
        <v>211</v>
      </c>
      <c r="Q63" s="105" t="s">
        <v>744</v>
      </c>
      <c r="S63" s="46" t="s">
        <v>64</v>
      </c>
      <c r="T63" s="101">
        <v>31064.657999999999</v>
      </c>
      <c r="U63" s="101">
        <v>72589.066999999995</v>
      </c>
      <c r="V63" s="101">
        <v>44914.982000000004</v>
      </c>
      <c r="W63" s="101">
        <v>49069.665999999997</v>
      </c>
      <c r="X63" s="101">
        <v>27252.608</v>
      </c>
      <c r="Y63" s="101">
        <v>29096.240000000002</v>
      </c>
      <c r="Z63" s="101">
        <v>172897.43</v>
      </c>
      <c r="AA63" s="101">
        <v>57811.053999999996</v>
      </c>
      <c r="AB63" s="101">
        <v>11284841.174000001</v>
      </c>
      <c r="AC63" s="101">
        <v>1035847.862</v>
      </c>
      <c r="AD63" s="101">
        <v>118638.35</v>
      </c>
      <c r="AE63" s="101">
        <v>84356.789000000004</v>
      </c>
      <c r="AF63" s="101">
        <v>13008379.880000001</v>
      </c>
    </row>
    <row r="64" spans="2:32">
      <c r="B64" s="105" t="s">
        <v>55</v>
      </c>
      <c r="C64" s="106">
        <v>8187.7139999999999</v>
      </c>
      <c r="D64" s="106">
        <v>1050.835</v>
      </c>
      <c r="E64" s="106">
        <v>7997.0039999999999</v>
      </c>
      <c r="F64" s="106">
        <v>4026.4459999999999</v>
      </c>
      <c r="G64" s="106">
        <v>13944.671</v>
      </c>
      <c r="H64" s="106">
        <v>1849.68</v>
      </c>
      <c r="I64" s="106">
        <v>4263.8850000000002</v>
      </c>
      <c r="J64" s="106">
        <v>14662.135</v>
      </c>
      <c r="K64" s="106">
        <v>86.299000000000007</v>
      </c>
      <c r="L64" s="106">
        <v>2704.5740000000001</v>
      </c>
      <c r="M64" s="106">
        <v>8653.2870000000003</v>
      </c>
      <c r="N64" s="106"/>
      <c r="O64" s="106">
        <v>67426.53</v>
      </c>
      <c r="P64" s="105" t="s">
        <v>211</v>
      </c>
      <c r="Q64" s="105" t="s">
        <v>744</v>
      </c>
      <c r="S64" s="46" t="s">
        <v>713</v>
      </c>
      <c r="T64" s="101">
        <v>231391.82399999999</v>
      </c>
      <c r="U64" s="101">
        <v>241030.065</v>
      </c>
      <c r="V64" s="101">
        <v>282259.84600000002</v>
      </c>
      <c r="W64" s="101">
        <v>274359.842</v>
      </c>
      <c r="X64" s="101">
        <v>296512.79599999997</v>
      </c>
      <c r="Y64" s="101">
        <v>303186.14600000001</v>
      </c>
      <c r="Z64" s="101">
        <v>455140.91899999999</v>
      </c>
      <c r="AA64" s="101">
        <v>183146.818</v>
      </c>
      <c r="AB64" s="101">
        <v>9097106.8289999999</v>
      </c>
      <c r="AC64" s="101">
        <v>4679636.7170000002</v>
      </c>
      <c r="AD64" s="101">
        <v>1400781.4369999999</v>
      </c>
      <c r="AE64" s="101">
        <v>1025812.499</v>
      </c>
      <c r="AF64" s="101">
        <v>18470365.738000002</v>
      </c>
    </row>
    <row r="65" spans="1:32">
      <c r="B65" s="105" t="s">
        <v>63</v>
      </c>
      <c r="C65" s="106">
        <v>218983.226</v>
      </c>
      <c r="D65" s="106">
        <v>74496.922000000006</v>
      </c>
      <c r="E65" s="106">
        <v>272175.59999999998</v>
      </c>
      <c r="F65" s="106">
        <v>242787.00200000001</v>
      </c>
      <c r="G65" s="106">
        <v>276414.20699999999</v>
      </c>
      <c r="H65" s="106">
        <v>177095.59099999999</v>
      </c>
      <c r="I65" s="106">
        <v>213448.69899999999</v>
      </c>
      <c r="J65" s="106">
        <v>187723.14300000001</v>
      </c>
      <c r="K65" s="106">
        <v>109141.193</v>
      </c>
      <c r="L65" s="106">
        <v>194049.68700000001</v>
      </c>
      <c r="M65" s="106">
        <v>203483.549</v>
      </c>
      <c r="N65" s="106">
        <v>149668.19500000001</v>
      </c>
      <c r="O65" s="106">
        <v>2319467.0139999995</v>
      </c>
      <c r="P65" s="105" t="s">
        <v>211</v>
      </c>
      <c r="Q65" s="105" t="s">
        <v>744</v>
      </c>
      <c r="S65" s="46" t="s">
        <v>59</v>
      </c>
      <c r="T65" s="101"/>
      <c r="U65" s="101"/>
      <c r="V65" s="101"/>
      <c r="W65" s="101">
        <v>619.6</v>
      </c>
      <c r="X65" s="101">
        <v>82222.104000000007</v>
      </c>
      <c r="Y65" s="101"/>
      <c r="Z65" s="101">
        <v>81899.180999999997</v>
      </c>
      <c r="AA65" s="101">
        <v>134319.36900000001</v>
      </c>
      <c r="AB65" s="101">
        <v>89364.058000000005</v>
      </c>
      <c r="AC65" s="101">
        <v>178249.88200000001</v>
      </c>
      <c r="AD65" s="101"/>
      <c r="AE65" s="101"/>
      <c r="AF65" s="101">
        <v>566674.19400000002</v>
      </c>
    </row>
    <row r="66" spans="1:32">
      <c r="B66" s="105" t="s">
        <v>110</v>
      </c>
      <c r="C66" s="106"/>
      <c r="D66" s="106"/>
      <c r="E66" s="106">
        <v>40557.811000000002</v>
      </c>
      <c r="F66" s="106"/>
      <c r="G66" s="106"/>
      <c r="H66" s="106">
        <v>18317.728999999999</v>
      </c>
      <c r="I66" s="106"/>
      <c r="J66" s="106"/>
      <c r="K66" s="106">
        <v>15239.971</v>
      </c>
      <c r="L66" s="106"/>
      <c r="M66" s="106"/>
      <c r="N66" s="106"/>
      <c r="O66" s="106">
        <v>74115.510999999999</v>
      </c>
      <c r="P66" s="105" t="s">
        <v>211</v>
      </c>
      <c r="Q66" s="105" t="s">
        <v>744</v>
      </c>
      <c r="S66" s="46" t="s">
        <v>23</v>
      </c>
      <c r="T66" s="101">
        <v>3855298.43</v>
      </c>
      <c r="U66" s="101">
        <v>3360987.6290000002</v>
      </c>
      <c r="V66" s="101">
        <v>2850035.7489999998</v>
      </c>
      <c r="W66" s="101">
        <v>3549420.892</v>
      </c>
      <c r="X66" s="101">
        <v>3427779.824</v>
      </c>
      <c r="Y66" s="101">
        <v>2423249.1630000002</v>
      </c>
      <c r="Z66" s="101">
        <v>3553764.0989999999</v>
      </c>
      <c r="AA66" s="101">
        <v>3438611.8470000001</v>
      </c>
      <c r="AB66" s="101">
        <v>23209335.420000002</v>
      </c>
      <c r="AC66" s="101">
        <v>8853987.4130000006</v>
      </c>
      <c r="AD66" s="101">
        <v>5062405.5140000004</v>
      </c>
      <c r="AE66" s="101">
        <v>3292348.682</v>
      </c>
      <c r="AF66" s="101">
        <v>66877224.662</v>
      </c>
    </row>
    <row r="67" spans="1:32">
      <c r="B67" s="105" t="s">
        <v>25</v>
      </c>
      <c r="C67" s="106">
        <v>36453.495000000003</v>
      </c>
      <c r="D67" s="106">
        <v>138126.63</v>
      </c>
      <c r="E67" s="106">
        <v>5332.2030000000004</v>
      </c>
      <c r="F67" s="106">
        <v>123294.769</v>
      </c>
      <c r="G67" s="106">
        <v>99370.645999999993</v>
      </c>
      <c r="H67" s="106">
        <v>63631.866000000002</v>
      </c>
      <c r="I67" s="106">
        <v>121889.712</v>
      </c>
      <c r="J67" s="106">
        <v>78225.38</v>
      </c>
      <c r="K67" s="106">
        <v>58137.012000000002</v>
      </c>
      <c r="L67" s="106">
        <v>33613.527000000002</v>
      </c>
      <c r="M67" s="106">
        <v>28531.043000000001</v>
      </c>
      <c r="N67" s="106">
        <v>51737.53</v>
      </c>
      <c r="O67" s="106">
        <v>838343.81299999997</v>
      </c>
      <c r="P67" s="105" t="s">
        <v>211</v>
      </c>
      <c r="Q67" s="105" t="s">
        <v>744</v>
      </c>
      <c r="S67" s="46" t="s">
        <v>732</v>
      </c>
      <c r="T67" s="101">
        <v>7710596.8600000003</v>
      </c>
      <c r="U67" s="101">
        <v>6721975.2559999991</v>
      </c>
      <c r="V67" s="101">
        <v>5700071.4970000004</v>
      </c>
      <c r="W67" s="101">
        <v>7098841.7820000006</v>
      </c>
      <c r="X67" s="101">
        <v>6855559.6509999987</v>
      </c>
      <c r="Y67" s="101">
        <v>4846498.3280000007</v>
      </c>
      <c r="Z67" s="101">
        <v>7107528.2000000011</v>
      </c>
      <c r="AA67" s="101">
        <v>6877223.6960000005</v>
      </c>
      <c r="AB67" s="101">
        <v>46418670.839000002</v>
      </c>
      <c r="AC67" s="101">
        <v>17707974.828000002</v>
      </c>
      <c r="AD67" s="101">
        <v>10124811.028999999</v>
      </c>
      <c r="AE67" s="101">
        <v>6584697.3650000002</v>
      </c>
      <c r="AF67" s="101">
        <v>133754449.331</v>
      </c>
    </row>
    <row r="68" spans="1:32">
      <c r="B68" s="105" t="s">
        <v>64</v>
      </c>
      <c r="C68" s="106">
        <v>31064.657999999999</v>
      </c>
      <c r="D68" s="106">
        <v>72589.066999999995</v>
      </c>
      <c r="E68" s="106">
        <v>44914.982000000004</v>
      </c>
      <c r="F68" s="106">
        <v>49069.665999999997</v>
      </c>
      <c r="G68" s="106">
        <v>27252.608</v>
      </c>
      <c r="H68" s="106">
        <v>29096.240000000002</v>
      </c>
      <c r="I68" s="106">
        <v>172897.43</v>
      </c>
      <c r="J68" s="106">
        <v>57811.053999999996</v>
      </c>
      <c r="K68" s="106">
        <v>11284841.174000001</v>
      </c>
      <c r="L68" s="106">
        <v>1035847.862</v>
      </c>
      <c r="M68" s="106">
        <v>118638.35</v>
      </c>
      <c r="N68" s="106">
        <v>84356.789000000004</v>
      </c>
      <c r="O68" s="106">
        <v>13008379.880000001</v>
      </c>
      <c r="P68" s="105" t="s">
        <v>211</v>
      </c>
      <c r="Q68" s="105" t="s">
        <v>744</v>
      </c>
    </row>
    <row r="69" spans="1:32">
      <c r="B69" s="105" t="s">
        <v>713</v>
      </c>
      <c r="C69" s="106">
        <v>231391.82399999999</v>
      </c>
      <c r="D69" s="106">
        <v>241030.065</v>
      </c>
      <c r="E69" s="106">
        <v>282259.84600000002</v>
      </c>
      <c r="F69" s="106">
        <v>274359.842</v>
      </c>
      <c r="G69" s="106">
        <v>296512.79599999997</v>
      </c>
      <c r="H69" s="106">
        <v>303186.14600000001</v>
      </c>
      <c r="I69" s="106">
        <v>455140.91899999999</v>
      </c>
      <c r="J69" s="106">
        <v>183146.818</v>
      </c>
      <c r="K69" s="106">
        <v>9097106.8289999999</v>
      </c>
      <c r="L69" s="106">
        <v>4679636.7170000002</v>
      </c>
      <c r="M69" s="106">
        <v>1400781.4369999999</v>
      </c>
      <c r="N69" s="106">
        <v>1025812.499</v>
      </c>
      <c r="O69" s="106">
        <v>18470365.738000002</v>
      </c>
      <c r="P69" s="105" t="s">
        <v>211</v>
      </c>
      <c r="Q69" s="105" t="s">
        <v>744</v>
      </c>
    </row>
    <row r="70" spans="1:32">
      <c r="B70" s="105" t="s">
        <v>59</v>
      </c>
      <c r="C70" s="106"/>
      <c r="D70" s="106"/>
      <c r="E70" s="106"/>
      <c r="F70" s="106">
        <v>619.6</v>
      </c>
      <c r="G70" s="106">
        <v>82222.104000000007</v>
      </c>
      <c r="H70" s="106"/>
      <c r="I70" s="106">
        <v>81899.180999999997</v>
      </c>
      <c r="J70" s="106">
        <v>134319.36900000001</v>
      </c>
      <c r="K70" s="106">
        <v>89364.058000000005</v>
      </c>
      <c r="L70" s="106">
        <v>178249.88200000001</v>
      </c>
      <c r="M70" s="106"/>
      <c r="N70" s="106"/>
      <c r="O70" s="106">
        <v>566674.19400000002</v>
      </c>
      <c r="P70" s="105" t="s">
        <v>211</v>
      </c>
      <c r="Q70" s="105" t="s">
        <v>744</v>
      </c>
    </row>
    <row r="71" spans="1:32">
      <c r="B71" s="105" t="s">
        <v>23</v>
      </c>
      <c r="C71" s="106">
        <v>3855298.43</v>
      </c>
      <c r="D71" s="106">
        <v>3360987.6290000002</v>
      </c>
      <c r="E71" s="106">
        <v>2850035.7489999998</v>
      </c>
      <c r="F71" s="106">
        <v>3549420.892</v>
      </c>
      <c r="G71" s="106">
        <v>3427779.824</v>
      </c>
      <c r="H71" s="106">
        <v>2423249.1630000002</v>
      </c>
      <c r="I71" s="106">
        <v>3553764.0989999999</v>
      </c>
      <c r="J71" s="106">
        <v>3438611.8470000001</v>
      </c>
      <c r="K71" s="106">
        <v>23209335.420000002</v>
      </c>
      <c r="L71" s="106">
        <v>8853987.4130000006</v>
      </c>
      <c r="M71" s="106">
        <v>5062405.5140000004</v>
      </c>
      <c r="N71" s="106">
        <v>3292348.682</v>
      </c>
      <c r="O71" s="106">
        <v>66877224.662</v>
      </c>
      <c r="P71" s="105" t="s">
        <v>210</v>
      </c>
      <c r="Q71" s="105" t="s">
        <v>744</v>
      </c>
    </row>
    <row r="72" spans="1:32">
      <c r="B72" s="107" t="s">
        <v>732</v>
      </c>
      <c r="C72" s="110">
        <v>7710596.8600000003</v>
      </c>
      <c r="D72" s="110">
        <v>6721975.2559999991</v>
      </c>
      <c r="E72" s="110">
        <v>5700071.4970000004</v>
      </c>
      <c r="F72" s="110">
        <v>7098841.7820000006</v>
      </c>
      <c r="G72" s="110">
        <v>6855559.6509999987</v>
      </c>
      <c r="H72" s="110">
        <v>4846498.3280000007</v>
      </c>
      <c r="I72" s="110">
        <v>7107528.2000000011</v>
      </c>
      <c r="J72" s="110">
        <v>6877223.6960000005</v>
      </c>
      <c r="K72" s="110">
        <v>46418670.839000002</v>
      </c>
      <c r="L72" s="110">
        <v>17707974.828000002</v>
      </c>
      <c r="M72" s="110">
        <v>10124811.028999999</v>
      </c>
      <c r="N72" s="110">
        <v>6584697.3650000002</v>
      </c>
      <c r="O72" s="110">
        <v>133754449.331</v>
      </c>
      <c r="P72" s="105"/>
      <c r="Q72" s="105"/>
      <c r="S72" s="100" t="s">
        <v>626</v>
      </c>
      <c r="T72" s="46" t="s">
        <v>57</v>
      </c>
    </row>
    <row r="74" spans="1:32">
      <c r="S74" s="100" t="s">
        <v>734</v>
      </c>
      <c r="T74" s="100" t="s">
        <v>621</v>
      </c>
      <c r="U74" s="100" t="s">
        <v>622</v>
      </c>
    </row>
    <row r="75" spans="1:32">
      <c r="A75" s="99" t="s">
        <v>741</v>
      </c>
      <c r="B75" s="99" t="s">
        <v>46</v>
      </c>
      <c r="T75" s="46">
        <v>2023</v>
      </c>
      <c r="Z75" s="46">
        <v>2024</v>
      </c>
      <c r="AF75" s="46" t="s">
        <v>732</v>
      </c>
    </row>
    <row r="76" spans="1:32">
      <c r="B76" s="29" t="s">
        <v>47</v>
      </c>
      <c r="S76" s="100" t="s">
        <v>631</v>
      </c>
      <c r="T76" s="46">
        <v>7</v>
      </c>
      <c r="U76" s="46">
        <v>8</v>
      </c>
      <c r="V76" s="46">
        <v>9</v>
      </c>
      <c r="W76" s="46">
        <v>10</v>
      </c>
      <c r="X76" s="46">
        <v>11</v>
      </c>
      <c r="Y76" s="46">
        <v>12</v>
      </c>
      <c r="Z76" s="46">
        <v>1</v>
      </c>
      <c r="AA76" s="46">
        <v>2</v>
      </c>
      <c r="AB76" s="46">
        <v>3</v>
      </c>
      <c r="AC76" s="46">
        <v>4</v>
      </c>
      <c r="AD76" s="46">
        <v>5</v>
      </c>
      <c r="AE76" s="46">
        <v>6</v>
      </c>
    </row>
    <row r="77" spans="1:32">
      <c r="S77" s="46" t="s">
        <v>120</v>
      </c>
      <c r="T77" s="101">
        <v>35179.612999999998</v>
      </c>
      <c r="U77" s="101"/>
      <c r="V77" s="101"/>
      <c r="W77" s="101"/>
      <c r="X77" s="101"/>
      <c r="Y77" s="101"/>
      <c r="Z77" s="101"/>
      <c r="AA77" s="101"/>
      <c r="AB77" s="101"/>
      <c r="AC77" s="101"/>
      <c r="AD77" s="101"/>
      <c r="AE77" s="101"/>
      <c r="AF77" s="101">
        <v>35179.612999999998</v>
      </c>
    </row>
    <row r="78" spans="1:32">
      <c r="B78" s="105"/>
      <c r="C78" s="324">
        <v>2023</v>
      </c>
      <c r="D78" s="324"/>
      <c r="E78" s="324"/>
      <c r="F78" s="324"/>
      <c r="G78" s="324"/>
      <c r="H78" s="324"/>
      <c r="I78" s="324">
        <v>2024</v>
      </c>
      <c r="J78" s="324"/>
      <c r="K78" s="324"/>
      <c r="L78" s="324"/>
      <c r="M78" s="324"/>
      <c r="N78" s="324"/>
      <c r="O78" s="112" t="s">
        <v>732</v>
      </c>
      <c r="P78" s="320" t="s">
        <v>209</v>
      </c>
      <c r="Q78" s="320" t="s">
        <v>155</v>
      </c>
      <c r="S78" s="46" t="s">
        <v>24</v>
      </c>
      <c r="T78" s="101">
        <v>237152.80600000001</v>
      </c>
      <c r="U78" s="101">
        <v>79414.771999999997</v>
      </c>
      <c r="V78" s="101">
        <v>8530.5169999999998</v>
      </c>
      <c r="W78" s="101">
        <v>73910.125</v>
      </c>
      <c r="X78" s="101">
        <v>175893.36900000001</v>
      </c>
      <c r="Y78" s="101"/>
      <c r="Z78" s="101">
        <v>5552.9520000000002</v>
      </c>
      <c r="AA78" s="101">
        <v>8054.9620000000004</v>
      </c>
      <c r="AB78" s="101">
        <v>5944.1440000000002</v>
      </c>
      <c r="AC78" s="101"/>
      <c r="AD78" s="101">
        <v>162811.755</v>
      </c>
      <c r="AE78" s="101">
        <v>32748.723999999998</v>
      </c>
      <c r="AF78" s="101">
        <v>790014.12600000005</v>
      </c>
    </row>
    <row r="79" spans="1:32">
      <c r="B79" s="105" t="s">
        <v>631</v>
      </c>
      <c r="C79" s="113">
        <v>7</v>
      </c>
      <c r="D79" s="113">
        <v>8</v>
      </c>
      <c r="E79" s="113">
        <v>9</v>
      </c>
      <c r="F79" s="113">
        <v>10</v>
      </c>
      <c r="G79" s="113">
        <v>11</v>
      </c>
      <c r="H79" s="113">
        <v>12</v>
      </c>
      <c r="I79" s="113">
        <v>1</v>
      </c>
      <c r="J79" s="113">
        <v>2</v>
      </c>
      <c r="K79" s="113">
        <v>3</v>
      </c>
      <c r="L79" s="113">
        <v>4</v>
      </c>
      <c r="M79" s="113">
        <v>5</v>
      </c>
      <c r="N79" s="113">
        <v>6</v>
      </c>
      <c r="O79" s="113"/>
      <c r="P79" s="320"/>
      <c r="Q79" s="320"/>
      <c r="S79" s="46" t="s">
        <v>43</v>
      </c>
      <c r="T79" s="101">
        <v>69802.061000000002</v>
      </c>
      <c r="U79" s="101">
        <v>9625.92</v>
      </c>
      <c r="V79" s="101">
        <v>5516.1090000000004</v>
      </c>
      <c r="W79" s="101"/>
      <c r="X79" s="101"/>
      <c r="Y79" s="101">
        <v>18967.716</v>
      </c>
      <c r="Z79" s="101"/>
      <c r="AA79" s="101"/>
      <c r="AB79" s="101">
        <v>11732.727999999999</v>
      </c>
      <c r="AC79" s="101">
        <v>107389.103</v>
      </c>
      <c r="AD79" s="101"/>
      <c r="AE79" s="101">
        <v>23376.034</v>
      </c>
      <c r="AF79" s="101">
        <v>246409.67099999997</v>
      </c>
    </row>
    <row r="80" spans="1:32">
      <c r="B80" s="105" t="s">
        <v>120</v>
      </c>
      <c r="C80" s="106">
        <v>35179.612999999998</v>
      </c>
      <c r="D80" s="106"/>
      <c r="E80" s="106"/>
      <c r="F80" s="106"/>
      <c r="G80" s="106"/>
      <c r="H80" s="106"/>
      <c r="I80" s="106"/>
      <c r="J80" s="106"/>
      <c r="K80" s="106"/>
      <c r="L80" s="106"/>
      <c r="M80" s="106"/>
      <c r="N80" s="106"/>
      <c r="O80" s="106">
        <v>35179.612999999998</v>
      </c>
      <c r="P80" s="105" t="s">
        <v>211</v>
      </c>
      <c r="Q80" s="105" t="s">
        <v>743</v>
      </c>
      <c r="S80" s="46" t="s">
        <v>74</v>
      </c>
      <c r="T80" s="101">
        <v>141441.31700000001</v>
      </c>
      <c r="U80" s="101">
        <v>342579.49900000001</v>
      </c>
      <c r="V80" s="101">
        <v>198974.02799999999</v>
      </c>
      <c r="W80" s="101">
        <v>193264.345</v>
      </c>
      <c r="X80" s="101">
        <v>943218.12800000003</v>
      </c>
      <c r="Y80" s="101">
        <v>21080.902999999998</v>
      </c>
      <c r="Z80" s="101">
        <v>273119.82400000002</v>
      </c>
      <c r="AA80" s="101">
        <v>358652.76899999997</v>
      </c>
      <c r="AB80" s="101">
        <v>202846.51800000001</v>
      </c>
      <c r="AC80" s="101">
        <v>810007.51</v>
      </c>
      <c r="AD80" s="101">
        <v>479103.24300000002</v>
      </c>
      <c r="AE80" s="101">
        <v>30936.769</v>
      </c>
      <c r="AF80" s="101">
        <v>3995224.8529999997</v>
      </c>
    </row>
    <row r="81" spans="2:32">
      <c r="B81" s="105" t="s">
        <v>24</v>
      </c>
      <c r="C81" s="106">
        <v>237152.80600000001</v>
      </c>
      <c r="D81" s="106">
        <v>79414.771999999997</v>
      </c>
      <c r="E81" s="106">
        <v>8530.5169999999998</v>
      </c>
      <c r="F81" s="106">
        <v>73910.125</v>
      </c>
      <c r="G81" s="106">
        <v>175893.36900000001</v>
      </c>
      <c r="H81" s="106"/>
      <c r="I81" s="106">
        <v>5552.9520000000002</v>
      </c>
      <c r="J81" s="106">
        <v>8054.9620000000004</v>
      </c>
      <c r="K81" s="106">
        <v>5944.1440000000002</v>
      </c>
      <c r="L81" s="106"/>
      <c r="M81" s="106">
        <v>162811.755</v>
      </c>
      <c r="N81" s="106">
        <v>32748.723999999998</v>
      </c>
      <c r="O81" s="106">
        <v>790014.12600000005</v>
      </c>
      <c r="P81" s="105" t="s">
        <v>211</v>
      </c>
      <c r="Q81" s="105" t="s">
        <v>743</v>
      </c>
      <c r="S81" s="46" t="s">
        <v>66</v>
      </c>
      <c r="T81" s="101">
        <v>226632.03099999999</v>
      </c>
      <c r="U81" s="101"/>
      <c r="V81" s="101"/>
      <c r="W81" s="101">
        <v>139026.641</v>
      </c>
      <c r="X81" s="101">
        <v>129899.383</v>
      </c>
      <c r="Y81" s="101">
        <v>49362.406000000003</v>
      </c>
      <c r="Z81" s="101">
        <v>17941.057000000001</v>
      </c>
      <c r="AA81" s="101">
        <v>126500.008</v>
      </c>
      <c r="AB81" s="101">
        <v>164122.24600000001</v>
      </c>
      <c r="AC81" s="101">
        <v>43023.57</v>
      </c>
      <c r="AD81" s="101">
        <v>71138.228000000003</v>
      </c>
      <c r="AE81" s="101">
        <v>10336.59</v>
      </c>
      <c r="AF81" s="101">
        <v>977982.16</v>
      </c>
    </row>
    <row r="82" spans="2:32">
      <c r="B82" s="105" t="s">
        <v>43</v>
      </c>
      <c r="C82" s="106">
        <v>69802.061000000002</v>
      </c>
      <c r="D82" s="106">
        <v>9625.92</v>
      </c>
      <c r="E82" s="106">
        <v>5516.1090000000004</v>
      </c>
      <c r="F82" s="106"/>
      <c r="G82" s="106"/>
      <c r="H82" s="106">
        <v>18967.716</v>
      </c>
      <c r="I82" s="106"/>
      <c r="J82" s="106"/>
      <c r="K82" s="106">
        <v>11732.727999999999</v>
      </c>
      <c r="L82" s="106">
        <v>107389.103</v>
      </c>
      <c r="M82" s="106"/>
      <c r="N82" s="106">
        <v>23376.034</v>
      </c>
      <c r="O82" s="106">
        <v>246409.67099999997</v>
      </c>
      <c r="P82" s="105" t="s">
        <v>211</v>
      </c>
      <c r="Q82" s="105" t="s">
        <v>743</v>
      </c>
      <c r="S82" s="46" t="s">
        <v>81</v>
      </c>
      <c r="T82" s="101"/>
      <c r="U82" s="101"/>
      <c r="V82" s="101"/>
      <c r="W82" s="101"/>
      <c r="X82" s="101"/>
      <c r="Y82" s="101"/>
      <c r="Z82" s="101"/>
      <c r="AA82" s="101"/>
      <c r="AB82" s="101"/>
      <c r="AC82" s="101">
        <v>9492.5570000000007</v>
      </c>
      <c r="AD82" s="101"/>
      <c r="AE82" s="101"/>
      <c r="AF82" s="101">
        <v>9492.5570000000007</v>
      </c>
    </row>
    <row r="83" spans="2:32">
      <c r="B83" s="105" t="s">
        <v>74</v>
      </c>
      <c r="C83" s="106">
        <v>141441.31700000001</v>
      </c>
      <c r="D83" s="106">
        <v>342579.49900000001</v>
      </c>
      <c r="E83" s="106">
        <v>198974.02799999999</v>
      </c>
      <c r="F83" s="106">
        <v>193264.345</v>
      </c>
      <c r="G83" s="106">
        <v>943218.12800000003</v>
      </c>
      <c r="H83" s="106">
        <v>21080.902999999998</v>
      </c>
      <c r="I83" s="106">
        <v>273119.82400000002</v>
      </c>
      <c r="J83" s="106">
        <v>358652.76899999997</v>
      </c>
      <c r="K83" s="106">
        <v>202846.51800000001</v>
      </c>
      <c r="L83" s="106">
        <v>810007.51</v>
      </c>
      <c r="M83" s="106">
        <v>479103.24300000002</v>
      </c>
      <c r="N83" s="106">
        <v>30936.769</v>
      </c>
      <c r="O83" s="106">
        <v>3995224.8529999997</v>
      </c>
      <c r="P83" s="105" t="s">
        <v>211</v>
      </c>
      <c r="Q83" s="105" t="s">
        <v>743</v>
      </c>
      <c r="S83" s="46" t="s">
        <v>70</v>
      </c>
      <c r="T83" s="101"/>
      <c r="U83" s="101"/>
      <c r="V83" s="101"/>
      <c r="W83" s="101"/>
      <c r="X83" s="101">
        <v>23925.511999999999</v>
      </c>
      <c r="Y83" s="101">
        <v>1022.534</v>
      </c>
      <c r="Z83" s="101">
        <v>187455.016</v>
      </c>
      <c r="AA83" s="101">
        <v>5741.6580000000004</v>
      </c>
      <c r="AB83" s="101">
        <v>1302.0530000000001</v>
      </c>
      <c r="AC83" s="101">
        <v>13800.487999999999</v>
      </c>
      <c r="AD83" s="101">
        <v>3137.3040000000001</v>
      </c>
      <c r="AE83" s="101">
        <v>8827.1029999999992</v>
      </c>
      <c r="AF83" s="101">
        <v>245211.66800000003</v>
      </c>
    </row>
    <row r="84" spans="2:32">
      <c r="B84" s="105" t="s">
        <v>66</v>
      </c>
      <c r="C84" s="106">
        <v>226632.03099999999</v>
      </c>
      <c r="D84" s="106"/>
      <c r="E84" s="106"/>
      <c r="F84" s="106">
        <v>139026.641</v>
      </c>
      <c r="G84" s="106">
        <v>129899.383</v>
      </c>
      <c r="H84" s="106">
        <v>49362.406000000003</v>
      </c>
      <c r="I84" s="106">
        <v>17941.057000000001</v>
      </c>
      <c r="J84" s="106">
        <v>126500.008</v>
      </c>
      <c r="K84" s="106">
        <v>164122.24600000001</v>
      </c>
      <c r="L84" s="106">
        <v>43023.57</v>
      </c>
      <c r="M84" s="106">
        <v>71138.228000000003</v>
      </c>
      <c r="N84" s="106">
        <v>10336.59</v>
      </c>
      <c r="O84" s="106">
        <v>977982.16</v>
      </c>
      <c r="P84" s="105" t="s">
        <v>211</v>
      </c>
      <c r="Q84" s="105" t="s">
        <v>743</v>
      </c>
      <c r="S84" s="46" t="s">
        <v>101</v>
      </c>
      <c r="T84" s="101"/>
      <c r="U84" s="101"/>
      <c r="V84" s="101"/>
      <c r="W84" s="101"/>
      <c r="X84" s="101"/>
      <c r="Y84" s="101"/>
      <c r="Z84" s="101"/>
      <c r="AA84" s="101"/>
      <c r="AB84" s="101"/>
      <c r="AC84" s="101">
        <v>50751.398000000001</v>
      </c>
      <c r="AD84" s="101"/>
      <c r="AE84" s="101"/>
      <c r="AF84" s="101">
        <v>50751.398000000001</v>
      </c>
    </row>
    <row r="85" spans="2:32">
      <c r="B85" s="105" t="s">
        <v>81</v>
      </c>
      <c r="C85" s="106"/>
      <c r="D85" s="106"/>
      <c r="E85" s="106"/>
      <c r="F85" s="106"/>
      <c r="G85" s="106"/>
      <c r="H85" s="106"/>
      <c r="I85" s="106"/>
      <c r="J85" s="106"/>
      <c r="K85" s="106"/>
      <c r="L85" s="106">
        <v>9492.5570000000007</v>
      </c>
      <c r="M85" s="106"/>
      <c r="N85" s="106"/>
      <c r="O85" s="106">
        <v>9492.5570000000007</v>
      </c>
      <c r="P85" s="105" t="s">
        <v>211</v>
      </c>
      <c r="Q85" s="105" t="s">
        <v>743</v>
      </c>
      <c r="S85" s="46" t="s">
        <v>29</v>
      </c>
      <c r="T85" s="101">
        <v>3917081.33</v>
      </c>
      <c r="U85" s="101">
        <v>3674056.4670000002</v>
      </c>
      <c r="V85" s="101">
        <v>2006927.5719999999</v>
      </c>
      <c r="W85" s="101">
        <v>3771688.9730000002</v>
      </c>
      <c r="X85" s="101">
        <v>2812028.003</v>
      </c>
      <c r="Y85" s="101">
        <v>1931498.9539999999</v>
      </c>
      <c r="Z85" s="101">
        <v>3418342.1090000002</v>
      </c>
      <c r="AA85" s="101">
        <v>3475987.2349999999</v>
      </c>
      <c r="AB85" s="101">
        <v>3272985.551</v>
      </c>
      <c r="AC85" s="101">
        <v>2325208.5490000001</v>
      </c>
      <c r="AD85" s="101">
        <v>3895475.72</v>
      </c>
      <c r="AE85" s="101">
        <v>2407047.0120000001</v>
      </c>
      <c r="AF85" s="101">
        <v>36908327.475000001</v>
      </c>
    </row>
    <row r="86" spans="2:32">
      <c r="B86" s="105" t="s">
        <v>70</v>
      </c>
      <c r="C86" s="106"/>
      <c r="D86" s="106"/>
      <c r="E86" s="106"/>
      <c r="F86" s="106"/>
      <c r="G86" s="106">
        <v>23925.511999999999</v>
      </c>
      <c r="H86" s="106">
        <v>1022.534</v>
      </c>
      <c r="I86" s="106">
        <v>187455.016</v>
      </c>
      <c r="J86" s="106">
        <v>5741.6580000000004</v>
      </c>
      <c r="K86" s="106">
        <v>1302.0530000000001</v>
      </c>
      <c r="L86" s="106">
        <v>13800.487999999999</v>
      </c>
      <c r="M86" s="106">
        <v>3137.3040000000001</v>
      </c>
      <c r="N86" s="106">
        <v>8827.1029999999992</v>
      </c>
      <c r="O86" s="106">
        <v>245211.66800000003</v>
      </c>
      <c r="P86" s="105" t="s">
        <v>211</v>
      </c>
      <c r="Q86" s="105" t="s">
        <v>743</v>
      </c>
      <c r="S86" s="46" t="s">
        <v>990</v>
      </c>
      <c r="T86" s="101">
        <v>2019.633</v>
      </c>
      <c r="U86" s="101"/>
      <c r="V86" s="101"/>
      <c r="W86" s="101"/>
      <c r="X86" s="101">
        <v>775.22900000000004</v>
      </c>
      <c r="Y86" s="101"/>
      <c r="Z86" s="101"/>
      <c r="AA86" s="101">
        <v>10652.885</v>
      </c>
      <c r="AB86" s="101"/>
      <c r="AC86" s="101"/>
      <c r="AD86" s="101">
        <v>175195.81299999999</v>
      </c>
      <c r="AE86" s="101"/>
      <c r="AF86" s="101">
        <v>188643.56</v>
      </c>
    </row>
    <row r="87" spans="2:32">
      <c r="B87" s="105" t="s">
        <v>101</v>
      </c>
      <c r="C87" s="106"/>
      <c r="D87" s="106"/>
      <c r="E87" s="106"/>
      <c r="F87" s="106"/>
      <c r="G87" s="106"/>
      <c r="H87" s="106"/>
      <c r="I87" s="106"/>
      <c r="J87" s="106"/>
      <c r="K87" s="106"/>
      <c r="L87" s="106">
        <v>50751.398000000001</v>
      </c>
      <c r="M87" s="106"/>
      <c r="N87" s="106"/>
      <c r="O87" s="106">
        <v>50751.398000000001</v>
      </c>
      <c r="P87" s="105" t="s">
        <v>211</v>
      </c>
      <c r="Q87" s="105" t="s">
        <v>743</v>
      </c>
      <c r="S87" s="46" t="s">
        <v>753</v>
      </c>
      <c r="T87" s="101"/>
      <c r="U87" s="101"/>
      <c r="V87" s="101"/>
      <c r="W87" s="101"/>
      <c r="X87" s="101"/>
      <c r="Y87" s="101"/>
      <c r="Z87" s="101"/>
      <c r="AA87" s="101"/>
      <c r="AB87" s="101"/>
      <c r="AC87" s="101"/>
      <c r="AD87" s="101">
        <v>22595.478999999999</v>
      </c>
      <c r="AE87" s="101"/>
      <c r="AF87" s="101">
        <v>22595.478999999999</v>
      </c>
    </row>
    <row r="88" spans="2:32">
      <c r="B88" s="105" t="s">
        <v>29</v>
      </c>
      <c r="C88" s="106">
        <v>3917081.33</v>
      </c>
      <c r="D88" s="106">
        <v>3674056.4670000002</v>
      </c>
      <c r="E88" s="106">
        <v>2006927.5719999999</v>
      </c>
      <c r="F88" s="106">
        <v>3771688.9730000002</v>
      </c>
      <c r="G88" s="106">
        <v>2812028.003</v>
      </c>
      <c r="H88" s="106">
        <v>1931498.9539999999</v>
      </c>
      <c r="I88" s="106">
        <v>3418342.1090000002</v>
      </c>
      <c r="J88" s="106">
        <v>3475987.2349999999</v>
      </c>
      <c r="K88" s="106">
        <v>3272985.551</v>
      </c>
      <c r="L88" s="106">
        <v>2325208.5490000001</v>
      </c>
      <c r="M88" s="106">
        <v>3895475.72</v>
      </c>
      <c r="N88" s="106">
        <v>2407047.0120000001</v>
      </c>
      <c r="O88" s="106">
        <v>36908327.475000001</v>
      </c>
      <c r="P88" s="105" t="s">
        <v>210</v>
      </c>
      <c r="Q88" s="105" t="s">
        <v>743</v>
      </c>
      <c r="S88" s="46" t="s">
        <v>72</v>
      </c>
      <c r="T88" s="101">
        <v>138544.38699999999</v>
      </c>
      <c r="U88" s="101">
        <v>197636.00599999999</v>
      </c>
      <c r="V88" s="101">
        <v>142508.75599999999</v>
      </c>
      <c r="W88" s="101">
        <v>164337.46900000001</v>
      </c>
      <c r="X88" s="101">
        <v>342929.83600000001</v>
      </c>
      <c r="Y88" s="101">
        <v>11327.14</v>
      </c>
      <c r="Z88" s="101">
        <v>74217.725999999995</v>
      </c>
      <c r="AA88" s="101">
        <v>284696.64799999999</v>
      </c>
      <c r="AB88" s="101">
        <v>370849.625</v>
      </c>
      <c r="AC88" s="101">
        <v>38092.372000000003</v>
      </c>
      <c r="AD88" s="101">
        <v>345917.80200000003</v>
      </c>
      <c r="AE88" s="101">
        <v>58780.34</v>
      </c>
      <c r="AF88" s="101">
        <v>2169838.1069999998</v>
      </c>
    </row>
    <row r="89" spans="2:32">
      <c r="B89" s="105" t="s">
        <v>990</v>
      </c>
      <c r="C89" s="106">
        <v>2019.633</v>
      </c>
      <c r="D89" s="106"/>
      <c r="E89" s="106"/>
      <c r="F89" s="106"/>
      <c r="G89" s="106">
        <v>775.22900000000004</v>
      </c>
      <c r="H89" s="106"/>
      <c r="I89" s="106"/>
      <c r="J89" s="106">
        <v>10652.885</v>
      </c>
      <c r="K89" s="106"/>
      <c r="L89" s="106"/>
      <c r="M89" s="106">
        <v>175195.81299999999</v>
      </c>
      <c r="N89" s="106"/>
      <c r="O89" s="106">
        <v>188643.56</v>
      </c>
      <c r="P89" s="105" t="s">
        <v>210</v>
      </c>
      <c r="Q89" s="105" t="s">
        <v>743</v>
      </c>
      <c r="S89" s="46" t="s">
        <v>103</v>
      </c>
      <c r="T89" s="101"/>
      <c r="U89" s="101">
        <v>12235.47</v>
      </c>
      <c r="V89" s="101"/>
      <c r="W89" s="101"/>
      <c r="X89" s="101"/>
      <c r="Y89" s="101"/>
      <c r="Z89" s="101"/>
      <c r="AA89" s="101"/>
      <c r="AB89" s="101"/>
      <c r="AC89" s="101"/>
      <c r="AD89" s="101"/>
      <c r="AE89" s="101"/>
      <c r="AF89" s="101">
        <v>12235.47</v>
      </c>
    </row>
    <row r="90" spans="2:32">
      <c r="B90" s="105" t="s">
        <v>753</v>
      </c>
      <c r="C90" s="106"/>
      <c r="D90" s="106"/>
      <c r="E90" s="106"/>
      <c r="F90" s="106"/>
      <c r="G90" s="106"/>
      <c r="H90" s="106"/>
      <c r="I90" s="106"/>
      <c r="J90" s="106"/>
      <c r="K90" s="106"/>
      <c r="L90" s="106"/>
      <c r="M90" s="106">
        <v>22595.478999999999</v>
      </c>
      <c r="N90" s="106"/>
      <c r="O90" s="106">
        <v>22595.478999999999</v>
      </c>
      <c r="P90" s="105" t="s">
        <v>211</v>
      </c>
      <c r="Q90" s="105" t="s">
        <v>743</v>
      </c>
      <c r="S90" s="46" t="s">
        <v>73</v>
      </c>
      <c r="T90" s="101"/>
      <c r="U90" s="101"/>
      <c r="V90" s="101"/>
      <c r="W90" s="101"/>
      <c r="X90" s="101"/>
      <c r="Y90" s="101"/>
      <c r="Z90" s="101"/>
      <c r="AA90" s="101">
        <v>1259.0419999999999</v>
      </c>
      <c r="AB90" s="101">
        <v>6548.5770000000002</v>
      </c>
      <c r="AC90" s="101"/>
      <c r="AD90" s="101"/>
      <c r="AE90" s="101"/>
      <c r="AF90" s="101">
        <v>7807.6190000000006</v>
      </c>
    </row>
    <row r="91" spans="2:32">
      <c r="B91" s="105" t="s">
        <v>72</v>
      </c>
      <c r="C91" s="106">
        <v>138544.38699999999</v>
      </c>
      <c r="D91" s="106">
        <v>197636.00599999999</v>
      </c>
      <c r="E91" s="106">
        <v>142508.75599999999</v>
      </c>
      <c r="F91" s="106">
        <v>164337.46900000001</v>
      </c>
      <c r="G91" s="106">
        <v>342929.83600000001</v>
      </c>
      <c r="H91" s="106">
        <v>11327.14</v>
      </c>
      <c r="I91" s="106">
        <v>74217.725999999995</v>
      </c>
      <c r="J91" s="106">
        <v>284696.64799999999</v>
      </c>
      <c r="K91" s="106">
        <v>370849.625</v>
      </c>
      <c r="L91" s="106">
        <v>38092.372000000003</v>
      </c>
      <c r="M91" s="106">
        <v>345917.80200000003</v>
      </c>
      <c r="N91" s="106">
        <v>58780.34</v>
      </c>
      <c r="O91" s="106">
        <v>2169838.1069999998</v>
      </c>
      <c r="P91" s="105" t="s">
        <v>211</v>
      </c>
      <c r="Q91" s="105" t="s">
        <v>743</v>
      </c>
      <c r="S91" s="46" t="s">
        <v>69</v>
      </c>
      <c r="T91" s="101">
        <v>1864017.8729999999</v>
      </c>
      <c r="U91" s="101">
        <v>1189879.575</v>
      </c>
      <c r="V91" s="101">
        <v>604056.24199999997</v>
      </c>
      <c r="W91" s="101">
        <v>487935.12099999998</v>
      </c>
      <c r="X91" s="101">
        <v>484306.92099999997</v>
      </c>
      <c r="Y91" s="101">
        <v>392115.68300000002</v>
      </c>
      <c r="Z91" s="101">
        <v>1358472.8470000001</v>
      </c>
      <c r="AA91" s="101">
        <v>519868.68</v>
      </c>
      <c r="AB91" s="101">
        <v>526562.34600000002</v>
      </c>
      <c r="AC91" s="101">
        <v>841184.31400000001</v>
      </c>
      <c r="AD91" s="101">
        <v>831589.93400000001</v>
      </c>
      <c r="AE91" s="101">
        <v>346904.16</v>
      </c>
      <c r="AF91" s="101">
        <v>9446893.6960000005</v>
      </c>
    </row>
    <row r="92" spans="2:32">
      <c r="B92" s="105" t="s">
        <v>103</v>
      </c>
      <c r="C92" s="106"/>
      <c r="D92" s="106">
        <v>12235.47</v>
      </c>
      <c r="E92" s="106"/>
      <c r="F92" s="106"/>
      <c r="G92" s="106"/>
      <c r="H92" s="106"/>
      <c r="I92" s="106"/>
      <c r="J92" s="106"/>
      <c r="K92" s="106"/>
      <c r="L92" s="106"/>
      <c r="M92" s="106"/>
      <c r="N92" s="106"/>
      <c r="O92" s="106">
        <v>12235.47</v>
      </c>
      <c r="P92" s="105" t="s">
        <v>211</v>
      </c>
      <c r="Q92" s="105" t="s">
        <v>743</v>
      </c>
      <c r="S92" s="46" t="s">
        <v>196</v>
      </c>
      <c r="T92" s="101"/>
      <c r="U92" s="101"/>
      <c r="V92" s="101"/>
      <c r="W92" s="101"/>
      <c r="X92" s="101"/>
      <c r="Y92" s="101">
        <v>90340.327999999994</v>
      </c>
      <c r="Z92" s="101"/>
      <c r="AA92" s="101">
        <v>21710.123</v>
      </c>
      <c r="AB92" s="101"/>
      <c r="AC92" s="101"/>
      <c r="AD92" s="101">
        <v>41240.093999999997</v>
      </c>
      <c r="AE92" s="101"/>
      <c r="AF92" s="101">
        <v>153290.54499999998</v>
      </c>
    </row>
    <row r="93" spans="2:32">
      <c r="B93" s="105" t="s">
        <v>73</v>
      </c>
      <c r="C93" s="106"/>
      <c r="D93" s="106"/>
      <c r="E93" s="106"/>
      <c r="F93" s="106"/>
      <c r="G93" s="106"/>
      <c r="H93" s="106"/>
      <c r="I93" s="106"/>
      <c r="J93" s="106">
        <v>1259.0419999999999</v>
      </c>
      <c r="K93" s="106">
        <v>6548.5770000000002</v>
      </c>
      <c r="L93" s="106"/>
      <c r="M93" s="106"/>
      <c r="N93" s="106"/>
      <c r="O93" s="106">
        <v>7807.6190000000006</v>
      </c>
      <c r="P93" s="105" t="s">
        <v>211</v>
      </c>
      <c r="Q93" s="105" t="s">
        <v>743</v>
      </c>
      <c r="S93" s="46" t="s">
        <v>30</v>
      </c>
      <c r="T93" s="101">
        <v>2990889.01</v>
      </c>
      <c r="U93" s="101">
        <v>2067505.3859999999</v>
      </c>
      <c r="V93" s="101">
        <v>1991176.7819999999</v>
      </c>
      <c r="W93" s="101">
        <v>2941563.6370000001</v>
      </c>
      <c r="X93" s="101">
        <v>1813024.0020000001</v>
      </c>
      <c r="Y93" s="101">
        <v>1857870.848</v>
      </c>
      <c r="Z93" s="101">
        <v>2102616.5950000002</v>
      </c>
      <c r="AA93" s="101">
        <v>2624097.1660000002</v>
      </c>
      <c r="AB93" s="101">
        <v>1690771.6910000001</v>
      </c>
      <c r="AC93" s="101">
        <v>2210779.0359999998</v>
      </c>
      <c r="AD93" s="101">
        <v>2592793.946</v>
      </c>
      <c r="AE93" s="101">
        <v>1619797.2549999999</v>
      </c>
      <c r="AF93" s="101">
        <v>26502885.353999995</v>
      </c>
    </row>
    <row r="94" spans="2:32">
      <c r="B94" s="105" t="s">
        <v>69</v>
      </c>
      <c r="C94" s="106">
        <v>1864017.8729999999</v>
      </c>
      <c r="D94" s="106">
        <v>1189879.575</v>
      </c>
      <c r="E94" s="106">
        <v>604056.24199999997</v>
      </c>
      <c r="F94" s="106">
        <v>487935.12099999998</v>
      </c>
      <c r="G94" s="106">
        <v>484306.92099999997</v>
      </c>
      <c r="H94" s="106">
        <v>392115.68300000002</v>
      </c>
      <c r="I94" s="106">
        <v>1358472.8470000001</v>
      </c>
      <c r="J94" s="106">
        <v>519868.68</v>
      </c>
      <c r="K94" s="106">
        <v>526562.34600000002</v>
      </c>
      <c r="L94" s="106">
        <v>841184.31400000001</v>
      </c>
      <c r="M94" s="106">
        <v>831589.93400000001</v>
      </c>
      <c r="N94" s="106">
        <v>346904.16</v>
      </c>
      <c r="O94" s="106">
        <v>9446893.6960000005</v>
      </c>
      <c r="P94" s="105" t="s">
        <v>211</v>
      </c>
      <c r="Q94" s="105" t="s">
        <v>743</v>
      </c>
      <c r="S94" s="46" t="s">
        <v>65</v>
      </c>
      <c r="T94" s="101"/>
      <c r="U94" s="101"/>
      <c r="V94" s="101">
        <v>70755.077999999994</v>
      </c>
      <c r="W94" s="101"/>
      <c r="X94" s="101"/>
      <c r="Y94" s="101"/>
      <c r="Z94" s="101">
        <v>658.78099999999995</v>
      </c>
      <c r="AA94" s="101">
        <v>37767.942999999999</v>
      </c>
      <c r="AB94" s="101">
        <v>4033.8879999999999</v>
      </c>
      <c r="AC94" s="101"/>
      <c r="AD94" s="101"/>
      <c r="AE94" s="101"/>
      <c r="AF94" s="101">
        <v>113215.69</v>
      </c>
    </row>
    <row r="95" spans="2:32">
      <c r="B95" s="105" t="s">
        <v>196</v>
      </c>
      <c r="C95" s="106"/>
      <c r="D95" s="106"/>
      <c r="E95" s="106"/>
      <c r="F95" s="106"/>
      <c r="G95" s="106"/>
      <c r="H95" s="106">
        <v>90340.327999999994</v>
      </c>
      <c r="I95" s="106"/>
      <c r="J95" s="106">
        <v>21710.123</v>
      </c>
      <c r="K95" s="106"/>
      <c r="L95" s="106"/>
      <c r="M95" s="106">
        <v>41240.093999999997</v>
      </c>
      <c r="N95" s="106"/>
      <c r="O95" s="106">
        <v>153290.54499999998</v>
      </c>
      <c r="P95" s="105" t="s">
        <v>211</v>
      </c>
      <c r="Q95" s="105" t="s">
        <v>743</v>
      </c>
      <c r="S95" s="46" t="s">
        <v>82</v>
      </c>
      <c r="T95" s="101"/>
      <c r="U95" s="101"/>
      <c r="V95" s="101"/>
      <c r="W95" s="101"/>
      <c r="X95" s="101"/>
      <c r="Y95" s="101"/>
      <c r="Z95" s="101"/>
      <c r="AA95" s="101"/>
      <c r="AB95" s="101">
        <v>27588.785</v>
      </c>
      <c r="AC95" s="101"/>
      <c r="AD95" s="101"/>
      <c r="AE95" s="101"/>
      <c r="AF95" s="101">
        <v>27588.785</v>
      </c>
    </row>
    <row r="96" spans="2:32">
      <c r="B96" s="105" t="s">
        <v>30</v>
      </c>
      <c r="C96" s="106">
        <v>2990889.01</v>
      </c>
      <c r="D96" s="106">
        <v>2067505.3859999999</v>
      </c>
      <c r="E96" s="106">
        <v>1991176.7819999999</v>
      </c>
      <c r="F96" s="106">
        <v>2941563.6370000001</v>
      </c>
      <c r="G96" s="106">
        <v>1813024.0020000001</v>
      </c>
      <c r="H96" s="106">
        <v>1857870.848</v>
      </c>
      <c r="I96" s="106">
        <v>2102616.5950000002</v>
      </c>
      <c r="J96" s="106">
        <v>2624097.1660000002</v>
      </c>
      <c r="K96" s="106">
        <v>1690771.6910000001</v>
      </c>
      <c r="L96" s="106">
        <v>2210779.0359999998</v>
      </c>
      <c r="M96" s="106">
        <v>2592793.946</v>
      </c>
      <c r="N96" s="106">
        <v>1619797.2549999999</v>
      </c>
      <c r="O96" s="106">
        <v>26502885.353999995</v>
      </c>
      <c r="P96" s="105" t="s">
        <v>211</v>
      </c>
      <c r="Q96" s="105" t="s">
        <v>743</v>
      </c>
      <c r="S96" s="46" t="s">
        <v>0</v>
      </c>
      <c r="T96" s="101">
        <v>1807590.69</v>
      </c>
      <c r="U96" s="101">
        <v>1394876.2409999999</v>
      </c>
      <c r="V96" s="101">
        <v>1364649.9280000001</v>
      </c>
      <c r="W96" s="101">
        <v>1837089.402</v>
      </c>
      <c r="X96" s="101">
        <v>1310581.281</v>
      </c>
      <c r="Y96" s="101">
        <v>851788.07799999998</v>
      </c>
      <c r="Z96" s="101">
        <v>646317.58400000003</v>
      </c>
      <c r="AA96" s="101">
        <v>1101260.5149999999</v>
      </c>
      <c r="AB96" s="101">
        <v>750184.40899999999</v>
      </c>
      <c r="AC96" s="101">
        <v>933137.39199999999</v>
      </c>
      <c r="AD96" s="101">
        <v>1721258.6470000001</v>
      </c>
      <c r="AE96" s="101">
        <v>789668.32</v>
      </c>
      <c r="AF96" s="101">
        <v>14508402.487</v>
      </c>
    </row>
    <row r="97" spans="2:32">
      <c r="B97" s="105" t="s">
        <v>65</v>
      </c>
      <c r="C97" s="106"/>
      <c r="D97" s="106"/>
      <c r="E97" s="106">
        <v>70755.077999999994</v>
      </c>
      <c r="F97" s="106"/>
      <c r="G97" s="106"/>
      <c r="H97" s="106"/>
      <c r="I97" s="106">
        <v>658.78099999999995</v>
      </c>
      <c r="J97" s="106">
        <v>37767.942999999999</v>
      </c>
      <c r="K97" s="106">
        <v>4033.8879999999999</v>
      </c>
      <c r="L97" s="106"/>
      <c r="M97" s="106"/>
      <c r="N97" s="106"/>
      <c r="O97" s="106">
        <v>113215.69</v>
      </c>
      <c r="P97" s="105" t="s">
        <v>211</v>
      </c>
      <c r="Q97" s="105" t="s">
        <v>743</v>
      </c>
      <c r="S97" s="46" t="s">
        <v>44</v>
      </c>
      <c r="T97" s="101"/>
      <c r="U97" s="101"/>
      <c r="V97" s="101"/>
      <c r="W97" s="101">
        <v>1947.605</v>
      </c>
      <c r="X97" s="101"/>
      <c r="Y97" s="101">
        <v>41814.023000000001</v>
      </c>
      <c r="Z97" s="101">
        <v>16.151</v>
      </c>
      <c r="AA97" s="101"/>
      <c r="AB97" s="101">
        <v>175392.17199999999</v>
      </c>
      <c r="AC97" s="101"/>
      <c r="AD97" s="101">
        <v>25802.384999999998</v>
      </c>
      <c r="AE97" s="101">
        <v>103673.016</v>
      </c>
      <c r="AF97" s="101">
        <v>348645.35200000001</v>
      </c>
    </row>
    <row r="98" spans="2:32">
      <c r="B98" s="105" t="s">
        <v>82</v>
      </c>
      <c r="C98" s="106"/>
      <c r="D98" s="106"/>
      <c r="E98" s="106"/>
      <c r="F98" s="106"/>
      <c r="G98" s="106"/>
      <c r="H98" s="106"/>
      <c r="I98" s="106"/>
      <c r="J98" s="106"/>
      <c r="K98" s="106">
        <v>27588.785</v>
      </c>
      <c r="L98" s="106"/>
      <c r="M98" s="106"/>
      <c r="N98" s="106"/>
      <c r="O98" s="106">
        <v>27588.785</v>
      </c>
      <c r="P98" s="105" t="s">
        <v>211</v>
      </c>
      <c r="Q98" s="105" t="s">
        <v>743</v>
      </c>
      <c r="S98" s="46" t="s">
        <v>87</v>
      </c>
      <c r="T98" s="101"/>
      <c r="U98" s="101"/>
      <c r="V98" s="101">
        <v>28110.412</v>
      </c>
      <c r="W98" s="101"/>
      <c r="X98" s="101"/>
      <c r="Y98" s="101"/>
      <c r="Z98" s="101"/>
      <c r="AA98" s="101"/>
      <c r="AB98" s="101">
        <v>38649.370999999999</v>
      </c>
      <c r="AC98" s="101"/>
      <c r="AD98" s="101"/>
      <c r="AE98" s="101"/>
      <c r="AF98" s="101">
        <v>66759.782999999996</v>
      </c>
    </row>
    <row r="99" spans="2:32">
      <c r="B99" s="105" t="s">
        <v>0</v>
      </c>
      <c r="C99" s="106">
        <v>1807590.69</v>
      </c>
      <c r="D99" s="106">
        <v>1394876.2409999999</v>
      </c>
      <c r="E99" s="106">
        <v>1364649.9280000001</v>
      </c>
      <c r="F99" s="106">
        <v>1837089.402</v>
      </c>
      <c r="G99" s="106">
        <v>1310581.281</v>
      </c>
      <c r="H99" s="106">
        <v>851788.07799999998</v>
      </c>
      <c r="I99" s="106">
        <v>646317.58400000003</v>
      </c>
      <c r="J99" s="106">
        <v>1101260.5149999999</v>
      </c>
      <c r="K99" s="106">
        <v>750184.40899999999</v>
      </c>
      <c r="L99" s="106">
        <v>933137.39199999999</v>
      </c>
      <c r="M99" s="106">
        <v>1721258.6470000001</v>
      </c>
      <c r="N99" s="106">
        <v>789668.32</v>
      </c>
      <c r="O99" s="106">
        <v>14508402.487</v>
      </c>
      <c r="P99" s="105" t="s">
        <v>211</v>
      </c>
      <c r="Q99" s="105" t="s">
        <v>743</v>
      </c>
      <c r="S99" s="46" t="s">
        <v>100</v>
      </c>
      <c r="T99" s="101">
        <v>41901.120999999999</v>
      </c>
      <c r="U99" s="101"/>
      <c r="V99" s="101"/>
      <c r="W99" s="101">
        <v>61909.381000000001</v>
      </c>
      <c r="X99" s="101">
        <v>92299.286999999997</v>
      </c>
      <c r="Y99" s="101">
        <v>105725.73</v>
      </c>
      <c r="Z99" s="101"/>
      <c r="AA99" s="101">
        <v>9915.1769999999997</v>
      </c>
      <c r="AB99" s="101">
        <v>38604.042999999998</v>
      </c>
      <c r="AC99" s="101">
        <v>73011.808999999994</v>
      </c>
      <c r="AD99" s="101">
        <v>30039.842000000001</v>
      </c>
      <c r="AE99" s="101">
        <v>41890.703000000001</v>
      </c>
      <c r="AF99" s="101">
        <v>495297.09299999999</v>
      </c>
    </row>
    <row r="100" spans="2:32">
      <c r="B100" s="105" t="s">
        <v>44</v>
      </c>
      <c r="C100" s="106"/>
      <c r="D100" s="106"/>
      <c r="E100" s="106"/>
      <c r="F100" s="106">
        <v>1947.605</v>
      </c>
      <c r="G100" s="106"/>
      <c r="H100" s="106">
        <v>41814.023000000001</v>
      </c>
      <c r="I100" s="106">
        <v>16.151</v>
      </c>
      <c r="J100" s="106"/>
      <c r="K100" s="106">
        <v>175392.17199999999</v>
      </c>
      <c r="L100" s="106"/>
      <c r="M100" s="106">
        <v>25802.384999999998</v>
      </c>
      <c r="N100" s="106">
        <v>103673.016</v>
      </c>
      <c r="O100" s="106">
        <v>348645.35200000001</v>
      </c>
      <c r="P100" s="105" t="s">
        <v>211</v>
      </c>
      <c r="Q100" s="105" t="s">
        <v>743</v>
      </c>
      <c r="S100" s="46" t="s">
        <v>71</v>
      </c>
      <c r="T100" s="101">
        <v>798532.58200000005</v>
      </c>
      <c r="U100" s="101">
        <v>1527463.7830000001</v>
      </c>
      <c r="V100" s="101">
        <v>776575.70200000005</v>
      </c>
      <c r="W100" s="101">
        <v>950774.85199999996</v>
      </c>
      <c r="X100" s="101">
        <v>633707.96</v>
      </c>
      <c r="Y100" s="101">
        <v>509975.26899999997</v>
      </c>
      <c r="Z100" s="101">
        <v>460043.59</v>
      </c>
      <c r="AA100" s="101">
        <v>425164.39399999997</v>
      </c>
      <c r="AB100" s="101">
        <v>1468178.703</v>
      </c>
      <c r="AC100" s="101">
        <v>1230304.949</v>
      </c>
      <c r="AD100" s="101">
        <v>666247.69299999997</v>
      </c>
      <c r="AE100" s="101">
        <v>791734.076</v>
      </c>
      <c r="AF100" s="101">
        <v>10238703.553000001</v>
      </c>
    </row>
    <row r="101" spans="2:32">
      <c r="B101" s="105" t="s">
        <v>87</v>
      </c>
      <c r="C101" s="106"/>
      <c r="D101" s="106"/>
      <c r="E101" s="106">
        <v>28110.412</v>
      </c>
      <c r="F101" s="106"/>
      <c r="G101" s="106"/>
      <c r="H101" s="106"/>
      <c r="I101" s="106"/>
      <c r="J101" s="106"/>
      <c r="K101" s="106">
        <v>38649.370999999999</v>
      </c>
      <c r="L101" s="106"/>
      <c r="M101" s="106"/>
      <c r="N101" s="106"/>
      <c r="O101" s="106">
        <v>66759.782999999996</v>
      </c>
      <c r="P101" s="105" t="s">
        <v>211</v>
      </c>
      <c r="Q101" s="105" t="s">
        <v>743</v>
      </c>
      <c r="S101" s="46" t="s">
        <v>32</v>
      </c>
      <c r="T101" s="101"/>
      <c r="U101" s="101">
        <v>7848.2830000000004</v>
      </c>
      <c r="V101" s="101">
        <v>24686.481</v>
      </c>
      <c r="W101" s="101">
        <v>27943.717000000001</v>
      </c>
      <c r="X101" s="101">
        <v>5267.6610000000001</v>
      </c>
      <c r="Y101" s="101">
        <v>1603.5260000000001</v>
      </c>
      <c r="Z101" s="101">
        <v>18942.331999999999</v>
      </c>
      <c r="AA101" s="101">
        <v>133876.166</v>
      </c>
      <c r="AB101" s="101">
        <v>190.696</v>
      </c>
      <c r="AC101" s="101">
        <v>19736.231</v>
      </c>
      <c r="AD101" s="101">
        <v>80804.236000000004</v>
      </c>
      <c r="AE101" s="101">
        <v>2266.5920000000001</v>
      </c>
      <c r="AF101" s="101">
        <v>323165.92099999997</v>
      </c>
    </row>
    <row r="102" spans="2:32">
      <c r="B102" s="105" t="s">
        <v>100</v>
      </c>
      <c r="C102" s="106">
        <v>41901.120999999999</v>
      </c>
      <c r="D102" s="106"/>
      <c r="E102" s="106"/>
      <c r="F102" s="106">
        <v>61909.381000000001</v>
      </c>
      <c r="G102" s="106">
        <v>92299.286999999997</v>
      </c>
      <c r="H102" s="106">
        <v>105725.73</v>
      </c>
      <c r="I102" s="106"/>
      <c r="J102" s="106">
        <v>9915.1769999999997</v>
      </c>
      <c r="K102" s="106">
        <v>38604.042999999998</v>
      </c>
      <c r="L102" s="106">
        <v>73011.808999999994</v>
      </c>
      <c r="M102" s="106">
        <v>30039.842000000001</v>
      </c>
      <c r="N102" s="106">
        <v>41890.703000000001</v>
      </c>
      <c r="O102" s="106">
        <v>495297.09299999999</v>
      </c>
      <c r="P102" s="105" t="s">
        <v>211</v>
      </c>
      <c r="Q102" s="105" t="s">
        <v>743</v>
      </c>
      <c r="S102" s="46" t="s">
        <v>214</v>
      </c>
      <c r="T102" s="101"/>
      <c r="U102" s="101"/>
      <c r="V102" s="101">
        <v>172950.016</v>
      </c>
      <c r="W102" s="101"/>
      <c r="X102" s="101">
        <v>62748.027000000002</v>
      </c>
      <c r="Y102" s="101">
        <v>142875</v>
      </c>
      <c r="Z102" s="101"/>
      <c r="AA102" s="101"/>
      <c r="AB102" s="101"/>
      <c r="AC102" s="101">
        <v>113412.016</v>
      </c>
      <c r="AD102" s="101">
        <v>7425.0230000000001</v>
      </c>
      <c r="AE102" s="101">
        <v>351394.50799999997</v>
      </c>
      <c r="AF102" s="101">
        <v>850804.59</v>
      </c>
    </row>
    <row r="103" spans="2:32">
      <c r="B103" s="105" t="s">
        <v>71</v>
      </c>
      <c r="C103" s="106">
        <v>798532.58200000005</v>
      </c>
      <c r="D103" s="106">
        <v>1527463.7830000001</v>
      </c>
      <c r="E103" s="106">
        <v>776575.70200000005</v>
      </c>
      <c r="F103" s="106">
        <v>950774.85199999996</v>
      </c>
      <c r="G103" s="106">
        <v>633707.96</v>
      </c>
      <c r="H103" s="106">
        <v>509975.26899999997</v>
      </c>
      <c r="I103" s="106">
        <v>460043.59</v>
      </c>
      <c r="J103" s="106">
        <v>425164.39399999997</v>
      </c>
      <c r="K103" s="106">
        <v>1468178.703</v>
      </c>
      <c r="L103" s="106">
        <v>1230304.949</v>
      </c>
      <c r="M103" s="106">
        <v>666247.69299999997</v>
      </c>
      <c r="N103" s="106">
        <v>791734.076</v>
      </c>
      <c r="O103" s="106">
        <v>10238703.553000001</v>
      </c>
      <c r="P103" s="105" t="s">
        <v>211</v>
      </c>
      <c r="Q103" s="105" t="s">
        <v>743</v>
      </c>
      <c r="S103" s="46" t="s">
        <v>88</v>
      </c>
      <c r="T103" s="101"/>
      <c r="U103" s="101"/>
      <c r="V103" s="101"/>
      <c r="W103" s="101"/>
      <c r="X103" s="101"/>
      <c r="Y103" s="101"/>
      <c r="Z103" s="101"/>
      <c r="AA103" s="101"/>
      <c r="AB103" s="101"/>
      <c r="AC103" s="101"/>
      <c r="AD103" s="101">
        <v>6246.7979999999998</v>
      </c>
      <c r="AE103" s="101"/>
      <c r="AF103" s="101">
        <v>6246.7979999999998</v>
      </c>
    </row>
    <row r="104" spans="2:32">
      <c r="B104" s="105" t="s">
        <v>32</v>
      </c>
      <c r="C104" s="106"/>
      <c r="D104" s="106">
        <v>7848.2830000000004</v>
      </c>
      <c r="E104" s="106">
        <v>24686.481</v>
      </c>
      <c r="F104" s="106">
        <v>27943.717000000001</v>
      </c>
      <c r="G104" s="106">
        <v>5267.6610000000001</v>
      </c>
      <c r="H104" s="106">
        <v>1603.5260000000001</v>
      </c>
      <c r="I104" s="106">
        <v>18942.331999999999</v>
      </c>
      <c r="J104" s="106">
        <v>133876.166</v>
      </c>
      <c r="K104" s="106">
        <v>190.696</v>
      </c>
      <c r="L104" s="106">
        <v>19736.231</v>
      </c>
      <c r="M104" s="106">
        <v>80804.236000000004</v>
      </c>
      <c r="N104" s="106">
        <v>2266.5920000000001</v>
      </c>
      <c r="O104" s="106">
        <v>323165.92099999997</v>
      </c>
      <c r="P104" s="105" t="s">
        <v>211</v>
      </c>
      <c r="Q104" s="105" t="s">
        <v>743</v>
      </c>
      <c r="S104" s="46" t="s">
        <v>89</v>
      </c>
      <c r="T104" s="101"/>
      <c r="U104" s="101">
        <v>3497.8969999999999</v>
      </c>
      <c r="V104" s="101"/>
      <c r="W104" s="101"/>
      <c r="X104" s="101"/>
      <c r="Y104" s="101"/>
      <c r="Z104" s="101"/>
      <c r="AA104" s="101"/>
      <c r="AB104" s="101"/>
      <c r="AC104" s="101"/>
      <c r="AD104" s="101"/>
      <c r="AE104" s="101"/>
      <c r="AF104" s="101">
        <v>3497.8969999999999</v>
      </c>
    </row>
    <row r="105" spans="2:32">
      <c r="B105" s="105" t="s">
        <v>214</v>
      </c>
      <c r="C105" s="106"/>
      <c r="D105" s="106"/>
      <c r="E105" s="106">
        <v>172950.016</v>
      </c>
      <c r="F105" s="106"/>
      <c r="G105" s="106">
        <v>62748.027000000002</v>
      </c>
      <c r="H105" s="106">
        <v>142875</v>
      </c>
      <c r="I105" s="106"/>
      <c r="J105" s="106"/>
      <c r="K105" s="106"/>
      <c r="L105" s="106">
        <v>113412.016</v>
      </c>
      <c r="M105" s="106">
        <v>7425.0230000000001</v>
      </c>
      <c r="N105" s="106">
        <v>351394.50799999997</v>
      </c>
      <c r="O105" s="106">
        <v>850804.59</v>
      </c>
      <c r="P105" s="105" t="s">
        <v>211</v>
      </c>
      <c r="Q105" s="105" t="s">
        <v>743</v>
      </c>
      <c r="S105" s="46" t="s">
        <v>26</v>
      </c>
      <c r="T105" s="101">
        <v>117869.68399999999</v>
      </c>
      <c r="U105" s="101">
        <v>206222.96100000001</v>
      </c>
      <c r="V105" s="101">
        <v>5606.3890000000001</v>
      </c>
      <c r="W105" s="101"/>
      <c r="X105" s="101">
        <v>38630.597000000002</v>
      </c>
      <c r="Y105" s="101">
        <v>42193.834000000003</v>
      </c>
      <c r="Z105" s="101">
        <v>235092.11300000001</v>
      </c>
      <c r="AA105" s="101"/>
      <c r="AB105" s="101">
        <v>50405.525000000001</v>
      </c>
      <c r="AC105" s="101"/>
      <c r="AD105" s="101">
        <v>145104.69099999999</v>
      </c>
      <c r="AE105" s="101">
        <v>6018.2359999999999</v>
      </c>
      <c r="AF105" s="101">
        <v>847144.03000000014</v>
      </c>
    </row>
    <row r="106" spans="2:32">
      <c r="B106" s="105" t="s">
        <v>88</v>
      </c>
      <c r="C106" s="106"/>
      <c r="D106" s="106"/>
      <c r="E106" s="106"/>
      <c r="F106" s="106"/>
      <c r="G106" s="106"/>
      <c r="H106" s="106"/>
      <c r="I106" s="106"/>
      <c r="J106" s="106"/>
      <c r="K106" s="106"/>
      <c r="L106" s="106"/>
      <c r="M106" s="106">
        <v>6246.7979999999998</v>
      </c>
      <c r="N106" s="106"/>
      <c r="O106" s="106">
        <v>6246.7979999999998</v>
      </c>
      <c r="P106" s="105" t="s">
        <v>211</v>
      </c>
      <c r="Q106" s="105" t="s">
        <v>743</v>
      </c>
      <c r="S106" s="46" t="s">
        <v>80</v>
      </c>
      <c r="T106" s="101"/>
      <c r="U106" s="101">
        <v>93979.751000000004</v>
      </c>
      <c r="V106" s="101"/>
      <c r="W106" s="101"/>
      <c r="X106" s="101">
        <v>5644.1620000000003</v>
      </c>
      <c r="Y106" s="101"/>
      <c r="Z106" s="101"/>
      <c r="AA106" s="101"/>
      <c r="AB106" s="101"/>
      <c r="AC106" s="101">
        <v>112570.961</v>
      </c>
      <c r="AD106" s="101">
        <v>237.63300000000001</v>
      </c>
      <c r="AE106" s="101"/>
      <c r="AF106" s="101">
        <v>212432.50700000001</v>
      </c>
    </row>
    <row r="107" spans="2:32">
      <c r="B107" s="105" t="s">
        <v>89</v>
      </c>
      <c r="C107" s="106"/>
      <c r="D107" s="106">
        <v>3497.8969999999999</v>
      </c>
      <c r="E107" s="106"/>
      <c r="F107" s="106"/>
      <c r="G107" s="106"/>
      <c r="H107" s="106"/>
      <c r="I107" s="106"/>
      <c r="J107" s="106"/>
      <c r="K107" s="106"/>
      <c r="L107" s="106"/>
      <c r="M107" s="106"/>
      <c r="N107" s="106"/>
      <c r="O107" s="106">
        <v>3497.8969999999999</v>
      </c>
      <c r="P107" s="105" t="s">
        <v>211</v>
      </c>
      <c r="Q107" s="105" t="s">
        <v>743</v>
      </c>
      <c r="S107" s="46" t="s">
        <v>60</v>
      </c>
      <c r="T107" s="101"/>
      <c r="U107" s="101">
        <v>361417.66700000002</v>
      </c>
      <c r="V107" s="101">
        <v>128374.72500000001</v>
      </c>
      <c r="W107" s="101">
        <v>352643.82</v>
      </c>
      <c r="X107" s="101">
        <v>494418.98200000002</v>
      </c>
      <c r="Y107" s="101">
        <v>914209.42599999998</v>
      </c>
      <c r="Z107" s="101">
        <v>588249.70299999998</v>
      </c>
      <c r="AA107" s="101">
        <v>837892.90599999996</v>
      </c>
      <c r="AB107" s="101">
        <v>499113.82400000002</v>
      </c>
      <c r="AC107" s="101">
        <v>451803.34100000001</v>
      </c>
      <c r="AD107" s="101">
        <v>546599.43099999998</v>
      </c>
      <c r="AE107" s="101">
        <v>518144.61700000003</v>
      </c>
      <c r="AF107" s="101">
        <v>5692868.4419999989</v>
      </c>
    </row>
    <row r="108" spans="2:32">
      <c r="B108" s="105" t="s">
        <v>26</v>
      </c>
      <c r="C108" s="106">
        <v>117869.68399999999</v>
      </c>
      <c r="D108" s="106">
        <v>206222.96100000001</v>
      </c>
      <c r="E108" s="106">
        <v>5606.3890000000001</v>
      </c>
      <c r="F108" s="106"/>
      <c r="G108" s="106">
        <v>38630.597000000002</v>
      </c>
      <c r="H108" s="106">
        <v>42193.834000000003</v>
      </c>
      <c r="I108" s="106">
        <v>235092.11300000001</v>
      </c>
      <c r="J108" s="106"/>
      <c r="K108" s="106">
        <v>50405.525000000001</v>
      </c>
      <c r="L108" s="106"/>
      <c r="M108" s="106">
        <v>145104.69099999999</v>
      </c>
      <c r="N108" s="106">
        <v>6018.2359999999999</v>
      </c>
      <c r="O108" s="106">
        <v>847144.03000000014</v>
      </c>
      <c r="P108" s="105" t="s">
        <v>211</v>
      </c>
      <c r="Q108" s="105" t="s">
        <v>743</v>
      </c>
      <c r="S108" s="46" t="s">
        <v>36</v>
      </c>
      <c r="T108" s="101"/>
      <c r="U108" s="101"/>
      <c r="V108" s="101"/>
      <c r="W108" s="101"/>
      <c r="X108" s="101"/>
      <c r="Y108" s="101"/>
      <c r="Z108" s="101">
        <v>62931.315999999999</v>
      </c>
      <c r="AA108" s="101"/>
      <c r="AB108" s="101"/>
      <c r="AC108" s="101"/>
      <c r="AD108" s="101"/>
      <c r="AE108" s="101"/>
      <c r="AF108" s="101">
        <v>62931.315999999999</v>
      </c>
    </row>
    <row r="109" spans="2:32">
      <c r="B109" s="105" t="s">
        <v>80</v>
      </c>
      <c r="C109" s="106"/>
      <c r="D109" s="106">
        <v>93979.751000000004</v>
      </c>
      <c r="E109" s="106"/>
      <c r="F109" s="106"/>
      <c r="G109" s="106">
        <v>5644.1620000000003</v>
      </c>
      <c r="H109" s="106"/>
      <c r="I109" s="106"/>
      <c r="J109" s="106"/>
      <c r="K109" s="106"/>
      <c r="L109" s="106">
        <v>112570.961</v>
      </c>
      <c r="M109" s="106">
        <v>237.63300000000001</v>
      </c>
      <c r="N109" s="106"/>
      <c r="O109" s="106">
        <v>212432.50700000001</v>
      </c>
      <c r="P109" s="105" t="s">
        <v>211</v>
      </c>
      <c r="Q109" s="105" t="s">
        <v>743</v>
      </c>
      <c r="S109" s="46" t="s">
        <v>61</v>
      </c>
      <c r="T109" s="101">
        <v>16469.511999999999</v>
      </c>
      <c r="U109" s="101"/>
      <c r="V109" s="101"/>
      <c r="W109" s="101">
        <v>54995.472999999998</v>
      </c>
      <c r="X109" s="101">
        <v>97214.468999999997</v>
      </c>
      <c r="Y109" s="101"/>
      <c r="Z109" s="101"/>
      <c r="AA109" s="101"/>
      <c r="AB109" s="101">
        <v>5916.8209999999999</v>
      </c>
      <c r="AC109" s="101"/>
      <c r="AD109" s="101"/>
      <c r="AE109" s="101">
        <v>467.36</v>
      </c>
      <c r="AF109" s="101">
        <v>175063.63499999998</v>
      </c>
    </row>
    <row r="110" spans="2:32">
      <c r="B110" s="105" t="s">
        <v>60</v>
      </c>
      <c r="C110" s="106"/>
      <c r="D110" s="106">
        <v>361417.66700000002</v>
      </c>
      <c r="E110" s="106">
        <v>128374.72500000001</v>
      </c>
      <c r="F110" s="106">
        <v>352643.82</v>
      </c>
      <c r="G110" s="106">
        <v>494418.98200000002</v>
      </c>
      <c r="H110" s="106">
        <v>914209.42599999998</v>
      </c>
      <c r="I110" s="106">
        <v>588249.70299999998</v>
      </c>
      <c r="J110" s="106">
        <v>837892.90599999996</v>
      </c>
      <c r="K110" s="106">
        <v>499113.82400000002</v>
      </c>
      <c r="L110" s="106">
        <v>451803.34100000001</v>
      </c>
      <c r="M110" s="106">
        <v>546599.43099999998</v>
      </c>
      <c r="N110" s="106">
        <v>518144.61700000003</v>
      </c>
      <c r="O110" s="106">
        <v>5692868.4419999989</v>
      </c>
      <c r="P110" s="105" t="s">
        <v>211</v>
      </c>
      <c r="Q110" s="105" t="s">
        <v>743</v>
      </c>
      <c r="S110" s="46" t="s">
        <v>763</v>
      </c>
      <c r="T110" s="101">
        <v>100858.56600000001</v>
      </c>
      <c r="U110" s="101"/>
      <c r="V110" s="101"/>
      <c r="W110" s="101"/>
      <c r="X110" s="101">
        <v>275696.087</v>
      </c>
      <c r="Y110" s="101"/>
      <c r="Z110" s="101">
        <v>164912.318</v>
      </c>
      <c r="AA110" s="101">
        <v>126920.06299999999</v>
      </c>
      <c r="AB110" s="101"/>
      <c r="AC110" s="101">
        <v>60104.898000000001</v>
      </c>
      <c r="AD110" s="101"/>
      <c r="AE110" s="101"/>
      <c r="AF110" s="101">
        <v>728491.93200000003</v>
      </c>
    </row>
    <row r="111" spans="2:32">
      <c r="B111" s="105" t="s">
        <v>36</v>
      </c>
      <c r="C111" s="106"/>
      <c r="D111" s="106"/>
      <c r="E111" s="106"/>
      <c r="F111" s="106"/>
      <c r="G111" s="106"/>
      <c r="H111" s="106"/>
      <c r="I111" s="106">
        <v>62931.315999999999</v>
      </c>
      <c r="J111" s="106"/>
      <c r="K111" s="106"/>
      <c r="L111" s="106"/>
      <c r="M111" s="106"/>
      <c r="N111" s="106"/>
      <c r="O111" s="106">
        <v>62931.315999999999</v>
      </c>
      <c r="P111" s="105" t="s">
        <v>211</v>
      </c>
      <c r="Q111" s="105" t="s">
        <v>743</v>
      </c>
      <c r="S111" s="46" t="s">
        <v>683</v>
      </c>
      <c r="T111" s="101"/>
      <c r="U111" s="101">
        <v>129801.128</v>
      </c>
      <c r="V111" s="101">
        <v>352086.23800000001</v>
      </c>
      <c r="W111" s="101">
        <v>330350.40700000001</v>
      </c>
      <c r="X111" s="101">
        <v>289881.42499999999</v>
      </c>
      <c r="Y111" s="101">
        <v>283179.39899999998</v>
      </c>
      <c r="Z111" s="101">
        <v>70915.577999999994</v>
      </c>
      <c r="AA111" s="101">
        <v>159369.889</v>
      </c>
      <c r="AB111" s="101">
        <v>82901.476999999999</v>
      </c>
      <c r="AC111" s="101">
        <v>14554.74</v>
      </c>
      <c r="AD111" s="101">
        <v>88178.297999999995</v>
      </c>
      <c r="AE111" s="101">
        <v>78277.149999999994</v>
      </c>
      <c r="AF111" s="101">
        <v>1879495.7289999998</v>
      </c>
    </row>
    <row r="112" spans="2:32">
      <c r="B112" s="105" t="s">
        <v>61</v>
      </c>
      <c r="C112" s="106">
        <v>16469.511999999999</v>
      </c>
      <c r="D112" s="106"/>
      <c r="E112" s="106"/>
      <c r="F112" s="106">
        <v>54995.472999999998</v>
      </c>
      <c r="G112" s="106">
        <v>97214.468999999997</v>
      </c>
      <c r="H112" s="106"/>
      <c r="I112" s="106"/>
      <c r="J112" s="106"/>
      <c r="K112" s="106">
        <v>5916.8209999999999</v>
      </c>
      <c r="L112" s="106"/>
      <c r="M112" s="106"/>
      <c r="N112" s="106">
        <v>467.36</v>
      </c>
      <c r="O112" s="106">
        <v>175063.63499999998</v>
      </c>
      <c r="P112" s="105" t="s">
        <v>211</v>
      </c>
      <c r="Q112" s="105" t="s">
        <v>743</v>
      </c>
      <c r="S112" s="46" t="s">
        <v>62</v>
      </c>
      <c r="T112" s="101"/>
      <c r="U112" s="101"/>
      <c r="V112" s="101"/>
      <c r="W112" s="101">
        <v>96086.258000000002</v>
      </c>
      <c r="X112" s="101"/>
      <c r="Y112" s="101"/>
      <c r="Z112" s="101"/>
      <c r="AA112" s="101"/>
      <c r="AB112" s="101"/>
      <c r="AC112" s="101"/>
      <c r="AD112" s="101"/>
      <c r="AE112" s="101"/>
      <c r="AF112" s="101">
        <v>96086.258000000002</v>
      </c>
    </row>
    <row r="113" spans="2:32">
      <c r="B113" s="105" t="s">
        <v>763</v>
      </c>
      <c r="C113" s="106">
        <v>100858.56600000001</v>
      </c>
      <c r="D113" s="106"/>
      <c r="E113" s="106"/>
      <c r="F113" s="106"/>
      <c r="G113" s="106">
        <v>275696.087</v>
      </c>
      <c r="H113" s="106"/>
      <c r="I113" s="106">
        <v>164912.318</v>
      </c>
      <c r="J113" s="106">
        <v>126920.06299999999</v>
      </c>
      <c r="K113" s="106"/>
      <c r="L113" s="106">
        <v>60104.898000000001</v>
      </c>
      <c r="M113" s="106"/>
      <c r="N113" s="106"/>
      <c r="O113" s="106">
        <v>728491.93200000003</v>
      </c>
      <c r="P113" s="105" t="s">
        <v>211</v>
      </c>
      <c r="Q113" s="105" t="s">
        <v>743</v>
      </c>
      <c r="S113" s="46" t="s">
        <v>84</v>
      </c>
      <c r="T113" s="101"/>
      <c r="U113" s="101">
        <v>7634.8869999999997</v>
      </c>
      <c r="V113" s="101">
        <v>60937.512000000002</v>
      </c>
      <c r="W113" s="101">
        <v>6045.6620000000003</v>
      </c>
      <c r="X113" s="101">
        <v>175518.95300000001</v>
      </c>
      <c r="Y113" s="101">
        <v>14287.715</v>
      </c>
      <c r="Z113" s="101">
        <v>15404.821</v>
      </c>
      <c r="AA113" s="101">
        <v>57981.66</v>
      </c>
      <c r="AB113" s="101"/>
      <c r="AC113" s="101"/>
      <c r="AD113" s="101"/>
      <c r="AE113" s="101"/>
      <c r="AF113" s="101">
        <v>337811.21000000008</v>
      </c>
    </row>
    <row r="114" spans="2:32">
      <c r="B114" s="105" t="s">
        <v>683</v>
      </c>
      <c r="C114" s="106"/>
      <c r="D114" s="106">
        <v>129801.128</v>
      </c>
      <c r="E114" s="106">
        <v>352086.23800000001</v>
      </c>
      <c r="F114" s="106">
        <v>330350.40700000001</v>
      </c>
      <c r="G114" s="106">
        <v>289881.42499999999</v>
      </c>
      <c r="H114" s="106">
        <v>283179.39899999998</v>
      </c>
      <c r="I114" s="106">
        <v>70915.577999999994</v>
      </c>
      <c r="J114" s="106">
        <v>159369.889</v>
      </c>
      <c r="K114" s="106">
        <v>82901.476999999999</v>
      </c>
      <c r="L114" s="106">
        <v>14554.74</v>
      </c>
      <c r="M114" s="106">
        <v>88178.297999999995</v>
      </c>
      <c r="N114" s="106">
        <v>78277.149999999994</v>
      </c>
      <c r="O114" s="106">
        <v>1879495.7289999998</v>
      </c>
      <c r="P114" s="105" t="s">
        <v>210</v>
      </c>
      <c r="Q114" s="105" t="s">
        <v>743</v>
      </c>
      <c r="S114" s="46" t="s">
        <v>85</v>
      </c>
      <c r="T114" s="101"/>
      <c r="U114" s="101"/>
      <c r="V114" s="101">
        <v>904.43399999999997</v>
      </c>
      <c r="W114" s="101"/>
      <c r="X114" s="101"/>
      <c r="Y114" s="101"/>
      <c r="Z114" s="101">
        <v>48825.214999999997</v>
      </c>
      <c r="AA114" s="101"/>
      <c r="AB114" s="101"/>
      <c r="AC114" s="101"/>
      <c r="AD114" s="101"/>
      <c r="AE114" s="101"/>
      <c r="AF114" s="101">
        <v>49729.648999999998</v>
      </c>
    </row>
    <row r="115" spans="2:32">
      <c r="B115" s="105" t="s">
        <v>62</v>
      </c>
      <c r="C115" s="106"/>
      <c r="D115" s="106"/>
      <c r="E115" s="106"/>
      <c r="F115" s="106">
        <v>96086.258000000002</v>
      </c>
      <c r="G115" s="106"/>
      <c r="H115" s="106"/>
      <c r="I115" s="106"/>
      <c r="J115" s="106"/>
      <c r="K115" s="106"/>
      <c r="L115" s="106"/>
      <c r="M115" s="106"/>
      <c r="N115" s="106"/>
      <c r="O115" s="106">
        <v>96086.258000000002</v>
      </c>
      <c r="P115" s="105" t="s">
        <v>211</v>
      </c>
      <c r="Q115" s="105" t="s">
        <v>743</v>
      </c>
      <c r="S115" s="46" t="s">
        <v>37</v>
      </c>
      <c r="T115" s="101">
        <v>873625.82799999998</v>
      </c>
      <c r="U115" s="101">
        <v>400473.49400000001</v>
      </c>
      <c r="V115" s="101">
        <v>485501.25799999997</v>
      </c>
      <c r="W115" s="101">
        <v>411335.06199999998</v>
      </c>
      <c r="X115" s="101">
        <v>202436.10500000001</v>
      </c>
      <c r="Y115" s="101">
        <v>64360.002</v>
      </c>
      <c r="Z115" s="101">
        <v>1002001.461</v>
      </c>
      <c r="AA115" s="101">
        <v>339390</v>
      </c>
      <c r="AB115" s="101">
        <v>81320</v>
      </c>
      <c r="AC115" s="101">
        <v>560353.01599999995</v>
      </c>
      <c r="AD115" s="101">
        <v>99690.016000000003</v>
      </c>
      <c r="AE115" s="101">
        <v>480076.326</v>
      </c>
      <c r="AF115" s="101">
        <v>5000562.568</v>
      </c>
    </row>
    <row r="116" spans="2:32">
      <c r="B116" s="105" t="s">
        <v>84</v>
      </c>
      <c r="C116" s="106"/>
      <c r="D116" s="106">
        <v>7634.8869999999997</v>
      </c>
      <c r="E116" s="106">
        <v>60937.512000000002</v>
      </c>
      <c r="F116" s="106">
        <v>6045.6620000000003</v>
      </c>
      <c r="G116" s="106">
        <v>175518.95300000001</v>
      </c>
      <c r="H116" s="106">
        <v>14287.715</v>
      </c>
      <c r="I116" s="106">
        <v>15404.821</v>
      </c>
      <c r="J116" s="106">
        <v>57981.66</v>
      </c>
      <c r="K116" s="106"/>
      <c r="L116" s="106"/>
      <c r="M116" s="106"/>
      <c r="N116" s="106"/>
      <c r="O116" s="106">
        <v>337811.21000000008</v>
      </c>
      <c r="P116" s="105" t="s">
        <v>211</v>
      </c>
      <c r="Q116" s="105" t="s">
        <v>743</v>
      </c>
      <c r="S116" s="46" t="s">
        <v>755</v>
      </c>
      <c r="T116" s="101">
        <v>162749.114</v>
      </c>
      <c r="U116" s="101">
        <v>290936.97499999998</v>
      </c>
      <c r="V116" s="101">
        <v>97993.157000000007</v>
      </c>
      <c r="W116" s="101">
        <v>124156.08900000001</v>
      </c>
      <c r="X116" s="101">
        <v>187435.53</v>
      </c>
      <c r="Y116" s="101">
        <v>228860.37700000001</v>
      </c>
      <c r="Z116" s="101">
        <v>127991.26300000001</v>
      </c>
      <c r="AA116" s="101">
        <v>302859.77</v>
      </c>
      <c r="AB116" s="101">
        <v>104412.806</v>
      </c>
      <c r="AC116" s="101">
        <v>164193.467</v>
      </c>
      <c r="AD116" s="101">
        <v>305399.995</v>
      </c>
      <c r="AE116" s="101">
        <v>159830.98499999999</v>
      </c>
      <c r="AF116" s="101">
        <v>2256819.5279999999</v>
      </c>
    </row>
    <row r="117" spans="2:32">
      <c r="B117" s="105" t="s">
        <v>85</v>
      </c>
      <c r="C117" s="106"/>
      <c r="D117" s="106"/>
      <c r="E117" s="106">
        <v>904.43399999999997</v>
      </c>
      <c r="F117" s="106"/>
      <c r="G117" s="106"/>
      <c r="H117" s="106"/>
      <c r="I117" s="106">
        <v>48825.214999999997</v>
      </c>
      <c r="J117" s="106"/>
      <c r="K117" s="106"/>
      <c r="L117" s="106"/>
      <c r="M117" s="106"/>
      <c r="N117" s="106"/>
      <c r="O117" s="106">
        <v>49729.648999999998</v>
      </c>
      <c r="P117" s="105" t="s">
        <v>211</v>
      </c>
      <c r="Q117" s="105" t="s">
        <v>743</v>
      </c>
      <c r="S117" s="46" t="s">
        <v>79</v>
      </c>
      <c r="T117" s="101"/>
      <c r="U117" s="101"/>
      <c r="V117" s="101"/>
      <c r="W117" s="101"/>
      <c r="X117" s="101"/>
      <c r="Y117" s="101">
        <v>22654.362000000001</v>
      </c>
      <c r="Z117" s="101"/>
      <c r="AA117" s="101"/>
      <c r="AB117" s="101"/>
      <c r="AC117" s="101"/>
      <c r="AD117" s="101"/>
      <c r="AE117" s="101"/>
      <c r="AF117" s="101">
        <v>22654.362000000001</v>
      </c>
    </row>
    <row r="118" spans="2:32">
      <c r="B118" s="105" t="s">
        <v>37</v>
      </c>
      <c r="C118" s="106">
        <v>873625.82799999998</v>
      </c>
      <c r="D118" s="106">
        <v>400473.49400000001</v>
      </c>
      <c r="E118" s="106">
        <v>485501.25799999997</v>
      </c>
      <c r="F118" s="106">
        <v>411335.06199999998</v>
      </c>
      <c r="G118" s="106">
        <v>202436.10500000001</v>
      </c>
      <c r="H118" s="106">
        <v>64360.002</v>
      </c>
      <c r="I118" s="106">
        <v>1002001.461</v>
      </c>
      <c r="J118" s="106">
        <v>339390</v>
      </c>
      <c r="K118" s="106">
        <v>81320</v>
      </c>
      <c r="L118" s="106">
        <v>560353.01599999995</v>
      </c>
      <c r="M118" s="106">
        <v>99690.016000000003</v>
      </c>
      <c r="N118" s="106">
        <v>480076.326</v>
      </c>
      <c r="O118" s="106">
        <v>5000562.568</v>
      </c>
      <c r="P118" s="105" t="s">
        <v>211</v>
      </c>
      <c r="Q118" s="105" t="s">
        <v>743</v>
      </c>
      <c r="S118" s="46" t="s">
        <v>38</v>
      </c>
      <c r="T118" s="101"/>
      <c r="U118" s="101"/>
      <c r="V118" s="101"/>
      <c r="W118" s="101">
        <v>731.21100000000001</v>
      </c>
      <c r="X118" s="101"/>
      <c r="Y118" s="101">
        <v>56700</v>
      </c>
      <c r="Z118" s="101"/>
      <c r="AA118" s="101">
        <v>18859.315999999999</v>
      </c>
      <c r="AB118" s="101"/>
      <c r="AC118" s="101"/>
      <c r="AD118" s="101"/>
      <c r="AE118" s="101">
        <v>272.233</v>
      </c>
      <c r="AF118" s="101">
        <v>76562.759999999995</v>
      </c>
    </row>
    <row r="119" spans="2:32">
      <c r="B119" s="105" t="s">
        <v>755</v>
      </c>
      <c r="C119" s="106">
        <v>162749.114</v>
      </c>
      <c r="D119" s="106">
        <v>290936.97499999998</v>
      </c>
      <c r="E119" s="106">
        <v>97993.157000000007</v>
      </c>
      <c r="F119" s="106">
        <v>124156.08900000001</v>
      </c>
      <c r="G119" s="106">
        <v>187435.53</v>
      </c>
      <c r="H119" s="106">
        <v>228860.37700000001</v>
      </c>
      <c r="I119" s="106">
        <v>127991.26300000001</v>
      </c>
      <c r="J119" s="106">
        <v>302859.77</v>
      </c>
      <c r="K119" s="106">
        <v>104412.806</v>
      </c>
      <c r="L119" s="106">
        <v>164193.467</v>
      </c>
      <c r="M119" s="106">
        <v>305399.995</v>
      </c>
      <c r="N119" s="106">
        <v>159830.98499999999</v>
      </c>
      <c r="O119" s="106">
        <v>2256819.5279999999</v>
      </c>
      <c r="P119" s="105" t="s">
        <v>211</v>
      </c>
      <c r="Q119" s="105" t="s">
        <v>743</v>
      </c>
      <c r="S119" s="46" t="s">
        <v>39</v>
      </c>
      <c r="T119" s="101">
        <v>105.14</v>
      </c>
      <c r="U119" s="101">
        <v>208532.356</v>
      </c>
      <c r="V119" s="101">
        <v>298630.71500000003</v>
      </c>
      <c r="W119" s="101">
        <v>225907.041</v>
      </c>
      <c r="X119" s="101">
        <v>238193.046</v>
      </c>
      <c r="Y119" s="101">
        <v>70070.600000000006</v>
      </c>
      <c r="Z119" s="101">
        <v>35372.296000000002</v>
      </c>
      <c r="AA119" s="101">
        <v>190554.99299999999</v>
      </c>
      <c r="AB119" s="101">
        <v>201445.443</v>
      </c>
      <c r="AC119" s="101">
        <v>181615.011</v>
      </c>
      <c r="AD119" s="101">
        <v>298812.18300000002</v>
      </c>
      <c r="AE119" s="101">
        <v>24696.285</v>
      </c>
      <c r="AF119" s="101">
        <v>1973935.1089999997</v>
      </c>
    </row>
    <row r="120" spans="2:32">
      <c r="B120" s="105" t="s">
        <v>79</v>
      </c>
      <c r="C120" s="106"/>
      <c r="D120" s="106"/>
      <c r="E120" s="106"/>
      <c r="F120" s="106"/>
      <c r="G120" s="106"/>
      <c r="H120" s="106">
        <v>22654.362000000001</v>
      </c>
      <c r="I120" s="106"/>
      <c r="J120" s="106"/>
      <c r="K120" s="106"/>
      <c r="L120" s="106"/>
      <c r="M120" s="106"/>
      <c r="N120" s="106"/>
      <c r="O120" s="106">
        <v>22654.362000000001</v>
      </c>
      <c r="P120" s="105" t="s">
        <v>211</v>
      </c>
      <c r="Q120" s="105" t="s">
        <v>743</v>
      </c>
      <c r="S120" s="46" t="s">
        <v>280</v>
      </c>
      <c r="T120" s="101"/>
      <c r="U120" s="101"/>
      <c r="V120" s="101"/>
      <c r="W120" s="101"/>
      <c r="X120" s="101"/>
      <c r="Y120" s="101"/>
      <c r="Z120" s="101"/>
      <c r="AA120" s="101"/>
      <c r="AB120" s="101"/>
      <c r="AC120" s="101"/>
      <c r="AD120" s="101"/>
      <c r="AE120" s="101">
        <v>40086.650999999998</v>
      </c>
      <c r="AF120" s="101">
        <v>40086.650999999998</v>
      </c>
    </row>
    <row r="121" spans="2:32">
      <c r="B121" s="105" t="s">
        <v>38</v>
      </c>
      <c r="C121" s="106"/>
      <c r="D121" s="106"/>
      <c r="E121" s="106"/>
      <c r="F121" s="106">
        <v>731.21100000000001</v>
      </c>
      <c r="G121" s="106"/>
      <c r="H121" s="106">
        <v>56700</v>
      </c>
      <c r="I121" s="106"/>
      <c r="J121" s="106">
        <v>18859.315999999999</v>
      </c>
      <c r="K121" s="106"/>
      <c r="L121" s="106"/>
      <c r="M121" s="106"/>
      <c r="N121" s="106">
        <v>272.233</v>
      </c>
      <c r="O121" s="106">
        <v>76562.759999999995</v>
      </c>
      <c r="P121" s="105" t="s">
        <v>210</v>
      </c>
      <c r="Q121" s="105" t="s">
        <v>743</v>
      </c>
      <c r="S121" s="46" t="s">
        <v>28</v>
      </c>
      <c r="T121" s="101">
        <v>343181.5</v>
      </c>
      <c r="U121" s="101">
        <v>167925.93799999999</v>
      </c>
      <c r="V121" s="101">
        <v>67636.327999999994</v>
      </c>
      <c r="W121" s="101">
        <v>32823.417000000001</v>
      </c>
      <c r="X121" s="101">
        <v>19392.834999999999</v>
      </c>
      <c r="Y121" s="101">
        <v>24462.5</v>
      </c>
      <c r="Z121" s="101">
        <v>25546</v>
      </c>
      <c r="AA121" s="101">
        <v>136032.152</v>
      </c>
      <c r="AB121" s="101"/>
      <c r="AC121" s="101">
        <v>55889.940999999999</v>
      </c>
      <c r="AD121" s="101">
        <v>251891.883</v>
      </c>
      <c r="AE121" s="101">
        <v>524.93299999999999</v>
      </c>
      <c r="AF121" s="101">
        <v>1125307.4269999999</v>
      </c>
    </row>
    <row r="122" spans="2:32">
      <c r="B122" s="105" t="s">
        <v>39</v>
      </c>
      <c r="C122" s="106">
        <v>105.14</v>
      </c>
      <c r="D122" s="106">
        <v>208532.356</v>
      </c>
      <c r="E122" s="106">
        <v>298630.71500000003</v>
      </c>
      <c r="F122" s="106">
        <v>225907.041</v>
      </c>
      <c r="G122" s="106">
        <v>238193.046</v>
      </c>
      <c r="H122" s="106">
        <v>70070.600000000006</v>
      </c>
      <c r="I122" s="106">
        <v>35372.296000000002</v>
      </c>
      <c r="J122" s="106">
        <v>190554.99299999999</v>
      </c>
      <c r="K122" s="106">
        <v>201445.443</v>
      </c>
      <c r="L122" s="106">
        <v>181615.011</v>
      </c>
      <c r="M122" s="106">
        <v>298812.18300000002</v>
      </c>
      <c r="N122" s="106">
        <v>24696.285</v>
      </c>
      <c r="O122" s="106">
        <v>1973935.1089999997</v>
      </c>
      <c r="P122" s="105" t="s">
        <v>211</v>
      </c>
      <c r="Q122" s="105" t="s">
        <v>743</v>
      </c>
      <c r="S122" s="46" t="s">
        <v>67</v>
      </c>
      <c r="T122" s="101"/>
      <c r="U122" s="101">
        <v>20254.793000000001</v>
      </c>
      <c r="V122" s="101"/>
      <c r="W122" s="101"/>
      <c r="X122" s="101"/>
      <c r="Y122" s="101"/>
      <c r="Z122" s="101"/>
      <c r="AA122" s="101"/>
      <c r="AB122" s="101"/>
      <c r="AC122" s="101"/>
      <c r="AD122" s="101"/>
      <c r="AE122" s="101"/>
      <c r="AF122" s="101">
        <v>20254.793000000001</v>
      </c>
    </row>
    <row r="123" spans="2:32">
      <c r="B123" s="105" t="s">
        <v>280</v>
      </c>
      <c r="C123" s="106"/>
      <c r="D123" s="106"/>
      <c r="E123" s="106"/>
      <c r="F123" s="106"/>
      <c r="G123" s="106"/>
      <c r="H123" s="106"/>
      <c r="I123" s="106"/>
      <c r="J123" s="106"/>
      <c r="K123" s="106"/>
      <c r="L123" s="106"/>
      <c r="M123" s="106"/>
      <c r="N123" s="106">
        <v>40086.650999999998</v>
      </c>
      <c r="O123" s="106">
        <v>40086.650999999998</v>
      </c>
      <c r="P123" s="105" t="s">
        <v>211</v>
      </c>
      <c r="Q123" s="105" t="s">
        <v>743</v>
      </c>
      <c r="S123" s="46" t="s">
        <v>201</v>
      </c>
      <c r="T123" s="101"/>
      <c r="U123" s="101"/>
      <c r="V123" s="101">
        <v>7766.4859999999999</v>
      </c>
      <c r="W123" s="101">
        <v>4117.8710000000001</v>
      </c>
      <c r="X123" s="101">
        <v>5301.0659999999998</v>
      </c>
      <c r="Y123" s="101">
        <v>4755.7830000000004</v>
      </c>
      <c r="Z123" s="101"/>
      <c r="AA123" s="101"/>
      <c r="AB123" s="101"/>
      <c r="AC123" s="101"/>
      <c r="AD123" s="101"/>
      <c r="AE123" s="101"/>
      <c r="AF123" s="101">
        <v>21941.205999999998</v>
      </c>
    </row>
    <row r="124" spans="2:32">
      <c r="B124" s="105" t="s">
        <v>28</v>
      </c>
      <c r="C124" s="106">
        <v>343181.5</v>
      </c>
      <c r="D124" s="106">
        <v>167925.93799999999</v>
      </c>
      <c r="E124" s="106">
        <v>67636.327999999994</v>
      </c>
      <c r="F124" s="106">
        <v>32823.417000000001</v>
      </c>
      <c r="G124" s="106">
        <v>19392.834999999999</v>
      </c>
      <c r="H124" s="106">
        <v>24462.5</v>
      </c>
      <c r="I124" s="106">
        <v>25546</v>
      </c>
      <c r="J124" s="106">
        <v>136032.152</v>
      </c>
      <c r="K124" s="106"/>
      <c r="L124" s="106">
        <v>55889.940999999999</v>
      </c>
      <c r="M124" s="106">
        <v>251891.883</v>
      </c>
      <c r="N124" s="106">
        <v>524.93299999999999</v>
      </c>
      <c r="O124" s="106">
        <v>1125307.4269999999</v>
      </c>
      <c r="P124" s="105" t="s">
        <v>211</v>
      </c>
      <c r="Q124" s="105" t="s">
        <v>743</v>
      </c>
      <c r="S124" s="46" t="s">
        <v>40</v>
      </c>
      <c r="T124" s="101">
        <v>80500.570000000007</v>
      </c>
      <c r="U124" s="101">
        <v>5151.558</v>
      </c>
      <c r="V124" s="101"/>
      <c r="W124" s="101">
        <v>64794.050999999999</v>
      </c>
      <c r="X124" s="101"/>
      <c r="Y124" s="101"/>
      <c r="Z124" s="101">
        <v>112380.746</v>
      </c>
      <c r="AA124" s="101"/>
      <c r="AB124" s="101">
        <v>41515.574000000001</v>
      </c>
      <c r="AC124" s="101"/>
      <c r="AD124" s="101"/>
      <c r="AE124" s="101">
        <v>41874.514000000003</v>
      </c>
      <c r="AF124" s="101">
        <v>346217.01300000004</v>
      </c>
    </row>
    <row r="125" spans="2:32">
      <c r="B125" s="105" t="s">
        <v>67</v>
      </c>
      <c r="C125" s="106"/>
      <c r="D125" s="106">
        <v>20254.793000000001</v>
      </c>
      <c r="E125" s="106"/>
      <c r="F125" s="106"/>
      <c r="G125" s="106"/>
      <c r="H125" s="106"/>
      <c r="I125" s="106"/>
      <c r="J125" s="106"/>
      <c r="K125" s="106"/>
      <c r="L125" s="106"/>
      <c r="M125" s="106"/>
      <c r="N125" s="106"/>
      <c r="O125" s="106">
        <v>20254.793000000001</v>
      </c>
      <c r="P125" s="105" t="s">
        <v>211</v>
      </c>
      <c r="Q125" s="105" t="s">
        <v>743</v>
      </c>
      <c r="S125" s="46" t="s">
        <v>51</v>
      </c>
      <c r="T125" s="101">
        <v>1662104.0959999999</v>
      </c>
      <c r="U125" s="101">
        <v>842737.61199999996</v>
      </c>
      <c r="V125" s="101">
        <v>1401708.3130000001</v>
      </c>
      <c r="W125" s="101">
        <v>1068217.301</v>
      </c>
      <c r="X125" s="101">
        <v>1517944.429</v>
      </c>
      <c r="Y125" s="101">
        <v>876673.71299999999</v>
      </c>
      <c r="Z125" s="101">
        <v>702933.90599999996</v>
      </c>
      <c r="AA125" s="101">
        <v>1711957.7479999999</v>
      </c>
      <c r="AB125" s="101">
        <v>1587618.804</v>
      </c>
      <c r="AC125" s="101">
        <v>1534455.1340000001</v>
      </c>
      <c r="AD125" s="101">
        <v>2658749.0619999999</v>
      </c>
      <c r="AE125" s="101">
        <v>1344775.602</v>
      </c>
      <c r="AF125" s="101">
        <v>16909875.719999999</v>
      </c>
    </row>
    <row r="126" spans="2:32">
      <c r="B126" s="105" t="s">
        <v>201</v>
      </c>
      <c r="C126" s="106"/>
      <c r="D126" s="106"/>
      <c r="E126" s="106">
        <v>7766.4859999999999</v>
      </c>
      <c r="F126" s="106">
        <v>4117.8710000000001</v>
      </c>
      <c r="G126" s="106">
        <v>5301.0659999999998</v>
      </c>
      <c r="H126" s="106">
        <v>4755.7830000000004</v>
      </c>
      <c r="I126" s="106"/>
      <c r="J126" s="106"/>
      <c r="K126" s="106"/>
      <c r="L126" s="106"/>
      <c r="M126" s="106"/>
      <c r="N126" s="106"/>
      <c r="O126" s="106">
        <v>21941.205999999998</v>
      </c>
      <c r="P126" s="105" t="s">
        <v>211</v>
      </c>
      <c r="Q126" s="105" t="s">
        <v>743</v>
      </c>
      <c r="S126" s="46" t="s">
        <v>68</v>
      </c>
      <c r="T126" s="101"/>
      <c r="U126" s="101">
        <v>21555.594000000001</v>
      </c>
      <c r="V126" s="101"/>
      <c r="W126" s="101"/>
      <c r="X126" s="101"/>
      <c r="Y126" s="101">
        <v>6198.2269999999999</v>
      </c>
      <c r="Z126" s="101">
        <v>2261.0520000000001</v>
      </c>
      <c r="AA126" s="101">
        <v>60629.358999999997</v>
      </c>
      <c r="AB126" s="101">
        <v>190244.55499999999</v>
      </c>
      <c r="AC126" s="101">
        <v>850479.39800000004</v>
      </c>
      <c r="AD126" s="101">
        <v>29906.701000000001</v>
      </c>
      <c r="AE126" s="101">
        <v>2617.5459999999998</v>
      </c>
      <c r="AF126" s="101">
        <v>1163892.432</v>
      </c>
    </row>
    <row r="127" spans="2:32">
      <c r="B127" s="105" t="s">
        <v>40</v>
      </c>
      <c r="C127" s="106">
        <v>80500.570000000007</v>
      </c>
      <c r="D127" s="106">
        <v>5151.558</v>
      </c>
      <c r="E127" s="106"/>
      <c r="F127" s="106">
        <v>64794.050999999999</v>
      </c>
      <c r="G127" s="106"/>
      <c r="H127" s="106"/>
      <c r="I127" s="106">
        <v>112380.746</v>
      </c>
      <c r="J127" s="106"/>
      <c r="K127" s="106">
        <v>41515.574000000001</v>
      </c>
      <c r="L127" s="106"/>
      <c r="M127" s="106"/>
      <c r="N127" s="106">
        <v>41874.514000000003</v>
      </c>
      <c r="O127" s="106">
        <v>346217.01300000004</v>
      </c>
      <c r="P127" s="105" t="s">
        <v>211</v>
      </c>
      <c r="Q127" s="105" t="s">
        <v>743</v>
      </c>
      <c r="S127" s="46" t="s">
        <v>41</v>
      </c>
      <c r="T127" s="101">
        <v>82082.895000000004</v>
      </c>
      <c r="U127" s="101">
        <v>108749.039</v>
      </c>
      <c r="V127" s="101">
        <v>63965.635000000002</v>
      </c>
      <c r="W127" s="101">
        <v>50182.792999999998</v>
      </c>
      <c r="X127" s="101">
        <v>42197.483</v>
      </c>
      <c r="Y127" s="101"/>
      <c r="Z127" s="101">
        <v>58734.894999999997</v>
      </c>
      <c r="AA127" s="101">
        <v>43815.402000000002</v>
      </c>
      <c r="AB127" s="101">
        <v>457450.44799999997</v>
      </c>
      <c r="AC127" s="101">
        <v>76775.101999999999</v>
      </c>
      <c r="AD127" s="101"/>
      <c r="AE127" s="101">
        <v>30080.893</v>
      </c>
      <c r="AF127" s="101">
        <v>1014034.5850000001</v>
      </c>
    </row>
    <row r="128" spans="2:32">
      <c r="B128" s="105" t="s">
        <v>51</v>
      </c>
      <c r="C128" s="106">
        <v>1662104.0959999999</v>
      </c>
      <c r="D128" s="106">
        <v>842737.61199999996</v>
      </c>
      <c r="E128" s="106">
        <v>1401708.3130000001</v>
      </c>
      <c r="F128" s="106">
        <v>1068217.301</v>
      </c>
      <c r="G128" s="106">
        <v>1517944.429</v>
      </c>
      <c r="H128" s="106">
        <v>876673.71299999999</v>
      </c>
      <c r="I128" s="106">
        <v>702933.90599999996</v>
      </c>
      <c r="J128" s="106">
        <v>1711957.7479999999</v>
      </c>
      <c r="K128" s="106">
        <v>1587618.804</v>
      </c>
      <c r="L128" s="106">
        <v>1534455.1340000001</v>
      </c>
      <c r="M128" s="106">
        <v>2658749.0619999999</v>
      </c>
      <c r="N128" s="106">
        <v>1344775.602</v>
      </c>
      <c r="O128" s="106">
        <v>16909875.719999999</v>
      </c>
      <c r="P128" s="105" t="s">
        <v>211</v>
      </c>
      <c r="Q128" s="105" t="s">
        <v>743</v>
      </c>
      <c r="S128" s="46" t="s">
        <v>55</v>
      </c>
      <c r="T128" s="101">
        <v>38637.214999999997</v>
      </c>
      <c r="U128" s="101">
        <v>4958.8109999999997</v>
      </c>
      <c r="V128" s="101">
        <v>37737.271999999997</v>
      </c>
      <c r="W128" s="101">
        <v>19000.502</v>
      </c>
      <c r="X128" s="101">
        <v>65803.87</v>
      </c>
      <c r="Y128" s="101">
        <v>8728.5030000000006</v>
      </c>
      <c r="Z128" s="101">
        <v>20120.955999999998</v>
      </c>
      <c r="AA128" s="101">
        <v>69189.528999999995</v>
      </c>
      <c r="AB128" s="101">
        <v>407.24</v>
      </c>
      <c r="AC128" s="101">
        <v>12762.686</v>
      </c>
      <c r="AD128" s="101">
        <v>40834.220999999998</v>
      </c>
      <c r="AE128" s="101"/>
      <c r="AF128" s="101">
        <v>318180.80499999999</v>
      </c>
    </row>
    <row r="129" spans="2:32">
      <c r="B129" s="105" t="s">
        <v>68</v>
      </c>
      <c r="C129" s="106"/>
      <c r="D129" s="106">
        <v>21555.594000000001</v>
      </c>
      <c r="E129" s="106"/>
      <c r="F129" s="106"/>
      <c r="G129" s="106"/>
      <c r="H129" s="106">
        <v>6198.2269999999999</v>
      </c>
      <c r="I129" s="106">
        <v>2261.0520000000001</v>
      </c>
      <c r="J129" s="106">
        <v>60629.358999999997</v>
      </c>
      <c r="K129" s="106">
        <v>190244.55499999999</v>
      </c>
      <c r="L129" s="106">
        <v>850479.39800000004</v>
      </c>
      <c r="M129" s="106">
        <v>29906.701000000001</v>
      </c>
      <c r="N129" s="106">
        <v>2617.5459999999998</v>
      </c>
      <c r="O129" s="106">
        <v>1163892.432</v>
      </c>
      <c r="P129" s="105" t="s">
        <v>211</v>
      </c>
      <c r="Q129" s="105" t="s">
        <v>743</v>
      </c>
      <c r="S129" s="46" t="s">
        <v>63</v>
      </c>
      <c r="T129" s="101">
        <v>1033365.659</v>
      </c>
      <c r="U129" s="101">
        <v>351545.46899999998</v>
      </c>
      <c r="V129" s="101">
        <v>1284376.5360000001</v>
      </c>
      <c r="W129" s="101">
        <v>1145693.916</v>
      </c>
      <c r="X129" s="101">
        <v>1304378.2109999999</v>
      </c>
      <c r="Y129" s="101">
        <v>835701.00300000003</v>
      </c>
      <c r="Z129" s="101">
        <v>1007248.632</v>
      </c>
      <c r="AA129" s="101">
        <v>885851.63600000006</v>
      </c>
      <c r="AB129" s="101">
        <v>515029.22200000001</v>
      </c>
      <c r="AC129" s="101">
        <v>915706.13100000005</v>
      </c>
      <c r="AD129" s="101">
        <v>960223.82700000005</v>
      </c>
      <c r="AE129" s="101">
        <v>706273.15</v>
      </c>
      <c r="AF129" s="101">
        <v>10945393.391999999</v>
      </c>
    </row>
    <row r="130" spans="2:32">
      <c r="B130" s="105" t="s">
        <v>41</v>
      </c>
      <c r="C130" s="106">
        <v>82082.895000000004</v>
      </c>
      <c r="D130" s="106">
        <v>108749.039</v>
      </c>
      <c r="E130" s="106">
        <v>63965.635000000002</v>
      </c>
      <c r="F130" s="106">
        <v>50182.792999999998</v>
      </c>
      <c r="G130" s="106">
        <v>42197.483</v>
      </c>
      <c r="H130" s="106"/>
      <c r="I130" s="106">
        <v>58734.894999999997</v>
      </c>
      <c r="J130" s="106">
        <v>43815.402000000002</v>
      </c>
      <c r="K130" s="106">
        <v>457450.44799999997</v>
      </c>
      <c r="L130" s="106">
        <v>76775.101999999999</v>
      </c>
      <c r="M130" s="106"/>
      <c r="N130" s="106">
        <v>30080.893</v>
      </c>
      <c r="O130" s="106">
        <v>1014034.5850000001</v>
      </c>
      <c r="P130" s="105" t="s">
        <v>211</v>
      </c>
      <c r="Q130" s="105" t="s">
        <v>743</v>
      </c>
      <c r="S130" s="46" t="s">
        <v>110</v>
      </c>
      <c r="T130" s="101"/>
      <c r="U130" s="101"/>
      <c r="V130" s="101">
        <v>191389.31299999999</v>
      </c>
      <c r="W130" s="101"/>
      <c r="X130" s="101"/>
      <c r="Y130" s="101">
        <v>86440.008000000002</v>
      </c>
      <c r="Z130" s="101"/>
      <c r="AA130" s="101"/>
      <c r="AB130" s="101">
        <v>71916.297000000006</v>
      </c>
      <c r="AC130" s="101"/>
      <c r="AD130" s="101"/>
      <c r="AE130" s="101"/>
      <c r="AF130" s="101">
        <v>349745.61800000002</v>
      </c>
    </row>
    <row r="131" spans="2:32">
      <c r="B131" s="105" t="s">
        <v>55</v>
      </c>
      <c r="C131" s="106">
        <v>38637.214999999997</v>
      </c>
      <c r="D131" s="106">
        <v>4958.8109999999997</v>
      </c>
      <c r="E131" s="106">
        <v>37737.271999999997</v>
      </c>
      <c r="F131" s="106">
        <v>19000.502</v>
      </c>
      <c r="G131" s="106">
        <v>65803.87</v>
      </c>
      <c r="H131" s="106">
        <v>8728.5030000000006</v>
      </c>
      <c r="I131" s="106">
        <v>20120.955999999998</v>
      </c>
      <c r="J131" s="106">
        <v>69189.528999999995</v>
      </c>
      <c r="K131" s="106">
        <v>407.24</v>
      </c>
      <c r="L131" s="106">
        <v>12762.686</v>
      </c>
      <c r="M131" s="106">
        <v>40834.220999999998</v>
      </c>
      <c r="N131" s="106"/>
      <c r="O131" s="106">
        <v>318180.80499999999</v>
      </c>
      <c r="P131" s="105" t="s">
        <v>211</v>
      </c>
      <c r="Q131" s="105" t="s">
        <v>743</v>
      </c>
      <c r="S131" s="46" t="s">
        <v>25</v>
      </c>
      <c r="T131" s="101">
        <v>172021.34700000001</v>
      </c>
      <c r="U131" s="101">
        <v>651809.35600000003</v>
      </c>
      <c r="V131" s="101">
        <v>25162.272000000001</v>
      </c>
      <c r="W131" s="101">
        <v>581818.90099999995</v>
      </c>
      <c r="X131" s="101">
        <v>468922.73200000002</v>
      </c>
      <c r="Y131" s="101">
        <v>300274.07400000002</v>
      </c>
      <c r="Z131" s="101">
        <v>575188.54</v>
      </c>
      <c r="AA131" s="101">
        <v>369139.78499999997</v>
      </c>
      <c r="AB131" s="101">
        <v>274344.26400000002</v>
      </c>
      <c r="AC131" s="101">
        <v>158619.74799999999</v>
      </c>
      <c r="AD131" s="101">
        <v>134635.88099999999</v>
      </c>
      <c r="AE131" s="101">
        <v>244145.579</v>
      </c>
      <c r="AF131" s="101">
        <v>3956082.4790000003</v>
      </c>
    </row>
    <row r="132" spans="2:32">
      <c r="B132" s="105" t="s">
        <v>63</v>
      </c>
      <c r="C132" s="106">
        <v>1033365.659</v>
      </c>
      <c r="D132" s="106">
        <v>351545.46899999998</v>
      </c>
      <c r="E132" s="106">
        <v>1284376.5360000001</v>
      </c>
      <c r="F132" s="106">
        <v>1145693.916</v>
      </c>
      <c r="G132" s="106">
        <v>1304378.2109999999</v>
      </c>
      <c r="H132" s="106">
        <v>835701.00300000003</v>
      </c>
      <c r="I132" s="106">
        <v>1007248.632</v>
      </c>
      <c r="J132" s="106">
        <v>885851.63600000006</v>
      </c>
      <c r="K132" s="106">
        <v>515029.22200000001</v>
      </c>
      <c r="L132" s="106">
        <v>915706.13100000005</v>
      </c>
      <c r="M132" s="106">
        <v>960223.82700000005</v>
      </c>
      <c r="N132" s="106">
        <v>706273.15</v>
      </c>
      <c r="O132" s="106">
        <v>10945393.391999999</v>
      </c>
      <c r="P132" s="105" t="s">
        <v>211</v>
      </c>
      <c r="Q132" s="105" t="s">
        <v>743</v>
      </c>
      <c r="S132" s="46" t="s">
        <v>64</v>
      </c>
      <c r="T132" s="101">
        <v>146591.82699999999</v>
      </c>
      <c r="U132" s="101">
        <v>342542.44300000003</v>
      </c>
      <c r="V132" s="101">
        <v>211950.481</v>
      </c>
      <c r="W132" s="101">
        <v>231556.125</v>
      </c>
      <c r="X132" s="101">
        <v>128603.04399999999</v>
      </c>
      <c r="Y132" s="101">
        <v>137303.00700000001</v>
      </c>
      <c r="Z132" s="101">
        <v>815890.19200000004</v>
      </c>
      <c r="AA132" s="101">
        <v>272806.09000000003</v>
      </c>
      <c r="AB132" s="101">
        <v>53252331.365000002</v>
      </c>
      <c r="AC132" s="101">
        <v>4888089.4960000003</v>
      </c>
      <c r="AD132" s="101">
        <v>559845.60699999996</v>
      </c>
      <c r="AE132" s="101">
        <v>398073.45</v>
      </c>
      <c r="AF132" s="101">
        <v>61385583.127000004</v>
      </c>
    </row>
    <row r="133" spans="2:32">
      <c r="B133" s="105" t="s">
        <v>110</v>
      </c>
      <c r="C133" s="106"/>
      <c r="D133" s="106"/>
      <c r="E133" s="106">
        <v>191389.31299999999</v>
      </c>
      <c r="F133" s="106"/>
      <c r="G133" s="106"/>
      <c r="H133" s="106">
        <v>86440.008000000002</v>
      </c>
      <c r="I133" s="106"/>
      <c r="J133" s="106"/>
      <c r="K133" s="106">
        <v>71916.297000000006</v>
      </c>
      <c r="L133" s="106"/>
      <c r="M133" s="106"/>
      <c r="N133" s="106"/>
      <c r="O133" s="106">
        <v>349745.61800000002</v>
      </c>
      <c r="P133" s="105" t="s">
        <v>211</v>
      </c>
      <c r="Q133" s="105" t="s">
        <v>743</v>
      </c>
      <c r="S133" s="46" t="s">
        <v>713</v>
      </c>
      <c r="T133" s="101">
        <v>1091920.9140000001</v>
      </c>
      <c r="U133" s="101">
        <v>1137403.061</v>
      </c>
      <c r="V133" s="101">
        <v>1331963.3500000001</v>
      </c>
      <c r="W133" s="101">
        <v>1294683.817</v>
      </c>
      <c r="X133" s="101">
        <v>1399221.9669999999</v>
      </c>
      <c r="Y133" s="101">
        <v>1430713.0120000001</v>
      </c>
      <c r="Z133" s="101">
        <v>2147776.3530000001</v>
      </c>
      <c r="AA133" s="101">
        <v>864256.29500000004</v>
      </c>
      <c r="AB133" s="101">
        <v>42928574.699000001</v>
      </c>
      <c r="AC133" s="101">
        <v>22082859.767000001</v>
      </c>
      <c r="AD133" s="101">
        <v>6610184.0590000004</v>
      </c>
      <c r="AE133" s="101">
        <v>4840733.3569999998</v>
      </c>
      <c r="AF133" s="101">
        <v>87160290.650999993</v>
      </c>
    </row>
    <row r="134" spans="2:32">
      <c r="B134" s="105" t="s">
        <v>25</v>
      </c>
      <c r="C134" s="106">
        <v>172021.34700000001</v>
      </c>
      <c r="D134" s="106">
        <v>651809.35600000003</v>
      </c>
      <c r="E134" s="106">
        <v>25162.272000000001</v>
      </c>
      <c r="F134" s="106">
        <v>581818.90099999995</v>
      </c>
      <c r="G134" s="106">
        <v>468922.73200000002</v>
      </c>
      <c r="H134" s="106">
        <v>300274.07400000002</v>
      </c>
      <c r="I134" s="106">
        <v>575188.54</v>
      </c>
      <c r="J134" s="106">
        <v>369139.78499999997</v>
      </c>
      <c r="K134" s="106">
        <v>274344.26400000002</v>
      </c>
      <c r="L134" s="106">
        <v>158619.74799999999</v>
      </c>
      <c r="M134" s="106">
        <v>134635.88099999999</v>
      </c>
      <c r="N134" s="106">
        <v>244145.579</v>
      </c>
      <c r="O134" s="106">
        <v>3956082.4790000003</v>
      </c>
      <c r="P134" s="105" t="s">
        <v>211</v>
      </c>
      <c r="Q134" s="105" t="s">
        <v>743</v>
      </c>
      <c r="S134" s="46" t="s">
        <v>59</v>
      </c>
      <c r="T134" s="101"/>
      <c r="U134" s="101"/>
      <c r="V134" s="101"/>
      <c r="W134" s="101">
        <v>2923.8470000000002</v>
      </c>
      <c r="X134" s="101">
        <v>388000.03100000002</v>
      </c>
      <c r="Y134" s="101"/>
      <c r="Z134" s="101">
        <v>386476.18</v>
      </c>
      <c r="AA134" s="101">
        <v>633843.17200000002</v>
      </c>
      <c r="AB134" s="101">
        <v>421702.38299999997</v>
      </c>
      <c r="AC134" s="101">
        <v>841148.01599999995</v>
      </c>
      <c r="AD134" s="101"/>
      <c r="AE134" s="101"/>
      <c r="AF134" s="101">
        <v>2674093.6289999997</v>
      </c>
    </row>
    <row r="135" spans="2:32">
      <c r="B135" s="105" t="s">
        <v>64</v>
      </c>
      <c r="C135" s="106">
        <v>146591.82699999999</v>
      </c>
      <c r="D135" s="106">
        <v>342542.44300000003</v>
      </c>
      <c r="E135" s="106">
        <v>211950.481</v>
      </c>
      <c r="F135" s="106">
        <v>231556.125</v>
      </c>
      <c r="G135" s="106">
        <v>128603.04399999999</v>
      </c>
      <c r="H135" s="106">
        <v>137303.00700000001</v>
      </c>
      <c r="I135" s="106">
        <v>815890.19200000004</v>
      </c>
      <c r="J135" s="106">
        <v>272806.09000000003</v>
      </c>
      <c r="K135" s="106">
        <v>53252331.365000002</v>
      </c>
      <c r="L135" s="106">
        <v>4888089.4960000003</v>
      </c>
      <c r="M135" s="106">
        <v>559845.60699999996</v>
      </c>
      <c r="N135" s="106">
        <v>398073.45</v>
      </c>
      <c r="O135" s="106">
        <v>61385583.127000004</v>
      </c>
      <c r="P135" s="105" t="s">
        <v>211</v>
      </c>
      <c r="Q135" s="105" t="s">
        <v>743</v>
      </c>
      <c r="S135" s="46" t="s">
        <v>23</v>
      </c>
      <c r="T135" s="101">
        <v>18192868.322999999</v>
      </c>
      <c r="U135" s="101">
        <v>15860252.189999999</v>
      </c>
      <c r="V135" s="101">
        <v>13449108.035</v>
      </c>
      <c r="W135" s="101">
        <v>16749454.829</v>
      </c>
      <c r="X135" s="101">
        <v>16175439.622</v>
      </c>
      <c r="Y135" s="101">
        <v>11435133.684</v>
      </c>
      <c r="Z135" s="101">
        <v>16769950.098999999</v>
      </c>
      <c r="AA135" s="101">
        <v>16226555.136</v>
      </c>
      <c r="AB135" s="101">
        <v>109523138.295</v>
      </c>
      <c r="AC135" s="101">
        <v>41781312.148000002</v>
      </c>
      <c r="AD135" s="101">
        <v>23889117.427000001</v>
      </c>
      <c r="AE135" s="101">
        <v>15536350.069</v>
      </c>
      <c r="AF135" s="101">
        <v>315588679.85699999</v>
      </c>
    </row>
    <row r="136" spans="2:32">
      <c r="B136" s="105" t="s">
        <v>713</v>
      </c>
      <c r="C136" s="106">
        <v>1091920.9140000001</v>
      </c>
      <c r="D136" s="106">
        <v>1137403.061</v>
      </c>
      <c r="E136" s="106">
        <v>1331963.3500000001</v>
      </c>
      <c r="F136" s="106">
        <v>1294683.817</v>
      </c>
      <c r="G136" s="106">
        <v>1399221.9669999999</v>
      </c>
      <c r="H136" s="106">
        <v>1430713.0120000001</v>
      </c>
      <c r="I136" s="106">
        <v>2147776.3530000001</v>
      </c>
      <c r="J136" s="106">
        <v>864256.29500000004</v>
      </c>
      <c r="K136" s="106">
        <v>42928574.699000001</v>
      </c>
      <c r="L136" s="106">
        <v>22082859.767000001</v>
      </c>
      <c r="M136" s="106">
        <v>6610184.0590000004</v>
      </c>
      <c r="N136" s="106">
        <v>4840733.3569999998</v>
      </c>
      <c r="O136" s="106">
        <v>87160290.650999993</v>
      </c>
      <c r="P136" s="105" t="s">
        <v>211</v>
      </c>
      <c r="Q136" s="105" t="s">
        <v>743</v>
      </c>
      <c r="S136" s="46" t="s">
        <v>732</v>
      </c>
      <c r="T136" s="101">
        <v>36385736.644000001</v>
      </c>
      <c r="U136" s="101">
        <v>31720504.381999999</v>
      </c>
      <c r="V136" s="101">
        <v>26898216.071999997</v>
      </c>
      <c r="W136" s="101">
        <v>33498909.660999998</v>
      </c>
      <c r="X136" s="101">
        <v>32350879.244999997</v>
      </c>
      <c r="Y136" s="101">
        <v>22870267.366999999</v>
      </c>
      <c r="Z136" s="101">
        <v>33539900.198999994</v>
      </c>
      <c r="AA136" s="101">
        <v>32453110.271999996</v>
      </c>
      <c r="AB136" s="101">
        <v>219046276.588</v>
      </c>
      <c r="AC136" s="101">
        <v>83562624.295000002</v>
      </c>
      <c r="AD136" s="101">
        <v>47778234.857000001</v>
      </c>
      <c r="AE136" s="101">
        <v>31072700.137999997</v>
      </c>
      <c r="AF136" s="101">
        <v>631177359.72000003</v>
      </c>
    </row>
    <row r="137" spans="2:32">
      <c r="B137" s="105" t="s">
        <v>59</v>
      </c>
      <c r="C137" s="106"/>
      <c r="D137" s="106"/>
      <c r="E137" s="106"/>
      <c r="F137" s="106">
        <v>2923.8470000000002</v>
      </c>
      <c r="G137" s="106">
        <v>388000.03100000002</v>
      </c>
      <c r="H137" s="106"/>
      <c r="I137" s="106">
        <v>386476.18</v>
      </c>
      <c r="J137" s="106">
        <v>633843.17200000002</v>
      </c>
      <c r="K137" s="106">
        <v>421702.38299999997</v>
      </c>
      <c r="L137" s="106">
        <v>841148.01599999995</v>
      </c>
      <c r="M137" s="106"/>
      <c r="N137" s="106"/>
      <c r="O137" s="106">
        <v>2674093.6289999997</v>
      </c>
      <c r="P137" s="105" t="s">
        <v>211</v>
      </c>
      <c r="Q137" s="105" t="s">
        <v>743</v>
      </c>
    </row>
    <row r="138" spans="2:32">
      <c r="B138" s="105" t="s">
        <v>23</v>
      </c>
      <c r="C138" s="106">
        <v>18192868.322999999</v>
      </c>
      <c r="D138" s="106">
        <v>15860252.189999999</v>
      </c>
      <c r="E138" s="106">
        <v>13449108.035</v>
      </c>
      <c r="F138" s="106">
        <v>16749454.829</v>
      </c>
      <c r="G138" s="106">
        <v>16175439.622</v>
      </c>
      <c r="H138" s="106">
        <v>11435133.684</v>
      </c>
      <c r="I138" s="106">
        <v>16769950.098999999</v>
      </c>
      <c r="J138" s="106">
        <v>16226555.136</v>
      </c>
      <c r="K138" s="106">
        <v>109523138.295</v>
      </c>
      <c r="L138" s="106">
        <v>41781312.148000002</v>
      </c>
      <c r="M138" s="106">
        <v>23889117.427000001</v>
      </c>
      <c r="N138" s="106">
        <v>15536350.069</v>
      </c>
      <c r="O138" s="106">
        <v>315588679.85699999</v>
      </c>
      <c r="P138" s="105" t="s">
        <v>210</v>
      </c>
      <c r="Q138" s="105" t="s">
        <v>743</v>
      </c>
    </row>
    <row r="139" spans="2:32">
      <c r="B139" s="107" t="s">
        <v>732</v>
      </c>
      <c r="C139" s="110">
        <v>36385736.644000001</v>
      </c>
      <c r="D139" s="110">
        <v>31720504.381999999</v>
      </c>
      <c r="E139" s="110">
        <v>26898216.071999997</v>
      </c>
      <c r="F139" s="110">
        <v>33498909.660999998</v>
      </c>
      <c r="G139" s="110">
        <v>32350879.244999997</v>
      </c>
      <c r="H139" s="110">
        <v>22870267.366999999</v>
      </c>
      <c r="I139" s="110">
        <v>33539900.198999994</v>
      </c>
      <c r="J139" s="110">
        <v>32453110.271999996</v>
      </c>
      <c r="K139" s="110">
        <v>219046276.588</v>
      </c>
      <c r="L139" s="110">
        <v>83562624.295000002</v>
      </c>
      <c r="M139" s="110">
        <v>47778234.857000001</v>
      </c>
      <c r="N139" s="110">
        <v>31072700.137999997</v>
      </c>
      <c r="O139" s="110">
        <v>631177359.72000003</v>
      </c>
      <c r="P139" s="105"/>
      <c r="Q139" s="105"/>
    </row>
    <row r="145" spans="1:48" s="121" customFormat="1" ht="9" customHeight="1"/>
    <row r="146" spans="1:48" ht="27">
      <c r="B146" s="303" t="s">
        <v>742</v>
      </c>
      <c r="L146" s="102" t="s">
        <v>730</v>
      </c>
      <c r="O146" s="102" t="s">
        <v>731</v>
      </c>
      <c r="AG146" s="102" t="s">
        <v>729</v>
      </c>
      <c r="AS146" s="102" t="s">
        <v>728</v>
      </c>
    </row>
    <row r="147" spans="1:48" s="108" customFormat="1" ht="54">
      <c r="A147" s="102" t="s">
        <v>727</v>
      </c>
      <c r="B147" s="102" t="s">
        <v>618</v>
      </c>
      <c r="C147" s="102" t="s">
        <v>619</v>
      </c>
      <c r="D147" s="102" t="s">
        <v>620</v>
      </c>
      <c r="E147" s="102" t="s">
        <v>621</v>
      </c>
      <c r="F147" s="102" t="s">
        <v>622</v>
      </c>
      <c r="G147" s="102" t="s">
        <v>623</v>
      </c>
      <c r="H147" s="102" t="s">
        <v>624</v>
      </c>
      <c r="I147" s="102" t="s">
        <v>625</v>
      </c>
      <c r="J147" s="102" t="s">
        <v>626</v>
      </c>
      <c r="K147" s="102" t="s">
        <v>627</v>
      </c>
      <c r="L147" s="102" t="s">
        <v>628</v>
      </c>
      <c r="M147" s="102" t="s">
        <v>629</v>
      </c>
      <c r="N147" s="102" t="s">
        <v>630</v>
      </c>
      <c r="O147" s="102" t="s">
        <v>631</v>
      </c>
      <c r="P147" s="102" t="s">
        <v>632</v>
      </c>
      <c r="Q147" s="102" t="s">
        <v>633</v>
      </c>
      <c r="R147" s="102" t="s">
        <v>634</v>
      </c>
      <c r="S147" s="102" t="s">
        <v>635</v>
      </c>
      <c r="T147" s="102" t="s">
        <v>636</v>
      </c>
      <c r="U147" s="102" t="s">
        <v>637</v>
      </c>
      <c r="V147" s="102" t="s">
        <v>638</v>
      </c>
      <c r="W147" s="102" t="s">
        <v>639</v>
      </c>
      <c r="X147" s="102" t="s">
        <v>640</v>
      </c>
      <c r="Y147" s="102" t="s">
        <v>641</v>
      </c>
      <c r="Z147" s="102" t="s">
        <v>642</v>
      </c>
      <c r="AA147" s="102" t="s">
        <v>643</v>
      </c>
      <c r="AB147" s="102" t="s">
        <v>644</v>
      </c>
      <c r="AC147" s="102" t="s">
        <v>645</v>
      </c>
      <c r="AD147" s="102" t="s">
        <v>646</v>
      </c>
      <c r="AE147" s="102" t="s">
        <v>647</v>
      </c>
      <c r="AF147" s="102" t="s">
        <v>648</v>
      </c>
      <c r="AG147" s="102" t="s">
        <v>649</v>
      </c>
      <c r="AH147" s="102" t="s">
        <v>650</v>
      </c>
      <c r="AI147" s="102" t="s">
        <v>651</v>
      </c>
      <c r="AJ147" s="102" t="s">
        <v>652</v>
      </c>
      <c r="AK147" s="102" t="s">
        <v>653</v>
      </c>
      <c r="AL147" s="102" t="s">
        <v>654</v>
      </c>
      <c r="AM147" s="102" t="s">
        <v>655</v>
      </c>
      <c r="AN147" s="102" t="s">
        <v>656</v>
      </c>
      <c r="AO147" s="102" t="s">
        <v>657</v>
      </c>
      <c r="AP147" s="102" t="s">
        <v>658</v>
      </c>
      <c r="AQ147" s="102" t="s">
        <v>659</v>
      </c>
      <c r="AR147" s="102" t="s">
        <v>660</v>
      </c>
      <c r="AS147" s="102" t="s">
        <v>661</v>
      </c>
      <c r="AT147" s="102" t="s">
        <v>662</v>
      </c>
      <c r="AU147" s="102" t="s">
        <v>663</v>
      </c>
      <c r="AV147" s="102" t="s">
        <v>664</v>
      </c>
    </row>
    <row r="148" spans="1:48">
      <c r="B148" s="46" t="s">
        <v>665</v>
      </c>
      <c r="C148" s="46" t="s">
        <v>666</v>
      </c>
      <c r="D148" s="46">
        <v>20230701</v>
      </c>
      <c r="E148" s="46">
        <v>2023</v>
      </c>
      <c r="F148" s="46">
        <v>7</v>
      </c>
      <c r="G148" s="46" t="s">
        <v>718</v>
      </c>
      <c r="H148" s="46">
        <v>818</v>
      </c>
      <c r="I148" s="46" t="s">
        <v>668</v>
      </c>
      <c r="J148" s="46" t="s">
        <v>57</v>
      </c>
      <c r="K148" s="46" t="s">
        <v>666</v>
      </c>
      <c r="L148" s="46" t="s">
        <v>669</v>
      </c>
      <c r="M148" s="46">
        <v>0</v>
      </c>
      <c r="N148" s="46" t="s">
        <v>670</v>
      </c>
      <c r="O148" s="46" t="s">
        <v>23</v>
      </c>
      <c r="P148" s="46">
        <v>0</v>
      </c>
      <c r="Q148" s="46" t="s">
        <v>670</v>
      </c>
      <c r="R148" s="46" t="s">
        <v>23</v>
      </c>
      <c r="S148" s="46" t="s">
        <v>671</v>
      </c>
      <c r="T148" s="46" t="s">
        <v>672</v>
      </c>
      <c r="U148" s="46" t="b">
        <v>1</v>
      </c>
      <c r="V148" s="46" t="s">
        <v>985</v>
      </c>
      <c r="W148" s="46" t="s">
        <v>984</v>
      </c>
      <c r="X148" s="46">
        <v>6</v>
      </c>
      <c r="Y148" s="46" t="b">
        <v>1</v>
      </c>
      <c r="Z148" s="46" t="s">
        <v>675</v>
      </c>
      <c r="AA148" s="46" t="s">
        <v>676</v>
      </c>
      <c r="AB148" s="46" t="s">
        <v>677</v>
      </c>
      <c r="AC148" s="46">
        <v>0</v>
      </c>
      <c r="AD148" s="46" t="s">
        <v>678</v>
      </c>
      <c r="AE148" s="46">
        <v>8</v>
      </c>
      <c r="AF148" s="46" t="s">
        <v>679</v>
      </c>
      <c r="AG148" s="46">
        <v>3855298.43</v>
      </c>
      <c r="AH148" s="46" t="b">
        <v>1</v>
      </c>
      <c r="AI148" s="46">
        <v>-1</v>
      </c>
      <c r="AJ148" s="46" t="s">
        <v>680</v>
      </c>
      <c r="AK148" s="46">
        <v>0</v>
      </c>
      <c r="AL148" s="46" t="b">
        <v>0</v>
      </c>
      <c r="AM148" s="46">
        <v>3855298.43</v>
      </c>
      <c r="AN148" s="46" t="b">
        <v>1</v>
      </c>
      <c r="AO148" s="46">
        <v>0</v>
      </c>
      <c r="AP148" s="46" t="b">
        <v>0</v>
      </c>
      <c r="AQ148" s="46">
        <v>18192868.322999999</v>
      </c>
      <c r="AS148" s="46">
        <v>18192868.322999999</v>
      </c>
      <c r="AT148" s="46">
        <v>6</v>
      </c>
      <c r="AU148" s="46" t="b">
        <v>0</v>
      </c>
      <c r="AV148" s="46" t="b">
        <v>1</v>
      </c>
    </row>
    <row r="149" spans="1:48">
      <c r="B149" s="46" t="s">
        <v>665</v>
      </c>
      <c r="C149" s="46" t="s">
        <v>666</v>
      </c>
      <c r="D149" s="46">
        <v>20230701</v>
      </c>
      <c r="E149" s="46">
        <v>2023</v>
      </c>
      <c r="F149" s="46">
        <v>7</v>
      </c>
      <c r="G149" s="46" t="s">
        <v>718</v>
      </c>
      <c r="H149" s="46">
        <v>818</v>
      </c>
      <c r="I149" s="46" t="s">
        <v>668</v>
      </c>
      <c r="J149" s="46" t="s">
        <v>57</v>
      </c>
      <c r="K149" s="46" t="s">
        <v>666</v>
      </c>
      <c r="L149" s="46" t="s">
        <v>669</v>
      </c>
      <c r="M149" s="46">
        <v>32</v>
      </c>
      <c r="N149" s="46" t="s">
        <v>986</v>
      </c>
      <c r="O149" s="46" t="s">
        <v>120</v>
      </c>
      <c r="P149" s="46">
        <v>0</v>
      </c>
      <c r="Q149" s="46" t="s">
        <v>670</v>
      </c>
      <c r="R149" s="46" t="s">
        <v>23</v>
      </c>
      <c r="S149" s="46" t="s">
        <v>671</v>
      </c>
      <c r="T149" s="46" t="s">
        <v>672</v>
      </c>
      <c r="U149" s="46" t="b">
        <v>1</v>
      </c>
      <c r="V149" s="46" t="s">
        <v>985</v>
      </c>
      <c r="W149" s="46" t="s">
        <v>984</v>
      </c>
      <c r="X149" s="46">
        <v>6</v>
      </c>
      <c r="Y149" s="46" t="b">
        <v>1</v>
      </c>
      <c r="Z149" s="46" t="s">
        <v>675</v>
      </c>
      <c r="AA149" s="46" t="s">
        <v>676</v>
      </c>
      <c r="AB149" s="46" t="s">
        <v>677</v>
      </c>
      <c r="AC149" s="46">
        <v>0</v>
      </c>
      <c r="AD149" s="46" t="s">
        <v>678</v>
      </c>
      <c r="AE149" s="46">
        <v>8</v>
      </c>
      <c r="AF149" s="46" t="s">
        <v>679</v>
      </c>
      <c r="AG149" s="46">
        <v>7455.0039999999999</v>
      </c>
      <c r="AH149" s="46" t="b">
        <v>1</v>
      </c>
      <c r="AI149" s="46">
        <v>-1</v>
      </c>
      <c r="AJ149" s="46" t="s">
        <v>680</v>
      </c>
      <c r="AK149" s="46">
        <v>0</v>
      </c>
      <c r="AL149" s="46" t="b">
        <v>0</v>
      </c>
      <c r="AM149" s="46">
        <v>7455.0039999999999</v>
      </c>
      <c r="AN149" s="46" t="b">
        <v>1</v>
      </c>
      <c r="AO149" s="46">
        <v>0</v>
      </c>
      <c r="AP149" s="46" t="b">
        <v>0</v>
      </c>
      <c r="AQ149" s="46">
        <v>35179.612999999998</v>
      </c>
      <c r="AS149" s="46">
        <v>35179.612999999998</v>
      </c>
      <c r="AT149" s="46">
        <v>6</v>
      </c>
      <c r="AU149" s="46" t="b">
        <v>1</v>
      </c>
      <c r="AV149" s="46" t="b">
        <v>0</v>
      </c>
    </row>
    <row r="150" spans="1:48">
      <c r="B150" s="46" t="s">
        <v>665</v>
      </c>
      <c r="C150" s="46" t="s">
        <v>666</v>
      </c>
      <c r="D150" s="46">
        <v>20230701</v>
      </c>
      <c r="E150" s="46">
        <v>2023</v>
      </c>
      <c r="F150" s="46">
        <v>7</v>
      </c>
      <c r="G150" s="46" t="s">
        <v>718</v>
      </c>
      <c r="H150" s="46">
        <v>818</v>
      </c>
      <c r="I150" s="46" t="s">
        <v>668</v>
      </c>
      <c r="J150" s="46" t="s">
        <v>57</v>
      </c>
      <c r="K150" s="46" t="s">
        <v>666</v>
      </c>
      <c r="L150" s="46" t="s">
        <v>669</v>
      </c>
      <c r="M150" s="46">
        <v>36</v>
      </c>
      <c r="N150" s="46" t="s">
        <v>765</v>
      </c>
      <c r="O150" s="46" t="s">
        <v>24</v>
      </c>
      <c r="P150" s="46">
        <v>0</v>
      </c>
      <c r="Q150" s="46" t="s">
        <v>670</v>
      </c>
      <c r="R150" s="46" t="s">
        <v>23</v>
      </c>
      <c r="S150" s="46" t="s">
        <v>671</v>
      </c>
      <c r="T150" s="46" t="s">
        <v>672</v>
      </c>
      <c r="U150" s="46" t="b">
        <v>1</v>
      </c>
      <c r="V150" s="46" t="s">
        <v>985</v>
      </c>
      <c r="W150" s="46" t="s">
        <v>984</v>
      </c>
      <c r="X150" s="46">
        <v>6</v>
      </c>
      <c r="Y150" s="46" t="b">
        <v>1</v>
      </c>
      <c r="Z150" s="46" t="s">
        <v>675</v>
      </c>
      <c r="AA150" s="46" t="s">
        <v>676</v>
      </c>
      <c r="AB150" s="46" t="s">
        <v>677</v>
      </c>
      <c r="AC150" s="46">
        <v>0</v>
      </c>
      <c r="AD150" s="46" t="s">
        <v>678</v>
      </c>
      <c r="AE150" s="46">
        <v>8</v>
      </c>
      <c r="AF150" s="46" t="s">
        <v>679</v>
      </c>
      <c r="AG150" s="46">
        <v>50255.673000000003</v>
      </c>
      <c r="AH150" s="46" t="b">
        <v>1</v>
      </c>
      <c r="AI150" s="46">
        <v>-1</v>
      </c>
      <c r="AJ150" s="46" t="s">
        <v>680</v>
      </c>
      <c r="AK150" s="46">
        <v>0</v>
      </c>
      <c r="AL150" s="46" t="b">
        <v>0</v>
      </c>
      <c r="AM150" s="46">
        <v>50255.673000000003</v>
      </c>
      <c r="AN150" s="46" t="b">
        <v>1</v>
      </c>
      <c r="AO150" s="46">
        <v>0</v>
      </c>
      <c r="AP150" s="46" t="b">
        <v>0</v>
      </c>
      <c r="AQ150" s="46">
        <v>237152.80600000001</v>
      </c>
      <c r="AS150" s="46">
        <v>237152.80600000001</v>
      </c>
      <c r="AT150" s="46">
        <v>6</v>
      </c>
      <c r="AU150" s="46" t="b">
        <v>1</v>
      </c>
      <c r="AV150" s="46" t="b">
        <v>0</v>
      </c>
    </row>
    <row r="151" spans="1:48">
      <c r="B151" s="46" t="s">
        <v>665</v>
      </c>
      <c r="C151" s="46" t="s">
        <v>666</v>
      </c>
      <c r="D151" s="46">
        <v>20230701</v>
      </c>
      <c r="E151" s="46">
        <v>2023</v>
      </c>
      <c r="F151" s="46">
        <v>7</v>
      </c>
      <c r="G151" s="46" t="s">
        <v>718</v>
      </c>
      <c r="H151" s="46">
        <v>818</v>
      </c>
      <c r="I151" s="46" t="s">
        <v>668</v>
      </c>
      <c r="J151" s="46" t="s">
        <v>57</v>
      </c>
      <c r="K151" s="46" t="s">
        <v>666</v>
      </c>
      <c r="L151" s="46" t="s">
        <v>669</v>
      </c>
      <c r="M151" s="46">
        <v>40</v>
      </c>
      <c r="N151" s="46" t="s">
        <v>750</v>
      </c>
      <c r="O151" s="46" t="s">
        <v>43</v>
      </c>
      <c r="P151" s="46">
        <v>0</v>
      </c>
      <c r="Q151" s="46" t="s">
        <v>670</v>
      </c>
      <c r="R151" s="46" t="s">
        <v>23</v>
      </c>
      <c r="S151" s="46" t="s">
        <v>671</v>
      </c>
      <c r="T151" s="46" t="s">
        <v>672</v>
      </c>
      <c r="U151" s="46" t="b">
        <v>1</v>
      </c>
      <c r="V151" s="46" t="s">
        <v>985</v>
      </c>
      <c r="W151" s="46" t="s">
        <v>984</v>
      </c>
      <c r="X151" s="46">
        <v>6</v>
      </c>
      <c r="Y151" s="46" t="b">
        <v>1</v>
      </c>
      <c r="Z151" s="46" t="s">
        <v>675</v>
      </c>
      <c r="AA151" s="46" t="s">
        <v>676</v>
      </c>
      <c r="AB151" s="46" t="s">
        <v>677</v>
      </c>
      <c r="AC151" s="46">
        <v>0</v>
      </c>
      <c r="AD151" s="46" t="s">
        <v>678</v>
      </c>
      <c r="AE151" s="46">
        <v>8</v>
      </c>
      <c r="AF151" s="46" t="s">
        <v>679</v>
      </c>
      <c r="AG151" s="46">
        <v>14791.938</v>
      </c>
      <c r="AH151" s="46" t="b">
        <v>1</v>
      </c>
      <c r="AI151" s="46">
        <v>-1</v>
      </c>
      <c r="AJ151" s="46" t="s">
        <v>680</v>
      </c>
      <c r="AK151" s="46">
        <v>0</v>
      </c>
      <c r="AL151" s="46" t="b">
        <v>0</v>
      </c>
      <c r="AM151" s="46">
        <v>14791.938</v>
      </c>
      <c r="AN151" s="46" t="b">
        <v>1</v>
      </c>
      <c r="AO151" s="46">
        <v>0</v>
      </c>
      <c r="AP151" s="46" t="b">
        <v>0</v>
      </c>
      <c r="AQ151" s="46">
        <v>69802.061000000002</v>
      </c>
      <c r="AS151" s="46">
        <v>69802.061000000002</v>
      </c>
      <c r="AT151" s="46">
        <v>6</v>
      </c>
      <c r="AU151" s="46" t="b">
        <v>1</v>
      </c>
      <c r="AV151" s="46" t="b">
        <v>0</v>
      </c>
    </row>
    <row r="152" spans="1:48">
      <c r="B152" s="46" t="s">
        <v>665</v>
      </c>
      <c r="C152" s="46" t="s">
        <v>666</v>
      </c>
      <c r="D152" s="46">
        <v>20230701</v>
      </c>
      <c r="E152" s="46">
        <v>2023</v>
      </c>
      <c r="F152" s="46">
        <v>7</v>
      </c>
      <c r="G152" s="46" t="s">
        <v>718</v>
      </c>
      <c r="H152" s="46">
        <v>818</v>
      </c>
      <c r="I152" s="46" t="s">
        <v>668</v>
      </c>
      <c r="J152" s="46" t="s">
        <v>57</v>
      </c>
      <c r="K152" s="46" t="s">
        <v>666</v>
      </c>
      <c r="L152" s="46" t="s">
        <v>669</v>
      </c>
      <c r="M152" s="46">
        <v>56</v>
      </c>
      <c r="N152" s="46" t="s">
        <v>696</v>
      </c>
      <c r="O152" s="46" t="s">
        <v>74</v>
      </c>
      <c r="P152" s="46">
        <v>0</v>
      </c>
      <c r="Q152" s="46" t="s">
        <v>670</v>
      </c>
      <c r="R152" s="46" t="s">
        <v>23</v>
      </c>
      <c r="S152" s="46" t="s">
        <v>671</v>
      </c>
      <c r="T152" s="46" t="s">
        <v>672</v>
      </c>
      <c r="U152" s="46" t="b">
        <v>1</v>
      </c>
      <c r="V152" s="46" t="s">
        <v>985</v>
      </c>
      <c r="W152" s="46" t="s">
        <v>984</v>
      </c>
      <c r="X152" s="46">
        <v>6</v>
      </c>
      <c r="Y152" s="46" t="b">
        <v>1</v>
      </c>
      <c r="Z152" s="46" t="s">
        <v>675</v>
      </c>
      <c r="AA152" s="46" t="s">
        <v>676</v>
      </c>
      <c r="AB152" s="46" t="s">
        <v>677</v>
      </c>
      <c r="AC152" s="46">
        <v>0</v>
      </c>
      <c r="AD152" s="46" t="s">
        <v>678</v>
      </c>
      <c r="AE152" s="46">
        <v>8</v>
      </c>
      <c r="AF152" s="46" t="s">
        <v>679</v>
      </c>
      <c r="AG152" s="46">
        <v>29973.200000000001</v>
      </c>
      <c r="AH152" s="46" t="b">
        <v>1</v>
      </c>
      <c r="AI152" s="46">
        <v>-1</v>
      </c>
      <c r="AJ152" s="46" t="s">
        <v>680</v>
      </c>
      <c r="AK152" s="46">
        <v>0</v>
      </c>
      <c r="AL152" s="46" t="b">
        <v>0</v>
      </c>
      <c r="AM152" s="46">
        <v>29973.200000000001</v>
      </c>
      <c r="AN152" s="46" t="b">
        <v>1</v>
      </c>
      <c r="AO152" s="46">
        <v>0</v>
      </c>
      <c r="AP152" s="46" t="b">
        <v>0</v>
      </c>
      <c r="AQ152" s="46">
        <v>141441.31700000001</v>
      </c>
      <c r="AS152" s="46">
        <v>141441.31700000001</v>
      </c>
      <c r="AT152" s="46">
        <v>6</v>
      </c>
      <c r="AU152" s="46" t="b">
        <v>1</v>
      </c>
      <c r="AV152" s="46" t="b">
        <v>0</v>
      </c>
    </row>
    <row r="153" spans="1:48">
      <c r="B153" s="46" t="s">
        <v>665</v>
      </c>
      <c r="C153" s="46" t="s">
        <v>666</v>
      </c>
      <c r="D153" s="46">
        <v>20230701</v>
      </c>
      <c r="E153" s="46">
        <v>2023</v>
      </c>
      <c r="F153" s="46">
        <v>7</v>
      </c>
      <c r="G153" s="46" t="s">
        <v>718</v>
      </c>
      <c r="H153" s="46">
        <v>818</v>
      </c>
      <c r="I153" s="46" t="s">
        <v>668</v>
      </c>
      <c r="J153" s="46" t="s">
        <v>57</v>
      </c>
      <c r="K153" s="46" t="s">
        <v>666</v>
      </c>
      <c r="L153" s="46" t="s">
        <v>669</v>
      </c>
      <c r="M153" s="46">
        <v>76</v>
      </c>
      <c r="N153" s="46" t="s">
        <v>987</v>
      </c>
      <c r="O153" s="46" t="s">
        <v>66</v>
      </c>
      <c r="P153" s="46">
        <v>0</v>
      </c>
      <c r="Q153" s="46" t="s">
        <v>670</v>
      </c>
      <c r="R153" s="46" t="s">
        <v>23</v>
      </c>
      <c r="S153" s="46" t="s">
        <v>671</v>
      </c>
      <c r="T153" s="46" t="s">
        <v>672</v>
      </c>
      <c r="U153" s="46" t="b">
        <v>1</v>
      </c>
      <c r="V153" s="46" t="s">
        <v>985</v>
      </c>
      <c r="W153" s="46" t="s">
        <v>984</v>
      </c>
      <c r="X153" s="46">
        <v>6</v>
      </c>
      <c r="Y153" s="46" t="b">
        <v>1</v>
      </c>
      <c r="Z153" s="46" t="s">
        <v>675</v>
      </c>
      <c r="AA153" s="46" t="s">
        <v>676</v>
      </c>
      <c r="AB153" s="46" t="s">
        <v>677</v>
      </c>
      <c r="AC153" s="46">
        <v>0</v>
      </c>
      <c r="AD153" s="46" t="s">
        <v>678</v>
      </c>
      <c r="AE153" s="46">
        <v>8</v>
      </c>
      <c r="AF153" s="46" t="s">
        <v>679</v>
      </c>
      <c r="AG153" s="46">
        <v>48026.188000000002</v>
      </c>
      <c r="AH153" s="46" t="b">
        <v>1</v>
      </c>
      <c r="AI153" s="46">
        <v>-1</v>
      </c>
      <c r="AJ153" s="46" t="s">
        <v>680</v>
      </c>
      <c r="AK153" s="46">
        <v>0</v>
      </c>
      <c r="AL153" s="46" t="b">
        <v>0</v>
      </c>
      <c r="AM153" s="46">
        <v>48026.188000000002</v>
      </c>
      <c r="AN153" s="46" t="b">
        <v>1</v>
      </c>
      <c r="AO153" s="46">
        <v>0</v>
      </c>
      <c r="AP153" s="46" t="b">
        <v>0</v>
      </c>
      <c r="AQ153" s="46">
        <v>226632.03099999999</v>
      </c>
      <c r="AS153" s="46">
        <v>226632.03099999999</v>
      </c>
      <c r="AT153" s="46">
        <v>6</v>
      </c>
      <c r="AU153" s="46" t="b">
        <v>1</v>
      </c>
      <c r="AV153" s="46" t="b">
        <v>0</v>
      </c>
    </row>
    <row r="154" spans="1:48">
      <c r="B154" s="46" t="s">
        <v>665</v>
      </c>
      <c r="C154" s="46" t="s">
        <v>666</v>
      </c>
      <c r="D154" s="46">
        <v>20230701</v>
      </c>
      <c r="E154" s="46">
        <v>2023</v>
      </c>
      <c r="F154" s="46">
        <v>7</v>
      </c>
      <c r="G154" s="46" t="s">
        <v>718</v>
      </c>
      <c r="H154" s="46">
        <v>818</v>
      </c>
      <c r="I154" s="46" t="s">
        <v>668</v>
      </c>
      <c r="J154" s="46" t="s">
        <v>57</v>
      </c>
      <c r="K154" s="46" t="s">
        <v>666</v>
      </c>
      <c r="L154" s="46" t="s">
        <v>669</v>
      </c>
      <c r="M154" s="46">
        <v>156</v>
      </c>
      <c r="N154" s="46" t="s">
        <v>711</v>
      </c>
      <c r="O154" s="46" t="s">
        <v>29</v>
      </c>
      <c r="P154" s="46">
        <v>0</v>
      </c>
      <c r="Q154" s="46" t="s">
        <v>670</v>
      </c>
      <c r="R154" s="46" t="s">
        <v>23</v>
      </c>
      <c r="S154" s="46" t="s">
        <v>671</v>
      </c>
      <c r="T154" s="46" t="s">
        <v>672</v>
      </c>
      <c r="U154" s="46" t="b">
        <v>1</v>
      </c>
      <c r="V154" s="46" t="s">
        <v>985</v>
      </c>
      <c r="W154" s="46" t="s">
        <v>984</v>
      </c>
      <c r="X154" s="46">
        <v>6</v>
      </c>
      <c r="Y154" s="46" t="b">
        <v>1</v>
      </c>
      <c r="Z154" s="46" t="s">
        <v>675</v>
      </c>
      <c r="AA154" s="46" t="s">
        <v>676</v>
      </c>
      <c r="AB154" s="46" t="s">
        <v>677</v>
      </c>
      <c r="AC154" s="46">
        <v>0</v>
      </c>
      <c r="AD154" s="46" t="s">
        <v>678</v>
      </c>
      <c r="AE154" s="46">
        <v>8</v>
      </c>
      <c r="AF154" s="46" t="s">
        <v>679</v>
      </c>
      <c r="AG154" s="46">
        <v>830078.97600000002</v>
      </c>
      <c r="AH154" s="46" t="b">
        <v>1</v>
      </c>
      <c r="AI154" s="46">
        <v>-1</v>
      </c>
      <c r="AJ154" s="46" t="s">
        <v>680</v>
      </c>
      <c r="AK154" s="46">
        <v>0</v>
      </c>
      <c r="AL154" s="46" t="b">
        <v>0</v>
      </c>
      <c r="AM154" s="46">
        <v>830078.97600000002</v>
      </c>
      <c r="AN154" s="46" t="b">
        <v>1</v>
      </c>
      <c r="AO154" s="46">
        <v>0</v>
      </c>
      <c r="AP154" s="46" t="b">
        <v>0</v>
      </c>
      <c r="AQ154" s="46">
        <v>3917081.33</v>
      </c>
      <c r="AS154" s="46">
        <v>3917081.33</v>
      </c>
      <c r="AT154" s="46">
        <v>6</v>
      </c>
      <c r="AU154" s="46" t="b">
        <v>1</v>
      </c>
      <c r="AV154" s="46" t="b">
        <v>0</v>
      </c>
    </row>
    <row r="155" spans="1:48">
      <c r="B155" s="46" t="s">
        <v>665</v>
      </c>
      <c r="C155" s="46" t="s">
        <v>666</v>
      </c>
      <c r="D155" s="46">
        <v>20230701</v>
      </c>
      <c r="E155" s="46">
        <v>2023</v>
      </c>
      <c r="F155" s="46">
        <v>7</v>
      </c>
      <c r="G155" s="46" t="s">
        <v>718</v>
      </c>
      <c r="H155" s="46">
        <v>818</v>
      </c>
      <c r="I155" s="46" t="s">
        <v>668</v>
      </c>
      <c r="J155" s="46" t="s">
        <v>57</v>
      </c>
      <c r="K155" s="46" t="s">
        <v>666</v>
      </c>
      <c r="L155" s="46" t="s">
        <v>669</v>
      </c>
      <c r="M155" s="46">
        <v>208</v>
      </c>
      <c r="N155" s="46" t="s">
        <v>988</v>
      </c>
      <c r="O155" s="46" t="s">
        <v>72</v>
      </c>
      <c r="P155" s="46">
        <v>0</v>
      </c>
      <c r="Q155" s="46" t="s">
        <v>670</v>
      </c>
      <c r="R155" s="46" t="s">
        <v>23</v>
      </c>
      <c r="S155" s="46" t="s">
        <v>671</v>
      </c>
      <c r="T155" s="46" t="s">
        <v>672</v>
      </c>
      <c r="U155" s="46" t="b">
        <v>1</v>
      </c>
      <c r="V155" s="46" t="s">
        <v>985</v>
      </c>
      <c r="W155" s="46" t="s">
        <v>984</v>
      </c>
      <c r="X155" s="46">
        <v>6</v>
      </c>
      <c r="Y155" s="46" t="b">
        <v>1</v>
      </c>
      <c r="Z155" s="46" t="s">
        <v>675</v>
      </c>
      <c r="AA155" s="46" t="s">
        <v>676</v>
      </c>
      <c r="AB155" s="46" t="s">
        <v>677</v>
      </c>
      <c r="AC155" s="46">
        <v>0</v>
      </c>
      <c r="AD155" s="46" t="s">
        <v>678</v>
      </c>
      <c r="AE155" s="46">
        <v>8</v>
      </c>
      <c r="AF155" s="46" t="s">
        <v>679</v>
      </c>
      <c r="AG155" s="46">
        <v>29359.304</v>
      </c>
      <c r="AH155" s="46" t="b">
        <v>1</v>
      </c>
      <c r="AI155" s="46">
        <v>-1</v>
      </c>
      <c r="AJ155" s="46" t="s">
        <v>680</v>
      </c>
      <c r="AK155" s="46">
        <v>0</v>
      </c>
      <c r="AL155" s="46" t="b">
        <v>0</v>
      </c>
      <c r="AM155" s="46">
        <v>29359.304</v>
      </c>
      <c r="AN155" s="46" t="b">
        <v>1</v>
      </c>
      <c r="AO155" s="46">
        <v>0</v>
      </c>
      <c r="AP155" s="46" t="b">
        <v>0</v>
      </c>
      <c r="AQ155" s="46">
        <v>138544.38699999999</v>
      </c>
      <c r="AS155" s="46">
        <v>138544.38699999999</v>
      </c>
      <c r="AT155" s="46">
        <v>6</v>
      </c>
      <c r="AU155" s="46" t="b">
        <v>1</v>
      </c>
      <c r="AV155" s="46" t="b">
        <v>0</v>
      </c>
    </row>
    <row r="156" spans="1:48">
      <c r="B156" s="46" t="s">
        <v>665</v>
      </c>
      <c r="C156" s="46" t="s">
        <v>666</v>
      </c>
      <c r="D156" s="46">
        <v>20230701</v>
      </c>
      <c r="E156" s="46">
        <v>2023</v>
      </c>
      <c r="F156" s="46">
        <v>7</v>
      </c>
      <c r="G156" s="46" t="s">
        <v>718</v>
      </c>
      <c r="H156" s="46">
        <v>818</v>
      </c>
      <c r="I156" s="46" t="s">
        <v>668</v>
      </c>
      <c r="J156" s="46" t="s">
        <v>57</v>
      </c>
      <c r="K156" s="46" t="s">
        <v>666</v>
      </c>
      <c r="L156" s="46" t="s">
        <v>669</v>
      </c>
      <c r="M156" s="46">
        <v>251</v>
      </c>
      <c r="N156" s="46" t="s">
        <v>688</v>
      </c>
      <c r="O156" s="46" t="s">
        <v>69</v>
      </c>
      <c r="P156" s="46">
        <v>0</v>
      </c>
      <c r="Q156" s="46" t="s">
        <v>670</v>
      </c>
      <c r="R156" s="46" t="s">
        <v>23</v>
      </c>
      <c r="S156" s="46" t="s">
        <v>671</v>
      </c>
      <c r="T156" s="46" t="s">
        <v>672</v>
      </c>
      <c r="U156" s="46" t="b">
        <v>1</v>
      </c>
      <c r="V156" s="46" t="s">
        <v>985</v>
      </c>
      <c r="W156" s="46" t="s">
        <v>984</v>
      </c>
      <c r="X156" s="46">
        <v>6</v>
      </c>
      <c r="Y156" s="46" t="b">
        <v>1</v>
      </c>
      <c r="Z156" s="46" t="s">
        <v>675</v>
      </c>
      <c r="AA156" s="46" t="s">
        <v>676</v>
      </c>
      <c r="AB156" s="46" t="s">
        <v>677</v>
      </c>
      <c r="AC156" s="46">
        <v>0</v>
      </c>
      <c r="AD156" s="46" t="s">
        <v>678</v>
      </c>
      <c r="AE156" s="46">
        <v>8</v>
      </c>
      <c r="AF156" s="46" t="s">
        <v>679</v>
      </c>
      <c r="AG156" s="46">
        <v>395008.91499999998</v>
      </c>
      <c r="AH156" s="46" t="b">
        <v>1</v>
      </c>
      <c r="AI156" s="46">
        <v>-1</v>
      </c>
      <c r="AJ156" s="46" t="s">
        <v>680</v>
      </c>
      <c r="AK156" s="46">
        <v>0</v>
      </c>
      <c r="AL156" s="46" t="b">
        <v>0</v>
      </c>
      <c r="AM156" s="46">
        <v>395008.91499999998</v>
      </c>
      <c r="AN156" s="46" t="b">
        <v>1</v>
      </c>
      <c r="AO156" s="46">
        <v>0</v>
      </c>
      <c r="AP156" s="46" t="b">
        <v>0</v>
      </c>
      <c r="AQ156" s="46">
        <v>1864017.8729999999</v>
      </c>
      <c r="AS156" s="46">
        <v>1864017.8729999999</v>
      </c>
      <c r="AT156" s="46">
        <v>6</v>
      </c>
      <c r="AU156" s="46" t="b">
        <v>1</v>
      </c>
      <c r="AV156" s="46" t="b">
        <v>0</v>
      </c>
    </row>
    <row r="157" spans="1:48">
      <c r="B157" s="46" t="s">
        <v>665</v>
      </c>
      <c r="C157" s="46" t="s">
        <v>666</v>
      </c>
      <c r="D157" s="46">
        <v>20230701</v>
      </c>
      <c r="E157" s="46">
        <v>2023</v>
      </c>
      <c r="F157" s="46">
        <v>7</v>
      </c>
      <c r="G157" s="46" t="s">
        <v>718</v>
      </c>
      <c r="H157" s="46">
        <v>818</v>
      </c>
      <c r="I157" s="46" t="s">
        <v>668</v>
      </c>
      <c r="J157" s="46" t="s">
        <v>57</v>
      </c>
      <c r="K157" s="46" t="s">
        <v>666</v>
      </c>
      <c r="L157" s="46" t="s">
        <v>669</v>
      </c>
      <c r="M157" s="46">
        <v>276</v>
      </c>
      <c r="N157" s="46" t="s">
        <v>681</v>
      </c>
      <c r="O157" s="46" t="s">
        <v>30</v>
      </c>
      <c r="P157" s="46">
        <v>0</v>
      </c>
      <c r="Q157" s="46" t="s">
        <v>670</v>
      </c>
      <c r="R157" s="46" t="s">
        <v>23</v>
      </c>
      <c r="S157" s="46" t="s">
        <v>671</v>
      </c>
      <c r="T157" s="46" t="s">
        <v>672</v>
      </c>
      <c r="U157" s="46" t="b">
        <v>1</v>
      </c>
      <c r="V157" s="46" t="s">
        <v>985</v>
      </c>
      <c r="W157" s="46" t="s">
        <v>984</v>
      </c>
      <c r="X157" s="46">
        <v>6</v>
      </c>
      <c r="Y157" s="46" t="b">
        <v>1</v>
      </c>
      <c r="Z157" s="46" t="s">
        <v>675</v>
      </c>
      <c r="AA157" s="46" t="s">
        <v>676</v>
      </c>
      <c r="AB157" s="46" t="s">
        <v>677</v>
      </c>
      <c r="AC157" s="46">
        <v>0</v>
      </c>
      <c r="AD157" s="46" t="s">
        <v>678</v>
      </c>
      <c r="AE157" s="46">
        <v>8</v>
      </c>
      <c r="AF157" s="46" t="s">
        <v>679</v>
      </c>
      <c r="AG157" s="46">
        <v>633807.13300000003</v>
      </c>
      <c r="AH157" s="46" t="b">
        <v>1</v>
      </c>
      <c r="AI157" s="46">
        <v>-1</v>
      </c>
      <c r="AJ157" s="46" t="s">
        <v>680</v>
      </c>
      <c r="AK157" s="46">
        <v>0</v>
      </c>
      <c r="AL157" s="46" t="b">
        <v>0</v>
      </c>
      <c r="AM157" s="46">
        <v>633807.13300000003</v>
      </c>
      <c r="AN157" s="46" t="b">
        <v>1</v>
      </c>
      <c r="AO157" s="46">
        <v>0</v>
      </c>
      <c r="AP157" s="46" t="b">
        <v>0</v>
      </c>
      <c r="AQ157" s="46">
        <v>2990889.01</v>
      </c>
      <c r="AS157" s="46">
        <v>2990889.01</v>
      </c>
      <c r="AT157" s="46">
        <v>6</v>
      </c>
      <c r="AU157" s="46" t="b">
        <v>1</v>
      </c>
      <c r="AV157" s="46" t="b">
        <v>0</v>
      </c>
    </row>
    <row r="158" spans="1:48">
      <c r="B158" s="46" t="s">
        <v>665</v>
      </c>
      <c r="C158" s="46" t="s">
        <v>666</v>
      </c>
      <c r="D158" s="46">
        <v>20230701</v>
      </c>
      <c r="E158" s="46">
        <v>2023</v>
      </c>
      <c r="F158" s="46">
        <v>7</v>
      </c>
      <c r="G158" s="46" t="s">
        <v>718</v>
      </c>
      <c r="H158" s="46">
        <v>818</v>
      </c>
      <c r="I158" s="46" t="s">
        <v>668</v>
      </c>
      <c r="J158" s="46" t="s">
        <v>57</v>
      </c>
      <c r="K158" s="46" t="s">
        <v>666</v>
      </c>
      <c r="L158" s="46" t="s">
        <v>669</v>
      </c>
      <c r="M158" s="46">
        <v>344</v>
      </c>
      <c r="N158" s="46" t="s">
        <v>989</v>
      </c>
      <c r="O158" s="46" t="s">
        <v>990</v>
      </c>
      <c r="P158" s="46">
        <v>0</v>
      </c>
      <c r="Q158" s="46" t="s">
        <v>670</v>
      </c>
      <c r="R158" s="46" t="s">
        <v>23</v>
      </c>
      <c r="S158" s="46" t="s">
        <v>671</v>
      </c>
      <c r="T158" s="46" t="s">
        <v>672</v>
      </c>
      <c r="U158" s="46" t="b">
        <v>1</v>
      </c>
      <c r="V158" s="46" t="s">
        <v>985</v>
      </c>
      <c r="W158" s="46" t="s">
        <v>984</v>
      </c>
      <c r="X158" s="46">
        <v>6</v>
      </c>
      <c r="Y158" s="46" t="b">
        <v>1</v>
      </c>
      <c r="Z158" s="46" t="s">
        <v>675</v>
      </c>
      <c r="AA158" s="46" t="s">
        <v>676</v>
      </c>
      <c r="AB158" s="46" t="s">
        <v>677</v>
      </c>
      <c r="AC158" s="46">
        <v>0</v>
      </c>
      <c r="AD158" s="46" t="s">
        <v>678</v>
      </c>
      <c r="AE158" s="46">
        <v>8</v>
      </c>
      <c r="AF158" s="46" t="s">
        <v>679</v>
      </c>
      <c r="AG158" s="46">
        <v>427.98599999999999</v>
      </c>
      <c r="AH158" s="46" t="b">
        <v>1</v>
      </c>
      <c r="AI158" s="46">
        <v>-1</v>
      </c>
      <c r="AJ158" s="46" t="s">
        <v>680</v>
      </c>
      <c r="AK158" s="46">
        <v>0</v>
      </c>
      <c r="AL158" s="46" t="b">
        <v>0</v>
      </c>
      <c r="AM158" s="46">
        <v>427.98599999999999</v>
      </c>
      <c r="AN158" s="46" t="b">
        <v>1</v>
      </c>
      <c r="AO158" s="46">
        <v>0</v>
      </c>
      <c r="AP158" s="46" t="b">
        <v>0</v>
      </c>
      <c r="AQ158" s="46">
        <v>2019.633</v>
      </c>
      <c r="AS158" s="46">
        <v>2019.633</v>
      </c>
      <c r="AT158" s="46">
        <v>6</v>
      </c>
      <c r="AU158" s="46" t="b">
        <v>1</v>
      </c>
      <c r="AV158" s="46" t="b">
        <v>0</v>
      </c>
    </row>
    <row r="159" spans="1:48">
      <c r="B159" s="46" t="s">
        <v>665</v>
      </c>
      <c r="C159" s="46" t="s">
        <v>666</v>
      </c>
      <c r="D159" s="46">
        <v>20230701</v>
      </c>
      <c r="E159" s="46">
        <v>2023</v>
      </c>
      <c r="F159" s="46">
        <v>7</v>
      </c>
      <c r="G159" s="46" t="s">
        <v>718</v>
      </c>
      <c r="H159" s="46">
        <v>818</v>
      </c>
      <c r="I159" s="46" t="s">
        <v>668</v>
      </c>
      <c r="J159" s="46" t="s">
        <v>57</v>
      </c>
      <c r="K159" s="46" t="s">
        <v>666</v>
      </c>
      <c r="L159" s="46" t="s">
        <v>669</v>
      </c>
      <c r="M159" s="46">
        <v>376</v>
      </c>
      <c r="N159" s="46" t="s">
        <v>991</v>
      </c>
      <c r="O159" s="46" t="s">
        <v>100</v>
      </c>
      <c r="P159" s="46">
        <v>0</v>
      </c>
      <c r="Q159" s="46" t="s">
        <v>670</v>
      </c>
      <c r="R159" s="46" t="s">
        <v>23</v>
      </c>
      <c r="S159" s="46" t="s">
        <v>671</v>
      </c>
      <c r="T159" s="46" t="s">
        <v>672</v>
      </c>
      <c r="U159" s="46" t="b">
        <v>1</v>
      </c>
      <c r="V159" s="46" t="s">
        <v>985</v>
      </c>
      <c r="W159" s="46" t="s">
        <v>984</v>
      </c>
      <c r="X159" s="46">
        <v>6</v>
      </c>
      <c r="Y159" s="46" t="b">
        <v>1</v>
      </c>
      <c r="Z159" s="46" t="s">
        <v>675</v>
      </c>
      <c r="AA159" s="46" t="s">
        <v>676</v>
      </c>
      <c r="AB159" s="46" t="s">
        <v>677</v>
      </c>
      <c r="AC159" s="46">
        <v>0</v>
      </c>
      <c r="AD159" s="46" t="s">
        <v>678</v>
      </c>
      <c r="AE159" s="46">
        <v>8</v>
      </c>
      <c r="AF159" s="46" t="s">
        <v>679</v>
      </c>
      <c r="AG159" s="46">
        <v>8879.3760000000002</v>
      </c>
      <c r="AH159" s="46" t="b">
        <v>1</v>
      </c>
      <c r="AI159" s="46">
        <v>-1</v>
      </c>
      <c r="AJ159" s="46" t="s">
        <v>680</v>
      </c>
      <c r="AK159" s="46">
        <v>0</v>
      </c>
      <c r="AL159" s="46" t="b">
        <v>0</v>
      </c>
      <c r="AM159" s="46">
        <v>8879.3760000000002</v>
      </c>
      <c r="AN159" s="46" t="b">
        <v>1</v>
      </c>
      <c r="AO159" s="46">
        <v>0</v>
      </c>
      <c r="AP159" s="46" t="b">
        <v>0</v>
      </c>
      <c r="AQ159" s="46">
        <v>41901.120999999999</v>
      </c>
      <c r="AS159" s="46">
        <v>41901.120999999999</v>
      </c>
      <c r="AT159" s="46">
        <v>6</v>
      </c>
      <c r="AU159" s="46" t="b">
        <v>1</v>
      </c>
      <c r="AV159" s="46" t="b">
        <v>0</v>
      </c>
    </row>
    <row r="160" spans="1:48">
      <c r="B160" s="46" t="s">
        <v>665</v>
      </c>
      <c r="C160" s="46" t="s">
        <v>666</v>
      </c>
      <c r="D160" s="46">
        <v>20230701</v>
      </c>
      <c r="E160" s="46">
        <v>2023</v>
      </c>
      <c r="F160" s="46">
        <v>7</v>
      </c>
      <c r="G160" s="46" t="s">
        <v>718</v>
      </c>
      <c r="H160" s="46">
        <v>818</v>
      </c>
      <c r="I160" s="46" t="s">
        <v>668</v>
      </c>
      <c r="J160" s="46" t="s">
        <v>57</v>
      </c>
      <c r="K160" s="46" t="s">
        <v>666</v>
      </c>
      <c r="L160" s="46" t="s">
        <v>669</v>
      </c>
      <c r="M160" s="46">
        <v>380</v>
      </c>
      <c r="N160" s="46" t="s">
        <v>689</v>
      </c>
      <c r="O160" s="46" t="s">
        <v>71</v>
      </c>
      <c r="P160" s="46">
        <v>0</v>
      </c>
      <c r="Q160" s="46" t="s">
        <v>670</v>
      </c>
      <c r="R160" s="46" t="s">
        <v>23</v>
      </c>
      <c r="S160" s="46" t="s">
        <v>671</v>
      </c>
      <c r="T160" s="46" t="s">
        <v>672</v>
      </c>
      <c r="U160" s="46" t="b">
        <v>1</v>
      </c>
      <c r="V160" s="46" t="s">
        <v>985</v>
      </c>
      <c r="W160" s="46" t="s">
        <v>984</v>
      </c>
      <c r="X160" s="46">
        <v>6</v>
      </c>
      <c r="Y160" s="46" t="b">
        <v>1</v>
      </c>
      <c r="Z160" s="46" t="s">
        <v>675</v>
      </c>
      <c r="AA160" s="46" t="s">
        <v>676</v>
      </c>
      <c r="AB160" s="46" t="s">
        <v>677</v>
      </c>
      <c r="AC160" s="46">
        <v>0</v>
      </c>
      <c r="AD160" s="46" t="s">
        <v>678</v>
      </c>
      <c r="AE160" s="46">
        <v>8</v>
      </c>
      <c r="AF160" s="46" t="s">
        <v>679</v>
      </c>
      <c r="AG160" s="46">
        <v>169219.133</v>
      </c>
      <c r="AH160" s="46" t="b">
        <v>1</v>
      </c>
      <c r="AI160" s="46">
        <v>-1</v>
      </c>
      <c r="AJ160" s="46" t="s">
        <v>680</v>
      </c>
      <c r="AK160" s="46">
        <v>0</v>
      </c>
      <c r="AL160" s="46" t="b">
        <v>0</v>
      </c>
      <c r="AM160" s="46">
        <v>169219.133</v>
      </c>
      <c r="AN160" s="46" t="b">
        <v>1</v>
      </c>
      <c r="AO160" s="46">
        <v>0</v>
      </c>
      <c r="AP160" s="46" t="b">
        <v>0</v>
      </c>
      <c r="AQ160" s="46">
        <v>798532.58200000005</v>
      </c>
      <c r="AS160" s="46">
        <v>798532.58200000005</v>
      </c>
      <c r="AT160" s="46">
        <v>6</v>
      </c>
      <c r="AU160" s="46" t="b">
        <v>1</v>
      </c>
      <c r="AV160" s="46" t="b">
        <v>0</v>
      </c>
    </row>
    <row r="161" spans="2:48">
      <c r="B161" s="46" t="s">
        <v>665</v>
      </c>
      <c r="C161" s="46" t="s">
        <v>666</v>
      </c>
      <c r="D161" s="46">
        <v>20230701</v>
      </c>
      <c r="E161" s="46">
        <v>2023</v>
      </c>
      <c r="F161" s="46">
        <v>7</v>
      </c>
      <c r="G161" s="46" t="s">
        <v>718</v>
      </c>
      <c r="H161" s="46">
        <v>818</v>
      </c>
      <c r="I161" s="46" t="s">
        <v>668</v>
      </c>
      <c r="J161" s="46" t="s">
        <v>57</v>
      </c>
      <c r="K161" s="46" t="s">
        <v>666</v>
      </c>
      <c r="L161" s="46" t="s">
        <v>669</v>
      </c>
      <c r="M161" s="46">
        <v>410</v>
      </c>
      <c r="N161" s="46" t="s">
        <v>754</v>
      </c>
      <c r="O161" s="46" t="s">
        <v>755</v>
      </c>
      <c r="P161" s="46">
        <v>0</v>
      </c>
      <c r="Q161" s="46" t="s">
        <v>670</v>
      </c>
      <c r="R161" s="46" t="s">
        <v>23</v>
      </c>
      <c r="S161" s="46" t="s">
        <v>671</v>
      </c>
      <c r="T161" s="46" t="s">
        <v>672</v>
      </c>
      <c r="U161" s="46" t="b">
        <v>1</v>
      </c>
      <c r="V161" s="46" t="s">
        <v>985</v>
      </c>
      <c r="W161" s="46" t="s">
        <v>984</v>
      </c>
      <c r="X161" s="46">
        <v>6</v>
      </c>
      <c r="Y161" s="46" t="b">
        <v>1</v>
      </c>
      <c r="Z161" s="46" t="s">
        <v>675</v>
      </c>
      <c r="AA161" s="46" t="s">
        <v>676</v>
      </c>
      <c r="AB161" s="46" t="s">
        <v>677</v>
      </c>
      <c r="AC161" s="46">
        <v>0</v>
      </c>
      <c r="AD161" s="46" t="s">
        <v>678</v>
      </c>
      <c r="AE161" s="46">
        <v>8</v>
      </c>
      <c r="AF161" s="46" t="s">
        <v>679</v>
      </c>
      <c r="AG161" s="46">
        <v>34488.591999999997</v>
      </c>
      <c r="AH161" s="46" t="b">
        <v>1</v>
      </c>
      <c r="AI161" s="46">
        <v>-1</v>
      </c>
      <c r="AJ161" s="46" t="s">
        <v>680</v>
      </c>
      <c r="AK161" s="46">
        <v>0</v>
      </c>
      <c r="AL161" s="46" t="b">
        <v>0</v>
      </c>
      <c r="AM161" s="46">
        <v>34488.591999999997</v>
      </c>
      <c r="AN161" s="46" t="b">
        <v>1</v>
      </c>
      <c r="AO161" s="46">
        <v>0</v>
      </c>
      <c r="AP161" s="46" t="b">
        <v>0</v>
      </c>
      <c r="AQ161" s="46">
        <v>162749.114</v>
      </c>
      <c r="AS161" s="46">
        <v>162749.114</v>
      </c>
      <c r="AT161" s="46">
        <v>6</v>
      </c>
      <c r="AU161" s="46" t="b">
        <v>1</v>
      </c>
      <c r="AV161" s="46" t="b">
        <v>0</v>
      </c>
    </row>
    <row r="162" spans="2:48">
      <c r="B162" s="46" t="s">
        <v>665</v>
      </c>
      <c r="C162" s="46" t="s">
        <v>666</v>
      </c>
      <c r="D162" s="46">
        <v>20230701</v>
      </c>
      <c r="E162" s="46">
        <v>2023</v>
      </c>
      <c r="F162" s="46">
        <v>7</v>
      </c>
      <c r="G162" s="46" t="s">
        <v>718</v>
      </c>
      <c r="H162" s="46">
        <v>818</v>
      </c>
      <c r="I162" s="46" t="s">
        <v>668</v>
      </c>
      <c r="J162" s="46" t="s">
        <v>57</v>
      </c>
      <c r="K162" s="46" t="s">
        <v>666</v>
      </c>
      <c r="L162" s="46" t="s">
        <v>669</v>
      </c>
      <c r="M162" s="46">
        <v>458</v>
      </c>
      <c r="N162" s="46" t="s">
        <v>722</v>
      </c>
      <c r="O162" s="46" t="s">
        <v>26</v>
      </c>
      <c r="P162" s="46">
        <v>0</v>
      </c>
      <c r="Q162" s="46" t="s">
        <v>670</v>
      </c>
      <c r="R162" s="46" t="s">
        <v>23</v>
      </c>
      <c r="S162" s="46" t="s">
        <v>671</v>
      </c>
      <c r="T162" s="46" t="s">
        <v>672</v>
      </c>
      <c r="U162" s="46" t="b">
        <v>1</v>
      </c>
      <c r="V162" s="46" t="s">
        <v>985</v>
      </c>
      <c r="W162" s="46" t="s">
        <v>984</v>
      </c>
      <c r="X162" s="46">
        <v>6</v>
      </c>
      <c r="Y162" s="46" t="b">
        <v>1</v>
      </c>
      <c r="Z162" s="46" t="s">
        <v>675</v>
      </c>
      <c r="AA162" s="46" t="s">
        <v>676</v>
      </c>
      <c r="AB162" s="46" t="s">
        <v>677</v>
      </c>
      <c r="AC162" s="46">
        <v>0</v>
      </c>
      <c r="AD162" s="46" t="s">
        <v>678</v>
      </c>
      <c r="AE162" s="46">
        <v>8</v>
      </c>
      <c r="AF162" s="46" t="s">
        <v>679</v>
      </c>
      <c r="AG162" s="46">
        <v>24978.074000000001</v>
      </c>
      <c r="AH162" s="46" t="b">
        <v>1</v>
      </c>
      <c r="AI162" s="46">
        <v>-1</v>
      </c>
      <c r="AJ162" s="46" t="s">
        <v>680</v>
      </c>
      <c r="AK162" s="46">
        <v>0</v>
      </c>
      <c r="AL162" s="46" t="b">
        <v>0</v>
      </c>
      <c r="AM162" s="46">
        <v>24978.074000000001</v>
      </c>
      <c r="AN162" s="46" t="b">
        <v>1</v>
      </c>
      <c r="AO162" s="46">
        <v>0</v>
      </c>
      <c r="AP162" s="46" t="b">
        <v>0</v>
      </c>
      <c r="AQ162" s="46">
        <v>117869.68399999999</v>
      </c>
      <c r="AS162" s="46">
        <v>117869.68399999999</v>
      </c>
      <c r="AT162" s="46">
        <v>6</v>
      </c>
      <c r="AU162" s="46" t="b">
        <v>1</v>
      </c>
      <c r="AV162" s="46" t="b">
        <v>0</v>
      </c>
    </row>
    <row r="163" spans="2:48">
      <c r="B163" s="46" t="s">
        <v>665</v>
      </c>
      <c r="C163" s="46" t="s">
        <v>666</v>
      </c>
      <c r="D163" s="46">
        <v>20230701</v>
      </c>
      <c r="E163" s="46">
        <v>2023</v>
      </c>
      <c r="F163" s="46">
        <v>7</v>
      </c>
      <c r="G163" s="46" t="s">
        <v>718</v>
      </c>
      <c r="H163" s="46">
        <v>818</v>
      </c>
      <c r="I163" s="46" t="s">
        <v>668</v>
      </c>
      <c r="J163" s="46" t="s">
        <v>57</v>
      </c>
      <c r="K163" s="46" t="s">
        <v>666</v>
      </c>
      <c r="L163" s="46" t="s">
        <v>669</v>
      </c>
      <c r="M163" s="46">
        <v>490</v>
      </c>
      <c r="N163" s="46" t="s">
        <v>762</v>
      </c>
      <c r="O163" s="46" t="s">
        <v>763</v>
      </c>
      <c r="P163" s="46">
        <v>0</v>
      </c>
      <c r="Q163" s="46" t="s">
        <v>670</v>
      </c>
      <c r="R163" s="46" t="s">
        <v>23</v>
      </c>
      <c r="S163" s="46" t="s">
        <v>671</v>
      </c>
      <c r="T163" s="46" t="s">
        <v>672</v>
      </c>
      <c r="U163" s="46" t="b">
        <v>1</v>
      </c>
      <c r="V163" s="46" t="s">
        <v>985</v>
      </c>
      <c r="W163" s="46" t="s">
        <v>984</v>
      </c>
      <c r="X163" s="46">
        <v>6</v>
      </c>
      <c r="Y163" s="46" t="b">
        <v>1</v>
      </c>
      <c r="Z163" s="46" t="s">
        <v>675</v>
      </c>
      <c r="AA163" s="46" t="s">
        <v>676</v>
      </c>
      <c r="AB163" s="46" t="s">
        <v>677</v>
      </c>
      <c r="AC163" s="46">
        <v>0</v>
      </c>
      <c r="AD163" s="46" t="s">
        <v>678</v>
      </c>
      <c r="AE163" s="46">
        <v>8</v>
      </c>
      <c r="AF163" s="46" t="s">
        <v>679</v>
      </c>
      <c r="AG163" s="46">
        <v>21373.203000000001</v>
      </c>
      <c r="AH163" s="46" t="b">
        <v>1</v>
      </c>
      <c r="AI163" s="46">
        <v>-1</v>
      </c>
      <c r="AJ163" s="46" t="s">
        <v>680</v>
      </c>
      <c r="AK163" s="46">
        <v>0</v>
      </c>
      <c r="AL163" s="46" t="b">
        <v>0</v>
      </c>
      <c r="AM163" s="46">
        <v>21373.203000000001</v>
      </c>
      <c r="AN163" s="46" t="b">
        <v>1</v>
      </c>
      <c r="AO163" s="46">
        <v>0</v>
      </c>
      <c r="AP163" s="46" t="b">
        <v>0</v>
      </c>
      <c r="AQ163" s="46">
        <v>100858.56600000001</v>
      </c>
      <c r="AS163" s="46">
        <v>100858.56600000001</v>
      </c>
      <c r="AT163" s="46">
        <v>6</v>
      </c>
      <c r="AU163" s="46" t="b">
        <v>1</v>
      </c>
      <c r="AV163" s="46" t="b">
        <v>0</v>
      </c>
    </row>
    <row r="164" spans="2:48">
      <c r="B164" s="46" t="s">
        <v>665</v>
      </c>
      <c r="C164" s="46" t="s">
        <v>666</v>
      </c>
      <c r="D164" s="46">
        <v>20230701</v>
      </c>
      <c r="E164" s="46">
        <v>2023</v>
      </c>
      <c r="F164" s="46">
        <v>7</v>
      </c>
      <c r="G164" s="46" t="s">
        <v>718</v>
      </c>
      <c r="H164" s="46">
        <v>818</v>
      </c>
      <c r="I164" s="46" t="s">
        <v>668</v>
      </c>
      <c r="J164" s="46" t="s">
        <v>57</v>
      </c>
      <c r="K164" s="46" t="s">
        <v>666</v>
      </c>
      <c r="L164" s="46" t="s">
        <v>669</v>
      </c>
      <c r="M164" s="46">
        <v>579</v>
      </c>
      <c r="N164" s="46" t="s">
        <v>992</v>
      </c>
      <c r="O164" s="46" t="s">
        <v>61</v>
      </c>
      <c r="P164" s="46">
        <v>0</v>
      </c>
      <c r="Q164" s="46" t="s">
        <v>670</v>
      </c>
      <c r="R164" s="46" t="s">
        <v>23</v>
      </c>
      <c r="S164" s="46" t="s">
        <v>671</v>
      </c>
      <c r="T164" s="46" t="s">
        <v>672</v>
      </c>
      <c r="U164" s="46" t="b">
        <v>1</v>
      </c>
      <c r="V164" s="46" t="s">
        <v>985</v>
      </c>
      <c r="W164" s="46" t="s">
        <v>984</v>
      </c>
      <c r="X164" s="46">
        <v>6</v>
      </c>
      <c r="Y164" s="46" t="b">
        <v>1</v>
      </c>
      <c r="Z164" s="46" t="s">
        <v>675</v>
      </c>
      <c r="AA164" s="46" t="s">
        <v>676</v>
      </c>
      <c r="AB164" s="46" t="s">
        <v>677</v>
      </c>
      <c r="AC164" s="46">
        <v>0</v>
      </c>
      <c r="AD164" s="46" t="s">
        <v>678</v>
      </c>
      <c r="AE164" s="46">
        <v>8</v>
      </c>
      <c r="AF164" s="46" t="s">
        <v>679</v>
      </c>
      <c r="AG164" s="46">
        <v>3490.0970000000002</v>
      </c>
      <c r="AH164" s="46" t="b">
        <v>1</v>
      </c>
      <c r="AI164" s="46">
        <v>-1</v>
      </c>
      <c r="AJ164" s="46" t="s">
        <v>680</v>
      </c>
      <c r="AK164" s="46">
        <v>0</v>
      </c>
      <c r="AL164" s="46" t="b">
        <v>0</v>
      </c>
      <c r="AM164" s="46">
        <v>3490.0970000000002</v>
      </c>
      <c r="AN164" s="46" t="b">
        <v>1</v>
      </c>
      <c r="AO164" s="46">
        <v>0</v>
      </c>
      <c r="AP164" s="46" t="b">
        <v>0</v>
      </c>
      <c r="AQ164" s="46">
        <v>16469.511999999999</v>
      </c>
      <c r="AS164" s="46">
        <v>16469.511999999999</v>
      </c>
      <c r="AT164" s="46">
        <v>6</v>
      </c>
      <c r="AU164" s="46" t="b">
        <v>1</v>
      </c>
      <c r="AV164" s="46" t="b">
        <v>0</v>
      </c>
    </row>
    <row r="165" spans="2:48">
      <c r="B165" s="46" t="s">
        <v>665</v>
      </c>
      <c r="C165" s="46" t="s">
        <v>666</v>
      </c>
      <c r="D165" s="46">
        <v>20230701</v>
      </c>
      <c r="E165" s="46">
        <v>2023</v>
      </c>
      <c r="F165" s="46">
        <v>7</v>
      </c>
      <c r="G165" s="46" t="s">
        <v>718</v>
      </c>
      <c r="H165" s="46">
        <v>818</v>
      </c>
      <c r="I165" s="46" t="s">
        <v>668</v>
      </c>
      <c r="J165" s="46" t="s">
        <v>57</v>
      </c>
      <c r="K165" s="46" t="s">
        <v>666</v>
      </c>
      <c r="L165" s="46" t="s">
        <v>669</v>
      </c>
      <c r="M165" s="46">
        <v>634</v>
      </c>
      <c r="N165" s="46" t="s">
        <v>993</v>
      </c>
      <c r="O165" s="46" t="s">
        <v>37</v>
      </c>
      <c r="P165" s="46">
        <v>0</v>
      </c>
      <c r="Q165" s="46" t="s">
        <v>670</v>
      </c>
      <c r="R165" s="46" t="s">
        <v>23</v>
      </c>
      <c r="S165" s="46" t="s">
        <v>671</v>
      </c>
      <c r="T165" s="46" t="s">
        <v>672</v>
      </c>
      <c r="U165" s="46" t="b">
        <v>1</v>
      </c>
      <c r="V165" s="46" t="s">
        <v>985</v>
      </c>
      <c r="W165" s="46" t="s">
        <v>984</v>
      </c>
      <c r="X165" s="46">
        <v>6</v>
      </c>
      <c r="Y165" s="46" t="b">
        <v>1</v>
      </c>
      <c r="Z165" s="46" t="s">
        <v>675</v>
      </c>
      <c r="AA165" s="46" t="s">
        <v>676</v>
      </c>
      <c r="AB165" s="46" t="s">
        <v>677</v>
      </c>
      <c r="AC165" s="46">
        <v>0</v>
      </c>
      <c r="AD165" s="46" t="s">
        <v>678</v>
      </c>
      <c r="AE165" s="46">
        <v>8</v>
      </c>
      <c r="AF165" s="46" t="s">
        <v>679</v>
      </c>
      <c r="AG165" s="46">
        <v>185132.34</v>
      </c>
      <c r="AH165" s="46" t="b">
        <v>1</v>
      </c>
      <c r="AI165" s="46">
        <v>-1</v>
      </c>
      <c r="AJ165" s="46" t="s">
        <v>680</v>
      </c>
      <c r="AK165" s="46">
        <v>0</v>
      </c>
      <c r="AL165" s="46" t="b">
        <v>0</v>
      </c>
      <c r="AM165" s="46">
        <v>185132.34</v>
      </c>
      <c r="AN165" s="46" t="b">
        <v>1</v>
      </c>
      <c r="AO165" s="46">
        <v>0</v>
      </c>
      <c r="AP165" s="46" t="b">
        <v>0</v>
      </c>
      <c r="AQ165" s="46">
        <v>873625.82799999998</v>
      </c>
      <c r="AS165" s="46">
        <v>873625.82799999998</v>
      </c>
      <c r="AT165" s="46">
        <v>6</v>
      </c>
      <c r="AU165" s="46" t="b">
        <v>1</v>
      </c>
      <c r="AV165" s="46" t="b">
        <v>0</v>
      </c>
    </row>
    <row r="166" spans="2:48">
      <c r="B166" s="46" t="s">
        <v>665</v>
      </c>
      <c r="C166" s="46" t="s">
        <v>666</v>
      </c>
      <c r="D166" s="46">
        <v>20230701</v>
      </c>
      <c r="E166" s="46">
        <v>2023</v>
      </c>
      <c r="F166" s="46">
        <v>7</v>
      </c>
      <c r="G166" s="46" t="s">
        <v>718</v>
      </c>
      <c r="H166" s="46">
        <v>818</v>
      </c>
      <c r="I166" s="46" t="s">
        <v>668</v>
      </c>
      <c r="J166" s="46" t="s">
        <v>57</v>
      </c>
      <c r="K166" s="46" t="s">
        <v>666</v>
      </c>
      <c r="L166" s="46" t="s">
        <v>669</v>
      </c>
      <c r="M166" s="46">
        <v>682</v>
      </c>
      <c r="N166" s="46" t="s">
        <v>758</v>
      </c>
      <c r="O166" s="46" t="s">
        <v>39</v>
      </c>
      <c r="P166" s="46">
        <v>0</v>
      </c>
      <c r="Q166" s="46" t="s">
        <v>670</v>
      </c>
      <c r="R166" s="46" t="s">
        <v>23</v>
      </c>
      <c r="S166" s="46" t="s">
        <v>671</v>
      </c>
      <c r="T166" s="46" t="s">
        <v>672</v>
      </c>
      <c r="U166" s="46" t="b">
        <v>1</v>
      </c>
      <c r="V166" s="46" t="s">
        <v>985</v>
      </c>
      <c r="W166" s="46" t="s">
        <v>984</v>
      </c>
      <c r="X166" s="46">
        <v>6</v>
      </c>
      <c r="Y166" s="46" t="b">
        <v>1</v>
      </c>
      <c r="Z166" s="46" t="s">
        <v>675</v>
      </c>
      <c r="AA166" s="46" t="s">
        <v>676</v>
      </c>
      <c r="AB166" s="46" t="s">
        <v>677</v>
      </c>
      <c r="AC166" s="46">
        <v>0</v>
      </c>
      <c r="AD166" s="46" t="s">
        <v>678</v>
      </c>
      <c r="AE166" s="46">
        <v>8</v>
      </c>
      <c r="AF166" s="46" t="s">
        <v>679</v>
      </c>
      <c r="AG166" s="46">
        <v>22.280999999999999</v>
      </c>
      <c r="AH166" s="46" t="b">
        <v>1</v>
      </c>
      <c r="AI166" s="46">
        <v>-1</v>
      </c>
      <c r="AJ166" s="46" t="s">
        <v>680</v>
      </c>
      <c r="AK166" s="46">
        <v>0</v>
      </c>
      <c r="AL166" s="46" t="b">
        <v>0</v>
      </c>
      <c r="AM166" s="46">
        <v>22.280999999999999</v>
      </c>
      <c r="AN166" s="46" t="b">
        <v>1</v>
      </c>
      <c r="AO166" s="46">
        <v>0</v>
      </c>
      <c r="AP166" s="46" t="b">
        <v>0</v>
      </c>
      <c r="AQ166" s="46">
        <v>105.14</v>
      </c>
      <c r="AS166" s="46">
        <v>105.14</v>
      </c>
      <c r="AT166" s="46">
        <v>6</v>
      </c>
      <c r="AU166" s="46" t="b">
        <v>1</v>
      </c>
      <c r="AV166" s="46" t="b">
        <v>0</v>
      </c>
    </row>
    <row r="167" spans="2:48">
      <c r="B167" s="46" t="s">
        <v>665</v>
      </c>
      <c r="C167" s="46" t="s">
        <v>666</v>
      </c>
      <c r="D167" s="46">
        <v>20230701</v>
      </c>
      <c r="E167" s="46">
        <v>2023</v>
      </c>
      <c r="F167" s="46">
        <v>7</v>
      </c>
      <c r="G167" s="46" t="s">
        <v>718</v>
      </c>
      <c r="H167" s="46">
        <v>818</v>
      </c>
      <c r="I167" s="46" t="s">
        <v>668</v>
      </c>
      <c r="J167" s="46" t="s">
        <v>57</v>
      </c>
      <c r="K167" s="46" t="s">
        <v>666</v>
      </c>
      <c r="L167" s="46" t="s">
        <v>669</v>
      </c>
      <c r="M167" s="46">
        <v>699</v>
      </c>
      <c r="N167" s="46" t="s">
        <v>748</v>
      </c>
      <c r="O167" s="46" t="s">
        <v>0</v>
      </c>
      <c r="P167" s="46">
        <v>0</v>
      </c>
      <c r="Q167" s="46" t="s">
        <v>670</v>
      </c>
      <c r="R167" s="46" t="s">
        <v>23</v>
      </c>
      <c r="S167" s="46" t="s">
        <v>671</v>
      </c>
      <c r="T167" s="46" t="s">
        <v>672</v>
      </c>
      <c r="U167" s="46" t="b">
        <v>1</v>
      </c>
      <c r="V167" s="46" t="s">
        <v>985</v>
      </c>
      <c r="W167" s="46" t="s">
        <v>984</v>
      </c>
      <c r="X167" s="46">
        <v>6</v>
      </c>
      <c r="Y167" s="46" t="b">
        <v>1</v>
      </c>
      <c r="Z167" s="46" t="s">
        <v>675</v>
      </c>
      <c r="AA167" s="46" t="s">
        <v>676</v>
      </c>
      <c r="AB167" s="46" t="s">
        <v>677</v>
      </c>
      <c r="AC167" s="46">
        <v>0</v>
      </c>
      <c r="AD167" s="46" t="s">
        <v>678</v>
      </c>
      <c r="AE167" s="46">
        <v>8</v>
      </c>
      <c r="AF167" s="46" t="s">
        <v>679</v>
      </c>
      <c r="AG167" s="46">
        <v>383051.283</v>
      </c>
      <c r="AH167" s="46" t="b">
        <v>1</v>
      </c>
      <c r="AI167" s="46">
        <v>-1</v>
      </c>
      <c r="AJ167" s="46" t="s">
        <v>680</v>
      </c>
      <c r="AK167" s="46">
        <v>0</v>
      </c>
      <c r="AL167" s="46" t="b">
        <v>0</v>
      </c>
      <c r="AM167" s="46">
        <v>383051.283</v>
      </c>
      <c r="AN167" s="46" t="b">
        <v>1</v>
      </c>
      <c r="AO167" s="46">
        <v>0</v>
      </c>
      <c r="AP167" s="46" t="b">
        <v>0</v>
      </c>
      <c r="AQ167" s="46">
        <v>1807590.69</v>
      </c>
      <c r="AS167" s="46">
        <v>1807590.69</v>
      </c>
      <c r="AT167" s="46">
        <v>6</v>
      </c>
      <c r="AU167" s="46" t="b">
        <v>1</v>
      </c>
      <c r="AV167" s="46" t="b">
        <v>0</v>
      </c>
    </row>
    <row r="168" spans="2:48">
      <c r="B168" s="46" t="s">
        <v>665</v>
      </c>
      <c r="C168" s="46" t="s">
        <v>666</v>
      </c>
      <c r="D168" s="46">
        <v>20230701</v>
      </c>
      <c r="E168" s="46">
        <v>2023</v>
      </c>
      <c r="F168" s="46">
        <v>7</v>
      </c>
      <c r="G168" s="46" t="s">
        <v>718</v>
      </c>
      <c r="H168" s="46">
        <v>818</v>
      </c>
      <c r="I168" s="46" t="s">
        <v>668</v>
      </c>
      <c r="J168" s="46" t="s">
        <v>57</v>
      </c>
      <c r="K168" s="46" t="s">
        <v>666</v>
      </c>
      <c r="L168" s="46" t="s">
        <v>669</v>
      </c>
      <c r="M168" s="46">
        <v>702</v>
      </c>
      <c r="N168" s="46" t="s">
        <v>994</v>
      </c>
      <c r="O168" s="46" t="s">
        <v>28</v>
      </c>
      <c r="P168" s="46">
        <v>0</v>
      </c>
      <c r="Q168" s="46" t="s">
        <v>670</v>
      </c>
      <c r="R168" s="46" t="s">
        <v>23</v>
      </c>
      <c r="S168" s="46" t="s">
        <v>671</v>
      </c>
      <c r="T168" s="46" t="s">
        <v>672</v>
      </c>
      <c r="U168" s="46" t="b">
        <v>1</v>
      </c>
      <c r="V168" s="46" t="s">
        <v>985</v>
      </c>
      <c r="W168" s="46" t="s">
        <v>984</v>
      </c>
      <c r="X168" s="46">
        <v>6</v>
      </c>
      <c r="Y168" s="46" t="b">
        <v>1</v>
      </c>
      <c r="Z168" s="46" t="s">
        <v>675</v>
      </c>
      <c r="AA168" s="46" t="s">
        <v>676</v>
      </c>
      <c r="AB168" s="46" t="s">
        <v>677</v>
      </c>
      <c r="AC168" s="46">
        <v>0</v>
      </c>
      <c r="AD168" s="46" t="s">
        <v>678</v>
      </c>
      <c r="AE168" s="46">
        <v>8</v>
      </c>
      <c r="AF168" s="46" t="s">
        <v>679</v>
      </c>
      <c r="AG168" s="46">
        <v>72724.491999999998</v>
      </c>
      <c r="AH168" s="46" t="b">
        <v>1</v>
      </c>
      <c r="AI168" s="46">
        <v>-1</v>
      </c>
      <c r="AJ168" s="46" t="s">
        <v>680</v>
      </c>
      <c r="AK168" s="46">
        <v>0</v>
      </c>
      <c r="AL168" s="46" t="b">
        <v>0</v>
      </c>
      <c r="AM168" s="46">
        <v>72724.491999999998</v>
      </c>
      <c r="AN168" s="46" t="b">
        <v>1</v>
      </c>
      <c r="AO168" s="46">
        <v>0</v>
      </c>
      <c r="AP168" s="46" t="b">
        <v>0</v>
      </c>
      <c r="AQ168" s="46">
        <v>343181.5</v>
      </c>
      <c r="AS168" s="46">
        <v>343181.5</v>
      </c>
      <c r="AT168" s="46">
        <v>6</v>
      </c>
      <c r="AU168" s="46" t="b">
        <v>1</v>
      </c>
      <c r="AV168" s="46" t="b">
        <v>0</v>
      </c>
    </row>
    <row r="169" spans="2:48">
      <c r="B169" s="46" t="s">
        <v>665</v>
      </c>
      <c r="C169" s="46" t="s">
        <v>666</v>
      </c>
      <c r="D169" s="46">
        <v>20230701</v>
      </c>
      <c r="E169" s="46">
        <v>2023</v>
      </c>
      <c r="F169" s="46">
        <v>7</v>
      </c>
      <c r="G169" s="46" t="s">
        <v>718</v>
      </c>
      <c r="H169" s="46">
        <v>818</v>
      </c>
      <c r="I169" s="46" t="s">
        <v>668</v>
      </c>
      <c r="J169" s="46" t="s">
        <v>57</v>
      </c>
      <c r="K169" s="46" t="s">
        <v>666</v>
      </c>
      <c r="L169" s="46" t="s">
        <v>669</v>
      </c>
      <c r="M169" s="46">
        <v>710</v>
      </c>
      <c r="N169" s="46" t="s">
        <v>995</v>
      </c>
      <c r="O169" s="46" t="s">
        <v>40</v>
      </c>
      <c r="P169" s="46">
        <v>0</v>
      </c>
      <c r="Q169" s="46" t="s">
        <v>670</v>
      </c>
      <c r="R169" s="46" t="s">
        <v>23</v>
      </c>
      <c r="S169" s="46" t="s">
        <v>671</v>
      </c>
      <c r="T169" s="46" t="s">
        <v>672</v>
      </c>
      <c r="U169" s="46" t="b">
        <v>1</v>
      </c>
      <c r="V169" s="46" t="s">
        <v>985</v>
      </c>
      <c r="W169" s="46" t="s">
        <v>984</v>
      </c>
      <c r="X169" s="46">
        <v>6</v>
      </c>
      <c r="Y169" s="46" t="b">
        <v>1</v>
      </c>
      <c r="Z169" s="46" t="s">
        <v>675</v>
      </c>
      <c r="AA169" s="46" t="s">
        <v>676</v>
      </c>
      <c r="AB169" s="46" t="s">
        <v>677</v>
      </c>
      <c r="AC169" s="46">
        <v>0</v>
      </c>
      <c r="AD169" s="46" t="s">
        <v>678</v>
      </c>
      <c r="AE169" s="46">
        <v>8</v>
      </c>
      <c r="AF169" s="46" t="s">
        <v>679</v>
      </c>
      <c r="AG169" s="46">
        <v>17059.087</v>
      </c>
      <c r="AH169" s="46" t="b">
        <v>1</v>
      </c>
      <c r="AI169" s="46">
        <v>-1</v>
      </c>
      <c r="AJ169" s="46" t="s">
        <v>680</v>
      </c>
      <c r="AK169" s="46">
        <v>0</v>
      </c>
      <c r="AL169" s="46" t="b">
        <v>0</v>
      </c>
      <c r="AM169" s="46">
        <v>17059.087</v>
      </c>
      <c r="AN169" s="46" t="b">
        <v>1</v>
      </c>
      <c r="AO169" s="46">
        <v>0</v>
      </c>
      <c r="AP169" s="46" t="b">
        <v>0</v>
      </c>
      <c r="AQ169" s="46">
        <v>80500.570000000007</v>
      </c>
      <c r="AS169" s="46">
        <v>80500.570000000007</v>
      </c>
      <c r="AT169" s="46">
        <v>6</v>
      </c>
      <c r="AU169" s="46" t="b">
        <v>1</v>
      </c>
      <c r="AV169" s="46" t="b">
        <v>0</v>
      </c>
    </row>
    <row r="170" spans="2:48">
      <c r="B170" s="46" t="s">
        <v>665</v>
      </c>
      <c r="C170" s="46" t="s">
        <v>666</v>
      </c>
      <c r="D170" s="46">
        <v>20230701</v>
      </c>
      <c r="E170" s="46">
        <v>2023</v>
      </c>
      <c r="F170" s="46">
        <v>7</v>
      </c>
      <c r="G170" s="46" t="s">
        <v>718</v>
      </c>
      <c r="H170" s="46">
        <v>818</v>
      </c>
      <c r="I170" s="46" t="s">
        <v>668</v>
      </c>
      <c r="J170" s="46" t="s">
        <v>57</v>
      </c>
      <c r="K170" s="46" t="s">
        <v>666</v>
      </c>
      <c r="L170" s="46" t="s">
        <v>669</v>
      </c>
      <c r="M170" s="46">
        <v>724</v>
      </c>
      <c r="N170" s="46" t="s">
        <v>684</v>
      </c>
      <c r="O170" s="46" t="s">
        <v>51</v>
      </c>
      <c r="P170" s="46">
        <v>0</v>
      </c>
      <c r="Q170" s="46" t="s">
        <v>670</v>
      </c>
      <c r="R170" s="46" t="s">
        <v>23</v>
      </c>
      <c r="S170" s="46" t="s">
        <v>671</v>
      </c>
      <c r="T170" s="46" t="s">
        <v>672</v>
      </c>
      <c r="U170" s="46" t="b">
        <v>1</v>
      </c>
      <c r="V170" s="46" t="s">
        <v>985</v>
      </c>
      <c r="W170" s="46" t="s">
        <v>984</v>
      </c>
      <c r="X170" s="46">
        <v>6</v>
      </c>
      <c r="Y170" s="46" t="b">
        <v>1</v>
      </c>
      <c r="Z170" s="46" t="s">
        <v>675</v>
      </c>
      <c r="AA170" s="46" t="s">
        <v>676</v>
      </c>
      <c r="AB170" s="46" t="s">
        <v>677</v>
      </c>
      <c r="AC170" s="46">
        <v>0</v>
      </c>
      <c r="AD170" s="46" t="s">
        <v>678</v>
      </c>
      <c r="AE170" s="46">
        <v>8</v>
      </c>
      <c r="AF170" s="46" t="s">
        <v>679</v>
      </c>
      <c r="AG170" s="46">
        <v>352220.837</v>
      </c>
      <c r="AH170" s="46" t="b">
        <v>1</v>
      </c>
      <c r="AI170" s="46">
        <v>-1</v>
      </c>
      <c r="AJ170" s="46" t="s">
        <v>680</v>
      </c>
      <c r="AK170" s="46">
        <v>0</v>
      </c>
      <c r="AL170" s="46" t="b">
        <v>0</v>
      </c>
      <c r="AM170" s="46">
        <v>352220.837</v>
      </c>
      <c r="AN170" s="46" t="b">
        <v>1</v>
      </c>
      <c r="AO170" s="46">
        <v>0</v>
      </c>
      <c r="AP170" s="46" t="b">
        <v>0</v>
      </c>
      <c r="AQ170" s="46">
        <v>1662104.0959999999</v>
      </c>
      <c r="AS170" s="46">
        <v>1662104.0959999999</v>
      </c>
      <c r="AT170" s="46">
        <v>6</v>
      </c>
      <c r="AU170" s="46" t="b">
        <v>1</v>
      </c>
      <c r="AV170" s="46" t="b">
        <v>0</v>
      </c>
    </row>
    <row r="171" spans="2:48">
      <c r="B171" s="46" t="s">
        <v>665</v>
      </c>
      <c r="C171" s="46" t="s">
        <v>666</v>
      </c>
      <c r="D171" s="46">
        <v>20230701</v>
      </c>
      <c r="E171" s="46">
        <v>2023</v>
      </c>
      <c r="F171" s="46">
        <v>7</v>
      </c>
      <c r="G171" s="46" t="s">
        <v>718</v>
      </c>
      <c r="H171" s="46">
        <v>818</v>
      </c>
      <c r="I171" s="46" t="s">
        <v>668</v>
      </c>
      <c r="J171" s="46" t="s">
        <v>57</v>
      </c>
      <c r="K171" s="46" t="s">
        <v>666</v>
      </c>
      <c r="L171" s="46" t="s">
        <v>669</v>
      </c>
      <c r="M171" s="46">
        <v>757</v>
      </c>
      <c r="N171" s="46" t="s">
        <v>996</v>
      </c>
      <c r="O171" s="46" t="s">
        <v>41</v>
      </c>
      <c r="P171" s="46">
        <v>0</v>
      </c>
      <c r="Q171" s="46" t="s">
        <v>670</v>
      </c>
      <c r="R171" s="46" t="s">
        <v>23</v>
      </c>
      <c r="S171" s="46" t="s">
        <v>671</v>
      </c>
      <c r="T171" s="46" t="s">
        <v>672</v>
      </c>
      <c r="U171" s="46" t="b">
        <v>1</v>
      </c>
      <c r="V171" s="46" t="s">
        <v>985</v>
      </c>
      <c r="W171" s="46" t="s">
        <v>984</v>
      </c>
      <c r="X171" s="46">
        <v>6</v>
      </c>
      <c r="Y171" s="46" t="b">
        <v>1</v>
      </c>
      <c r="Z171" s="46" t="s">
        <v>675</v>
      </c>
      <c r="AA171" s="46" t="s">
        <v>676</v>
      </c>
      <c r="AB171" s="46" t="s">
        <v>677</v>
      </c>
      <c r="AC171" s="46">
        <v>0</v>
      </c>
      <c r="AD171" s="46" t="s">
        <v>678</v>
      </c>
      <c r="AE171" s="46">
        <v>8</v>
      </c>
      <c r="AF171" s="46" t="s">
        <v>679</v>
      </c>
      <c r="AG171" s="46">
        <v>17394.401000000002</v>
      </c>
      <c r="AH171" s="46" t="b">
        <v>1</v>
      </c>
      <c r="AI171" s="46">
        <v>-1</v>
      </c>
      <c r="AJ171" s="46" t="s">
        <v>680</v>
      </c>
      <c r="AK171" s="46">
        <v>0</v>
      </c>
      <c r="AL171" s="46" t="b">
        <v>0</v>
      </c>
      <c r="AM171" s="46">
        <v>17394.401000000002</v>
      </c>
      <c r="AN171" s="46" t="b">
        <v>1</v>
      </c>
      <c r="AO171" s="46">
        <v>0</v>
      </c>
      <c r="AP171" s="46" t="b">
        <v>0</v>
      </c>
      <c r="AQ171" s="46">
        <v>82082.895000000004</v>
      </c>
      <c r="AS171" s="46">
        <v>82082.895000000004</v>
      </c>
      <c r="AT171" s="46">
        <v>6</v>
      </c>
      <c r="AU171" s="46" t="b">
        <v>1</v>
      </c>
      <c r="AV171" s="46" t="b">
        <v>0</v>
      </c>
    </row>
    <row r="172" spans="2:48">
      <c r="B172" s="46" t="s">
        <v>665</v>
      </c>
      <c r="C172" s="46" t="s">
        <v>666</v>
      </c>
      <c r="D172" s="46">
        <v>20230701</v>
      </c>
      <c r="E172" s="46">
        <v>2023</v>
      </c>
      <c r="F172" s="46">
        <v>7</v>
      </c>
      <c r="G172" s="46" t="s">
        <v>718</v>
      </c>
      <c r="H172" s="46">
        <v>818</v>
      </c>
      <c r="I172" s="46" t="s">
        <v>668</v>
      </c>
      <c r="J172" s="46" t="s">
        <v>57</v>
      </c>
      <c r="K172" s="46" t="s">
        <v>666</v>
      </c>
      <c r="L172" s="46" t="s">
        <v>669</v>
      </c>
      <c r="M172" s="46">
        <v>764</v>
      </c>
      <c r="N172" s="46" t="s">
        <v>749</v>
      </c>
      <c r="O172" s="46" t="s">
        <v>55</v>
      </c>
      <c r="P172" s="46">
        <v>0</v>
      </c>
      <c r="Q172" s="46" t="s">
        <v>670</v>
      </c>
      <c r="R172" s="46" t="s">
        <v>23</v>
      </c>
      <c r="S172" s="46" t="s">
        <v>671</v>
      </c>
      <c r="T172" s="46" t="s">
        <v>672</v>
      </c>
      <c r="U172" s="46" t="b">
        <v>1</v>
      </c>
      <c r="V172" s="46" t="s">
        <v>985</v>
      </c>
      <c r="W172" s="46" t="s">
        <v>984</v>
      </c>
      <c r="X172" s="46">
        <v>6</v>
      </c>
      <c r="Y172" s="46" t="b">
        <v>1</v>
      </c>
      <c r="Z172" s="46" t="s">
        <v>675</v>
      </c>
      <c r="AA172" s="46" t="s">
        <v>676</v>
      </c>
      <c r="AB172" s="46" t="s">
        <v>677</v>
      </c>
      <c r="AC172" s="46">
        <v>0</v>
      </c>
      <c r="AD172" s="46" t="s">
        <v>678</v>
      </c>
      <c r="AE172" s="46">
        <v>8</v>
      </c>
      <c r="AF172" s="46" t="s">
        <v>679</v>
      </c>
      <c r="AG172" s="46">
        <v>8187.7139999999999</v>
      </c>
      <c r="AH172" s="46" t="b">
        <v>1</v>
      </c>
      <c r="AI172" s="46">
        <v>-1</v>
      </c>
      <c r="AJ172" s="46" t="s">
        <v>680</v>
      </c>
      <c r="AK172" s="46">
        <v>0</v>
      </c>
      <c r="AL172" s="46" t="b">
        <v>0</v>
      </c>
      <c r="AM172" s="46">
        <v>8187.7139999999999</v>
      </c>
      <c r="AN172" s="46" t="b">
        <v>1</v>
      </c>
      <c r="AO172" s="46">
        <v>0</v>
      </c>
      <c r="AP172" s="46" t="b">
        <v>0</v>
      </c>
      <c r="AQ172" s="46">
        <v>38637.214999999997</v>
      </c>
      <c r="AS172" s="46">
        <v>38637.214999999997</v>
      </c>
      <c r="AT172" s="46">
        <v>6</v>
      </c>
      <c r="AU172" s="46" t="b">
        <v>1</v>
      </c>
      <c r="AV172" s="46" t="b">
        <v>0</v>
      </c>
    </row>
    <row r="173" spans="2:48">
      <c r="B173" s="46" t="s">
        <v>665</v>
      </c>
      <c r="C173" s="46" t="s">
        <v>666</v>
      </c>
      <c r="D173" s="46">
        <v>20230701</v>
      </c>
      <c r="E173" s="46">
        <v>2023</v>
      </c>
      <c r="F173" s="46">
        <v>7</v>
      </c>
      <c r="G173" s="46" t="s">
        <v>718</v>
      </c>
      <c r="H173" s="46">
        <v>818</v>
      </c>
      <c r="I173" s="46" t="s">
        <v>668</v>
      </c>
      <c r="J173" s="46" t="s">
        <v>57</v>
      </c>
      <c r="K173" s="46" t="s">
        <v>666</v>
      </c>
      <c r="L173" s="46" t="s">
        <v>669</v>
      </c>
      <c r="M173" s="46">
        <v>784</v>
      </c>
      <c r="N173" s="46" t="s">
        <v>694</v>
      </c>
      <c r="O173" s="46" t="s">
        <v>25</v>
      </c>
      <c r="P173" s="46">
        <v>0</v>
      </c>
      <c r="Q173" s="46" t="s">
        <v>670</v>
      </c>
      <c r="R173" s="46" t="s">
        <v>23</v>
      </c>
      <c r="S173" s="46" t="s">
        <v>671</v>
      </c>
      <c r="T173" s="46" t="s">
        <v>672</v>
      </c>
      <c r="U173" s="46" t="b">
        <v>1</v>
      </c>
      <c r="V173" s="46" t="s">
        <v>985</v>
      </c>
      <c r="W173" s="46" t="s">
        <v>984</v>
      </c>
      <c r="X173" s="46">
        <v>6</v>
      </c>
      <c r="Y173" s="46" t="b">
        <v>1</v>
      </c>
      <c r="Z173" s="46" t="s">
        <v>675</v>
      </c>
      <c r="AA173" s="46" t="s">
        <v>676</v>
      </c>
      <c r="AB173" s="46" t="s">
        <v>677</v>
      </c>
      <c r="AC173" s="46">
        <v>0</v>
      </c>
      <c r="AD173" s="46" t="s">
        <v>678</v>
      </c>
      <c r="AE173" s="46">
        <v>8</v>
      </c>
      <c r="AF173" s="46" t="s">
        <v>679</v>
      </c>
      <c r="AG173" s="46">
        <v>36453.495000000003</v>
      </c>
      <c r="AH173" s="46" t="b">
        <v>1</v>
      </c>
      <c r="AI173" s="46">
        <v>-1</v>
      </c>
      <c r="AJ173" s="46" t="s">
        <v>680</v>
      </c>
      <c r="AK173" s="46">
        <v>0</v>
      </c>
      <c r="AL173" s="46" t="b">
        <v>0</v>
      </c>
      <c r="AM173" s="46">
        <v>36453.495000000003</v>
      </c>
      <c r="AN173" s="46" t="b">
        <v>1</v>
      </c>
      <c r="AO173" s="46">
        <v>0</v>
      </c>
      <c r="AP173" s="46" t="b">
        <v>0</v>
      </c>
      <c r="AQ173" s="46">
        <v>172021.34700000001</v>
      </c>
      <c r="AS173" s="46">
        <v>172021.34700000001</v>
      </c>
      <c r="AT173" s="46">
        <v>6</v>
      </c>
      <c r="AU173" s="46" t="b">
        <v>1</v>
      </c>
      <c r="AV173" s="46" t="b">
        <v>0</v>
      </c>
    </row>
    <row r="174" spans="2:48">
      <c r="B174" s="46" t="s">
        <v>665</v>
      </c>
      <c r="C174" s="46" t="s">
        <v>666</v>
      </c>
      <c r="D174" s="46">
        <v>20230701</v>
      </c>
      <c r="E174" s="46">
        <v>2023</v>
      </c>
      <c r="F174" s="46">
        <v>7</v>
      </c>
      <c r="G174" s="46" t="s">
        <v>718</v>
      </c>
      <c r="H174" s="46">
        <v>818</v>
      </c>
      <c r="I174" s="46" t="s">
        <v>668</v>
      </c>
      <c r="J174" s="46" t="s">
        <v>57</v>
      </c>
      <c r="K174" s="46" t="s">
        <v>666</v>
      </c>
      <c r="L174" s="46" t="s">
        <v>669</v>
      </c>
      <c r="M174" s="46">
        <v>792</v>
      </c>
      <c r="N174" s="46" t="s">
        <v>691</v>
      </c>
      <c r="O174" s="46" t="s">
        <v>63</v>
      </c>
      <c r="P174" s="46">
        <v>0</v>
      </c>
      <c r="Q174" s="46" t="s">
        <v>670</v>
      </c>
      <c r="R174" s="46" t="s">
        <v>23</v>
      </c>
      <c r="S174" s="46" t="s">
        <v>671</v>
      </c>
      <c r="T174" s="46" t="s">
        <v>672</v>
      </c>
      <c r="U174" s="46" t="b">
        <v>1</v>
      </c>
      <c r="V174" s="46" t="s">
        <v>985</v>
      </c>
      <c r="W174" s="46" t="s">
        <v>984</v>
      </c>
      <c r="X174" s="46">
        <v>6</v>
      </c>
      <c r="Y174" s="46" t="b">
        <v>1</v>
      </c>
      <c r="Z174" s="46" t="s">
        <v>675</v>
      </c>
      <c r="AA174" s="46" t="s">
        <v>676</v>
      </c>
      <c r="AB174" s="46" t="s">
        <v>677</v>
      </c>
      <c r="AC174" s="46">
        <v>0</v>
      </c>
      <c r="AD174" s="46" t="s">
        <v>678</v>
      </c>
      <c r="AE174" s="46">
        <v>8</v>
      </c>
      <c r="AF174" s="46" t="s">
        <v>679</v>
      </c>
      <c r="AG174" s="46">
        <v>218983.226</v>
      </c>
      <c r="AH174" s="46" t="b">
        <v>1</v>
      </c>
      <c r="AI174" s="46">
        <v>-1</v>
      </c>
      <c r="AJ174" s="46" t="s">
        <v>680</v>
      </c>
      <c r="AK174" s="46">
        <v>0</v>
      </c>
      <c r="AL174" s="46" t="b">
        <v>0</v>
      </c>
      <c r="AM174" s="46">
        <v>218983.226</v>
      </c>
      <c r="AN174" s="46" t="b">
        <v>1</v>
      </c>
      <c r="AO174" s="46">
        <v>0</v>
      </c>
      <c r="AP174" s="46" t="b">
        <v>0</v>
      </c>
      <c r="AQ174" s="46">
        <v>1033365.659</v>
      </c>
      <c r="AS174" s="46">
        <v>1033365.659</v>
      </c>
      <c r="AT174" s="46">
        <v>6</v>
      </c>
      <c r="AU174" s="46" t="b">
        <v>1</v>
      </c>
      <c r="AV174" s="46" t="b">
        <v>0</v>
      </c>
    </row>
    <row r="175" spans="2:48">
      <c r="B175" s="46" t="s">
        <v>665</v>
      </c>
      <c r="C175" s="46" t="s">
        <v>666</v>
      </c>
      <c r="D175" s="46">
        <v>20230701</v>
      </c>
      <c r="E175" s="46">
        <v>2023</v>
      </c>
      <c r="F175" s="46">
        <v>7</v>
      </c>
      <c r="G175" s="46" t="s">
        <v>718</v>
      </c>
      <c r="H175" s="46">
        <v>818</v>
      </c>
      <c r="I175" s="46" t="s">
        <v>668</v>
      </c>
      <c r="J175" s="46" t="s">
        <v>57</v>
      </c>
      <c r="K175" s="46" t="s">
        <v>666</v>
      </c>
      <c r="L175" s="46" t="s">
        <v>669</v>
      </c>
      <c r="M175" s="46">
        <v>826</v>
      </c>
      <c r="N175" s="46" t="s">
        <v>685</v>
      </c>
      <c r="O175" s="46" t="s">
        <v>64</v>
      </c>
      <c r="P175" s="46">
        <v>0</v>
      </c>
      <c r="Q175" s="46" t="s">
        <v>670</v>
      </c>
      <c r="R175" s="46" t="s">
        <v>23</v>
      </c>
      <c r="S175" s="46" t="s">
        <v>671</v>
      </c>
      <c r="T175" s="46" t="s">
        <v>672</v>
      </c>
      <c r="U175" s="46" t="b">
        <v>1</v>
      </c>
      <c r="V175" s="46" t="s">
        <v>985</v>
      </c>
      <c r="W175" s="46" t="s">
        <v>984</v>
      </c>
      <c r="X175" s="46">
        <v>6</v>
      </c>
      <c r="Y175" s="46" t="b">
        <v>1</v>
      </c>
      <c r="Z175" s="46" t="s">
        <v>675</v>
      </c>
      <c r="AA175" s="46" t="s">
        <v>676</v>
      </c>
      <c r="AB175" s="46" t="s">
        <v>677</v>
      </c>
      <c r="AC175" s="46">
        <v>0</v>
      </c>
      <c r="AD175" s="46" t="s">
        <v>678</v>
      </c>
      <c r="AE175" s="46">
        <v>8</v>
      </c>
      <c r="AF175" s="46" t="s">
        <v>679</v>
      </c>
      <c r="AG175" s="46">
        <v>31064.657999999999</v>
      </c>
      <c r="AH175" s="46" t="b">
        <v>1</v>
      </c>
      <c r="AI175" s="46">
        <v>-1</v>
      </c>
      <c r="AJ175" s="46" t="s">
        <v>680</v>
      </c>
      <c r="AK175" s="46">
        <v>0</v>
      </c>
      <c r="AL175" s="46" t="b">
        <v>0</v>
      </c>
      <c r="AM175" s="46">
        <v>31064.657999999999</v>
      </c>
      <c r="AN175" s="46" t="b">
        <v>1</v>
      </c>
      <c r="AO175" s="46">
        <v>0</v>
      </c>
      <c r="AP175" s="46" t="b">
        <v>0</v>
      </c>
      <c r="AQ175" s="46">
        <v>146591.82699999999</v>
      </c>
      <c r="AS175" s="46">
        <v>146591.82699999999</v>
      </c>
      <c r="AT175" s="46">
        <v>6</v>
      </c>
      <c r="AU175" s="46" t="b">
        <v>1</v>
      </c>
      <c r="AV175" s="46" t="b">
        <v>0</v>
      </c>
    </row>
    <row r="176" spans="2:48">
      <c r="B176" s="46" t="s">
        <v>665</v>
      </c>
      <c r="C176" s="46" t="s">
        <v>666</v>
      </c>
      <c r="D176" s="46">
        <v>20230701</v>
      </c>
      <c r="E176" s="46">
        <v>2023</v>
      </c>
      <c r="F176" s="46">
        <v>7</v>
      </c>
      <c r="G176" s="46" t="s">
        <v>718</v>
      </c>
      <c r="H176" s="46">
        <v>818</v>
      </c>
      <c r="I176" s="46" t="s">
        <v>668</v>
      </c>
      <c r="J176" s="46" t="s">
        <v>57</v>
      </c>
      <c r="K176" s="46" t="s">
        <v>666</v>
      </c>
      <c r="L176" s="46" t="s">
        <v>669</v>
      </c>
      <c r="M176" s="46">
        <v>842</v>
      </c>
      <c r="N176" s="46" t="s">
        <v>713</v>
      </c>
      <c r="O176" s="46" t="s">
        <v>713</v>
      </c>
      <c r="P176" s="46">
        <v>0</v>
      </c>
      <c r="Q176" s="46" t="s">
        <v>670</v>
      </c>
      <c r="R176" s="46" t="s">
        <v>23</v>
      </c>
      <c r="S176" s="46" t="s">
        <v>671</v>
      </c>
      <c r="T176" s="46" t="s">
        <v>672</v>
      </c>
      <c r="U176" s="46" t="b">
        <v>1</v>
      </c>
      <c r="V176" s="46" t="s">
        <v>985</v>
      </c>
      <c r="W176" s="46" t="s">
        <v>984</v>
      </c>
      <c r="X176" s="46">
        <v>6</v>
      </c>
      <c r="Y176" s="46" t="b">
        <v>1</v>
      </c>
      <c r="Z176" s="46" t="s">
        <v>675</v>
      </c>
      <c r="AA176" s="46" t="s">
        <v>676</v>
      </c>
      <c r="AB176" s="46" t="s">
        <v>677</v>
      </c>
      <c r="AC176" s="46">
        <v>0</v>
      </c>
      <c r="AD176" s="46" t="s">
        <v>678</v>
      </c>
      <c r="AE176" s="46">
        <v>8</v>
      </c>
      <c r="AF176" s="46" t="s">
        <v>679</v>
      </c>
      <c r="AG176" s="46">
        <v>231391.82399999999</v>
      </c>
      <c r="AH176" s="46" t="b">
        <v>1</v>
      </c>
      <c r="AI176" s="46">
        <v>-1</v>
      </c>
      <c r="AJ176" s="46" t="s">
        <v>680</v>
      </c>
      <c r="AK176" s="46">
        <v>0</v>
      </c>
      <c r="AL176" s="46" t="b">
        <v>0</v>
      </c>
      <c r="AM176" s="46">
        <v>231391.82399999999</v>
      </c>
      <c r="AN176" s="46" t="b">
        <v>1</v>
      </c>
      <c r="AO176" s="46">
        <v>0</v>
      </c>
      <c r="AP176" s="46" t="b">
        <v>0</v>
      </c>
      <c r="AQ176" s="46">
        <v>1091920.9140000001</v>
      </c>
      <c r="AS176" s="46">
        <v>1091920.9140000001</v>
      </c>
      <c r="AT176" s="46">
        <v>6</v>
      </c>
      <c r="AU176" s="46" t="b">
        <v>1</v>
      </c>
      <c r="AV176" s="46" t="b">
        <v>0</v>
      </c>
    </row>
    <row r="177" spans="2:48">
      <c r="B177" s="46" t="s">
        <v>665</v>
      </c>
      <c r="C177" s="46" t="s">
        <v>666</v>
      </c>
      <c r="D177" s="46">
        <v>20230801</v>
      </c>
      <c r="E177" s="46">
        <v>2023</v>
      </c>
      <c r="F177" s="46">
        <v>8</v>
      </c>
      <c r="G177" s="46" t="s">
        <v>721</v>
      </c>
      <c r="H177" s="46">
        <v>818</v>
      </c>
      <c r="I177" s="46" t="s">
        <v>668</v>
      </c>
      <c r="J177" s="46" t="s">
        <v>57</v>
      </c>
      <c r="K177" s="46" t="s">
        <v>666</v>
      </c>
      <c r="L177" s="46" t="s">
        <v>669</v>
      </c>
      <c r="M177" s="46">
        <v>0</v>
      </c>
      <c r="N177" s="46" t="s">
        <v>670</v>
      </c>
      <c r="O177" s="46" t="s">
        <v>23</v>
      </c>
      <c r="P177" s="46">
        <v>0</v>
      </c>
      <c r="Q177" s="46" t="s">
        <v>670</v>
      </c>
      <c r="R177" s="46" t="s">
        <v>23</v>
      </c>
      <c r="S177" s="46" t="s">
        <v>671</v>
      </c>
      <c r="T177" s="46" t="s">
        <v>672</v>
      </c>
      <c r="U177" s="46" t="b">
        <v>1</v>
      </c>
      <c r="V177" s="46" t="s">
        <v>985</v>
      </c>
      <c r="W177" s="46" t="s">
        <v>984</v>
      </c>
      <c r="X177" s="46">
        <v>6</v>
      </c>
      <c r="Y177" s="46" t="b">
        <v>1</v>
      </c>
      <c r="Z177" s="46" t="s">
        <v>675</v>
      </c>
      <c r="AA177" s="46" t="s">
        <v>676</v>
      </c>
      <c r="AB177" s="46" t="s">
        <v>677</v>
      </c>
      <c r="AC177" s="46">
        <v>0</v>
      </c>
      <c r="AD177" s="46" t="s">
        <v>678</v>
      </c>
      <c r="AE177" s="46">
        <v>8</v>
      </c>
      <c r="AF177" s="46" t="s">
        <v>679</v>
      </c>
      <c r="AG177" s="46">
        <v>3360987.6290000002</v>
      </c>
      <c r="AH177" s="46" t="b">
        <v>1</v>
      </c>
      <c r="AI177" s="46">
        <v>-1</v>
      </c>
      <c r="AJ177" s="46" t="s">
        <v>680</v>
      </c>
      <c r="AK177" s="46">
        <v>0</v>
      </c>
      <c r="AL177" s="46" t="b">
        <v>0</v>
      </c>
      <c r="AM177" s="46">
        <v>3360987.6290000002</v>
      </c>
      <c r="AN177" s="46" t="b">
        <v>1</v>
      </c>
      <c r="AO177" s="46">
        <v>0</v>
      </c>
      <c r="AP177" s="46" t="b">
        <v>0</v>
      </c>
      <c r="AQ177" s="46">
        <v>15860252.189999999</v>
      </c>
      <c r="AS177" s="46">
        <v>15860252.189999999</v>
      </c>
      <c r="AT177" s="46">
        <v>6</v>
      </c>
      <c r="AU177" s="46" t="b">
        <v>0</v>
      </c>
      <c r="AV177" s="46" t="b">
        <v>1</v>
      </c>
    </row>
    <row r="178" spans="2:48">
      <c r="B178" s="46" t="s">
        <v>665</v>
      </c>
      <c r="C178" s="46" t="s">
        <v>666</v>
      </c>
      <c r="D178" s="46">
        <v>20230801</v>
      </c>
      <c r="E178" s="46">
        <v>2023</v>
      </c>
      <c r="F178" s="46">
        <v>8</v>
      </c>
      <c r="G178" s="46" t="s">
        <v>721</v>
      </c>
      <c r="H178" s="46">
        <v>818</v>
      </c>
      <c r="I178" s="46" t="s">
        <v>668</v>
      </c>
      <c r="J178" s="46" t="s">
        <v>57</v>
      </c>
      <c r="K178" s="46" t="s">
        <v>666</v>
      </c>
      <c r="L178" s="46" t="s">
        <v>669</v>
      </c>
      <c r="M178" s="46">
        <v>36</v>
      </c>
      <c r="N178" s="46" t="s">
        <v>765</v>
      </c>
      <c r="O178" s="46" t="s">
        <v>24</v>
      </c>
      <c r="P178" s="46">
        <v>0</v>
      </c>
      <c r="Q178" s="46" t="s">
        <v>670</v>
      </c>
      <c r="R178" s="46" t="s">
        <v>23</v>
      </c>
      <c r="S178" s="46" t="s">
        <v>671</v>
      </c>
      <c r="T178" s="46" t="s">
        <v>672</v>
      </c>
      <c r="U178" s="46" t="b">
        <v>1</v>
      </c>
      <c r="V178" s="46" t="s">
        <v>985</v>
      </c>
      <c r="W178" s="46" t="s">
        <v>984</v>
      </c>
      <c r="X178" s="46">
        <v>6</v>
      </c>
      <c r="Y178" s="46" t="b">
        <v>1</v>
      </c>
      <c r="Z178" s="46" t="s">
        <v>675</v>
      </c>
      <c r="AA178" s="46" t="s">
        <v>676</v>
      </c>
      <c r="AB178" s="46" t="s">
        <v>677</v>
      </c>
      <c r="AC178" s="46">
        <v>0</v>
      </c>
      <c r="AD178" s="46" t="s">
        <v>678</v>
      </c>
      <c r="AE178" s="46">
        <v>8</v>
      </c>
      <c r="AF178" s="46" t="s">
        <v>679</v>
      </c>
      <c r="AG178" s="46">
        <v>16828.991999999998</v>
      </c>
      <c r="AH178" s="46" t="b">
        <v>1</v>
      </c>
      <c r="AI178" s="46">
        <v>-1</v>
      </c>
      <c r="AJ178" s="46" t="s">
        <v>680</v>
      </c>
      <c r="AK178" s="46">
        <v>0</v>
      </c>
      <c r="AL178" s="46" t="b">
        <v>0</v>
      </c>
      <c r="AM178" s="46">
        <v>16828.991999999998</v>
      </c>
      <c r="AN178" s="46" t="b">
        <v>1</v>
      </c>
      <c r="AO178" s="46">
        <v>0</v>
      </c>
      <c r="AP178" s="46" t="b">
        <v>0</v>
      </c>
      <c r="AQ178" s="46">
        <v>79414.771999999997</v>
      </c>
      <c r="AS178" s="46">
        <v>79414.771999999997</v>
      </c>
      <c r="AT178" s="46">
        <v>6</v>
      </c>
      <c r="AU178" s="46" t="b">
        <v>1</v>
      </c>
      <c r="AV178" s="46" t="b">
        <v>0</v>
      </c>
    </row>
    <row r="179" spans="2:48">
      <c r="B179" s="46" t="s">
        <v>665</v>
      </c>
      <c r="C179" s="46" t="s">
        <v>666</v>
      </c>
      <c r="D179" s="46">
        <v>20230801</v>
      </c>
      <c r="E179" s="46">
        <v>2023</v>
      </c>
      <c r="F179" s="46">
        <v>8</v>
      </c>
      <c r="G179" s="46" t="s">
        <v>721</v>
      </c>
      <c r="H179" s="46">
        <v>818</v>
      </c>
      <c r="I179" s="46" t="s">
        <v>668</v>
      </c>
      <c r="J179" s="46" t="s">
        <v>57</v>
      </c>
      <c r="K179" s="46" t="s">
        <v>666</v>
      </c>
      <c r="L179" s="46" t="s">
        <v>669</v>
      </c>
      <c r="M179" s="46">
        <v>40</v>
      </c>
      <c r="N179" s="46" t="s">
        <v>750</v>
      </c>
      <c r="O179" s="46" t="s">
        <v>43</v>
      </c>
      <c r="P179" s="46">
        <v>0</v>
      </c>
      <c r="Q179" s="46" t="s">
        <v>670</v>
      </c>
      <c r="R179" s="46" t="s">
        <v>23</v>
      </c>
      <c r="S179" s="46" t="s">
        <v>671</v>
      </c>
      <c r="T179" s="46" t="s">
        <v>672</v>
      </c>
      <c r="U179" s="46" t="b">
        <v>1</v>
      </c>
      <c r="V179" s="46" t="s">
        <v>985</v>
      </c>
      <c r="W179" s="46" t="s">
        <v>984</v>
      </c>
      <c r="X179" s="46">
        <v>6</v>
      </c>
      <c r="Y179" s="46" t="b">
        <v>1</v>
      </c>
      <c r="Z179" s="46" t="s">
        <v>675</v>
      </c>
      <c r="AA179" s="46" t="s">
        <v>676</v>
      </c>
      <c r="AB179" s="46" t="s">
        <v>677</v>
      </c>
      <c r="AC179" s="46">
        <v>0</v>
      </c>
      <c r="AD179" s="46" t="s">
        <v>678</v>
      </c>
      <c r="AE179" s="46">
        <v>8</v>
      </c>
      <c r="AF179" s="46" t="s">
        <v>679</v>
      </c>
      <c r="AG179" s="46">
        <v>2039.854</v>
      </c>
      <c r="AH179" s="46" t="b">
        <v>1</v>
      </c>
      <c r="AI179" s="46">
        <v>-1</v>
      </c>
      <c r="AJ179" s="46" t="s">
        <v>680</v>
      </c>
      <c r="AK179" s="46">
        <v>0</v>
      </c>
      <c r="AL179" s="46" t="b">
        <v>0</v>
      </c>
      <c r="AM179" s="46">
        <v>2039.854</v>
      </c>
      <c r="AN179" s="46" t="b">
        <v>1</v>
      </c>
      <c r="AO179" s="46">
        <v>0</v>
      </c>
      <c r="AP179" s="46" t="b">
        <v>0</v>
      </c>
      <c r="AQ179" s="46">
        <v>9625.92</v>
      </c>
      <c r="AS179" s="46">
        <v>9625.92</v>
      </c>
      <c r="AT179" s="46">
        <v>6</v>
      </c>
      <c r="AU179" s="46" t="b">
        <v>1</v>
      </c>
      <c r="AV179" s="46" t="b">
        <v>0</v>
      </c>
    </row>
    <row r="180" spans="2:48">
      <c r="B180" s="46" t="s">
        <v>665</v>
      </c>
      <c r="C180" s="46" t="s">
        <v>666</v>
      </c>
      <c r="D180" s="46">
        <v>20230801</v>
      </c>
      <c r="E180" s="46">
        <v>2023</v>
      </c>
      <c r="F180" s="46">
        <v>8</v>
      </c>
      <c r="G180" s="46" t="s">
        <v>721</v>
      </c>
      <c r="H180" s="46">
        <v>818</v>
      </c>
      <c r="I180" s="46" t="s">
        <v>668</v>
      </c>
      <c r="J180" s="46" t="s">
        <v>57</v>
      </c>
      <c r="K180" s="46" t="s">
        <v>666</v>
      </c>
      <c r="L180" s="46" t="s">
        <v>669</v>
      </c>
      <c r="M180" s="46">
        <v>56</v>
      </c>
      <c r="N180" s="46" t="s">
        <v>696</v>
      </c>
      <c r="O180" s="46" t="s">
        <v>74</v>
      </c>
      <c r="P180" s="46">
        <v>0</v>
      </c>
      <c r="Q180" s="46" t="s">
        <v>670</v>
      </c>
      <c r="R180" s="46" t="s">
        <v>23</v>
      </c>
      <c r="S180" s="46" t="s">
        <v>671</v>
      </c>
      <c r="T180" s="46" t="s">
        <v>672</v>
      </c>
      <c r="U180" s="46" t="b">
        <v>1</v>
      </c>
      <c r="V180" s="46" t="s">
        <v>985</v>
      </c>
      <c r="W180" s="46" t="s">
        <v>984</v>
      </c>
      <c r="X180" s="46">
        <v>6</v>
      </c>
      <c r="Y180" s="46" t="b">
        <v>1</v>
      </c>
      <c r="Z180" s="46" t="s">
        <v>675</v>
      </c>
      <c r="AA180" s="46" t="s">
        <v>676</v>
      </c>
      <c r="AB180" s="46" t="s">
        <v>677</v>
      </c>
      <c r="AC180" s="46">
        <v>0</v>
      </c>
      <c r="AD180" s="46" t="s">
        <v>678</v>
      </c>
      <c r="AE180" s="46">
        <v>8</v>
      </c>
      <c r="AF180" s="46" t="s">
        <v>679</v>
      </c>
      <c r="AG180" s="46">
        <v>72596.92</v>
      </c>
      <c r="AH180" s="46" t="b">
        <v>1</v>
      </c>
      <c r="AI180" s="46">
        <v>-1</v>
      </c>
      <c r="AJ180" s="46" t="s">
        <v>680</v>
      </c>
      <c r="AK180" s="46">
        <v>0</v>
      </c>
      <c r="AL180" s="46" t="b">
        <v>0</v>
      </c>
      <c r="AM180" s="46">
        <v>72596.92</v>
      </c>
      <c r="AN180" s="46" t="b">
        <v>1</v>
      </c>
      <c r="AO180" s="46">
        <v>0</v>
      </c>
      <c r="AP180" s="46" t="b">
        <v>0</v>
      </c>
      <c r="AQ180" s="46">
        <v>342579.49900000001</v>
      </c>
      <c r="AS180" s="46">
        <v>342579.49900000001</v>
      </c>
      <c r="AT180" s="46">
        <v>6</v>
      </c>
      <c r="AU180" s="46" t="b">
        <v>1</v>
      </c>
      <c r="AV180" s="46" t="b">
        <v>0</v>
      </c>
    </row>
    <row r="181" spans="2:48">
      <c r="B181" s="46" t="s">
        <v>665</v>
      </c>
      <c r="C181" s="46" t="s">
        <v>666</v>
      </c>
      <c r="D181" s="46">
        <v>20230801</v>
      </c>
      <c r="E181" s="46">
        <v>2023</v>
      </c>
      <c r="F181" s="46">
        <v>8</v>
      </c>
      <c r="G181" s="46" t="s">
        <v>721</v>
      </c>
      <c r="H181" s="46">
        <v>818</v>
      </c>
      <c r="I181" s="46" t="s">
        <v>668</v>
      </c>
      <c r="J181" s="46" t="s">
        <v>57</v>
      </c>
      <c r="K181" s="46" t="s">
        <v>666</v>
      </c>
      <c r="L181" s="46" t="s">
        <v>669</v>
      </c>
      <c r="M181" s="46">
        <v>156</v>
      </c>
      <c r="N181" s="46" t="s">
        <v>711</v>
      </c>
      <c r="O181" s="46" t="s">
        <v>29</v>
      </c>
      <c r="P181" s="46">
        <v>0</v>
      </c>
      <c r="Q181" s="46" t="s">
        <v>670</v>
      </c>
      <c r="R181" s="46" t="s">
        <v>23</v>
      </c>
      <c r="S181" s="46" t="s">
        <v>671</v>
      </c>
      <c r="T181" s="46" t="s">
        <v>672</v>
      </c>
      <c r="U181" s="46" t="b">
        <v>1</v>
      </c>
      <c r="V181" s="46" t="s">
        <v>985</v>
      </c>
      <c r="W181" s="46" t="s">
        <v>984</v>
      </c>
      <c r="X181" s="46">
        <v>6</v>
      </c>
      <c r="Y181" s="46" t="b">
        <v>1</v>
      </c>
      <c r="Z181" s="46" t="s">
        <v>675</v>
      </c>
      <c r="AA181" s="46" t="s">
        <v>676</v>
      </c>
      <c r="AB181" s="46" t="s">
        <v>677</v>
      </c>
      <c r="AC181" s="46">
        <v>0</v>
      </c>
      <c r="AD181" s="46" t="s">
        <v>678</v>
      </c>
      <c r="AE181" s="46">
        <v>8</v>
      </c>
      <c r="AF181" s="46" t="s">
        <v>679</v>
      </c>
      <c r="AG181" s="46">
        <v>778578.94</v>
      </c>
      <c r="AH181" s="46" t="b">
        <v>1</v>
      </c>
      <c r="AI181" s="46">
        <v>-1</v>
      </c>
      <c r="AJ181" s="46" t="s">
        <v>680</v>
      </c>
      <c r="AK181" s="46">
        <v>0</v>
      </c>
      <c r="AL181" s="46" t="b">
        <v>0</v>
      </c>
      <c r="AM181" s="46">
        <v>778578.94</v>
      </c>
      <c r="AN181" s="46" t="b">
        <v>1</v>
      </c>
      <c r="AO181" s="46">
        <v>0</v>
      </c>
      <c r="AP181" s="46" t="b">
        <v>0</v>
      </c>
      <c r="AQ181" s="46">
        <v>3674056.4670000002</v>
      </c>
      <c r="AS181" s="46">
        <v>3674056.4670000002</v>
      </c>
      <c r="AT181" s="46">
        <v>6</v>
      </c>
      <c r="AU181" s="46" t="b">
        <v>1</v>
      </c>
      <c r="AV181" s="46" t="b">
        <v>0</v>
      </c>
    </row>
    <row r="182" spans="2:48">
      <c r="B182" s="46" t="s">
        <v>665</v>
      </c>
      <c r="C182" s="46" t="s">
        <v>666</v>
      </c>
      <c r="D182" s="46">
        <v>20230801</v>
      </c>
      <c r="E182" s="46">
        <v>2023</v>
      </c>
      <c r="F182" s="46">
        <v>8</v>
      </c>
      <c r="G182" s="46" t="s">
        <v>721</v>
      </c>
      <c r="H182" s="46">
        <v>818</v>
      </c>
      <c r="I182" s="46" t="s">
        <v>668</v>
      </c>
      <c r="J182" s="46" t="s">
        <v>57</v>
      </c>
      <c r="K182" s="46" t="s">
        <v>666</v>
      </c>
      <c r="L182" s="46" t="s">
        <v>669</v>
      </c>
      <c r="M182" s="46">
        <v>208</v>
      </c>
      <c r="N182" s="46" t="s">
        <v>988</v>
      </c>
      <c r="O182" s="46" t="s">
        <v>72</v>
      </c>
      <c r="P182" s="46">
        <v>0</v>
      </c>
      <c r="Q182" s="46" t="s">
        <v>670</v>
      </c>
      <c r="R182" s="46" t="s">
        <v>23</v>
      </c>
      <c r="S182" s="46" t="s">
        <v>671</v>
      </c>
      <c r="T182" s="46" t="s">
        <v>672</v>
      </c>
      <c r="U182" s="46" t="b">
        <v>1</v>
      </c>
      <c r="V182" s="46" t="s">
        <v>985</v>
      </c>
      <c r="W182" s="46" t="s">
        <v>984</v>
      </c>
      <c r="X182" s="46">
        <v>6</v>
      </c>
      <c r="Y182" s="46" t="b">
        <v>1</v>
      </c>
      <c r="Z182" s="46" t="s">
        <v>675</v>
      </c>
      <c r="AA182" s="46" t="s">
        <v>676</v>
      </c>
      <c r="AB182" s="46" t="s">
        <v>677</v>
      </c>
      <c r="AC182" s="46">
        <v>0</v>
      </c>
      <c r="AD182" s="46" t="s">
        <v>678</v>
      </c>
      <c r="AE182" s="46">
        <v>8</v>
      </c>
      <c r="AF182" s="46" t="s">
        <v>679</v>
      </c>
      <c r="AG182" s="46">
        <v>41881.563999999998</v>
      </c>
      <c r="AH182" s="46" t="b">
        <v>1</v>
      </c>
      <c r="AI182" s="46">
        <v>-1</v>
      </c>
      <c r="AJ182" s="46" t="s">
        <v>680</v>
      </c>
      <c r="AK182" s="46">
        <v>0</v>
      </c>
      <c r="AL182" s="46" t="b">
        <v>0</v>
      </c>
      <c r="AM182" s="46">
        <v>41881.563999999998</v>
      </c>
      <c r="AN182" s="46" t="b">
        <v>1</v>
      </c>
      <c r="AO182" s="46">
        <v>0</v>
      </c>
      <c r="AP182" s="46" t="b">
        <v>0</v>
      </c>
      <c r="AQ182" s="46">
        <v>197636.00599999999</v>
      </c>
      <c r="AS182" s="46">
        <v>197636.00599999999</v>
      </c>
      <c r="AT182" s="46">
        <v>6</v>
      </c>
      <c r="AU182" s="46" t="b">
        <v>1</v>
      </c>
      <c r="AV182" s="46" t="b">
        <v>0</v>
      </c>
    </row>
    <row r="183" spans="2:48">
      <c r="B183" s="46" t="s">
        <v>665</v>
      </c>
      <c r="C183" s="46" t="s">
        <v>666</v>
      </c>
      <c r="D183" s="46">
        <v>20230801</v>
      </c>
      <c r="E183" s="46">
        <v>2023</v>
      </c>
      <c r="F183" s="46">
        <v>8</v>
      </c>
      <c r="G183" s="46" t="s">
        <v>721</v>
      </c>
      <c r="H183" s="46">
        <v>818</v>
      </c>
      <c r="I183" s="46" t="s">
        <v>668</v>
      </c>
      <c r="J183" s="46" t="s">
        <v>57</v>
      </c>
      <c r="K183" s="46" t="s">
        <v>666</v>
      </c>
      <c r="L183" s="46" t="s">
        <v>669</v>
      </c>
      <c r="M183" s="46">
        <v>233</v>
      </c>
      <c r="N183" s="46" t="s">
        <v>997</v>
      </c>
      <c r="O183" s="46" t="s">
        <v>103</v>
      </c>
      <c r="P183" s="46">
        <v>0</v>
      </c>
      <c r="Q183" s="46" t="s">
        <v>670</v>
      </c>
      <c r="R183" s="46" t="s">
        <v>23</v>
      </c>
      <c r="S183" s="46" t="s">
        <v>671</v>
      </c>
      <c r="T183" s="46" t="s">
        <v>672</v>
      </c>
      <c r="U183" s="46" t="b">
        <v>1</v>
      </c>
      <c r="V183" s="46" t="s">
        <v>985</v>
      </c>
      <c r="W183" s="46" t="s">
        <v>984</v>
      </c>
      <c r="X183" s="46">
        <v>6</v>
      </c>
      <c r="Y183" s="46" t="b">
        <v>1</v>
      </c>
      <c r="Z183" s="46" t="s">
        <v>675</v>
      </c>
      <c r="AA183" s="46" t="s">
        <v>676</v>
      </c>
      <c r="AB183" s="46" t="s">
        <v>677</v>
      </c>
      <c r="AC183" s="46">
        <v>0</v>
      </c>
      <c r="AD183" s="46" t="s">
        <v>678</v>
      </c>
      <c r="AE183" s="46">
        <v>8</v>
      </c>
      <c r="AF183" s="46" t="s">
        <v>679</v>
      </c>
      <c r="AG183" s="46">
        <v>2592.85</v>
      </c>
      <c r="AH183" s="46" t="b">
        <v>1</v>
      </c>
      <c r="AI183" s="46">
        <v>-1</v>
      </c>
      <c r="AJ183" s="46" t="s">
        <v>680</v>
      </c>
      <c r="AK183" s="46">
        <v>0</v>
      </c>
      <c r="AL183" s="46" t="b">
        <v>0</v>
      </c>
      <c r="AM183" s="46">
        <v>2592.85</v>
      </c>
      <c r="AN183" s="46" t="b">
        <v>1</v>
      </c>
      <c r="AO183" s="46">
        <v>0</v>
      </c>
      <c r="AP183" s="46" t="b">
        <v>0</v>
      </c>
      <c r="AQ183" s="46">
        <v>12235.47</v>
      </c>
      <c r="AS183" s="46">
        <v>12235.47</v>
      </c>
      <c r="AT183" s="46">
        <v>6</v>
      </c>
      <c r="AU183" s="46" t="b">
        <v>1</v>
      </c>
      <c r="AV183" s="46" t="b">
        <v>0</v>
      </c>
    </row>
    <row r="184" spans="2:48">
      <c r="B184" s="46" t="s">
        <v>665</v>
      </c>
      <c r="C184" s="46" t="s">
        <v>666</v>
      </c>
      <c r="D184" s="46">
        <v>20230801</v>
      </c>
      <c r="E184" s="46">
        <v>2023</v>
      </c>
      <c r="F184" s="46">
        <v>8</v>
      </c>
      <c r="G184" s="46" t="s">
        <v>721</v>
      </c>
      <c r="H184" s="46">
        <v>818</v>
      </c>
      <c r="I184" s="46" t="s">
        <v>668</v>
      </c>
      <c r="J184" s="46" t="s">
        <v>57</v>
      </c>
      <c r="K184" s="46" t="s">
        <v>666</v>
      </c>
      <c r="L184" s="46" t="s">
        <v>669</v>
      </c>
      <c r="M184" s="46">
        <v>251</v>
      </c>
      <c r="N184" s="46" t="s">
        <v>688</v>
      </c>
      <c r="O184" s="46" t="s">
        <v>69</v>
      </c>
      <c r="P184" s="46">
        <v>0</v>
      </c>
      <c r="Q184" s="46" t="s">
        <v>670</v>
      </c>
      <c r="R184" s="46" t="s">
        <v>23</v>
      </c>
      <c r="S184" s="46" t="s">
        <v>671</v>
      </c>
      <c r="T184" s="46" t="s">
        <v>672</v>
      </c>
      <c r="U184" s="46" t="b">
        <v>1</v>
      </c>
      <c r="V184" s="46" t="s">
        <v>985</v>
      </c>
      <c r="W184" s="46" t="s">
        <v>984</v>
      </c>
      <c r="X184" s="46">
        <v>6</v>
      </c>
      <c r="Y184" s="46" t="b">
        <v>1</v>
      </c>
      <c r="Z184" s="46" t="s">
        <v>675</v>
      </c>
      <c r="AA184" s="46" t="s">
        <v>676</v>
      </c>
      <c r="AB184" s="46" t="s">
        <v>677</v>
      </c>
      <c r="AC184" s="46">
        <v>0</v>
      </c>
      <c r="AD184" s="46" t="s">
        <v>678</v>
      </c>
      <c r="AE184" s="46">
        <v>8</v>
      </c>
      <c r="AF184" s="46" t="s">
        <v>679</v>
      </c>
      <c r="AG184" s="46">
        <v>252150.50099999999</v>
      </c>
      <c r="AH184" s="46" t="b">
        <v>1</v>
      </c>
      <c r="AI184" s="46">
        <v>-1</v>
      </c>
      <c r="AJ184" s="46" t="s">
        <v>680</v>
      </c>
      <c r="AK184" s="46">
        <v>0</v>
      </c>
      <c r="AL184" s="46" t="b">
        <v>0</v>
      </c>
      <c r="AM184" s="46">
        <v>252150.50099999999</v>
      </c>
      <c r="AN184" s="46" t="b">
        <v>1</v>
      </c>
      <c r="AO184" s="46">
        <v>0</v>
      </c>
      <c r="AP184" s="46" t="b">
        <v>0</v>
      </c>
      <c r="AQ184" s="46">
        <v>1189879.575</v>
      </c>
      <c r="AS184" s="46">
        <v>1189879.575</v>
      </c>
      <c r="AT184" s="46">
        <v>6</v>
      </c>
      <c r="AU184" s="46" t="b">
        <v>1</v>
      </c>
      <c r="AV184" s="46" t="b">
        <v>0</v>
      </c>
    </row>
    <row r="185" spans="2:48">
      <c r="B185" s="46" t="s">
        <v>665</v>
      </c>
      <c r="C185" s="46" t="s">
        <v>666</v>
      </c>
      <c r="D185" s="46">
        <v>20230801</v>
      </c>
      <c r="E185" s="46">
        <v>2023</v>
      </c>
      <c r="F185" s="46">
        <v>8</v>
      </c>
      <c r="G185" s="46" t="s">
        <v>721</v>
      </c>
      <c r="H185" s="46">
        <v>818</v>
      </c>
      <c r="I185" s="46" t="s">
        <v>668</v>
      </c>
      <c r="J185" s="46" t="s">
        <v>57</v>
      </c>
      <c r="K185" s="46" t="s">
        <v>666</v>
      </c>
      <c r="L185" s="46" t="s">
        <v>669</v>
      </c>
      <c r="M185" s="46">
        <v>276</v>
      </c>
      <c r="N185" s="46" t="s">
        <v>681</v>
      </c>
      <c r="O185" s="46" t="s">
        <v>30</v>
      </c>
      <c r="P185" s="46">
        <v>0</v>
      </c>
      <c r="Q185" s="46" t="s">
        <v>670</v>
      </c>
      <c r="R185" s="46" t="s">
        <v>23</v>
      </c>
      <c r="S185" s="46" t="s">
        <v>671</v>
      </c>
      <c r="T185" s="46" t="s">
        <v>672</v>
      </c>
      <c r="U185" s="46" t="b">
        <v>1</v>
      </c>
      <c r="V185" s="46" t="s">
        <v>985</v>
      </c>
      <c r="W185" s="46" t="s">
        <v>984</v>
      </c>
      <c r="X185" s="46">
        <v>6</v>
      </c>
      <c r="Y185" s="46" t="b">
        <v>1</v>
      </c>
      <c r="Z185" s="46" t="s">
        <v>675</v>
      </c>
      <c r="AA185" s="46" t="s">
        <v>676</v>
      </c>
      <c r="AB185" s="46" t="s">
        <v>677</v>
      </c>
      <c r="AC185" s="46">
        <v>0</v>
      </c>
      <c r="AD185" s="46" t="s">
        <v>678</v>
      </c>
      <c r="AE185" s="46">
        <v>8</v>
      </c>
      <c r="AF185" s="46" t="s">
        <v>679</v>
      </c>
      <c r="AG185" s="46">
        <v>438130.48800000001</v>
      </c>
      <c r="AH185" s="46" t="b">
        <v>1</v>
      </c>
      <c r="AI185" s="46">
        <v>-1</v>
      </c>
      <c r="AJ185" s="46" t="s">
        <v>680</v>
      </c>
      <c r="AK185" s="46">
        <v>0</v>
      </c>
      <c r="AL185" s="46" t="b">
        <v>0</v>
      </c>
      <c r="AM185" s="46">
        <v>438130.48800000001</v>
      </c>
      <c r="AN185" s="46" t="b">
        <v>1</v>
      </c>
      <c r="AO185" s="46">
        <v>0</v>
      </c>
      <c r="AP185" s="46" t="b">
        <v>0</v>
      </c>
      <c r="AQ185" s="46">
        <v>2067505.3859999999</v>
      </c>
      <c r="AS185" s="46">
        <v>2067505.3859999999</v>
      </c>
      <c r="AT185" s="46">
        <v>6</v>
      </c>
      <c r="AU185" s="46" t="b">
        <v>1</v>
      </c>
      <c r="AV185" s="46" t="b">
        <v>0</v>
      </c>
    </row>
    <row r="186" spans="2:48">
      <c r="B186" s="46" t="s">
        <v>665</v>
      </c>
      <c r="C186" s="46" t="s">
        <v>666</v>
      </c>
      <c r="D186" s="46">
        <v>20230801</v>
      </c>
      <c r="E186" s="46">
        <v>2023</v>
      </c>
      <c r="F186" s="46">
        <v>8</v>
      </c>
      <c r="G186" s="46" t="s">
        <v>721</v>
      </c>
      <c r="H186" s="46">
        <v>818</v>
      </c>
      <c r="I186" s="46" t="s">
        <v>668</v>
      </c>
      <c r="J186" s="46" t="s">
        <v>57</v>
      </c>
      <c r="K186" s="46" t="s">
        <v>666</v>
      </c>
      <c r="L186" s="46" t="s">
        <v>669</v>
      </c>
      <c r="M186" s="46">
        <v>380</v>
      </c>
      <c r="N186" s="46" t="s">
        <v>689</v>
      </c>
      <c r="O186" s="46" t="s">
        <v>71</v>
      </c>
      <c r="P186" s="46">
        <v>0</v>
      </c>
      <c r="Q186" s="46" t="s">
        <v>670</v>
      </c>
      <c r="R186" s="46" t="s">
        <v>23</v>
      </c>
      <c r="S186" s="46" t="s">
        <v>671</v>
      </c>
      <c r="T186" s="46" t="s">
        <v>672</v>
      </c>
      <c r="U186" s="46" t="b">
        <v>1</v>
      </c>
      <c r="V186" s="46" t="s">
        <v>985</v>
      </c>
      <c r="W186" s="46" t="s">
        <v>984</v>
      </c>
      <c r="X186" s="46">
        <v>6</v>
      </c>
      <c r="Y186" s="46" t="b">
        <v>1</v>
      </c>
      <c r="Z186" s="46" t="s">
        <v>675</v>
      </c>
      <c r="AA186" s="46" t="s">
        <v>676</v>
      </c>
      <c r="AB186" s="46" t="s">
        <v>677</v>
      </c>
      <c r="AC186" s="46">
        <v>0</v>
      </c>
      <c r="AD186" s="46" t="s">
        <v>678</v>
      </c>
      <c r="AE186" s="46">
        <v>8</v>
      </c>
      <c r="AF186" s="46" t="s">
        <v>679</v>
      </c>
      <c r="AG186" s="46">
        <v>323688.85600000003</v>
      </c>
      <c r="AH186" s="46" t="b">
        <v>1</v>
      </c>
      <c r="AI186" s="46">
        <v>-1</v>
      </c>
      <c r="AJ186" s="46" t="s">
        <v>680</v>
      </c>
      <c r="AK186" s="46">
        <v>0</v>
      </c>
      <c r="AL186" s="46" t="b">
        <v>0</v>
      </c>
      <c r="AM186" s="46">
        <v>323688.85600000003</v>
      </c>
      <c r="AN186" s="46" t="b">
        <v>1</v>
      </c>
      <c r="AO186" s="46">
        <v>0</v>
      </c>
      <c r="AP186" s="46" t="b">
        <v>0</v>
      </c>
      <c r="AQ186" s="46">
        <v>1527463.7830000001</v>
      </c>
      <c r="AS186" s="46">
        <v>1527463.7830000001</v>
      </c>
      <c r="AT186" s="46">
        <v>6</v>
      </c>
      <c r="AU186" s="46" t="b">
        <v>1</v>
      </c>
      <c r="AV186" s="46" t="b">
        <v>0</v>
      </c>
    </row>
    <row r="187" spans="2:48">
      <c r="B187" s="46" t="s">
        <v>665</v>
      </c>
      <c r="C187" s="46" t="s">
        <v>666</v>
      </c>
      <c r="D187" s="46">
        <v>20230801</v>
      </c>
      <c r="E187" s="46">
        <v>2023</v>
      </c>
      <c r="F187" s="46">
        <v>8</v>
      </c>
      <c r="G187" s="46" t="s">
        <v>721</v>
      </c>
      <c r="H187" s="46">
        <v>818</v>
      </c>
      <c r="I187" s="46" t="s">
        <v>668</v>
      </c>
      <c r="J187" s="46" t="s">
        <v>57</v>
      </c>
      <c r="K187" s="46" t="s">
        <v>666</v>
      </c>
      <c r="L187" s="46" t="s">
        <v>669</v>
      </c>
      <c r="M187" s="46">
        <v>392</v>
      </c>
      <c r="N187" s="46" t="s">
        <v>747</v>
      </c>
      <c r="O187" s="46" t="s">
        <v>32</v>
      </c>
      <c r="P187" s="46">
        <v>0</v>
      </c>
      <c r="Q187" s="46" t="s">
        <v>670</v>
      </c>
      <c r="R187" s="46" t="s">
        <v>23</v>
      </c>
      <c r="S187" s="46" t="s">
        <v>671</v>
      </c>
      <c r="T187" s="46" t="s">
        <v>672</v>
      </c>
      <c r="U187" s="46" t="b">
        <v>1</v>
      </c>
      <c r="V187" s="46" t="s">
        <v>985</v>
      </c>
      <c r="W187" s="46" t="s">
        <v>984</v>
      </c>
      <c r="X187" s="46">
        <v>6</v>
      </c>
      <c r="Y187" s="46" t="b">
        <v>1</v>
      </c>
      <c r="Z187" s="46" t="s">
        <v>675</v>
      </c>
      <c r="AA187" s="46" t="s">
        <v>676</v>
      </c>
      <c r="AB187" s="46" t="s">
        <v>677</v>
      </c>
      <c r="AC187" s="46">
        <v>0</v>
      </c>
      <c r="AD187" s="46" t="s">
        <v>678</v>
      </c>
      <c r="AE187" s="46">
        <v>8</v>
      </c>
      <c r="AF187" s="46" t="s">
        <v>679</v>
      </c>
      <c r="AG187" s="46">
        <v>1663.15</v>
      </c>
      <c r="AH187" s="46" t="b">
        <v>1</v>
      </c>
      <c r="AI187" s="46">
        <v>-1</v>
      </c>
      <c r="AJ187" s="46" t="s">
        <v>680</v>
      </c>
      <c r="AK187" s="46">
        <v>0</v>
      </c>
      <c r="AL187" s="46" t="b">
        <v>0</v>
      </c>
      <c r="AM187" s="46">
        <v>1663.15</v>
      </c>
      <c r="AN187" s="46" t="b">
        <v>1</v>
      </c>
      <c r="AO187" s="46">
        <v>0</v>
      </c>
      <c r="AP187" s="46" t="b">
        <v>0</v>
      </c>
      <c r="AQ187" s="46">
        <v>7848.2830000000004</v>
      </c>
      <c r="AS187" s="46">
        <v>7848.2830000000004</v>
      </c>
      <c r="AT187" s="46">
        <v>6</v>
      </c>
      <c r="AU187" s="46" t="b">
        <v>1</v>
      </c>
      <c r="AV187" s="46" t="b">
        <v>0</v>
      </c>
    </row>
    <row r="188" spans="2:48">
      <c r="B188" s="46" t="s">
        <v>665</v>
      </c>
      <c r="C188" s="46" t="s">
        <v>666</v>
      </c>
      <c r="D188" s="46">
        <v>20230801</v>
      </c>
      <c r="E188" s="46">
        <v>2023</v>
      </c>
      <c r="F188" s="46">
        <v>8</v>
      </c>
      <c r="G188" s="46" t="s">
        <v>721</v>
      </c>
      <c r="H188" s="46">
        <v>818</v>
      </c>
      <c r="I188" s="46" t="s">
        <v>668</v>
      </c>
      <c r="J188" s="46" t="s">
        <v>57</v>
      </c>
      <c r="K188" s="46" t="s">
        <v>666</v>
      </c>
      <c r="L188" s="46" t="s">
        <v>669</v>
      </c>
      <c r="M188" s="46">
        <v>410</v>
      </c>
      <c r="N188" s="46" t="s">
        <v>754</v>
      </c>
      <c r="O188" s="46" t="s">
        <v>755</v>
      </c>
      <c r="P188" s="46">
        <v>0</v>
      </c>
      <c r="Q188" s="46" t="s">
        <v>670</v>
      </c>
      <c r="R188" s="46" t="s">
        <v>23</v>
      </c>
      <c r="S188" s="46" t="s">
        <v>671</v>
      </c>
      <c r="T188" s="46" t="s">
        <v>672</v>
      </c>
      <c r="U188" s="46" t="b">
        <v>1</v>
      </c>
      <c r="V188" s="46" t="s">
        <v>985</v>
      </c>
      <c r="W188" s="46" t="s">
        <v>984</v>
      </c>
      <c r="X188" s="46">
        <v>6</v>
      </c>
      <c r="Y188" s="46" t="b">
        <v>1</v>
      </c>
      <c r="Z188" s="46" t="s">
        <v>675</v>
      </c>
      <c r="AA188" s="46" t="s">
        <v>676</v>
      </c>
      <c r="AB188" s="46" t="s">
        <v>677</v>
      </c>
      <c r="AC188" s="46">
        <v>0</v>
      </c>
      <c r="AD188" s="46" t="s">
        <v>678</v>
      </c>
      <c r="AE188" s="46">
        <v>8</v>
      </c>
      <c r="AF188" s="46" t="s">
        <v>679</v>
      </c>
      <c r="AG188" s="46">
        <v>61653.216999999997</v>
      </c>
      <c r="AH188" s="46" t="b">
        <v>1</v>
      </c>
      <c r="AI188" s="46">
        <v>-1</v>
      </c>
      <c r="AJ188" s="46" t="s">
        <v>680</v>
      </c>
      <c r="AK188" s="46">
        <v>0</v>
      </c>
      <c r="AL188" s="46" t="b">
        <v>0</v>
      </c>
      <c r="AM188" s="46">
        <v>61653.216999999997</v>
      </c>
      <c r="AN188" s="46" t="b">
        <v>1</v>
      </c>
      <c r="AO188" s="46">
        <v>0</v>
      </c>
      <c r="AP188" s="46" t="b">
        <v>0</v>
      </c>
      <c r="AQ188" s="46">
        <v>290936.97499999998</v>
      </c>
      <c r="AS188" s="46">
        <v>290936.97499999998</v>
      </c>
      <c r="AT188" s="46">
        <v>6</v>
      </c>
      <c r="AU188" s="46" t="b">
        <v>1</v>
      </c>
      <c r="AV188" s="46" t="b">
        <v>0</v>
      </c>
    </row>
    <row r="189" spans="2:48">
      <c r="B189" s="46" t="s">
        <v>665</v>
      </c>
      <c r="C189" s="46" t="s">
        <v>666</v>
      </c>
      <c r="D189" s="46">
        <v>20230801</v>
      </c>
      <c r="E189" s="46">
        <v>2023</v>
      </c>
      <c r="F189" s="46">
        <v>8</v>
      </c>
      <c r="G189" s="46" t="s">
        <v>721</v>
      </c>
      <c r="H189" s="46">
        <v>818</v>
      </c>
      <c r="I189" s="46" t="s">
        <v>668</v>
      </c>
      <c r="J189" s="46" t="s">
        <v>57</v>
      </c>
      <c r="K189" s="46" t="s">
        <v>666</v>
      </c>
      <c r="L189" s="46" t="s">
        <v>669</v>
      </c>
      <c r="M189" s="46">
        <v>442</v>
      </c>
      <c r="N189" s="46" t="s">
        <v>759</v>
      </c>
      <c r="O189" s="46" t="s">
        <v>89</v>
      </c>
      <c r="P189" s="46">
        <v>0</v>
      </c>
      <c r="Q189" s="46" t="s">
        <v>670</v>
      </c>
      <c r="R189" s="46" t="s">
        <v>23</v>
      </c>
      <c r="S189" s="46" t="s">
        <v>671</v>
      </c>
      <c r="T189" s="46" t="s">
        <v>672</v>
      </c>
      <c r="U189" s="46" t="b">
        <v>1</v>
      </c>
      <c r="V189" s="46" t="s">
        <v>985</v>
      </c>
      <c r="W189" s="46" t="s">
        <v>984</v>
      </c>
      <c r="X189" s="46">
        <v>6</v>
      </c>
      <c r="Y189" s="46" t="b">
        <v>1</v>
      </c>
      <c r="Z189" s="46" t="s">
        <v>675</v>
      </c>
      <c r="AA189" s="46" t="s">
        <v>676</v>
      </c>
      <c r="AB189" s="46" t="s">
        <v>677</v>
      </c>
      <c r="AC189" s="46">
        <v>0</v>
      </c>
      <c r="AD189" s="46" t="s">
        <v>678</v>
      </c>
      <c r="AE189" s="46">
        <v>8</v>
      </c>
      <c r="AF189" s="46" t="s">
        <v>679</v>
      </c>
      <c r="AG189" s="46">
        <v>741.24900000000002</v>
      </c>
      <c r="AH189" s="46" t="b">
        <v>1</v>
      </c>
      <c r="AI189" s="46">
        <v>-1</v>
      </c>
      <c r="AJ189" s="46" t="s">
        <v>680</v>
      </c>
      <c r="AK189" s="46">
        <v>0</v>
      </c>
      <c r="AL189" s="46" t="b">
        <v>0</v>
      </c>
      <c r="AM189" s="46">
        <v>741.24900000000002</v>
      </c>
      <c r="AN189" s="46" t="b">
        <v>1</v>
      </c>
      <c r="AO189" s="46">
        <v>0</v>
      </c>
      <c r="AP189" s="46" t="b">
        <v>0</v>
      </c>
      <c r="AQ189" s="46">
        <v>3497.8969999999999</v>
      </c>
      <c r="AS189" s="46">
        <v>3497.8969999999999</v>
      </c>
      <c r="AT189" s="46">
        <v>6</v>
      </c>
      <c r="AU189" s="46" t="b">
        <v>1</v>
      </c>
      <c r="AV189" s="46" t="b">
        <v>0</v>
      </c>
    </row>
    <row r="190" spans="2:48">
      <c r="B190" s="46" t="s">
        <v>665</v>
      </c>
      <c r="C190" s="46" t="s">
        <v>666</v>
      </c>
      <c r="D190" s="46">
        <v>20230801</v>
      </c>
      <c r="E190" s="46">
        <v>2023</v>
      </c>
      <c r="F190" s="46">
        <v>8</v>
      </c>
      <c r="G190" s="46" t="s">
        <v>721</v>
      </c>
      <c r="H190" s="46">
        <v>818</v>
      </c>
      <c r="I190" s="46" t="s">
        <v>668</v>
      </c>
      <c r="J190" s="46" t="s">
        <v>57</v>
      </c>
      <c r="K190" s="46" t="s">
        <v>666</v>
      </c>
      <c r="L190" s="46" t="s">
        <v>669</v>
      </c>
      <c r="M190" s="46">
        <v>458</v>
      </c>
      <c r="N190" s="46" t="s">
        <v>722</v>
      </c>
      <c r="O190" s="46" t="s">
        <v>26</v>
      </c>
      <c r="P190" s="46">
        <v>0</v>
      </c>
      <c r="Q190" s="46" t="s">
        <v>670</v>
      </c>
      <c r="R190" s="46" t="s">
        <v>23</v>
      </c>
      <c r="S190" s="46" t="s">
        <v>671</v>
      </c>
      <c r="T190" s="46" t="s">
        <v>672</v>
      </c>
      <c r="U190" s="46" t="b">
        <v>1</v>
      </c>
      <c r="V190" s="46" t="s">
        <v>985</v>
      </c>
      <c r="W190" s="46" t="s">
        <v>984</v>
      </c>
      <c r="X190" s="46">
        <v>6</v>
      </c>
      <c r="Y190" s="46" t="b">
        <v>1</v>
      </c>
      <c r="Z190" s="46" t="s">
        <v>675</v>
      </c>
      <c r="AA190" s="46" t="s">
        <v>676</v>
      </c>
      <c r="AB190" s="46" t="s">
        <v>677</v>
      </c>
      <c r="AC190" s="46">
        <v>0</v>
      </c>
      <c r="AD190" s="46" t="s">
        <v>678</v>
      </c>
      <c r="AE190" s="46">
        <v>8</v>
      </c>
      <c r="AF190" s="46" t="s">
        <v>679</v>
      </c>
      <c r="AG190" s="46">
        <v>43701.248</v>
      </c>
      <c r="AH190" s="46" t="b">
        <v>1</v>
      </c>
      <c r="AI190" s="46">
        <v>-1</v>
      </c>
      <c r="AJ190" s="46" t="s">
        <v>680</v>
      </c>
      <c r="AK190" s="46">
        <v>0</v>
      </c>
      <c r="AL190" s="46" t="b">
        <v>0</v>
      </c>
      <c r="AM190" s="46">
        <v>43701.248</v>
      </c>
      <c r="AN190" s="46" t="b">
        <v>1</v>
      </c>
      <c r="AO190" s="46">
        <v>0</v>
      </c>
      <c r="AP190" s="46" t="b">
        <v>0</v>
      </c>
      <c r="AQ190" s="46">
        <v>206222.96100000001</v>
      </c>
      <c r="AS190" s="46">
        <v>206222.96100000001</v>
      </c>
      <c r="AT190" s="46">
        <v>6</v>
      </c>
      <c r="AU190" s="46" t="b">
        <v>1</v>
      </c>
      <c r="AV190" s="46" t="b">
        <v>0</v>
      </c>
    </row>
    <row r="191" spans="2:48">
      <c r="B191" s="46" t="s">
        <v>665</v>
      </c>
      <c r="C191" s="46" t="s">
        <v>666</v>
      </c>
      <c r="D191" s="46">
        <v>20230801</v>
      </c>
      <c r="E191" s="46">
        <v>2023</v>
      </c>
      <c r="F191" s="46">
        <v>8</v>
      </c>
      <c r="G191" s="46" t="s">
        <v>721</v>
      </c>
      <c r="H191" s="46">
        <v>818</v>
      </c>
      <c r="I191" s="46" t="s">
        <v>668</v>
      </c>
      <c r="J191" s="46" t="s">
        <v>57</v>
      </c>
      <c r="K191" s="46" t="s">
        <v>666</v>
      </c>
      <c r="L191" s="46" t="s">
        <v>669</v>
      </c>
      <c r="M191" s="46">
        <v>484</v>
      </c>
      <c r="N191" s="46" t="s">
        <v>998</v>
      </c>
      <c r="O191" s="46" t="s">
        <v>80</v>
      </c>
      <c r="P191" s="46">
        <v>0</v>
      </c>
      <c r="Q191" s="46" t="s">
        <v>670</v>
      </c>
      <c r="R191" s="46" t="s">
        <v>23</v>
      </c>
      <c r="S191" s="46" t="s">
        <v>671</v>
      </c>
      <c r="T191" s="46" t="s">
        <v>672</v>
      </c>
      <c r="U191" s="46" t="b">
        <v>1</v>
      </c>
      <c r="V191" s="46" t="s">
        <v>985</v>
      </c>
      <c r="W191" s="46" t="s">
        <v>984</v>
      </c>
      <c r="X191" s="46">
        <v>6</v>
      </c>
      <c r="Y191" s="46" t="b">
        <v>1</v>
      </c>
      <c r="Z191" s="46" t="s">
        <v>675</v>
      </c>
      <c r="AA191" s="46" t="s">
        <v>676</v>
      </c>
      <c r="AB191" s="46" t="s">
        <v>677</v>
      </c>
      <c r="AC191" s="46">
        <v>0</v>
      </c>
      <c r="AD191" s="46" t="s">
        <v>678</v>
      </c>
      <c r="AE191" s="46">
        <v>8</v>
      </c>
      <c r="AF191" s="46" t="s">
        <v>679</v>
      </c>
      <c r="AG191" s="46">
        <v>19915.494999999999</v>
      </c>
      <c r="AH191" s="46" t="b">
        <v>1</v>
      </c>
      <c r="AI191" s="46">
        <v>-1</v>
      </c>
      <c r="AJ191" s="46" t="s">
        <v>680</v>
      </c>
      <c r="AK191" s="46">
        <v>0</v>
      </c>
      <c r="AL191" s="46" t="b">
        <v>0</v>
      </c>
      <c r="AM191" s="46">
        <v>19915.494999999999</v>
      </c>
      <c r="AN191" s="46" t="b">
        <v>1</v>
      </c>
      <c r="AO191" s="46">
        <v>0</v>
      </c>
      <c r="AP191" s="46" t="b">
        <v>0</v>
      </c>
      <c r="AQ191" s="46">
        <v>93979.751000000004</v>
      </c>
      <c r="AS191" s="46">
        <v>93979.751000000004</v>
      </c>
      <c r="AT191" s="46">
        <v>6</v>
      </c>
      <c r="AU191" s="46" t="b">
        <v>1</v>
      </c>
      <c r="AV191" s="46" t="b">
        <v>0</v>
      </c>
    </row>
    <row r="192" spans="2:48">
      <c r="B192" s="46" t="s">
        <v>665</v>
      </c>
      <c r="C192" s="46" t="s">
        <v>666</v>
      </c>
      <c r="D192" s="46">
        <v>20230801</v>
      </c>
      <c r="E192" s="46">
        <v>2023</v>
      </c>
      <c r="F192" s="46">
        <v>8</v>
      </c>
      <c r="G192" s="46" t="s">
        <v>721</v>
      </c>
      <c r="H192" s="46">
        <v>818</v>
      </c>
      <c r="I192" s="46" t="s">
        <v>668</v>
      </c>
      <c r="J192" s="46" t="s">
        <v>57</v>
      </c>
      <c r="K192" s="46" t="s">
        <v>666</v>
      </c>
      <c r="L192" s="46" t="s">
        <v>669</v>
      </c>
      <c r="M192" s="46">
        <v>528</v>
      </c>
      <c r="N192" s="46" t="s">
        <v>698</v>
      </c>
      <c r="O192" s="46" t="s">
        <v>60</v>
      </c>
      <c r="P192" s="46">
        <v>0</v>
      </c>
      <c r="Q192" s="46" t="s">
        <v>670</v>
      </c>
      <c r="R192" s="46" t="s">
        <v>23</v>
      </c>
      <c r="S192" s="46" t="s">
        <v>671</v>
      </c>
      <c r="T192" s="46" t="s">
        <v>672</v>
      </c>
      <c r="U192" s="46" t="b">
        <v>1</v>
      </c>
      <c r="V192" s="46" t="s">
        <v>985</v>
      </c>
      <c r="W192" s="46" t="s">
        <v>984</v>
      </c>
      <c r="X192" s="46">
        <v>6</v>
      </c>
      <c r="Y192" s="46" t="b">
        <v>1</v>
      </c>
      <c r="Z192" s="46" t="s">
        <v>675</v>
      </c>
      <c r="AA192" s="46" t="s">
        <v>676</v>
      </c>
      <c r="AB192" s="46" t="s">
        <v>677</v>
      </c>
      <c r="AC192" s="46">
        <v>0</v>
      </c>
      <c r="AD192" s="46" t="s">
        <v>678</v>
      </c>
      <c r="AE192" s="46">
        <v>8</v>
      </c>
      <c r="AF192" s="46" t="s">
        <v>679</v>
      </c>
      <c r="AG192" s="46">
        <v>76588.964999999997</v>
      </c>
      <c r="AH192" s="46" t="b">
        <v>1</v>
      </c>
      <c r="AI192" s="46">
        <v>-1</v>
      </c>
      <c r="AJ192" s="46" t="s">
        <v>680</v>
      </c>
      <c r="AK192" s="46">
        <v>0</v>
      </c>
      <c r="AL192" s="46" t="b">
        <v>0</v>
      </c>
      <c r="AM192" s="46">
        <v>76588.964999999997</v>
      </c>
      <c r="AN192" s="46" t="b">
        <v>1</v>
      </c>
      <c r="AO192" s="46">
        <v>0</v>
      </c>
      <c r="AP192" s="46" t="b">
        <v>0</v>
      </c>
      <c r="AQ192" s="46">
        <v>361417.66700000002</v>
      </c>
      <c r="AS192" s="46">
        <v>361417.66700000002</v>
      </c>
      <c r="AT192" s="46">
        <v>6</v>
      </c>
      <c r="AU192" s="46" t="b">
        <v>1</v>
      </c>
      <c r="AV192" s="46" t="b">
        <v>0</v>
      </c>
    </row>
    <row r="193" spans="2:48">
      <c r="B193" s="46" t="s">
        <v>665</v>
      </c>
      <c r="C193" s="46" t="s">
        <v>666</v>
      </c>
      <c r="D193" s="46">
        <v>20230801</v>
      </c>
      <c r="E193" s="46">
        <v>2023</v>
      </c>
      <c r="F193" s="46">
        <v>8</v>
      </c>
      <c r="G193" s="46" t="s">
        <v>721</v>
      </c>
      <c r="H193" s="46">
        <v>818</v>
      </c>
      <c r="I193" s="46" t="s">
        <v>668</v>
      </c>
      <c r="J193" s="46" t="s">
        <v>57</v>
      </c>
      <c r="K193" s="46" t="s">
        <v>666</v>
      </c>
      <c r="L193" s="46" t="s">
        <v>669</v>
      </c>
      <c r="M193" s="46">
        <v>568</v>
      </c>
      <c r="N193" s="46" t="s">
        <v>682</v>
      </c>
      <c r="O193" s="46" t="s">
        <v>683</v>
      </c>
      <c r="P193" s="46">
        <v>0</v>
      </c>
      <c r="Q193" s="46" t="s">
        <v>670</v>
      </c>
      <c r="R193" s="46" t="s">
        <v>23</v>
      </c>
      <c r="S193" s="46" t="s">
        <v>671</v>
      </c>
      <c r="T193" s="46" t="s">
        <v>672</v>
      </c>
      <c r="U193" s="46" t="b">
        <v>1</v>
      </c>
      <c r="V193" s="46" t="s">
        <v>985</v>
      </c>
      <c r="W193" s="46" t="s">
        <v>984</v>
      </c>
      <c r="X193" s="46">
        <v>6</v>
      </c>
      <c r="Y193" s="46" t="b">
        <v>1</v>
      </c>
      <c r="Z193" s="46" t="s">
        <v>675</v>
      </c>
      <c r="AA193" s="46" t="s">
        <v>676</v>
      </c>
      <c r="AB193" s="46" t="s">
        <v>677</v>
      </c>
      <c r="AC193" s="46">
        <v>0</v>
      </c>
      <c r="AD193" s="46" t="s">
        <v>678</v>
      </c>
      <c r="AE193" s="46">
        <v>8</v>
      </c>
      <c r="AF193" s="46" t="s">
        <v>679</v>
      </c>
      <c r="AG193" s="46">
        <v>27506.496999999999</v>
      </c>
      <c r="AH193" s="46" t="b">
        <v>1</v>
      </c>
      <c r="AI193" s="46">
        <v>-1</v>
      </c>
      <c r="AJ193" s="46" t="s">
        <v>680</v>
      </c>
      <c r="AK193" s="46">
        <v>0</v>
      </c>
      <c r="AL193" s="46" t="b">
        <v>0</v>
      </c>
      <c r="AM193" s="46">
        <v>27506.496999999999</v>
      </c>
      <c r="AN193" s="46" t="b">
        <v>1</v>
      </c>
      <c r="AO193" s="46">
        <v>0</v>
      </c>
      <c r="AP193" s="46" t="b">
        <v>0</v>
      </c>
      <c r="AQ193" s="46">
        <v>129801.128</v>
      </c>
      <c r="AS193" s="46">
        <v>129801.128</v>
      </c>
      <c r="AT193" s="46">
        <v>6</v>
      </c>
      <c r="AU193" s="46" t="b">
        <v>1</v>
      </c>
      <c r="AV193" s="46" t="b">
        <v>0</v>
      </c>
    </row>
    <row r="194" spans="2:48">
      <c r="B194" s="46" t="s">
        <v>665</v>
      </c>
      <c r="C194" s="46" t="s">
        <v>666</v>
      </c>
      <c r="D194" s="46">
        <v>20230801</v>
      </c>
      <c r="E194" s="46">
        <v>2023</v>
      </c>
      <c r="F194" s="46">
        <v>8</v>
      </c>
      <c r="G194" s="46" t="s">
        <v>721</v>
      </c>
      <c r="H194" s="46">
        <v>818</v>
      </c>
      <c r="I194" s="46" t="s">
        <v>668</v>
      </c>
      <c r="J194" s="46" t="s">
        <v>57</v>
      </c>
      <c r="K194" s="46" t="s">
        <v>666</v>
      </c>
      <c r="L194" s="46" t="s">
        <v>669</v>
      </c>
      <c r="M194" s="46">
        <v>616</v>
      </c>
      <c r="N194" s="46" t="s">
        <v>999</v>
      </c>
      <c r="O194" s="46" t="s">
        <v>84</v>
      </c>
      <c r="P194" s="46">
        <v>0</v>
      </c>
      <c r="Q194" s="46" t="s">
        <v>670</v>
      </c>
      <c r="R194" s="46" t="s">
        <v>23</v>
      </c>
      <c r="S194" s="46" t="s">
        <v>671</v>
      </c>
      <c r="T194" s="46" t="s">
        <v>672</v>
      </c>
      <c r="U194" s="46" t="b">
        <v>1</v>
      </c>
      <c r="V194" s="46" t="s">
        <v>985</v>
      </c>
      <c r="W194" s="46" t="s">
        <v>984</v>
      </c>
      <c r="X194" s="46">
        <v>6</v>
      </c>
      <c r="Y194" s="46" t="b">
        <v>1</v>
      </c>
      <c r="Z194" s="46" t="s">
        <v>675</v>
      </c>
      <c r="AA194" s="46" t="s">
        <v>676</v>
      </c>
      <c r="AB194" s="46" t="s">
        <v>677</v>
      </c>
      <c r="AC194" s="46">
        <v>0</v>
      </c>
      <c r="AD194" s="46" t="s">
        <v>678</v>
      </c>
      <c r="AE194" s="46">
        <v>8</v>
      </c>
      <c r="AF194" s="46" t="s">
        <v>679</v>
      </c>
      <c r="AG194" s="46">
        <v>1617.9290000000001</v>
      </c>
      <c r="AH194" s="46" t="b">
        <v>1</v>
      </c>
      <c r="AI194" s="46">
        <v>-1</v>
      </c>
      <c r="AJ194" s="46" t="s">
        <v>680</v>
      </c>
      <c r="AK194" s="46">
        <v>0</v>
      </c>
      <c r="AL194" s="46" t="b">
        <v>0</v>
      </c>
      <c r="AM194" s="46">
        <v>1617.9290000000001</v>
      </c>
      <c r="AN194" s="46" t="b">
        <v>1</v>
      </c>
      <c r="AO194" s="46">
        <v>0</v>
      </c>
      <c r="AP194" s="46" t="b">
        <v>0</v>
      </c>
      <c r="AQ194" s="46">
        <v>7634.8869999999997</v>
      </c>
      <c r="AS194" s="46">
        <v>7634.8869999999997</v>
      </c>
      <c r="AT194" s="46">
        <v>6</v>
      </c>
      <c r="AU194" s="46" t="b">
        <v>1</v>
      </c>
      <c r="AV194" s="46" t="b">
        <v>0</v>
      </c>
    </row>
    <row r="195" spans="2:48">
      <c r="B195" s="46" t="s">
        <v>665</v>
      </c>
      <c r="C195" s="46" t="s">
        <v>666</v>
      </c>
      <c r="D195" s="46">
        <v>20230801</v>
      </c>
      <c r="E195" s="46">
        <v>2023</v>
      </c>
      <c r="F195" s="46">
        <v>8</v>
      </c>
      <c r="G195" s="46" t="s">
        <v>721</v>
      </c>
      <c r="H195" s="46">
        <v>818</v>
      </c>
      <c r="I195" s="46" t="s">
        <v>668</v>
      </c>
      <c r="J195" s="46" t="s">
        <v>57</v>
      </c>
      <c r="K195" s="46" t="s">
        <v>666</v>
      </c>
      <c r="L195" s="46" t="s">
        <v>669</v>
      </c>
      <c r="M195" s="46">
        <v>634</v>
      </c>
      <c r="N195" s="46" t="s">
        <v>993</v>
      </c>
      <c r="O195" s="46" t="s">
        <v>37</v>
      </c>
      <c r="P195" s="46">
        <v>0</v>
      </c>
      <c r="Q195" s="46" t="s">
        <v>670</v>
      </c>
      <c r="R195" s="46" t="s">
        <v>23</v>
      </c>
      <c r="S195" s="46" t="s">
        <v>671</v>
      </c>
      <c r="T195" s="46" t="s">
        <v>672</v>
      </c>
      <c r="U195" s="46" t="b">
        <v>1</v>
      </c>
      <c r="V195" s="46" t="s">
        <v>985</v>
      </c>
      <c r="W195" s="46" t="s">
        <v>984</v>
      </c>
      <c r="X195" s="46">
        <v>6</v>
      </c>
      <c r="Y195" s="46" t="b">
        <v>1</v>
      </c>
      <c r="Z195" s="46" t="s">
        <v>675</v>
      </c>
      <c r="AA195" s="46" t="s">
        <v>676</v>
      </c>
      <c r="AB195" s="46" t="s">
        <v>677</v>
      </c>
      <c r="AC195" s="46">
        <v>0</v>
      </c>
      <c r="AD195" s="46" t="s">
        <v>678</v>
      </c>
      <c r="AE195" s="46">
        <v>8</v>
      </c>
      <c r="AF195" s="46" t="s">
        <v>679</v>
      </c>
      <c r="AG195" s="46">
        <v>84865.388000000006</v>
      </c>
      <c r="AH195" s="46" t="b">
        <v>1</v>
      </c>
      <c r="AI195" s="46">
        <v>-1</v>
      </c>
      <c r="AJ195" s="46" t="s">
        <v>680</v>
      </c>
      <c r="AK195" s="46">
        <v>0</v>
      </c>
      <c r="AL195" s="46" t="b">
        <v>0</v>
      </c>
      <c r="AM195" s="46">
        <v>84865.388000000006</v>
      </c>
      <c r="AN195" s="46" t="b">
        <v>1</v>
      </c>
      <c r="AO195" s="46">
        <v>0</v>
      </c>
      <c r="AP195" s="46" t="b">
        <v>0</v>
      </c>
      <c r="AQ195" s="46">
        <v>400473.49400000001</v>
      </c>
      <c r="AS195" s="46">
        <v>400473.49400000001</v>
      </c>
      <c r="AT195" s="46">
        <v>6</v>
      </c>
      <c r="AU195" s="46" t="b">
        <v>1</v>
      </c>
      <c r="AV195" s="46" t="b">
        <v>0</v>
      </c>
    </row>
    <row r="196" spans="2:48">
      <c r="B196" s="46" t="s">
        <v>665</v>
      </c>
      <c r="C196" s="46" t="s">
        <v>666</v>
      </c>
      <c r="D196" s="46">
        <v>20230801</v>
      </c>
      <c r="E196" s="46">
        <v>2023</v>
      </c>
      <c r="F196" s="46">
        <v>8</v>
      </c>
      <c r="G196" s="46" t="s">
        <v>721</v>
      </c>
      <c r="H196" s="46">
        <v>818</v>
      </c>
      <c r="I196" s="46" t="s">
        <v>668</v>
      </c>
      <c r="J196" s="46" t="s">
        <v>57</v>
      </c>
      <c r="K196" s="46" t="s">
        <v>666</v>
      </c>
      <c r="L196" s="46" t="s">
        <v>669</v>
      </c>
      <c r="M196" s="46">
        <v>682</v>
      </c>
      <c r="N196" s="46" t="s">
        <v>758</v>
      </c>
      <c r="O196" s="46" t="s">
        <v>39</v>
      </c>
      <c r="P196" s="46">
        <v>0</v>
      </c>
      <c r="Q196" s="46" t="s">
        <v>670</v>
      </c>
      <c r="R196" s="46" t="s">
        <v>23</v>
      </c>
      <c r="S196" s="46" t="s">
        <v>671</v>
      </c>
      <c r="T196" s="46" t="s">
        <v>672</v>
      </c>
      <c r="U196" s="46" t="b">
        <v>1</v>
      </c>
      <c r="V196" s="46" t="s">
        <v>985</v>
      </c>
      <c r="W196" s="46" t="s">
        <v>984</v>
      </c>
      <c r="X196" s="46">
        <v>6</v>
      </c>
      <c r="Y196" s="46" t="b">
        <v>1</v>
      </c>
      <c r="Z196" s="46" t="s">
        <v>675</v>
      </c>
      <c r="AA196" s="46" t="s">
        <v>676</v>
      </c>
      <c r="AB196" s="46" t="s">
        <v>677</v>
      </c>
      <c r="AC196" s="46">
        <v>0</v>
      </c>
      <c r="AD196" s="46" t="s">
        <v>678</v>
      </c>
      <c r="AE196" s="46">
        <v>8</v>
      </c>
      <c r="AF196" s="46" t="s">
        <v>679</v>
      </c>
      <c r="AG196" s="46">
        <v>44190.637999999999</v>
      </c>
      <c r="AH196" s="46" t="b">
        <v>1</v>
      </c>
      <c r="AI196" s="46">
        <v>-1</v>
      </c>
      <c r="AJ196" s="46" t="s">
        <v>680</v>
      </c>
      <c r="AK196" s="46">
        <v>0</v>
      </c>
      <c r="AL196" s="46" t="b">
        <v>0</v>
      </c>
      <c r="AM196" s="46">
        <v>44190.637999999999</v>
      </c>
      <c r="AN196" s="46" t="b">
        <v>1</v>
      </c>
      <c r="AO196" s="46">
        <v>0</v>
      </c>
      <c r="AP196" s="46" t="b">
        <v>0</v>
      </c>
      <c r="AQ196" s="46">
        <v>208532.356</v>
      </c>
      <c r="AS196" s="46">
        <v>208532.356</v>
      </c>
      <c r="AT196" s="46">
        <v>6</v>
      </c>
      <c r="AU196" s="46" t="b">
        <v>1</v>
      </c>
      <c r="AV196" s="46" t="b">
        <v>0</v>
      </c>
    </row>
    <row r="197" spans="2:48">
      <c r="B197" s="46" t="s">
        <v>665</v>
      </c>
      <c r="C197" s="46" t="s">
        <v>666</v>
      </c>
      <c r="D197" s="46">
        <v>20230801</v>
      </c>
      <c r="E197" s="46">
        <v>2023</v>
      </c>
      <c r="F197" s="46">
        <v>8</v>
      </c>
      <c r="G197" s="46" t="s">
        <v>721</v>
      </c>
      <c r="H197" s="46">
        <v>818</v>
      </c>
      <c r="I197" s="46" t="s">
        <v>668</v>
      </c>
      <c r="J197" s="46" t="s">
        <v>57</v>
      </c>
      <c r="K197" s="46" t="s">
        <v>666</v>
      </c>
      <c r="L197" s="46" t="s">
        <v>669</v>
      </c>
      <c r="M197" s="46">
        <v>699</v>
      </c>
      <c r="N197" s="46" t="s">
        <v>748</v>
      </c>
      <c r="O197" s="46" t="s">
        <v>0</v>
      </c>
      <c r="P197" s="46">
        <v>0</v>
      </c>
      <c r="Q197" s="46" t="s">
        <v>670</v>
      </c>
      <c r="R197" s="46" t="s">
        <v>23</v>
      </c>
      <c r="S197" s="46" t="s">
        <v>671</v>
      </c>
      <c r="T197" s="46" t="s">
        <v>672</v>
      </c>
      <c r="U197" s="46" t="b">
        <v>1</v>
      </c>
      <c r="V197" s="46" t="s">
        <v>985</v>
      </c>
      <c r="W197" s="46" t="s">
        <v>984</v>
      </c>
      <c r="X197" s="46">
        <v>6</v>
      </c>
      <c r="Y197" s="46" t="b">
        <v>1</v>
      </c>
      <c r="Z197" s="46" t="s">
        <v>675</v>
      </c>
      <c r="AA197" s="46" t="s">
        <v>676</v>
      </c>
      <c r="AB197" s="46" t="s">
        <v>677</v>
      </c>
      <c r="AC197" s="46">
        <v>0</v>
      </c>
      <c r="AD197" s="46" t="s">
        <v>678</v>
      </c>
      <c r="AE197" s="46">
        <v>8</v>
      </c>
      <c r="AF197" s="46" t="s">
        <v>679</v>
      </c>
      <c r="AG197" s="46">
        <v>295591.88199999998</v>
      </c>
      <c r="AH197" s="46" t="b">
        <v>1</v>
      </c>
      <c r="AI197" s="46">
        <v>-1</v>
      </c>
      <c r="AJ197" s="46" t="s">
        <v>680</v>
      </c>
      <c r="AK197" s="46">
        <v>0</v>
      </c>
      <c r="AL197" s="46" t="b">
        <v>0</v>
      </c>
      <c r="AM197" s="46">
        <v>295591.88199999998</v>
      </c>
      <c r="AN197" s="46" t="b">
        <v>1</v>
      </c>
      <c r="AO197" s="46">
        <v>0</v>
      </c>
      <c r="AP197" s="46" t="b">
        <v>0</v>
      </c>
      <c r="AQ197" s="46">
        <v>1394876.2409999999</v>
      </c>
      <c r="AS197" s="46">
        <v>1394876.2409999999</v>
      </c>
      <c r="AT197" s="46">
        <v>6</v>
      </c>
      <c r="AU197" s="46" t="b">
        <v>1</v>
      </c>
      <c r="AV197" s="46" t="b">
        <v>0</v>
      </c>
    </row>
    <row r="198" spans="2:48">
      <c r="B198" s="46" t="s">
        <v>665</v>
      </c>
      <c r="C198" s="46" t="s">
        <v>666</v>
      </c>
      <c r="D198" s="46">
        <v>20230801</v>
      </c>
      <c r="E198" s="46">
        <v>2023</v>
      </c>
      <c r="F198" s="46">
        <v>8</v>
      </c>
      <c r="G198" s="46" t="s">
        <v>721</v>
      </c>
      <c r="H198" s="46">
        <v>818</v>
      </c>
      <c r="I198" s="46" t="s">
        <v>668</v>
      </c>
      <c r="J198" s="46" t="s">
        <v>57</v>
      </c>
      <c r="K198" s="46" t="s">
        <v>666</v>
      </c>
      <c r="L198" s="46" t="s">
        <v>669</v>
      </c>
      <c r="M198" s="46">
        <v>702</v>
      </c>
      <c r="N198" s="46" t="s">
        <v>994</v>
      </c>
      <c r="O198" s="46" t="s">
        <v>28</v>
      </c>
      <c r="P198" s="46">
        <v>0</v>
      </c>
      <c r="Q198" s="46" t="s">
        <v>670</v>
      </c>
      <c r="R198" s="46" t="s">
        <v>23</v>
      </c>
      <c r="S198" s="46" t="s">
        <v>671</v>
      </c>
      <c r="T198" s="46" t="s">
        <v>672</v>
      </c>
      <c r="U198" s="46" t="b">
        <v>1</v>
      </c>
      <c r="V198" s="46" t="s">
        <v>985</v>
      </c>
      <c r="W198" s="46" t="s">
        <v>984</v>
      </c>
      <c r="X198" s="46">
        <v>6</v>
      </c>
      <c r="Y198" s="46" t="b">
        <v>1</v>
      </c>
      <c r="Z198" s="46" t="s">
        <v>675</v>
      </c>
      <c r="AA198" s="46" t="s">
        <v>676</v>
      </c>
      <c r="AB198" s="46" t="s">
        <v>677</v>
      </c>
      <c r="AC198" s="46">
        <v>0</v>
      </c>
      <c r="AD198" s="46" t="s">
        <v>678</v>
      </c>
      <c r="AE198" s="46">
        <v>8</v>
      </c>
      <c r="AF198" s="46" t="s">
        <v>679</v>
      </c>
      <c r="AG198" s="46">
        <v>35585.625999999997</v>
      </c>
      <c r="AH198" s="46" t="b">
        <v>1</v>
      </c>
      <c r="AI198" s="46">
        <v>-1</v>
      </c>
      <c r="AJ198" s="46" t="s">
        <v>680</v>
      </c>
      <c r="AK198" s="46">
        <v>0</v>
      </c>
      <c r="AL198" s="46" t="b">
        <v>0</v>
      </c>
      <c r="AM198" s="46">
        <v>35585.625999999997</v>
      </c>
      <c r="AN198" s="46" t="b">
        <v>1</v>
      </c>
      <c r="AO198" s="46">
        <v>0</v>
      </c>
      <c r="AP198" s="46" t="b">
        <v>0</v>
      </c>
      <c r="AQ198" s="46">
        <v>167925.93799999999</v>
      </c>
      <c r="AS198" s="46">
        <v>167925.93799999999</v>
      </c>
      <c r="AT198" s="46">
        <v>6</v>
      </c>
      <c r="AU198" s="46" t="b">
        <v>1</v>
      </c>
      <c r="AV198" s="46" t="b">
        <v>0</v>
      </c>
    </row>
    <row r="199" spans="2:48">
      <c r="B199" s="46" t="s">
        <v>665</v>
      </c>
      <c r="C199" s="46" t="s">
        <v>666</v>
      </c>
      <c r="D199" s="46">
        <v>20230801</v>
      </c>
      <c r="E199" s="46">
        <v>2023</v>
      </c>
      <c r="F199" s="46">
        <v>8</v>
      </c>
      <c r="G199" s="46" t="s">
        <v>721</v>
      </c>
      <c r="H199" s="46">
        <v>818</v>
      </c>
      <c r="I199" s="46" t="s">
        <v>668</v>
      </c>
      <c r="J199" s="46" t="s">
        <v>57</v>
      </c>
      <c r="K199" s="46" t="s">
        <v>666</v>
      </c>
      <c r="L199" s="46" t="s">
        <v>669</v>
      </c>
      <c r="M199" s="46">
        <v>703</v>
      </c>
      <c r="N199" s="46" t="s">
        <v>1000</v>
      </c>
      <c r="O199" s="46" t="s">
        <v>67</v>
      </c>
      <c r="P199" s="46">
        <v>0</v>
      </c>
      <c r="Q199" s="46" t="s">
        <v>670</v>
      </c>
      <c r="R199" s="46" t="s">
        <v>23</v>
      </c>
      <c r="S199" s="46" t="s">
        <v>671</v>
      </c>
      <c r="T199" s="46" t="s">
        <v>672</v>
      </c>
      <c r="U199" s="46" t="b">
        <v>1</v>
      </c>
      <c r="V199" s="46" t="s">
        <v>985</v>
      </c>
      <c r="W199" s="46" t="s">
        <v>984</v>
      </c>
      <c r="X199" s="46">
        <v>6</v>
      </c>
      <c r="Y199" s="46" t="b">
        <v>1</v>
      </c>
      <c r="Z199" s="46" t="s">
        <v>675</v>
      </c>
      <c r="AA199" s="46" t="s">
        <v>676</v>
      </c>
      <c r="AB199" s="46" t="s">
        <v>677</v>
      </c>
      <c r="AC199" s="46">
        <v>0</v>
      </c>
      <c r="AD199" s="46" t="s">
        <v>678</v>
      </c>
      <c r="AE199" s="46">
        <v>8</v>
      </c>
      <c r="AF199" s="46" t="s">
        <v>679</v>
      </c>
      <c r="AG199" s="46">
        <v>4292.2460000000001</v>
      </c>
      <c r="AH199" s="46" t="b">
        <v>1</v>
      </c>
      <c r="AI199" s="46">
        <v>-1</v>
      </c>
      <c r="AJ199" s="46" t="s">
        <v>680</v>
      </c>
      <c r="AK199" s="46">
        <v>0</v>
      </c>
      <c r="AL199" s="46" t="b">
        <v>0</v>
      </c>
      <c r="AM199" s="46">
        <v>4292.2460000000001</v>
      </c>
      <c r="AN199" s="46" t="b">
        <v>1</v>
      </c>
      <c r="AO199" s="46">
        <v>0</v>
      </c>
      <c r="AP199" s="46" t="b">
        <v>0</v>
      </c>
      <c r="AQ199" s="46">
        <v>20254.793000000001</v>
      </c>
      <c r="AS199" s="46">
        <v>20254.793000000001</v>
      </c>
      <c r="AT199" s="46">
        <v>6</v>
      </c>
      <c r="AU199" s="46" t="b">
        <v>1</v>
      </c>
      <c r="AV199" s="46" t="b">
        <v>0</v>
      </c>
    </row>
    <row r="200" spans="2:48">
      <c r="B200" s="46" t="s">
        <v>665</v>
      </c>
      <c r="C200" s="46" t="s">
        <v>666</v>
      </c>
      <c r="D200" s="46">
        <v>20230801</v>
      </c>
      <c r="E200" s="46">
        <v>2023</v>
      </c>
      <c r="F200" s="46">
        <v>8</v>
      </c>
      <c r="G200" s="46" t="s">
        <v>721</v>
      </c>
      <c r="H200" s="46">
        <v>818</v>
      </c>
      <c r="I200" s="46" t="s">
        <v>668</v>
      </c>
      <c r="J200" s="46" t="s">
        <v>57</v>
      </c>
      <c r="K200" s="46" t="s">
        <v>666</v>
      </c>
      <c r="L200" s="46" t="s">
        <v>669</v>
      </c>
      <c r="M200" s="46">
        <v>710</v>
      </c>
      <c r="N200" s="46" t="s">
        <v>995</v>
      </c>
      <c r="O200" s="46" t="s">
        <v>40</v>
      </c>
      <c r="P200" s="46">
        <v>0</v>
      </c>
      <c r="Q200" s="46" t="s">
        <v>670</v>
      </c>
      <c r="R200" s="46" t="s">
        <v>23</v>
      </c>
      <c r="S200" s="46" t="s">
        <v>671</v>
      </c>
      <c r="T200" s="46" t="s">
        <v>672</v>
      </c>
      <c r="U200" s="46" t="b">
        <v>1</v>
      </c>
      <c r="V200" s="46" t="s">
        <v>985</v>
      </c>
      <c r="W200" s="46" t="s">
        <v>984</v>
      </c>
      <c r="X200" s="46">
        <v>6</v>
      </c>
      <c r="Y200" s="46" t="b">
        <v>1</v>
      </c>
      <c r="Z200" s="46" t="s">
        <v>675</v>
      </c>
      <c r="AA200" s="46" t="s">
        <v>676</v>
      </c>
      <c r="AB200" s="46" t="s">
        <v>677</v>
      </c>
      <c r="AC200" s="46">
        <v>0</v>
      </c>
      <c r="AD200" s="46" t="s">
        <v>678</v>
      </c>
      <c r="AE200" s="46">
        <v>8</v>
      </c>
      <c r="AF200" s="46" t="s">
        <v>679</v>
      </c>
      <c r="AG200" s="46">
        <v>1091.68</v>
      </c>
      <c r="AH200" s="46" t="b">
        <v>1</v>
      </c>
      <c r="AI200" s="46">
        <v>-1</v>
      </c>
      <c r="AJ200" s="46" t="s">
        <v>680</v>
      </c>
      <c r="AK200" s="46">
        <v>0</v>
      </c>
      <c r="AL200" s="46" t="b">
        <v>0</v>
      </c>
      <c r="AM200" s="46">
        <v>1091.68</v>
      </c>
      <c r="AN200" s="46" t="b">
        <v>1</v>
      </c>
      <c r="AO200" s="46">
        <v>0</v>
      </c>
      <c r="AP200" s="46" t="b">
        <v>0</v>
      </c>
      <c r="AQ200" s="46">
        <v>5151.558</v>
      </c>
      <c r="AS200" s="46">
        <v>5151.558</v>
      </c>
      <c r="AT200" s="46">
        <v>6</v>
      </c>
      <c r="AU200" s="46" t="b">
        <v>1</v>
      </c>
      <c r="AV200" s="46" t="b">
        <v>0</v>
      </c>
    </row>
    <row r="201" spans="2:48">
      <c r="B201" s="46" t="s">
        <v>665</v>
      </c>
      <c r="C201" s="46" t="s">
        <v>666</v>
      </c>
      <c r="D201" s="46">
        <v>20230801</v>
      </c>
      <c r="E201" s="46">
        <v>2023</v>
      </c>
      <c r="F201" s="46">
        <v>8</v>
      </c>
      <c r="G201" s="46" t="s">
        <v>721</v>
      </c>
      <c r="H201" s="46">
        <v>818</v>
      </c>
      <c r="I201" s="46" t="s">
        <v>668</v>
      </c>
      <c r="J201" s="46" t="s">
        <v>57</v>
      </c>
      <c r="K201" s="46" t="s">
        <v>666</v>
      </c>
      <c r="L201" s="46" t="s">
        <v>669</v>
      </c>
      <c r="M201" s="46">
        <v>724</v>
      </c>
      <c r="N201" s="46" t="s">
        <v>684</v>
      </c>
      <c r="O201" s="46" t="s">
        <v>51</v>
      </c>
      <c r="P201" s="46">
        <v>0</v>
      </c>
      <c r="Q201" s="46" t="s">
        <v>670</v>
      </c>
      <c r="R201" s="46" t="s">
        <v>23</v>
      </c>
      <c r="S201" s="46" t="s">
        <v>671</v>
      </c>
      <c r="T201" s="46" t="s">
        <v>672</v>
      </c>
      <c r="U201" s="46" t="b">
        <v>1</v>
      </c>
      <c r="V201" s="46" t="s">
        <v>985</v>
      </c>
      <c r="W201" s="46" t="s">
        <v>984</v>
      </c>
      <c r="X201" s="46">
        <v>6</v>
      </c>
      <c r="Y201" s="46" t="b">
        <v>1</v>
      </c>
      <c r="Z201" s="46" t="s">
        <v>675</v>
      </c>
      <c r="AA201" s="46" t="s">
        <v>676</v>
      </c>
      <c r="AB201" s="46" t="s">
        <v>677</v>
      </c>
      <c r="AC201" s="46">
        <v>0</v>
      </c>
      <c r="AD201" s="46" t="s">
        <v>678</v>
      </c>
      <c r="AE201" s="46">
        <v>8</v>
      </c>
      <c r="AF201" s="46" t="s">
        <v>679</v>
      </c>
      <c r="AG201" s="46">
        <v>178586.73699999999</v>
      </c>
      <c r="AH201" s="46" t="b">
        <v>1</v>
      </c>
      <c r="AI201" s="46">
        <v>-1</v>
      </c>
      <c r="AJ201" s="46" t="s">
        <v>680</v>
      </c>
      <c r="AK201" s="46">
        <v>0</v>
      </c>
      <c r="AL201" s="46" t="b">
        <v>0</v>
      </c>
      <c r="AM201" s="46">
        <v>178586.73699999999</v>
      </c>
      <c r="AN201" s="46" t="b">
        <v>1</v>
      </c>
      <c r="AO201" s="46">
        <v>0</v>
      </c>
      <c r="AP201" s="46" t="b">
        <v>0</v>
      </c>
      <c r="AQ201" s="46">
        <v>842737.61199999996</v>
      </c>
      <c r="AS201" s="46">
        <v>842737.61199999996</v>
      </c>
      <c r="AT201" s="46">
        <v>6</v>
      </c>
      <c r="AU201" s="46" t="b">
        <v>1</v>
      </c>
      <c r="AV201" s="46" t="b">
        <v>0</v>
      </c>
    </row>
    <row r="202" spans="2:48">
      <c r="B202" s="46" t="s">
        <v>665</v>
      </c>
      <c r="C202" s="46" t="s">
        <v>666</v>
      </c>
      <c r="D202" s="46">
        <v>20230801</v>
      </c>
      <c r="E202" s="46">
        <v>2023</v>
      </c>
      <c r="F202" s="46">
        <v>8</v>
      </c>
      <c r="G202" s="46" t="s">
        <v>721</v>
      </c>
      <c r="H202" s="46">
        <v>818</v>
      </c>
      <c r="I202" s="46" t="s">
        <v>668</v>
      </c>
      <c r="J202" s="46" t="s">
        <v>57</v>
      </c>
      <c r="K202" s="46" t="s">
        <v>666</v>
      </c>
      <c r="L202" s="46" t="s">
        <v>669</v>
      </c>
      <c r="M202" s="46">
        <v>752</v>
      </c>
      <c r="N202" s="46" t="s">
        <v>1001</v>
      </c>
      <c r="O202" s="46" t="s">
        <v>68</v>
      </c>
      <c r="P202" s="46">
        <v>0</v>
      </c>
      <c r="Q202" s="46" t="s">
        <v>670</v>
      </c>
      <c r="R202" s="46" t="s">
        <v>23</v>
      </c>
      <c r="S202" s="46" t="s">
        <v>671</v>
      </c>
      <c r="T202" s="46" t="s">
        <v>672</v>
      </c>
      <c r="U202" s="46" t="b">
        <v>1</v>
      </c>
      <c r="V202" s="46" t="s">
        <v>985</v>
      </c>
      <c r="W202" s="46" t="s">
        <v>984</v>
      </c>
      <c r="X202" s="46">
        <v>6</v>
      </c>
      <c r="Y202" s="46" t="b">
        <v>1</v>
      </c>
      <c r="Z202" s="46" t="s">
        <v>675</v>
      </c>
      <c r="AA202" s="46" t="s">
        <v>676</v>
      </c>
      <c r="AB202" s="46" t="s">
        <v>677</v>
      </c>
      <c r="AC202" s="46">
        <v>0</v>
      </c>
      <c r="AD202" s="46" t="s">
        <v>678</v>
      </c>
      <c r="AE202" s="46">
        <v>8</v>
      </c>
      <c r="AF202" s="46" t="s">
        <v>679</v>
      </c>
      <c r="AG202" s="46">
        <v>4567.902</v>
      </c>
      <c r="AH202" s="46" t="b">
        <v>1</v>
      </c>
      <c r="AI202" s="46">
        <v>-1</v>
      </c>
      <c r="AJ202" s="46" t="s">
        <v>680</v>
      </c>
      <c r="AK202" s="46">
        <v>0</v>
      </c>
      <c r="AL202" s="46" t="b">
        <v>0</v>
      </c>
      <c r="AM202" s="46">
        <v>4567.902</v>
      </c>
      <c r="AN202" s="46" t="b">
        <v>1</v>
      </c>
      <c r="AO202" s="46">
        <v>0</v>
      </c>
      <c r="AP202" s="46" t="b">
        <v>0</v>
      </c>
      <c r="AQ202" s="46">
        <v>21555.594000000001</v>
      </c>
      <c r="AS202" s="46">
        <v>21555.594000000001</v>
      </c>
      <c r="AT202" s="46">
        <v>6</v>
      </c>
      <c r="AU202" s="46" t="b">
        <v>1</v>
      </c>
      <c r="AV202" s="46" t="b">
        <v>0</v>
      </c>
    </row>
    <row r="203" spans="2:48">
      <c r="B203" s="46" t="s">
        <v>665</v>
      </c>
      <c r="C203" s="46" t="s">
        <v>666</v>
      </c>
      <c r="D203" s="46">
        <v>20230801</v>
      </c>
      <c r="E203" s="46">
        <v>2023</v>
      </c>
      <c r="F203" s="46">
        <v>8</v>
      </c>
      <c r="G203" s="46" t="s">
        <v>721</v>
      </c>
      <c r="H203" s="46">
        <v>818</v>
      </c>
      <c r="I203" s="46" t="s">
        <v>668</v>
      </c>
      <c r="J203" s="46" t="s">
        <v>57</v>
      </c>
      <c r="K203" s="46" t="s">
        <v>666</v>
      </c>
      <c r="L203" s="46" t="s">
        <v>669</v>
      </c>
      <c r="M203" s="46">
        <v>757</v>
      </c>
      <c r="N203" s="46" t="s">
        <v>996</v>
      </c>
      <c r="O203" s="46" t="s">
        <v>41</v>
      </c>
      <c r="P203" s="46">
        <v>0</v>
      </c>
      <c r="Q203" s="46" t="s">
        <v>670</v>
      </c>
      <c r="R203" s="46" t="s">
        <v>23</v>
      </c>
      <c r="S203" s="46" t="s">
        <v>671</v>
      </c>
      <c r="T203" s="46" t="s">
        <v>672</v>
      </c>
      <c r="U203" s="46" t="b">
        <v>1</v>
      </c>
      <c r="V203" s="46" t="s">
        <v>985</v>
      </c>
      <c r="W203" s="46" t="s">
        <v>984</v>
      </c>
      <c r="X203" s="46">
        <v>6</v>
      </c>
      <c r="Y203" s="46" t="b">
        <v>1</v>
      </c>
      <c r="Z203" s="46" t="s">
        <v>675</v>
      </c>
      <c r="AA203" s="46" t="s">
        <v>676</v>
      </c>
      <c r="AB203" s="46" t="s">
        <v>677</v>
      </c>
      <c r="AC203" s="46">
        <v>0</v>
      </c>
      <c r="AD203" s="46" t="s">
        <v>678</v>
      </c>
      <c r="AE203" s="46">
        <v>8</v>
      </c>
      <c r="AF203" s="46" t="s">
        <v>679</v>
      </c>
      <c r="AG203" s="46">
        <v>23045.294000000002</v>
      </c>
      <c r="AH203" s="46" t="b">
        <v>1</v>
      </c>
      <c r="AI203" s="46">
        <v>-1</v>
      </c>
      <c r="AJ203" s="46" t="s">
        <v>680</v>
      </c>
      <c r="AK203" s="46">
        <v>0</v>
      </c>
      <c r="AL203" s="46" t="b">
        <v>0</v>
      </c>
      <c r="AM203" s="46">
        <v>23045.294000000002</v>
      </c>
      <c r="AN203" s="46" t="b">
        <v>1</v>
      </c>
      <c r="AO203" s="46">
        <v>0</v>
      </c>
      <c r="AP203" s="46" t="b">
        <v>0</v>
      </c>
      <c r="AQ203" s="46">
        <v>108749.039</v>
      </c>
      <c r="AS203" s="46">
        <v>108749.039</v>
      </c>
      <c r="AT203" s="46">
        <v>6</v>
      </c>
      <c r="AU203" s="46" t="b">
        <v>1</v>
      </c>
      <c r="AV203" s="46" t="b">
        <v>0</v>
      </c>
    </row>
    <row r="204" spans="2:48">
      <c r="B204" s="46" t="s">
        <v>665</v>
      </c>
      <c r="C204" s="46" t="s">
        <v>666</v>
      </c>
      <c r="D204" s="46">
        <v>20230801</v>
      </c>
      <c r="E204" s="46">
        <v>2023</v>
      </c>
      <c r="F204" s="46">
        <v>8</v>
      </c>
      <c r="G204" s="46" t="s">
        <v>721</v>
      </c>
      <c r="H204" s="46">
        <v>818</v>
      </c>
      <c r="I204" s="46" t="s">
        <v>668</v>
      </c>
      <c r="J204" s="46" t="s">
        <v>57</v>
      </c>
      <c r="K204" s="46" t="s">
        <v>666</v>
      </c>
      <c r="L204" s="46" t="s">
        <v>669</v>
      </c>
      <c r="M204" s="46">
        <v>764</v>
      </c>
      <c r="N204" s="46" t="s">
        <v>749</v>
      </c>
      <c r="O204" s="46" t="s">
        <v>55</v>
      </c>
      <c r="P204" s="46">
        <v>0</v>
      </c>
      <c r="Q204" s="46" t="s">
        <v>670</v>
      </c>
      <c r="R204" s="46" t="s">
        <v>23</v>
      </c>
      <c r="S204" s="46" t="s">
        <v>671</v>
      </c>
      <c r="T204" s="46" t="s">
        <v>672</v>
      </c>
      <c r="U204" s="46" t="b">
        <v>1</v>
      </c>
      <c r="V204" s="46" t="s">
        <v>985</v>
      </c>
      <c r="W204" s="46" t="s">
        <v>984</v>
      </c>
      <c r="X204" s="46">
        <v>6</v>
      </c>
      <c r="Y204" s="46" t="b">
        <v>1</v>
      </c>
      <c r="Z204" s="46" t="s">
        <v>675</v>
      </c>
      <c r="AA204" s="46" t="s">
        <v>676</v>
      </c>
      <c r="AB204" s="46" t="s">
        <v>677</v>
      </c>
      <c r="AC204" s="46">
        <v>0</v>
      </c>
      <c r="AD204" s="46" t="s">
        <v>678</v>
      </c>
      <c r="AE204" s="46">
        <v>8</v>
      </c>
      <c r="AF204" s="46" t="s">
        <v>679</v>
      </c>
      <c r="AG204" s="46">
        <v>1050.835</v>
      </c>
      <c r="AH204" s="46" t="b">
        <v>1</v>
      </c>
      <c r="AI204" s="46">
        <v>-1</v>
      </c>
      <c r="AJ204" s="46" t="s">
        <v>680</v>
      </c>
      <c r="AK204" s="46">
        <v>0</v>
      </c>
      <c r="AL204" s="46" t="b">
        <v>0</v>
      </c>
      <c r="AM204" s="46">
        <v>1050.835</v>
      </c>
      <c r="AN204" s="46" t="b">
        <v>1</v>
      </c>
      <c r="AO204" s="46">
        <v>0</v>
      </c>
      <c r="AP204" s="46" t="b">
        <v>0</v>
      </c>
      <c r="AQ204" s="46">
        <v>4958.8109999999997</v>
      </c>
      <c r="AS204" s="46">
        <v>4958.8109999999997</v>
      </c>
      <c r="AT204" s="46">
        <v>6</v>
      </c>
      <c r="AU204" s="46" t="b">
        <v>1</v>
      </c>
      <c r="AV204" s="46" t="b">
        <v>0</v>
      </c>
    </row>
    <row r="205" spans="2:48">
      <c r="B205" s="46" t="s">
        <v>665</v>
      </c>
      <c r="C205" s="46" t="s">
        <v>666</v>
      </c>
      <c r="D205" s="46">
        <v>20230801</v>
      </c>
      <c r="E205" s="46">
        <v>2023</v>
      </c>
      <c r="F205" s="46">
        <v>8</v>
      </c>
      <c r="G205" s="46" t="s">
        <v>721</v>
      </c>
      <c r="H205" s="46">
        <v>818</v>
      </c>
      <c r="I205" s="46" t="s">
        <v>668</v>
      </c>
      <c r="J205" s="46" t="s">
        <v>57</v>
      </c>
      <c r="K205" s="46" t="s">
        <v>666</v>
      </c>
      <c r="L205" s="46" t="s">
        <v>669</v>
      </c>
      <c r="M205" s="46">
        <v>784</v>
      </c>
      <c r="N205" s="46" t="s">
        <v>694</v>
      </c>
      <c r="O205" s="46" t="s">
        <v>25</v>
      </c>
      <c r="P205" s="46">
        <v>0</v>
      </c>
      <c r="Q205" s="46" t="s">
        <v>670</v>
      </c>
      <c r="R205" s="46" t="s">
        <v>23</v>
      </c>
      <c r="S205" s="46" t="s">
        <v>671</v>
      </c>
      <c r="T205" s="46" t="s">
        <v>672</v>
      </c>
      <c r="U205" s="46" t="b">
        <v>1</v>
      </c>
      <c r="V205" s="46" t="s">
        <v>985</v>
      </c>
      <c r="W205" s="46" t="s">
        <v>984</v>
      </c>
      <c r="X205" s="46">
        <v>6</v>
      </c>
      <c r="Y205" s="46" t="b">
        <v>1</v>
      </c>
      <c r="Z205" s="46" t="s">
        <v>675</v>
      </c>
      <c r="AA205" s="46" t="s">
        <v>676</v>
      </c>
      <c r="AB205" s="46" t="s">
        <v>677</v>
      </c>
      <c r="AC205" s="46">
        <v>0</v>
      </c>
      <c r="AD205" s="46" t="s">
        <v>678</v>
      </c>
      <c r="AE205" s="46">
        <v>8</v>
      </c>
      <c r="AF205" s="46" t="s">
        <v>679</v>
      </c>
      <c r="AG205" s="46">
        <v>138126.63</v>
      </c>
      <c r="AH205" s="46" t="b">
        <v>1</v>
      </c>
      <c r="AI205" s="46">
        <v>-1</v>
      </c>
      <c r="AJ205" s="46" t="s">
        <v>680</v>
      </c>
      <c r="AK205" s="46">
        <v>0</v>
      </c>
      <c r="AL205" s="46" t="b">
        <v>0</v>
      </c>
      <c r="AM205" s="46">
        <v>138126.63</v>
      </c>
      <c r="AN205" s="46" t="b">
        <v>1</v>
      </c>
      <c r="AO205" s="46">
        <v>0</v>
      </c>
      <c r="AP205" s="46" t="b">
        <v>0</v>
      </c>
      <c r="AQ205" s="46">
        <v>651809.35600000003</v>
      </c>
      <c r="AS205" s="46">
        <v>651809.35600000003</v>
      </c>
      <c r="AT205" s="46">
        <v>6</v>
      </c>
      <c r="AU205" s="46" t="b">
        <v>1</v>
      </c>
      <c r="AV205" s="46" t="b">
        <v>0</v>
      </c>
    </row>
    <row r="206" spans="2:48">
      <c r="B206" s="46" t="s">
        <v>665</v>
      </c>
      <c r="C206" s="46" t="s">
        <v>666</v>
      </c>
      <c r="D206" s="46">
        <v>20230801</v>
      </c>
      <c r="E206" s="46">
        <v>2023</v>
      </c>
      <c r="F206" s="46">
        <v>8</v>
      </c>
      <c r="G206" s="46" t="s">
        <v>721</v>
      </c>
      <c r="H206" s="46">
        <v>818</v>
      </c>
      <c r="I206" s="46" t="s">
        <v>668</v>
      </c>
      <c r="J206" s="46" t="s">
        <v>57</v>
      </c>
      <c r="K206" s="46" t="s">
        <v>666</v>
      </c>
      <c r="L206" s="46" t="s">
        <v>669</v>
      </c>
      <c r="M206" s="46">
        <v>792</v>
      </c>
      <c r="N206" s="46" t="s">
        <v>691</v>
      </c>
      <c r="O206" s="46" t="s">
        <v>63</v>
      </c>
      <c r="P206" s="46">
        <v>0</v>
      </c>
      <c r="Q206" s="46" t="s">
        <v>670</v>
      </c>
      <c r="R206" s="46" t="s">
        <v>23</v>
      </c>
      <c r="S206" s="46" t="s">
        <v>671</v>
      </c>
      <c r="T206" s="46" t="s">
        <v>672</v>
      </c>
      <c r="U206" s="46" t="b">
        <v>1</v>
      </c>
      <c r="V206" s="46" t="s">
        <v>985</v>
      </c>
      <c r="W206" s="46" t="s">
        <v>984</v>
      </c>
      <c r="X206" s="46">
        <v>6</v>
      </c>
      <c r="Y206" s="46" t="b">
        <v>1</v>
      </c>
      <c r="Z206" s="46" t="s">
        <v>675</v>
      </c>
      <c r="AA206" s="46" t="s">
        <v>676</v>
      </c>
      <c r="AB206" s="46" t="s">
        <v>677</v>
      </c>
      <c r="AC206" s="46">
        <v>0</v>
      </c>
      <c r="AD206" s="46" t="s">
        <v>678</v>
      </c>
      <c r="AE206" s="46">
        <v>8</v>
      </c>
      <c r="AF206" s="46" t="s">
        <v>679</v>
      </c>
      <c r="AG206" s="46">
        <v>74496.922000000006</v>
      </c>
      <c r="AH206" s="46" t="b">
        <v>1</v>
      </c>
      <c r="AI206" s="46">
        <v>-1</v>
      </c>
      <c r="AJ206" s="46" t="s">
        <v>680</v>
      </c>
      <c r="AK206" s="46">
        <v>0</v>
      </c>
      <c r="AL206" s="46" t="b">
        <v>0</v>
      </c>
      <c r="AM206" s="46">
        <v>74496.922000000006</v>
      </c>
      <c r="AN206" s="46" t="b">
        <v>1</v>
      </c>
      <c r="AO206" s="46">
        <v>0</v>
      </c>
      <c r="AP206" s="46" t="b">
        <v>0</v>
      </c>
      <c r="AQ206" s="46">
        <v>351545.46899999998</v>
      </c>
      <c r="AS206" s="46">
        <v>351545.46899999998</v>
      </c>
      <c r="AT206" s="46">
        <v>6</v>
      </c>
      <c r="AU206" s="46" t="b">
        <v>1</v>
      </c>
      <c r="AV206" s="46" t="b">
        <v>0</v>
      </c>
    </row>
    <row r="207" spans="2:48">
      <c r="B207" s="46" t="s">
        <v>665</v>
      </c>
      <c r="C207" s="46" t="s">
        <v>666</v>
      </c>
      <c r="D207" s="46">
        <v>20230801</v>
      </c>
      <c r="E207" s="46">
        <v>2023</v>
      </c>
      <c r="F207" s="46">
        <v>8</v>
      </c>
      <c r="G207" s="46" t="s">
        <v>721</v>
      </c>
      <c r="H207" s="46">
        <v>818</v>
      </c>
      <c r="I207" s="46" t="s">
        <v>668</v>
      </c>
      <c r="J207" s="46" t="s">
        <v>57</v>
      </c>
      <c r="K207" s="46" t="s">
        <v>666</v>
      </c>
      <c r="L207" s="46" t="s">
        <v>669</v>
      </c>
      <c r="M207" s="46">
        <v>826</v>
      </c>
      <c r="N207" s="46" t="s">
        <v>685</v>
      </c>
      <c r="O207" s="46" t="s">
        <v>64</v>
      </c>
      <c r="P207" s="46">
        <v>0</v>
      </c>
      <c r="Q207" s="46" t="s">
        <v>670</v>
      </c>
      <c r="R207" s="46" t="s">
        <v>23</v>
      </c>
      <c r="S207" s="46" t="s">
        <v>671</v>
      </c>
      <c r="T207" s="46" t="s">
        <v>672</v>
      </c>
      <c r="U207" s="46" t="b">
        <v>1</v>
      </c>
      <c r="V207" s="46" t="s">
        <v>985</v>
      </c>
      <c r="W207" s="46" t="s">
        <v>984</v>
      </c>
      <c r="X207" s="46">
        <v>6</v>
      </c>
      <c r="Y207" s="46" t="b">
        <v>1</v>
      </c>
      <c r="Z207" s="46" t="s">
        <v>675</v>
      </c>
      <c r="AA207" s="46" t="s">
        <v>676</v>
      </c>
      <c r="AB207" s="46" t="s">
        <v>677</v>
      </c>
      <c r="AC207" s="46">
        <v>0</v>
      </c>
      <c r="AD207" s="46" t="s">
        <v>678</v>
      </c>
      <c r="AE207" s="46">
        <v>8</v>
      </c>
      <c r="AF207" s="46" t="s">
        <v>679</v>
      </c>
      <c r="AG207" s="46">
        <v>72589.066999999995</v>
      </c>
      <c r="AH207" s="46" t="b">
        <v>1</v>
      </c>
      <c r="AI207" s="46">
        <v>-1</v>
      </c>
      <c r="AJ207" s="46" t="s">
        <v>680</v>
      </c>
      <c r="AK207" s="46">
        <v>0</v>
      </c>
      <c r="AL207" s="46" t="b">
        <v>0</v>
      </c>
      <c r="AM207" s="46">
        <v>72589.066999999995</v>
      </c>
      <c r="AN207" s="46" t="b">
        <v>1</v>
      </c>
      <c r="AO207" s="46">
        <v>0</v>
      </c>
      <c r="AP207" s="46" t="b">
        <v>0</v>
      </c>
      <c r="AQ207" s="46">
        <v>342542.44300000003</v>
      </c>
      <c r="AS207" s="46">
        <v>342542.44300000003</v>
      </c>
      <c r="AT207" s="46">
        <v>6</v>
      </c>
      <c r="AU207" s="46" t="b">
        <v>1</v>
      </c>
      <c r="AV207" s="46" t="b">
        <v>0</v>
      </c>
    </row>
    <row r="208" spans="2:48">
      <c r="B208" s="46" t="s">
        <v>665</v>
      </c>
      <c r="C208" s="46" t="s">
        <v>666</v>
      </c>
      <c r="D208" s="46">
        <v>20230801</v>
      </c>
      <c r="E208" s="46">
        <v>2023</v>
      </c>
      <c r="F208" s="46">
        <v>8</v>
      </c>
      <c r="G208" s="46" t="s">
        <v>721</v>
      </c>
      <c r="H208" s="46">
        <v>818</v>
      </c>
      <c r="I208" s="46" t="s">
        <v>668</v>
      </c>
      <c r="J208" s="46" t="s">
        <v>57</v>
      </c>
      <c r="K208" s="46" t="s">
        <v>666</v>
      </c>
      <c r="L208" s="46" t="s">
        <v>669</v>
      </c>
      <c r="M208" s="46">
        <v>842</v>
      </c>
      <c r="N208" s="46" t="s">
        <v>713</v>
      </c>
      <c r="O208" s="46" t="s">
        <v>713</v>
      </c>
      <c r="P208" s="46">
        <v>0</v>
      </c>
      <c r="Q208" s="46" t="s">
        <v>670</v>
      </c>
      <c r="R208" s="46" t="s">
        <v>23</v>
      </c>
      <c r="S208" s="46" t="s">
        <v>671</v>
      </c>
      <c r="T208" s="46" t="s">
        <v>672</v>
      </c>
      <c r="U208" s="46" t="b">
        <v>1</v>
      </c>
      <c r="V208" s="46" t="s">
        <v>985</v>
      </c>
      <c r="W208" s="46" t="s">
        <v>984</v>
      </c>
      <c r="X208" s="46">
        <v>6</v>
      </c>
      <c r="Y208" s="46" t="b">
        <v>1</v>
      </c>
      <c r="Z208" s="46" t="s">
        <v>675</v>
      </c>
      <c r="AA208" s="46" t="s">
        <v>676</v>
      </c>
      <c r="AB208" s="46" t="s">
        <v>677</v>
      </c>
      <c r="AC208" s="46">
        <v>0</v>
      </c>
      <c r="AD208" s="46" t="s">
        <v>678</v>
      </c>
      <c r="AE208" s="46">
        <v>8</v>
      </c>
      <c r="AF208" s="46" t="s">
        <v>679</v>
      </c>
      <c r="AG208" s="46">
        <v>241030.065</v>
      </c>
      <c r="AH208" s="46" t="b">
        <v>1</v>
      </c>
      <c r="AI208" s="46">
        <v>-1</v>
      </c>
      <c r="AJ208" s="46" t="s">
        <v>680</v>
      </c>
      <c r="AK208" s="46">
        <v>0</v>
      </c>
      <c r="AL208" s="46" t="b">
        <v>0</v>
      </c>
      <c r="AM208" s="46">
        <v>241030.065</v>
      </c>
      <c r="AN208" s="46" t="b">
        <v>1</v>
      </c>
      <c r="AO208" s="46">
        <v>0</v>
      </c>
      <c r="AP208" s="46" t="b">
        <v>0</v>
      </c>
      <c r="AQ208" s="46">
        <v>1137403.061</v>
      </c>
      <c r="AS208" s="46">
        <v>1137403.061</v>
      </c>
      <c r="AT208" s="46">
        <v>6</v>
      </c>
      <c r="AU208" s="46" t="b">
        <v>1</v>
      </c>
      <c r="AV208" s="46" t="b">
        <v>0</v>
      </c>
    </row>
    <row r="209" spans="2:48">
      <c r="B209" s="46" t="s">
        <v>665</v>
      </c>
      <c r="C209" s="46" t="s">
        <v>666</v>
      </c>
      <c r="D209" s="46">
        <v>20230901</v>
      </c>
      <c r="E209" s="46">
        <v>2023</v>
      </c>
      <c r="F209" s="46">
        <v>9</v>
      </c>
      <c r="G209" s="46" t="s">
        <v>723</v>
      </c>
      <c r="H209" s="46">
        <v>818</v>
      </c>
      <c r="I209" s="46" t="s">
        <v>668</v>
      </c>
      <c r="J209" s="46" t="s">
        <v>57</v>
      </c>
      <c r="K209" s="46" t="s">
        <v>666</v>
      </c>
      <c r="L209" s="46" t="s">
        <v>669</v>
      </c>
      <c r="M209" s="46">
        <v>0</v>
      </c>
      <c r="N209" s="46" t="s">
        <v>670</v>
      </c>
      <c r="O209" s="46" t="s">
        <v>23</v>
      </c>
      <c r="P209" s="46">
        <v>0</v>
      </c>
      <c r="Q209" s="46" t="s">
        <v>670</v>
      </c>
      <c r="R209" s="46" t="s">
        <v>23</v>
      </c>
      <c r="S209" s="46" t="s">
        <v>671</v>
      </c>
      <c r="T209" s="46" t="s">
        <v>672</v>
      </c>
      <c r="U209" s="46" t="b">
        <v>1</v>
      </c>
      <c r="V209" s="46" t="s">
        <v>985</v>
      </c>
      <c r="W209" s="46" t="s">
        <v>984</v>
      </c>
      <c r="X209" s="46">
        <v>6</v>
      </c>
      <c r="Y209" s="46" t="b">
        <v>1</v>
      </c>
      <c r="Z209" s="46" t="s">
        <v>675</v>
      </c>
      <c r="AA209" s="46" t="s">
        <v>676</v>
      </c>
      <c r="AB209" s="46" t="s">
        <v>677</v>
      </c>
      <c r="AC209" s="46">
        <v>0</v>
      </c>
      <c r="AD209" s="46" t="s">
        <v>678</v>
      </c>
      <c r="AE209" s="46">
        <v>8</v>
      </c>
      <c r="AF209" s="46" t="s">
        <v>679</v>
      </c>
      <c r="AG209" s="46">
        <v>2850035.7489999998</v>
      </c>
      <c r="AH209" s="46" t="b">
        <v>1</v>
      </c>
      <c r="AI209" s="46">
        <v>-1</v>
      </c>
      <c r="AJ209" s="46" t="s">
        <v>680</v>
      </c>
      <c r="AK209" s="46">
        <v>0</v>
      </c>
      <c r="AL209" s="46" t="b">
        <v>0</v>
      </c>
      <c r="AM209" s="46">
        <v>2850035.7489999998</v>
      </c>
      <c r="AN209" s="46" t="b">
        <v>1</v>
      </c>
      <c r="AO209" s="46">
        <v>0</v>
      </c>
      <c r="AP209" s="46" t="b">
        <v>0</v>
      </c>
      <c r="AQ209" s="46">
        <v>13449108.035</v>
      </c>
      <c r="AS209" s="46">
        <v>13449108.035</v>
      </c>
      <c r="AT209" s="46">
        <v>6</v>
      </c>
      <c r="AU209" s="46" t="b">
        <v>0</v>
      </c>
      <c r="AV209" s="46" t="b">
        <v>1</v>
      </c>
    </row>
    <row r="210" spans="2:48">
      <c r="B210" s="46" t="s">
        <v>665</v>
      </c>
      <c r="C210" s="46" t="s">
        <v>666</v>
      </c>
      <c r="D210" s="46">
        <v>20230901</v>
      </c>
      <c r="E210" s="46">
        <v>2023</v>
      </c>
      <c r="F210" s="46">
        <v>9</v>
      </c>
      <c r="G210" s="46" t="s">
        <v>723</v>
      </c>
      <c r="H210" s="46">
        <v>818</v>
      </c>
      <c r="I210" s="46" t="s">
        <v>668</v>
      </c>
      <c r="J210" s="46" t="s">
        <v>57</v>
      </c>
      <c r="K210" s="46" t="s">
        <v>666</v>
      </c>
      <c r="L210" s="46" t="s">
        <v>669</v>
      </c>
      <c r="M210" s="46">
        <v>36</v>
      </c>
      <c r="N210" s="46" t="s">
        <v>765</v>
      </c>
      <c r="O210" s="46" t="s">
        <v>24</v>
      </c>
      <c r="P210" s="46">
        <v>0</v>
      </c>
      <c r="Q210" s="46" t="s">
        <v>670</v>
      </c>
      <c r="R210" s="46" t="s">
        <v>23</v>
      </c>
      <c r="S210" s="46" t="s">
        <v>671</v>
      </c>
      <c r="T210" s="46" t="s">
        <v>672</v>
      </c>
      <c r="U210" s="46" t="b">
        <v>1</v>
      </c>
      <c r="V210" s="46" t="s">
        <v>985</v>
      </c>
      <c r="W210" s="46" t="s">
        <v>984</v>
      </c>
      <c r="X210" s="46">
        <v>6</v>
      </c>
      <c r="Y210" s="46" t="b">
        <v>1</v>
      </c>
      <c r="Z210" s="46" t="s">
        <v>675</v>
      </c>
      <c r="AA210" s="46" t="s">
        <v>676</v>
      </c>
      <c r="AB210" s="46" t="s">
        <v>677</v>
      </c>
      <c r="AC210" s="46">
        <v>0</v>
      </c>
      <c r="AD210" s="46" t="s">
        <v>678</v>
      </c>
      <c r="AE210" s="46">
        <v>8</v>
      </c>
      <c r="AF210" s="46" t="s">
        <v>679</v>
      </c>
      <c r="AG210" s="46">
        <v>1807.7239999999999</v>
      </c>
      <c r="AH210" s="46" t="b">
        <v>1</v>
      </c>
      <c r="AI210" s="46">
        <v>-1</v>
      </c>
      <c r="AJ210" s="46" t="s">
        <v>680</v>
      </c>
      <c r="AK210" s="46">
        <v>0</v>
      </c>
      <c r="AL210" s="46" t="b">
        <v>0</v>
      </c>
      <c r="AM210" s="46">
        <v>1807.7239999999999</v>
      </c>
      <c r="AN210" s="46" t="b">
        <v>1</v>
      </c>
      <c r="AO210" s="46">
        <v>0</v>
      </c>
      <c r="AP210" s="46" t="b">
        <v>0</v>
      </c>
      <c r="AQ210" s="46">
        <v>8530.5169999999998</v>
      </c>
      <c r="AS210" s="46">
        <v>8530.5169999999998</v>
      </c>
      <c r="AT210" s="46">
        <v>6</v>
      </c>
      <c r="AU210" s="46" t="b">
        <v>1</v>
      </c>
      <c r="AV210" s="46" t="b">
        <v>0</v>
      </c>
    </row>
    <row r="211" spans="2:48">
      <c r="B211" s="46" t="s">
        <v>665</v>
      </c>
      <c r="C211" s="46" t="s">
        <v>666</v>
      </c>
      <c r="D211" s="46">
        <v>20230901</v>
      </c>
      <c r="E211" s="46">
        <v>2023</v>
      </c>
      <c r="F211" s="46">
        <v>9</v>
      </c>
      <c r="G211" s="46" t="s">
        <v>723</v>
      </c>
      <c r="H211" s="46">
        <v>818</v>
      </c>
      <c r="I211" s="46" t="s">
        <v>668</v>
      </c>
      <c r="J211" s="46" t="s">
        <v>57</v>
      </c>
      <c r="K211" s="46" t="s">
        <v>666</v>
      </c>
      <c r="L211" s="46" t="s">
        <v>669</v>
      </c>
      <c r="M211" s="46">
        <v>40</v>
      </c>
      <c r="N211" s="46" t="s">
        <v>750</v>
      </c>
      <c r="O211" s="46" t="s">
        <v>43</v>
      </c>
      <c r="P211" s="46">
        <v>0</v>
      </c>
      <c r="Q211" s="46" t="s">
        <v>670</v>
      </c>
      <c r="R211" s="46" t="s">
        <v>23</v>
      </c>
      <c r="S211" s="46" t="s">
        <v>671</v>
      </c>
      <c r="T211" s="46" t="s">
        <v>672</v>
      </c>
      <c r="U211" s="46" t="b">
        <v>1</v>
      </c>
      <c r="V211" s="46" t="s">
        <v>985</v>
      </c>
      <c r="W211" s="46" t="s">
        <v>984</v>
      </c>
      <c r="X211" s="46">
        <v>6</v>
      </c>
      <c r="Y211" s="46" t="b">
        <v>1</v>
      </c>
      <c r="Z211" s="46" t="s">
        <v>675</v>
      </c>
      <c r="AA211" s="46" t="s">
        <v>676</v>
      </c>
      <c r="AB211" s="46" t="s">
        <v>677</v>
      </c>
      <c r="AC211" s="46">
        <v>0</v>
      </c>
      <c r="AD211" s="46" t="s">
        <v>678</v>
      </c>
      <c r="AE211" s="46">
        <v>8</v>
      </c>
      <c r="AF211" s="46" t="s">
        <v>679</v>
      </c>
      <c r="AG211" s="46">
        <v>1168.933</v>
      </c>
      <c r="AH211" s="46" t="b">
        <v>1</v>
      </c>
      <c r="AI211" s="46">
        <v>-1</v>
      </c>
      <c r="AJ211" s="46" t="s">
        <v>680</v>
      </c>
      <c r="AK211" s="46">
        <v>0</v>
      </c>
      <c r="AL211" s="46" t="b">
        <v>0</v>
      </c>
      <c r="AM211" s="46">
        <v>1168.933</v>
      </c>
      <c r="AN211" s="46" t="b">
        <v>1</v>
      </c>
      <c r="AO211" s="46">
        <v>0</v>
      </c>
      <c r="AP211" s="46" t="b">
        <v>0</v>
      </c>
      <c r="AQ211" s="46">
        <v>5516.1090000000004</v>
      </c>
      <c r="AS211" s="46">
        <v>5516.1090000000004</v>
      </c>
      <c r="AT211" s="46">
        <v>6</v>
      </c>
      <c r="AU211" s="46" t="b">
        <v>1</v>
      </c>
      <c r="AV211" s="46" t="b">
        <v>0</v>
      </c>
    </row>
    <row r="212" spans="2:48">
      <c r="B212" s="46" t="s">
        <v>665</v>
      </c>
      <c r="C212" s="46" t="s">
        <v>666</v>
      </c>
      <c r="D212" s="46">
        <v>20230901</v>
      </c>
      <c r="E212" s="46">
        <v>2023</v>
      </c>
      <c r="F212" s="46">
        <v>9</v>
      </c>
      <c r="G212" s="46" t="s">
        <v>723</v>
      </c>
      <c r="H212" s="46">
        <v>818</v>
      </c>
      <c r="I212" s="46" t="s">
        <v>668</v>
      </c>
      <c r="J212" s="46" t="s">
        <v>57</v>
      </c>
      <c r="K212" s="46" t="s">
        <v>666</v>
      </c>
      <c r="L212" s="46" t="s">
        <v>669</v>
      </c>
      <c r="M212" s="46">
        <v>56</v>
      </c>
      <c r="N212" s="46" t="s">
        <v>696</v>
      </c>
      <c r="O212" s="46" t="s">
        <v>74</v>
      </c>
      <c r="P212" s="46">
        <v>0</v>
      </c>
      <c r="Q212" s="46" t="s">
        <v>670</v>
      </c>
      <c r="R212" s="46" t="s">
        <v>23</v>
      </c>
      <c r="S212" s="46" t="s">
        <v>671</v>
      </c>
      <c r="T212" s="46" t="s">
        <v>672</v>
      </c>
      <c r="U212" s="46" t="b">
        <v>1</v>
      </c>
      <c r="V212" s="46" t="s">
        <v>985</v>
      </c>
      <c r="W212" s="46" t="s">
        <v>984</v>
      </c>
      <c r="X212" s="46">
        <v>6</v>
      </c>
      <c r="Y212" s="46" t="b">
        <v>1</v>
      </c>
      <c r="Z212" s="46" t="s">
        <v>675</v>
      </c>
      <c r="AA212" s="46" t="s">
        <v>676</v>
      </c>
      <c r="AB212" s="46" t="s">
        <v>677</v>
      </c>
      <c r="AC212" s="46">
        <v>0</v>
      </c>
      <c r="AD212" s="46" t="s">
        <v>678</v>
      </c>
      <c r="AE212" s="46">
        <v>8</v>
      </c>
      <c r="AF212" s="46" t="s">
        <v>679</v>
      </c>
      <c r="AG212" s="46">
        <v>42165.108</v>
      </c>
      <c r="AH212" s="46" t="b">
        <v>1</v>
      </c>
      <c r="AI212" s="46">
        <v>-1</v>
      </c>
      <c r="AJ212" s="46" t="s">
        <v>680</v>
      </c>
      <c r="AK212" s="46">
        <v>0</v>
      </c>
      <c r="AL212" s="46" t="b">
        <v>0</v>
      </c>
      <c r="AM212" s="46">
        <v>42165.108</v>
      </c>
      <c r="AN212" s="46" t="b">
        <v>1</v>
      </c>
      <c r="AO212" s="46">
        <v>0</v>
      </c>
      <c r="AP212" s="46" t="b">
        <v>0</v>
      </c>
      <c r="AQ212" s="46">
        <v>198974.02799999999</v>
      </c>
      <c r="AS212" s="46">
        <v>198974.02799999999</v>
      </c>
      <c r="AT212" s="46">
        <v>6</v>
      </c>
      <c r="AU212" s="46" t="b">
        <v>1</v>
      </c>
      <c r="AV212" s="46" t="b">
        <v>0</v>
      </c>
    </row>
    <row r="213" spans="2:48">
      <c r="B213" s="46" t="s">
        <v>665</v>
      </c>
      <c r="C213" s="46" t="s">
        <v>666</v>
      </c>
      <c r="D213" s="46">
        <v>20230901</v>
      </c>
      <c r="E213" s="46">
        <v>2023</v>
      </c>
      <c r="F213" s="46">
        <v>9</v>
      </c>
      <c r="G213" s="46" t="s">
        <v>723</v>
      </c>
      <c r="H213" s="46">
        <v>818</v>
      </c>
      <c r="I213" s="46" t="s">
        <v>668</v>
      </c>
      <c r="J213" s="46" t="s">
        <v>57</v>
      </c>
      <c r="K213" s="46" t="s">
        <v>666</v>
      </c>
      <c r="L213" s="46" t="s">
        <v>669</v>
      </c>
      <c r="M213" s="46">
        <v>156</v>
      </c>
      <c r="N213" s="46" t="s">
        <v>711</v>
      </c>
      <c r="O213" s="46" t="s">
        <v>29</v>
      </c>
      <c r="P213" s="46">
        <v>0</v>
      </c>
      <c r="Q213" s="46" t="s">
        <v>670</v>
      </c>
      <c r="R213" s="46" t="s">
        <v>23</v>
      </c>
      <c r="S213" s="46" t="s">
        <v>671</v>
      </c>
      <c r="T213" s="46" t="s">
        <v>672</v>
      </c>
      <c r="U213" s="46" t="b">
        <v>1</v>
      </c>
      <c r="V213" s="46" t="s">
        <v>985</v>
      </c>
      <c r="W213" s="46" t="s">
        <v>984</v>
      </c>
      <c r="X213" s="46">
        <v>6</v>
      </c>
      <c r="Y213" s="46" t="b">
        <v>1</v>
      </c>
      <c r="Z213" s="46" t="s">
        <v>675</v>
      </c>
      <c r="AA213" s="46" t="s">
        <v>676</v>
      </c>
      <c r="AB213" s="46" t="s">
        <v>677</v>
      </c>
      <c r="AC213" s="46">
        <v>0</v>
      </c>
      <c r="AD213" s="46" t="s">
        <v>678</v>
      </c>
      <c r="AE213" s="46">
        <v>8</v>
      </c>
      <c r="AF213" s="46" t="s">
        <v>679</v>
      </c>
      <c r="AG213" s="46">
        <v>425293.28399999999</v>
      </c>
      <c r="AH213" s="46" t="b">
        <v>1</v>
      </c>
      <c r="AI213" s="46">
        <v>-1</v>
      </c>
      <c r="AJ213" s="46" t="s">
        <v>680</v>
      </c>
      <c r="AK213" s="46">
        <v>0</v>
      </c>
      <c r="AL213" s="46" t="b">
        <v>0</v>
      </c>
      <c r="AM213" s="46">
        <v>425293.28399999999</v>
      </c>
      <c r="AN213" s="46" t="b">
        <v>1</v>
      </c>
      <c r="AO213" s="46">
        <v>0</v>
      </c>
      <c r="AP213" s="46" t="b">
        <v>0</v>
      </c>
      <c r="AQ213" s="46">
        <v>2006927.5719999999</v>
      </c>
      <c r="AS213" s="46">
        <v>2006927.5719999999</v>
      </c>
      <c r="AT213" s="46">
        <v>6</v>
      </c>
      <c r="AU213" s="46" t="b">
        <v>1</v>
      </c>
      <c r="AV213" s="46" t="b">
        <v>0</v>
      </c>
    </row>
    <row r="214" spans="2:48">
      <c r="B214" s="46" t="s">
        <v>665</v>
      </c>
      <c r="C214" s="46" t="s">
        <v>666</v>
      </c>
      <c r="D214" s="46">
        <v>20230901</v>
      </c>
      <c r="E214" s="46">
        <v>2023</v>
      </c>
      <c r="F214" s="46">
        <v>9</v>
      </c>
      <c r="G214" s="46" t="s">
        <v>723</v>
      </c>
      <c r="H214" s="46">
        <v>818</v>
      </c>
      <c r="I214" s="46" t="s">
        <v>668</v>
      </c>
      <c r="J214" s="46" t="s">
        <v>57</v>
      </c>
      <c r="K214" s="46" t="s">
        <v>666</v>
      </c>
      <c r="L214" s="46" t="s">
        <v>669</v>
      </c>
      <c r="M214" s="46">
        <v>208</v>
      </c>
      <c r="N214" s="46" t="s">
        <v>988</v>
      </c>
      <c r="O214" s="46" t="s">
        <v>72</v>
      </c>
      <c r="P214" s="46">
        <v>0</v>
      </c>
      <c r="Q214" s="46" t="s">
        <v>670</v>
      </c>
      <c r="R214" s="46" t="s">
        <v>23</v>
      </c>
      <c r="S214" s="46" t="s">
        <v>671</v>
      </c>
      <c r="T214" s="46" t="s">
        <v>672</v>
      </c>
      <c r="U214" s="46" t="b">
        <v>1</v>
      </c>
      <c r="V214" s="46" t="s">
        <v>985</v>
      </c>
      <c r="W214" s="46" t="s">
        <v>984</v>
      </c>
      <c r="X214" s="46">
        <v>6</v>
      </c>
      <c r="Y214" s="46" t="b">
        <v>1</v>
      </c>
      <c r="Z214" s="46" t="s">
        <v>675</v>
      </c>
      <c r="AA214" s="46" t="s">
        <v>676</v>
      </c>
      <c r="AB214" s="46" t="s">
        <v>677</v>
      </c>
      <c r="AC214" s="46">
        <v>0</v>
      </c>
      <c r="AD214" s="46" t="s">
        <v>678</v>
      </c>
      <c r="AE214" s="46">
        <v>8</v>
      </c>
      <c r="AF214" s="46" t="s">
        <v>679</v>
      </c>
      <c r="AG214" s="46">
        <v>30199.403999999999</v>
      </c>
      <c r="AH214" s="46" t="b">
        <v>1</v>
      </c>
      <c r="AI214" s="46">
        <v>-1</v>
      </c>
      <c r="AJ214" s="46" t="s">
        <v>680</v>
      </c>
      <c r="AK214" s="46">
        <v>0</v>
      </c>
      <c r="AL214" s="46" t="b">
        <v>0</v>
      </c>
      <c r="AM214" s="46">
        <v>30199.403999999999</v>
      </c>
      <c r="AN214" s="46" t="b">
        <v>1</v>
      </c>
      <c r="AO214" s="46">
        <v>0</v>
      </c>
      <c r="AP214" s="46" t="b">
        <v>0</v>
      </c>
      <c r="AQ214" s="46">
        <v>142508.75599999999</v>
      </c>
      <c r="AS214" s="46">
        <v>142508.75599999999</v>
      </c>
      <c r="AT214" s="46">
        <v>6</v>
      </c>
      <c r="AU214" s="46" t="b">
        <v>1</v>
      </c>
      <c r="AV214" s="46" t="b">
        <v>0</v>
      </c>
    </row>
    <row r="215" spans="2:48">
      <c r="B215" s="46" t="s">
        <v>665</v>
      </c>
      <c r="C215" s="46" t="s">
        <v>666</v>
      </c>
      <c r="D215" s="46">
        <v>20230901</v>
      </c>
      <c r="E215" s="46">
        <v>2023</v>
      </c>
      <c r="F215" s="46">
        <v>9</v>
      </c>
      <c r="G215" s="46" t="s">
        <v>723</v>
      </c>
      <c r="H215" s="46">
        <v>818</v>
      </c>
      <c r="I215" s="46" t="s">
        <v>668</v>
      </c>
      <c r="J215" s="46" t="s">
        <v>57</v>
      </c>
      <c r="K215" s="46" t="s">
        <v>666</v>
      </c>
      <c r="L215" s="46" t="s">
        <v>669</v>
      </c>
      <c r="M215" s="46">
        <v>251</v>
      </c>
      <c r="N215" s="46" t="s">
        <v>688</v>
      </c>
      <c r="O215" s="46" t="s">
        <v>69</v>
      </c>
      <c r="P215" s="46">
        <v>0</v>
      </c>
      <c r="Q215" s="46" t="s">
        <v>670</v>
      </c>
      <c r="R215" s="46" t="s">
        <v>23</v>
      </c>
      <c r="S215" s="46" t="s">
        <v>671</v>
      </c>
      <c r="T215" s="46" t="s">
        <v>672</v>
      </c>
      <c r="U215" s="46" t="b">
        <v>1</v>
      </c>
      <c r="V215" s="46" t="s">
        <v>985</v>
      </c>
      <c r="W215" s="46" t="s">
        <v>984</v>
      </c>
      <c r="X215" s="46">
        <v>6</v>
      </c>
      <c r="Y215" s="46" t="b">
        <v>1</v>
      </c>
      <c r="Z215" s="46" t="s">
        <v>675</v>
      </c>
      <c r="AA215" s="46" t="s">
        <v>676</v>
      </c>
      <c r="AB215" s="46" t="s">
        <v>677</v>
      </c>
      <c r="AC215" s="46">
        <v>0</v>
      </c>
      <c r="AD215" s="46" t="s">
        <v>678</v>
      </c>
      <c r="AE215" s="46">
        <v>8</v>
      </c>
      <c r="AF215" s="46" t="s">
        <v>679</v>
      </c>
      <c r="AG215" s="46">
        <v>128007.14200000001</v>
      </c>
      <c r="AH215" s="46" t="b">
        <v>1</v>
      </c>
      <c r="AI215" s="46">
        <v>-1</v>
      </c>
      <c r="AJ215" s="46" t="s">
        <v>680</v>
      </c>
      <c r="AK215" s="46">
        <v>0</v>
      </c>
      <c r="AL215" s="46" t="b">
        <v>0</v>
      </c>
      <c r="AM215" s="46">
        <v>128007.14200000001</v>
      </c>
      <c r="AN215" s="46" t="b">
        <v>1</v>
      </c>
      <c r="AO215" s="46">
        <v>0</v>
      </c>
      <c r="AP215" s="46" t="b">
        <v>0</v>
      </c>
      <c r="AQ215" s="46">
        <v>604056.24199999997</v>
      </c>
      <c r="AS215" s="46">
        <v>604056.24199999997</v>
      </c>
      <c r="AT215" s="46">
        <v>6</v>
      </c>
      <c r="AU215" s="46" t="b">
        <v>1</v>
      </c>
      <c r="AV215" s="46" t="b">
        <v>0</v>
      </c>
    </row>
    <row r="216" spans="2:48">
      <c r="B216" s="46" t="s">
        <v>665</v>
      </c>
      <c r="C216" s="46" t="s">
        <v>666</v>
      </c>
      <c r="D216" s="46">
        <v>20230901</v>
      </c>
      <c r="E216" s="46">
        <v>2023</v>
      </c>
      <c r="F216" s="46">
        <v>9</v>
      </c>
      <c r="G216" s="46" t="s">
        <v>723</v>
      </c>
      <c r="H216" s="46">
        <v>818</v>
      </c>
      <c r="I216" s="46" t="s">
        <v>668</v>
      </c>
      <c r="J216" s="46" t="s">
        <v>57</v>
      </c>
      <c r="K216" s="46" t="s">
        <v>666</v>
      </c>
      <c r="L216" s="46" t="s">
        <v>669</v>
      </c>
      <c r="M216" s="46">
        <v>276</v>
      </c>
      <c r="N216" s="46" t="s">
        <v>681</v>
      </c>
      <c r="O216" s="46" t="s">
        <v>30</v>
      </c>
      <c r="P216" s="46">
        <v>0</v>
      </c>
      <c r="Q216" s="46" t="s">
        <v>670</v>
      </c>
      <c r="R216" s="46" t="s">
        <v>23</v>
      </c>
      <c r="S216" s="46" t="s">
        <v>671</v>
      </c>
      <c r="T216" s="46" t="s">
        <v>672</v>
      </c>
      <c r="U216" s="46" t="b">
        <v>1</v>
      </c>
      <c r="V216" s="46" t="s">
        <v>985</v>
      </c>
      <c r="W216" s="46" t="s">
        <v>984</v>
      </c>
      <c r="X216" s="46">
        <v>6</v>
      </c>
      <c r="Y216" s="46" t="b">
        <v>1</v>
      </c>
      <c r="Z216" s="46" t="s">
        <v>675</v>
      </c>
      <c r="AA216" s="46" t="s">
        <v>676</v>
      </c>
      <c r="AB216" s="46" t="s">
        <v>677</v>
      </c>
      <c r="AC216" s="46">
        <v>0</v>
      </c>
      <c r="AD216" s="46" t="s">
        <v>678</v>
      </c>
      <c r="AE216" s="46">
        <v>8</v>
      </c>
      <c r="AF216" s="46" t="s">
        <v>679</v>
      </c>
      <c r="AG216" s="46">
        <v>421955.49300000002</v>
      </c>
      <c r="AH216" s="46" t="b">
        <v>1</v>
      </c>
      <c r="AI216" s="46">
        <v>-1</v>
      </c>
      <c r="AJ216" s="46" t="s">
        <v>680</v>
      </c>
      <c r="AK216" s="46">
        <v>0</v>
      </c>
      <c r="AL216" s="46" t="b">
        <v>0</v>
      </c>
      <c r="AM216" s="46">
        <v>421955.49300000002</v>
      </c>
      <c r="AN216" s="46" t="b">
        <v>1</v>
      </c>
      <c r="AO216" s="46">
        <v>0</v>
      </c>
      <c r="AP216" s="46" t="b">
        <v>0</v>
      </c>
      <c r="AQ216" s="46">
        <v>1991176.7819999999</v>
      </c>
      <c r="AS216" s="46">
        <v>1991176.7819999999</v>
      </c>
      <c r="AT216" s="46">
        <v>6</v>
      </c>
      <c r="AU216" s="46" t="b">
        <v>1</v>
      </c>
      <c r="AV216" s="46" t="b">
        <v>0</v>
      </c>
    </row>
    <row r="217" spans="2:48">
      <c r="B217" s="46" t="s">
        <v>665</v>
      </c>
      <c r="C217" s="46" t="s">
        <v>666</v>
      </c>
      <c r="D217" s="46">
        <v>20230901</v>
      </c>
      <c r="E217" s="46">
        <v>2023</v>
      </c>
      <c r="F217" s="46">
        <v>9</v>
      </c>
      <c r="G217" s="46" t="s">
        <v>723</v>
      </c>
      <c r="H217" s="46">
        <v>818</v>
      </c>
      <c r="I217" s="46" t="s">
        <v>668</v>
      </c>
      <c r="J217" s="46" t="s">
        <v>57</v>
      </c>
      <c r="K217" s="46" t="s">
        <v>666</v>
      </c>
      <c r="L217" s="46" t="s">
        <v>669</v>
      </c>
      <c r="M217" s="46">
        <v>300</v>
      </c>
      <c r="N217" s="46" t="s">
        <v>719</v>
      </c>
      <c r="O217" s="46" t="s">
        <v>65</v>
      </c>
      <c r="P217" s="46">
        <v>0</v>
      </c>
      <c r="Q217" s="46" t="s">
        <v>670</v>
      </c>
      <c r="R217" s="46" t="s">
        <v>23</v>
      </c>
      <c r="S217" s="46" t="s">
        <v>671</v>
      </c>
      <c r="T217" s="46" t="s">
        <v>672</v>
      </c>
      <c r="U217" s="46" t="b">
        <v>1</v>
      </c>
      <c r="V217" s="46" t="s">
        <v>985</v>
      </c>
      <c r="W217" s="46" t="s">
        <v>984</v>
      </c>
      <c r="X217" s="46">
        <v>6</v>
      </c>
      <c r="Y217" s="46" t="b">
        <v>1</v>
      </c>
      <c r="Z217" s="46" t="s">
        <v>675</v>
      </c>
      <c r="AA217" s="46" t="s">
        <v>676</v>
      </c>
      <c r="AB217" s="46" t="s">
        <v>677</v>
      </c>
      <c r="AC217" s="46">
        <v>0</v>
      </c>
      <c r="AD217" s="46" t="s">
        <v>678</v>
      </c>
      <c r="AE217" s="46">
        <v>8</v>
      </c>
      <c r="AF217" s="46" t="s">
        <v>679</v>
      </c>
      <c r="AG217" s="46">
        <v>14993.894</v>
      </c>
      <c r="AH217" s="46" t="b">
        <v>1</v>
      </c>
      <c r="AI217" s="46">
        <v>-1</v>
      </c>
      <c r="AJ217" s="46" t="s">
        <v>680</v>
      </c>
      <c r="AK217" s="46">
        <v>0</v>
      </c>
      <c r="AL217" s="46" t="b">
        <v>0</v>
      </c>
      <c r="AM217" s="46">
        <v>14993.894</v>
      </c>
      <c r="AN217" s="46" t="b">
        <v>1</v>
      </c>
      <c r="AO217" s="46">
        <v>0</v>
      </c>
      <c r="AP217" s="46" t="b">
        <v>0</v>
      </c>
      <c r="AQ217" s="46">
        <v>70755.077999999994</v>
      </c>
      <c r="AS217" s="46">
        <v>70755.077999999994</v>
      </c>
      <c r="AT217" s="46">
        <v>6</v>
      </c>
      <c r="AU217" s="46" t="b">
        <v>1</v>
      </c>
      <c r="AV217" s="46" t="b">
        <v>0</v>
      </c>
    </row>
    <row r="218" spans="2:48">
      <c r="B218" s="46" t="s">
        <v>665</v>
      </c>
      <c r="C218" s="46" t="s">
        <v>666</v>
      </c>
      <c r="D218" s="46">
        <v>20230901</v>
      </c>
      <c r="E218" s="46">
        <v>2023</v>
      </c>
      <c r="F218" s="46">
        <v>9</v>
      </c>
      <c r="G218" s="46" t="s">
        <v>723</v>
      </c>
      <c r="H218" s="46">
        <v>818</v>
      </c>
      <c r="I218" s="46" t="s">
        <v>668</v>
      </c>
      <c r="J218" s="46" t="s">
        <v>57</v>
      </c>
      <c r="K218" s="46" t="s">
        <v>666</v>
      </c>
      <c r="L218" s="46" t="s">
        <v>669</v>
      </c>
      <c r="M218" s="46">
        <v>372</v>
      </c>
      <c r="N218" s="46" t="s">
        <v>1002</v>
      </c>
      <c r="O218" s="46" t="s">
        <v>87</v>
      </c>
      <c r="P218" s="46">
        <v>0</v>
      </c>
      <c r="Q218" s="46" t="s">
        <v>670</v>
      </c>
      <c r="R218" s="46" t="s">
        <v>23</v>
      </c>
      <c r="S218" s="46" t="s">
        <v>671</v>
      </c>
      <c r="T218" s="46" t="s">
        <v>672</v>
      </c>
      <c r="U218" s="46" t="b">
        <v>1</v>
      </c>
      <c r="V218" s="46" t="s">
        <v>985</v>
      </c>
      <c r="W218" s="46" t="s">
        <v>984</v>
      </c>
      <c r="X218" s="46">
        <v>6</v>
      </c>
      <c r="Y218" s="46" t="b">
        <v>1</v>
      </c>
      <c r="Z218" s="46" t="s">
        <v>675</v>
      </c>
      <c r="AA218" s="46" t="s">
        <v>676</v>
      </c>
      <c r="AB218" s="46" t="s">
        <v>677</v>
      </c>
      <c r="AC218" s="46">
        <v>0</v>
      </c>
      <c r="AD218" s="46" t="s">
        <v>678</v>
      </c>
      <c r="AE218" s="46">
        <v>8</v>
      </c>
      <c r="AF218" s="46" t="s">
        <v>679</v>
      </c>
      <c r="AG218" s="46">
        <v>5956.951</v>
      </c>
      <c r="AH218" s="46" t="b">
        <v>1</v>
      </c>
      <c r="AI218" s="46">
        <v>-1</v>
      </c>
      <c r="AJ218" s="46" t="s">
        <v>680</v>
      </c>
      <c r="AK218" s="46">
        <v>0</v>
      </c>
      <c r="AL218" s="46" t="b">
        <v>0</v>
      </c>
      <c r="AM218" s="46">
        <v>5956.951</v>
      </c>
      <c r="AN218" s="46" t="b">
        <v>1</v>
      </c>
      <c r="AO218" s="46">
        <v>0</v>
      </c>
      <c r="AP218" s="46" t="b">
        <v>0</v>
      </c>
      <c r="AQ218" s="46">
        <v>28110.412</v>
      </c>
      <c r="AS218" s="46">
        <v>28110.412</v>
      </c>
      <c r="AT218" s="46">
        <v>6</v>
      </c>
      <c r="AU218" s="46" t="b">
        <v>1</v>
      </c>
      <c r="AV218" s="46" t="b">
        <v>0</v>
      </c>
    </row>
    <row r="219" spans="2:48">
      <c r="B219" s="46" t="s">
        <v>665</v>
      </c>
      <c r="C219" s="46" t="s">
        <v>666</v>
      </c>
      <c r="D219" s="46">
        <v>20230901</v>
      </c>
      <c r="E219" s="46">
        <v>2023</v>
      </c>
      <c r="F219" s="46">
        <v>9</v>
      </c>
      <c r="G219" s="46" t="s">
        <v>723</v>
      </c>
      <c r="H219" s="46">
        <v>818</v>
      </c>
      <c r="I219" s="46" t="s">
        <v>668</v>
      </c>
      <c r="J219" s="46" t="s">
        <v>57</v>
      </c>
      <c r="K219" s="46" t="s">
        <v>666</v>
      </c>
      <c r="L219" s="46" t="s">
        <v>669</v>
      </c>
      <c r="M219" s="46">
        <v>380</v>
      </c>
      <c r="N219" s="46" t="s">
        <v>689</v>
      </c>
      <c r="O219" s="46" t="s">
        <v>71</v>
      </c>
      <c r="P219" s="46">
        <v>0</v>
      </c>
      <c r="Q219" s="46" t="s">
        <v>670</v>
      </c>
      <c r="R219" s="46" t="s">
        <v>23</v>
      </c>
      <c r="S219" s="46" t="s">
        <v>671</v>
      </c>
      <c r="T219" s="46" t="s">
        <v>672</v>
      </c>
      <c r="U219" s="46" t="b">
        <v>1</v>
      </c>
      <c r="V219" s="46" t="s">
        <v>985</v>
      </c>
      <c r="W219" s="46" t="s">
        <v>984</v>
      </c>
      <c r="X219" s="46">
        <v>6</v>
      </c>
      <c r="Y219" s="46" t="b">
        <v>1</v>
      </c>
      <c r="Z219" s="46" t="s">
        <v>675</v>
      </c>
      <c r="AA219" s="46" t="s">
        <v>676</v>
      </c>
      <c r="AB219" s="46" t="s">
        <v>677</v>
      </c>
      <c r="AC219" s="46">
        <v>0</v>
      </c>
      <c r="AD219" s="46" t="s">
        <v>678</v>
      </c>
      <c r="AE219" s="46">
        <v>8</v>
      </c>
      <c r="AF219" s="46" t="s">
        <v>679</v>
      </c>
      <c r="AG219" s="46">
        <v>164566.193</v>
      </c>
      <c r="AH219" s="46" t="b">
        <v>1</v>
      </c>
      <c r="AI219" s="46">
        <v>-1</v>
      </c>
      <c r="AJ219" s="46" t="s">
        <v>680</v>
      </c>
      <c r="AK219" s="46">
        <v>0</v>
      </c>
      <c r="AL219" s="46" t="b">
        <v>0</v>
      </c>
      <c r="AM219" s="46">
        <v>164566.193</v>
      </c>
      <c r="AN219" s="46" t="b">
        <v>1</v>
      </c>
      <c r="AO219" s="46">
        <v>0</v>
      </c>
      <c r="AP219" s="46" t="b">
        <v>0</v>
      </c>
      <c r="AQ219" s="46">
        <v>776575.70200000005</v>
      </c>
      <c r="AS219" s="46">
        <v>776575.70200000005</v>
      </c>
      <c r="AT219" s="46">
        <v>6</v>
      </c>
      <c r="AU219" s="46" t="b">
        <v>1</v>
      </c>
      <c r="AV219" s="46" t="b">
        <v>0</v>
      </c>
    </row>
    <row r="220" spans="2:48">
      <c r="B220" s="46" t="s">
        <v>665</v>
      </c>
      <c r="C220" s="46" t="s">
        <v>666</v>
      </c>
      <c r="D220" s="46">
        <v>20230901</v>
      </c>
      <c r="E220" s="46">
        <v>2023</v>
      </c>
      <c r="F220" s="46">
        <v>9</v>
      </c>
      <c r="G220" s="46" t="s">
        <v>723</v>
      </c>
      <c r="H220" s="46">
        <v>818</v>
      </c>
      <c r="I220" s="46" t="s">
        <v>668</v>
      </c>
      <c r="J220" s="46" t="s">
        <v>57</v>
      </c>
      <c r="K220" s="46" t="s">
        <v>666</v>
      </c>
      <c r="L220" s="46" t="s">
        <v>669</v>
      </c>
      <c r="M220" s="46">
        <v>392</v>
      </c>
      <c r="N220" s="46" t="s">
        <v>747</v>
      </c>
      <c r="O220" s="46" t="s">
        <v>32</v>
      </c>
      <c r="P220" s="46">
        <v>0</v>
      </c>
      <c r="Q220" s="46" t="s">
        <v>670</v>
      </c>
      <c r="R220" s="46" t="s">
        <v>23</v>
      </c>
      <c r="S220" s="46" t="s">
        <v>671</v>
      </c>
      <c r="T220" s="46" t="s">
        <v>672</v>
      </c>
      <c r="U220" s="46" t="b">
        <v>1</v>
      </c>
      <c r="V220" s="46" t="s">
        <v>985</v>
      </c>
      <c r="W220" s="46" t="s">
        <v>984</v>
      </c>
      <c r="X220" s="46">
        <v>6</v>
      </c>
      <c r="Y220" s="46" t="b">
        <v>1</v>
      </c>
      <c r="Z220" s="46" t="s">
        <v>675</v>
      </c>
      <c r="AA220" s="46" t="s">
        <v>676</v>
      </c>
      <c r="AB220" s="46" t="s">
        <v>677</v>
      </c>
      <c r="AC220" s="46">
        <v>0</v>
      </c>
      <c r="AD220" s="46" t="s">
        <v>678</v>
      </c>
      <c r="AE220" s="46">
        <v>8</v>
      </c>
      <c r="AF220" s="46" t="s">
        <v>679</v>
      </c>
      <c r="AG220" s="46">
        <v>5231.3770000000004</v>
      </c>
      <c r="AH220" s="46" t="b">
        <v>1</v>
      </c>
      <c r="AI220" s="46">
        <v>-1</v>
      </c>
      <c r="AJ220" s="46" t="s">
        <v>680</v>
      </c>
      <c r="AK220" s="46">
        <v>0</v>
      </c>
      <c r="AL220" s="46" t="b">
        <v>0</v>
      </c>
      <c r="AM220" s="46">
        <v>5231.3770000000004</v>
      </c>
      <c r="AN220" s="46" t="b">
        <v>1</v>
      </c>
      <c r="AO220" s="46">
        <v>0</v>
      </c>
      <c r="AP220" s="46" t="b">
        <v>0</v>
      </c>
      <c r="AQ220" s="46">
        <v>24686.481</v>
      </c>
      <c r="AS220" s="46">
        <v>24686.481</v>
      </c>
      <c r="AT220" s="46">
        <v>6</v>
      </c>
      <c r="AU220" s="46" t="b">
        <v>1</v>
      </c>
      <c r="AV220" s="46" t="b">
        <v>0</v>
      </c>
    </row>
    <row r="221" spans="2:48">
      <c r="B221" s="46" t="s">
        <v>665</v>
      </c>
      <c r="C221" s="46" t="s">
        <v>666</v>
      </c>
      <c r="D221" s="46">
        <v>20230901</v>
      </c>
      <c r="E221" s="46">
        <v>2023</v>
      </c>
      <c r="F221" s="46">
        <v>9</v>
      </c>
      <c r="G221" s="46" t="s">
        <v>723</v>
      </c>
      <c r="H221" s="46">
        <v>818</v>
      </c>
      <c r="I221" s="46" t="s">
        <v>668</v>
      </c>
      <c r="J221" s="46" t="s">
        <v>57</v>
      </c>
      <c r="K221" s="46" t="s">
        <v>666</v>
      </c>
      <c r="L221" s="46" t="s">
        <v>669</v>
      </c>
      <c r="M221" s="46">
        <v>400</v>
      </c>
      <c r="N221" s="46" t="s">
        <v>1003</v>
      </c>
      <c r="O221" s="46" t="s">
        <v>214</v>
      </c>
      <c r="P221" s="46">
        <v>0</v>
      </c>
      <c r="Q221" s="46" t="s">
        <v>670</v>
      </c>
      <c r="R221" s="46" t="s">
        <v>23</v>
      </c>
      <c r="S221" s="46" t="s">
        <v>671</v>
      </c>
      <c r="T221" s="46" t="s">
        <v>672</v>
      </c>
      <c r="U221" s="46" t="b">
        <v>1</v>
      </c>
      <c r="V221" s="46" t="s">
        <v>985</v>
      </c>
      <c r="W221" s="46" t="s">
        <v>984</v>
      </c>
      <c r="X221" s="46">
        <v>6</v>
      </c>
      <c r="Y221" s="46" t="b">
        <v>1</v>
      </c>
      <c r="Z221" s="46" t="s">
        <v>675</v>
      </c>
      <c r="AA221" s="46" t="s">
        <v>676</v>
      </c>
      <c r="AB221" s="46" t="s">
        <v>677</v>
      </c>
      <c r="AC221" s="46">
        <v>0</v>
      </c>
      <c r="AD221" s="46" t="s">
        <v>678</v>
      </c>
      <c r="AE221" s="46">
        <v>8</v>
      </c>
      <c r="AF221" s="46" t="s">
        <v>679</v>
      </c>
      <c r="AG221" s="46">
        <v>36650.290999999997</v>
      </c>
      <c r="AH221" s="46" t="b">
        <v>1</v>
      </c>
      <c r="AI221" s="46">
        <v>-1</v>
      </c>
      <c r="AJ221" s="46" t="s">
        <v>680</v>
      </c>
      <c r="AK221" s="46">
        <v>0</v>
      </c>
      <c r="AL221" s="46" t="b">
        <v>0</v>
      </c>
      <c r="AM221" s="46">
        <v>36650.290999999997</v>
      </c>
      <c r="AN221" s="46" t="b">
        <v>1</v>
      </c>
      <c r="AO221" s="46">
        <v>0</v>
      </c>
      <c r="AP221" s="46" t="b">
        <v>0</v>
      </c>
      <c r="AQ221" s="46">
        <v>172950.016</v>
      </c>
      <c r="AS221" s="46">
        <v>172950.016</v>
      </c>
      <c r="AT221" s="46">
        <v>6</v>
      </c>
      <c r="AU221" s="46" t="b">
        <v>1</v>
      </c>
      <c r="AV221" s="46" t="b">
        <v>0</v>
      </c>
    </row>
    <row r="222" spans="2:48">
      <c r="B222" s="46" t="s">
        <v>665</v>
      </c>
      <c r="C222" s="46" t="s">
        <v>666</v>
      </c>
      <c r="D222" s="46">
        <v>20230901</v>
      </c>
      <c r="E222" s="46">
        <v>2023</v>
      </c>
      <c r="F222" s="46">
        <v>9</v>
      </c>
      <c r="G222" s="46" t="s">
        <v>723</v>
      </c>
      <c r="H222" s="46">
        <v>818</v>
      </c>
      <c r="I222" s="46" t="s">
        <v>668</v>
      </c>
      <c r="J222" s="46" t="s">
        <v>57</v>
      </c>
      <c r="K222" s="46" t="s">
        <v>666</v>
      </c>
      <c r="L222" s="46" t="s">
        <v>669</v>
      </c>
      <c r="M222" s="46">
        <v>410</v>
      </c>
      <c r="N222" s="46" t="s">
        <v>754</v>
      </c>
      <c r="O222" s="46" t="s">
        <v>755</v>
      </c>
      <c r="P222" s="46">
        <v>0</v>
      </c>
      <c r="Q222" s="46" t="s">
        <v>670</v>
      </c>
      <c r="R222" s="46" t="s">
        <v>23</v>
      </c>
      <c r="S222" s="46" t="s">
        <v>671</v>
      </c>
      <c r="T222" s="46" t="s">
        <v>672</v>
      </c>
      <c r="U222" s="46" t="b">
        <v>1</v>
      </c>
      <c r="V222" s="46" t="s">
        <v>985</v>
      </c>
      <c r="W222" s="46" t="s">
        <v>984</v>
      </c>
      <c r="X222" s="46">
        <v>6</v>
      </c>
      <c r="Y222" s="46" t="b">
        <v>1</v>
      </c>
      <c r="Z222" s="46" t="s">
        <v>675</v>
      </c>
      <c r="AA222" s="46" t="s">
        <v>676</v>
      </c>
      <c r="AB222" s="46" t="s">
        <v>677</v>
      </c>
      <c r="AC222" s="46">
        <v>0</v>
      </c>
      <c r="AD222" s="46" t="s">
        <v>678</v>
      </c>
      <c r="AE222" s="46">
        <v>8</v>
      </c>
      <c r="AF222" s="46" t="s">
        <v>679</v>
      </c>
      <c r="AG222" s="46">
        <v>20765.987000000001</v>
      </c>
      <c r="AH222" s="46" t="b">
        <v>1</v>
      </c>
      <c r="AI222" s="46">
        <v>-1</v>
      </c>
      <c r="AJ222" s="46" t="s">
        <v>680</v>
      </c>
      <c r="AK222" s="46">
        <v>0</v>
      </c>
      <c r="AL222" s="46" t="b">
        <v>0</v>
      </c>
      <c r="AM222" s="46">
        <v>20765.987000000001</v>
      </c>
      <c r="AN222" s="46" t="b">
        <v>1</v>
      </c>
      <c r="AO222" s="46">
        <v>0</v>
      </c>
      <c r="AP222" s="46" t="b">
        <v>0</v>
      </c>
      <c r="AQ222" s="46">
        <v>97993.157000000007</v>
      </c>
      <c r="AS222" s="46">
        <v>97993.157000000007</v>
      </c>
      <c r="AT222" s="46">
        <v>6</v>
      </c>
      <c r="AU222" s="46" t="b">
        <v>1</v>
      </c>
      <c r="AV222" s="46" t="b">
        <v>0</v>
      </c>
    </row>
    <row r="223" spans="2:48">
      <c r="B223" s="46" t="s">
        <v>665</v>
      </c>
      <c r="C223" s="46" t="s">
        <v>666</v>
      </c>
      <c r="D223" s="46">
        <v>20230901</v>
      </c>
      <c r="E223" s="46">
        <v>2023</v>
      </c>
      <c r="F223" s="46">
        <v>9</v>
      </c>
      <c r="G223" s="46" t="s">
        <v>723</v>
      </c>
      <c r="H223" s="46">
        <v>818</v>
      </c>
      <c r="I223" s="46" t="s">
        <v>668</v>
      </c>
      <c r="J223" s="46" t="s">
        <v>57</v>
      </c>
      <c r="K223" s="46" t="s">
        <v>666</v>
      </c>
      <c r="L223" s="46" t="s">
        <v>669</v>
      </c>
      <c r="M223" s="46">
        <v>458</v>
      </c>
      <c r="N223" s="46" t="s">
        <v>722</v>
      </c>
      <c r="O223" s="46" t="s">
        <v>26</v>
      </c>
      <c r="P223" s="46">
        <v>0</v>
      </c>
      <c r="Q223" s="46" t="s">
        <v>670</v>
      </c>
      <c r="R223" s="46" t="s">
        <v>23</v>
      </c>
      <c r="S223" s="46" t="s">
        <v>671</v>
      </c>
      <c r="T223" s="46" t="s">
        <v>672</v>
      </c>
      <c r="U223" s="46" t="b">
        <v>1</v>
      </c>
      <c r="V223" s="46" t="s">
        <v>985</v>
      </c>
      <c r="W223" s="46" t="s">
        <v>984</v>
      </c>
      <c r="X223" s="46">
        <v>6</v>
      </c>
      <c r="Y223" s="46" t="b">
        <v>1</v>
      </c>
      <c r="Z223" s="46" t="s">
        <v>675</v>
      </c>
      <c r="AA223" s="46" t="s">
        <v>676</v>
      </c>
      <c r="AB223" s="46" t="s">
        <v>677</v>
      </c>
      <c r="AC223" s="46">
        <v>0</v>
      </c>
      <c r="AD223" s="46" t="s">
        <v>678</v>
      </c>
      <c r="AE223" s="46">
        <v>8</v>
      </c>
      <c r="AF223" s="46" t="s">
        <v>679</v>
      </c>
      <c r="AG223" s="46">
        <v>1188.0640000000001</v>
      </c>
      <c r="AH223" s="46" t="b">
        <v>1</v>
      </c>
      <c r="AI223" s="46">
        <v>-1</v>
      </c>
      <c r="AJ223" s="46" t="s">
        <v>680</v>
      </c>
      <c r="AK223" s="46">
        <v>0</v>
      </c>
      <c r="AL223" s="46" t="b">
        <v>0</v>
      </c>
      <c r="AM223" s="46">
        <v>1188.0640000000001</v>
      </c>
      <c r="AN223" s="46" t="b">
        <v>1</v>
      </c>
      <c r="AO223" s="46">
        <v>0</v>
      </c>
      <c r="AP223" s="46" t="b">
        <v>0</v>
      </c>
      <c r="AQ223" s="46">
        <v>5606.3890000000001</v>
      </c>
      <c r="AS223" s="46">
        <v>5606.3890000000001</v>
      </c>
      <c r="AT223" s="46">
        <v>6</v>
      </c>
      <c r="AU223" s="46" t="b">
        <v>1</v>
      </c>
      <c r="AV223" s="46" t="b">
        <v>0</v>
      </c>
    </row>
    <row r="224" spans="2:48">
      <c r="B224" s="46" t="s">
        <v>665</v>
      </c>
      <c r="C224" s="46" t="s">
        <v>666</v>
      </c>
      <c r="D224" s="46">
        <v>20230901</v>
      </c>
      <c r="E224" s="46">
        <v>2023</v>
      </c>
      <c r="F224" s="46">
        <v>9</v>
      </c>
      <c r="G224" s="46" t="s">
        <v>723</v>
      </c>
      <c r="H224" s="46">
        <v>818</v>
      </c>
      <c r="I224" s="46" t="s">
        <v>668</v>
      </c>
      <c r="J224" s="46" t="s">
        <v>57</v>
      </c>
      <c r="K224" s="46" t="s">
        <v>666</v>
      </c>
      <c r="L224" s="46" t="s">
        <v>669</v>
      </c>
      <c r="M224" s="46">
        <v>528</v>
      </c>
      <c r="N224" s="46" t="s">
        <v>698</v>
      </c>
      <c r="O224" s="46" t="s">
        <v>60</v>
      </c>
      <c r="P224" s="46">
        <v>0</v>
      </c>
      <c r="Q224" s="46" t="s">
        <v>670</v>
      </c>
      <c r="R224" s="46" t="s">
        <v>23</v>
      </c>
      <c r="S224" s="46" t="s">
        <v>671</v>
      </c>
      <c r="T224" s="46" t="s">
        <v>672</v>
      </c>
      <c r="U224" s="46" t="b">
        <v>1</v>
      </c>
      <c r="V224" s="46" t="s">
        <v>985</v>
      </c>
      <c r="W224" s="46" t="s">
        <v>984</v>
      </c>
      <c r="X224" s="46">
        <v>6</v>
      </c>
      <c r="Y224" s="46" t="b">
        <v>1</v>
      </c>
      <c r="Z224" s="46" t="s">
        <v>675</v>
      </c>
      <c r="AA224" s="46" t="s">
        <v>676</v>
      </c>
      <c r="AB224" s="46" t="s">
        <v>677</v>
      </c>
      <c r="AC224" s="46">
        <v>0</v>
      </c>
      <c r="AD224" s="46" t="s">
        <v>678</v>
      </c>
      <c r="AE224" s="46">
        <v>8</v>
      </c>
      <c r="AF224" s="46" t="s">
        <v>679</v>
      </c>
      <c r="AG224" s="46">
        <v>27204.224999999999</v>
      </c>
      <c r="AH224" s="46" t="b">
        <v>1</v>
      </c>
      <c r="AI224" s="46">
        <v>-1</v>
      </c>
      <c r="AJ224" s="46" t="s">
        <v>680</v>
      </c>
      <c r="AK224" s="46">
        <v>0</v>
      </c>
      <c r="AL224" s="46" t="b">
        <v>0</v>
      </c>
      <c r="AM224" s="46">
        <v>27204.224999999999</v>
      </c>
      <c r="AN224" s="46" t="b">
        <v>1</v>
      </c>
      <c r="AO224" s="46">
        <v>0</v>
      </c>
      <c r="AP224" s="46" t="b">
        <v>0</v>
      </c>
      <c r="AQ224" s="46">
        <v>128374.72500000001</v>
      </c>
      <c r="AS224" s="46">
        <v>128374.72500000001</v>
      </c>
      <c r="AT224" s="46">
        <v>6</v>
      </c>
      <c r="AU224" s="46" t="b">
        <v>1</v>
      </c>
      <c r="AV224" s="46" t="b">
        <v>0</v>
      </c>
    </row>
    <row r="225" spans="2:48">
      <c r="B225" s="46" t="s">
        <v>665</v>
      </c>
      <c r="C225" s="46" t="s">
        <v>666</v>
      </c>
      <c r="D225" s="46">
        <v>20230901</v>
      </c>
      <c r="E225" s="46">
        <v>2023</v>
      </c>
      <c r="F225" s="46">
        <v>9</v>
      </c>
      <c r="G225" s="46" t="s">
        <v>723</v>
      </c>
      <c r="H225" s="46">
        <v>818</v>
      </c>
      <c r="I225" s="46" t="s">
        <v>668</v>
      </c>
      <c r="J225" s="46" t="s">
        <v>57</v>
      </c>
      <c r="K225" s="46" t="s">
        <v>666</v>
      </c>
      <c r="L225" s="46" t="s">
        <v>669</v>
      </c>
      <c r="M225" s="46">
        <v>568</v>
      </c>
      <c r="N225" s="46" t="s">
        <v>682</v>
      </c>
      <c r="O225" s="46" t="s">
        <v>683</v>
      </c>
      <c r="P225" s="46">
        <v>0</v>
      </c>
      <c r="Q225" s="46" t="s">
        <v>670</v>
      </c>
      <c r="R225" s="46" t="s">
        <v>23</v>
      </c>
      <c r="S225" s="46" t="s">
        <v>671</v>
      </c>
      <c r="T225" s="46" t="s">
        <v>672</v>
      </c>
      <c r="U225" s="46" t="b">
        <v>1</v>
      </c>
      <c r="V225" s="46" t="s">
        <v>985</v>
      </c>
      <c r="W225" s="46" t="s">
        <v>984</v>
      </c>
      <c r="X225" s="46">
        <v>6</v>
      </c>
      <c r="Y225" s="46" t="b">
        <v>1</v>
      </c>
      <c r="Z225" s="46" t="s">
        <v>675</v>
      </c>
      <c r="AA225" s="46" t="s">
        <v>676</v>
      </c>
      <c r="AB225" s="46" t="s">
        <v>677</v>
      </c>
      <c r="AC225" s="46">
        <v>0</v>
      </c>
      <c r="AD225" s="46" t="s">
        <v>678</v>
      </c>
      <c r="AE225" s="46">
        <v>8</v>
      </c>
      <c r="AF225" s="46" t="s">
        <v>679</v>
      </c>
      <c r="AG225" s="46">
        <v>74611.517999999996</v>
      </c>
      <c r="AH225" s="46" t="b">
        <v>1</v>
      </c>
      <c r="AI225" s="46">
        <v>-1</v>
      </c>
      <c r="AJ225" s="46" t="s">
        <v>680</v>
      </c>
      <c r="AK225" s="46">
        <v>0</v>
      </c>
      <c r="AL225" s="46" t="b">
        <v>0</v>
      </c>
      <c r="AM225" s="46">
        <v>74611.517999999996</v>
      </c>
      <c r="AN225" s="46" t="b">
        <v>1</v>
      </c>
      <c r="AO225" s="46">
        <v>0</v>
      </c>
      <c r="AP225" s="46" t="b">
        <v>0</v>
      </c>
      <c r="AQ225" s="46">
        <v>352086.23800000001</v>
      </c>
      <c r="AS225" s="46">
        <v>352086.23800000001</v>
      </c>
      <c r="AT225" s="46">
        <v>6</v>
      </c>
      <c r="AU225" s="46" t="b">
        <v>1</v>
      </c>
      <c r="AV225" s="46" t="b">
        <v>0</v>
      </c>
    </row>
    <row r="226" spans="2:48">
      <c r="B226" s="46" t="s">
        <v>665</v>
      </c>
      <c r="C226" s="46" t="s">
        <v>666</v>
      </c>
      <c r="D226" s="46">
        <v>20230901</v>
      </c>
      <c r="E226" s="46">
        <v>2023</v>
      </c>
      <c r="F226" s="46">
        <v>9</v>
      </c>
      <c r="G226" s="46" t="s">
        <v>723</v>
      </c>
      <c r="H226" s="46">
        <v>818</v>
      </c>
      <c r="I226" s="46" t="s">
        <v>668</v>
      </c>
      <c r="J226" s="46" t="s">
        <v>57</v>
      </c>
      <c r="K226" s="46" t="s">
        <v>666</v>
      </c>
      <c r="L226" s="46" t="s">
        <v>669</v>
      </c>
      <c r="M226" s="46">
        <v>616</v>
      </c>
      <c r="N226" s="46" t="s">
        <v>999</v>
      </c>
      <c r="O226" s="46" t="s">
        <v>84</v>
      </c>
      <c r="P226" s="46">
        <v>0</v>
      </c>
      <c r="Q226" s="46" t="s">
        <v>670</v>
      </c>
      <c r="R226" s="46" t="s">
        <v>23</v>
      </c>
      <c r="S226" s="46" t="s">
        <v>671</v>
      </c>
      <c r="T226" s="46" t="s">
        <v>672</v>
      </c>
      <c r="U226" s="46" t="b">
        <v>1</v>
      </c>
      <c r="V226" s="46" t="s">
        <v>985</v>
      </c>
      <c r="W226" s="46" t="s">
        <v>984</v>
      </c>
      <c r="X226" s="46">
        <v>6</v>
      </c>
      <c r="Y226" s="46" t="b">
        <v>1</v>
      </c>
      <c r="Z226" s="46" t="s">
        <v>675</v>
      </c>
      <c r="AA226" s="46" t="s">
        <v>676</v>
      </c>
      <c r="AB226" s="46" t="s">
        <v>677</v>
      </c>
      <c r="AC226" s="46">
        <v>0</v>
      </c>
      <c r="AD226" s="46" t="s">
        <v>678</v>
      </c>
      <c r="AE226" s="46">
        <v>8</v>
      </c>
      <c r="AF226" s="46" t="s">
        <v>679</v>
      </c>
      <c r="AG226" s="46">
        <v>12913.428</v>
      </c>
      <c r="AH226" s="46" t="b">
        <v>1</v>
      </c>
      <c r="AI226" s="46">
        <v>-1</v>
      </c>
      <c r="AJ226" s="46" t="s">
        <v>680</v>
      </c>
      <c r="AK226" s="46">
        <v>0</v>
      </c>
      <c r="AL226" s="46" t="b">
        <v>0</v>
      </c>
      <c r="AM226" s="46">
        <v>12913.428</v>
      </c>
      <c r="AN226" s="46" t="b">
        <v>1</v>
      </c>
      <c r="AO226" s="46">
        <v>0</v>
      </c>
      <c r="AP226" s="46" t="b">
        <v>0</v>
      </c>
      <c r="AQ226" s="46">
        <v>60937.512000000002</v>
      </c>
      <c r="AS226" s="46">
        <v>60937.512000000002</v>
      </c>
      <c r="AT226" s="46">
        <v>6</v>
      </c>
      <c r="AU226" s="46" t="b">
        <v>1</v>
      </c>
      <c r="AV226" s="46" t="b">
        <v>0</v>
      </c>
    </row>
    <row r="227" spans="2:48">
      <c r="B227" s="46" t="s">
        <v>665</v>
      </c>
      <c r="C227" s="46" t="s">
        <v>666</v>
      </c>
      <c r="D227" s="46">
        <v>20230901</v>
      </c>
      <c r="E227" s="46">
        <v>2023</v>
      </c>
      <c r="F227" s="46">
        <v>9</v>
      </c>
      <c r="G227" s="46" t="s">
        <v>723</v>
      </c>
      <c r="H227" s="46">
        <v>818</v>
      </c>
      <c r="I227" s="46" t="s">
        <v>668</v>
      </c>
      <c r="J227" s="46" t="s">
        <v>57</v>
      </c>
      <c r="K227" s="46" t="s">
        <v>666</v>
      </c>
      <c r="L227" s="46" t="s">
        <v>669</v>
      </c>
      <c r="M227" s="46">
        <v>620</v>
      </c>
      <c r="N227" s="46" t="s">
        <v>693</v>
      </c>
      <c r="O227" s="46" t="s">
        <v>85</v>
      </c>
      <c r="P227" s="46">
        <v>0</v>
      </c>
      <c r="Q227" s="46" t="s">
        <v>670</v>
      </c>
      <c r="R227" s="46" t="s">
        <v>23</v>
      </c>
      <c r="S227" s="46" t="s">
        <v>671</v>
      </c>
      <c r="T227" s="46" t="s">
        <v>672</v>
      </c>
      <c r="U227" s="46" t="b">
        <v>1</v>
      </c>
      <c r="V227" s="46" t="s">
        <v>985</v>
      </c>
      <c r="W227" s="46" t="s">
        <v>984</v>
      </c>
      <c r="X227" s="46">
        <v>6</v>
      </c>
      <c r="Y227" s="46" t="b">
        <v>1</v>
      </c>
      <c r="Z227" s="46" t="s">
        <v>675</v>
      </c>
      <c r="AA227" s="46" t="s">
        <v>676</v>
      </c>
      <c r="AB227" s="46" t="s">
        <v>677</v>
      </c>
      <c r="AC227" s="46">
        <v>0</v>
      </c>
      <c r="AD227" s="46" t="s">
        <v>678</v>
      </c>
      <c r="AE227" s="46">
        <v>8</v>
      </c>
      <c r="AF227" s="46" t="s">
        <v>679</v>
      </c>
      <c r="AG227" s="46">
        <v>191.661</v>
      </c>
      <c r="AH227" s="46" t="b">
        <v>1</v>
      </c>
      <c r="AI227" s="46">
        <v>-1</v>
      </c>
      <c r="AJ227" s="46" t="s">
        <v>680</v>
      </c>
      <c r="AK227" s="46">
        <v>0</v>
      </c>
      <c r="AL227" s="46" t="b">
        <v>0</v>
      </c>
      <c r="AM227" s="46">
        <v>191.661</v>
      </c>
      <c r="AN227" s="46" t="b">
        <v>1</v>
      </c>
      <c r="AO227" s="46">
        <v>0</v>
      </c>
      <c r="AP227" s="46" t="b">
        <v>0</v>
      </c>
      <c r="AQ227" s="46">
        <v>904.43399999999997</v>
      </c>
      <c r="AS227" s="46">
        <v>904.43399999999997</v>
      </c>
      <c r="AT227" s="46">
        <v>6</v>
      </c>
      <c r="AU227" s="46" t="b">
        <v>1</v>
      </c>
      <c r="AV227" s="46" t="b">
        <v>0</v>
      </c>
    </row>
    <row r="228" spans="2:48">
      <c r="B228" s="46" t="s">
        <v>665</v>
      </c>
      <c r="C228" s="46" t="s">
        <v>666</v>
      </c>
      <c r="D228" s="46">
        <v>20230901</v>
      </c>
      <c r="E228" s="46">
        <v>2023</v>
      </c>
      <c r="F228" s="46">
        <v>9</v>
      </c>
      <c r="G228" s="46" t="s">
        <v>723</v>
      </c>
      <c r="H228" s="46">
        <v>818</v>
      </c>
      <c r="I228" s="46" t="s">
        <v>668</v>
      </c>
      <c r="J228" s="46" t="s">
        <v>57</v>
      </c>
      <c r="K228" s="46" t="s">
        <v>666</v>
      </c>
      <c r="L228" s="46" t="s">
        <v>669</v>
      </c>
      <c r="M228" s="46">
        <v>634</v>
      </c>
      <c r="N228" s="46" t="s">
        <v>993</v>
      </c>
      <c r="O228" s="46" t="s">
        <v>37</v>
      </c>
      <c r="P228" s="46">
        <v>0</v>
      </c>
      <c r="Q228" s="46" t="s">
        <v>670</v>
      </c>
      <c r="R228" s="46" t="s">
        <v>23</v>
      </c>
      <c r="S228" s="46" t="s">
        <v>671</v>
      </c>
      <c r="T228" s="46" t="s">
        <v>672</v>
      </c>
      <c r="U228" s="46" t="b">
        <v>1</v>
      </c>
      <c r="V228" s="46" t="s">
        <v>985</v>
      </c>
      <c r="W228" s="46" t="s">
        <v>984</v>
      </c>
      <c r="X228" s="46">
        <v>6</v>
      </c>
      <c r="Y228" s="46" t="b">
        <v>1</v>
      </c>
      <c r="Z228" s="46" t="s">
        <v>675</v>
      </c>
      <c r="AA228" s="46" t="s">
        <v>676</v>
      </c>
      <c r="AB228" s="46" t="s">
        <v>677</v>
      </c>
      <c r="AC228" s="46">
        <v>0</v>
      </c>
      <c r="AD228" s="46" t="s">
        <v>678</v>
      </c>
      <c r="AE228" s="46">
        <v>8</v>
      </c>
      <c r="AF228" s="46" t="s">
        <v>679</v>
      </c>
      <c r="AG228" s="46">
        <v>102883.845</v>
      </c>
      <c r="AH228" s="46" t="b">
        <v>1</v>
      </c>
      <c r="AI228" s="46">
        <v>-1</v>
      </c>
      <c r="AJ228" s="46" t="s">
        <v>680</v>
      </c>
      <c r="AK228" s="46">
        <v>0</v>
      </c>
      <c r="AL228" s="46" t="b">
        <v>0</v>
      </c>
      <c r="AM228" s="46">
        <v>102883.845</v>
      </c>
      <c r="AN228" s="46" t="b">
        <v>1</v>
      </c>
      <c r="AO228" s="46">
        <v>0</v>
      </c>
      <c r="AP228" s="46" t="b">
        <v>0</v>
      </c>
      <c r="AQ228" s="46">
        <v>485501.25799999997</v>
      </c>
      <c r="AS228" s="46">
        <v>485501.25799999997</v>
      </c>
      <c r="AT228" s="46">
        <v>6</v>
      </c>
      <c r="AU228" s="46" t="b">
        <v>1</v>
      </c>
      <c r="AV228" s="46" t="b">
        <v>0</v>
      </c>
    </row>
    <row r="229" spans="2:48">
      <c r="B229" s="46" t="s">
        <v>665</v>
      </c>
      <c r="C229" s="46" t="s">
        <v>666</v>
      </c>
      <c r="D229" s="46">
        <v>20230901</v>
      </c>
      <c r="E229" s="46">
        <v>2023</v>
      </c>
      <c r="F229" s="46">
        <v>9</v>
      </c>
      <c r="G229" s="46" t="s">
        <v>723</v>
      </c>
      <c r="H229" s="46">
        <v>818</v>
      </c>
      <c r="I229" s="46" t="s">
        <v>668</v>
      </c>
      <c r="J229" s="46" t="s">
        <v>57</v>
      </c>
      <c r="K229" s="46" t="s">
        <v>666</v>
      </c>
      <c r="L229" s="46" t="s">
        <v>669</v>
      </c>
      <c r="M229" s="46">
        <v>682</v>
      </c>
      <c r="N229" s="46" t="s">
        <v>758</v>
      </c>
      <c r="O229" s="46" t="s">
        <v>39</v>
      </c>
      <c r="P229" s="46">
        <v>0</v>
      </c>
      <c r="Q229" s="46" t="s">
        <v>670</v>
      </c>
      <c r="R229" s="46" t="s">
        <v>23</v>
      </c>
      <c r="S229" s="46" t="s">
        <v>671</v>
      </c>
      <c r="T229" s="46" t="s">
        <v>672</v>
      </c>
      <c r="U229" s="46" t="b">
        <v>1</v>
      </c>
      <c r="V229" s="46" t="s">
        <v>985</v>
      </c>
      <c r="W229" s="46" t="s">
        <v>984</v>
      </c>
      <c r="X229" s="46">
        <v>6</v>
      </c>
      <c r="Y229" s="46" t="b">
        <v>1</v>
      </c>
      <c r="Z229" s="46" t="s">
        <v>675</v>
      </c>
      <c r="AA229" s="46" t="s">
        <v>676</v>
      </c>
      <c r="AB229" s="46" t="s">
        <v>677</v>
      </c>
      <c r="AC229" s="46">
        <v>0</v>
      </c>
      <c r="AD229" s="46" t="s">
        <v>678</v>
      </c>
      <c r="AE229" s="46">
        <v>8</v>
      </c>
      <c r="AF229" s="46" t="s">
        <v>679</v>
      </c>
      <c r="AG229" s="46">
        <v>63283.618000000002</v>
      </c>
      <c r="AH229" s="46" t="b">
        <v>1</v>
      </c>
      <c r="AI229" s="46">
        <v>-1</v>
      </c>
      <c r="AJ229" s="46" t="s">
        <v>680</v>
      </c>
      <c r="AK229" s="46">
        <v>0</v>
      </c>
      <c r="AL229" s="46" t="b">
        <v>0</v>
      </c>
      <c r="AM229" s="46">
        <v>63283.618000000002</v>
      </c>
      <c r="AN229" s="46" t="b">
        <v>1</v>
      </c>
      <c r="AO229" s="46">
        <v>0</v>
      </c>
      <c r="AP229" s="46" t="b">
        <v>0</v>
      </c>
      <c r="AQ229" s="46">
        <v>298630.71500000003</v>
      </c>
      <c r="AS229" s="46">
        <v>298630.71500000003</v>
      </c>
      <c r="AT229" s="46">
        <v>6</v>
      </c>
      <c r="AU229" s="46" t="b">
        <v>1</v>
      </c>
      <c r="AV229" s="46" t="b">
        <v>0</v>
      </c>
    </row>
    <row r="230" spans="2:48">
      <c r="B230" s="46" t="s">
        <v>665</v>
      </c>
      <c r="C230" s="46" t="s">
        <v>666</v>
      </c>
      <c r="D230" s="46">
        <v>20230901</v>
      </c>
      <c r="E230" s="46">
        <v>2023</v>
      </c>
      <c r="F230" s="46">
        <v>9</v>
      </c>
      <c r="G230" s="46" t="s">
        <v>723</v>
      </c>
      <c r="H230" s="46">
        <v>818</v>
      </c>
      <c r="I230" s="46" t="s">
        <v>668</v>
      </c>
      <c r="J230" s="46" t="s">
        <v>57</v>
      </c>
      <c r="K230" s="46" t="s">
        <v>666</v>
      </c>
      <c r="L230" s="46" t="s">
        <v>669</v>
      </c>
      <c r="M230" s="46">
        <v>699</v>
      </c>
      <c r="N230" s="46" t="s">
        <v>748</v>
      </c>
      <c r="O230" s="46" t="s">
        <v>0</v>
      </c>
      <c r="P230" s="46">
        <v>0</v>
      </c>
      <c r="Q230" s="46" t="s">
        <v>670</v>
      </c>
      <c r="R230" s="46" t="s">
        <v>23</v>
      </c>
      <c r="S230" s="46" t="s">
        <v>671</v>
      </c>
      <c r="T230" s="46" t="s">
        <v>672</v>
      </c>
      <c r="U230" s="46" t="b">
        <v>1</v>
      </c>
      <c r="V230" s="46" t="s">
        <v>985</v>
      </c>
      <c r="W230" s="46" t="s">
        <v>984</v>
      </c>
      <c r="X230" s="46">
        <v>6</v>
      </c>
      <c r="Y230" s="46" t="b">
        <v>1</v>
      </c>
      <c r="Z230" s="46" t="s">
        <v>675</v>
      </c>
      <c r="AA230" s="46" t="s">
        <v>676</v>
      </c>
      <c r="AB230" s="46" t="s">
        <v>677</v>
      </c>
      <c r="AC230" s="46">
        <v>0</v>
      </c>
      <c r="AD230" s="46" t="s">
        <v>678</v>
      </c>
      <c r="AE230" s="46">
        <v>8</v>
      </c>
      <c r="AF230" s="46" t="s">
        <v>679</v>
      </c>
      <c r="AG230" s="46">
        <v>289186.54499999998</v>
      </c>
      <c r="AH230" s="46" t="b">
        <v>1</v>
      </c>
      <c r="AI230" s="46">
        <v>-1</v>
      </c>
      <c r="AJ230" s="46" t="s">
        <v>680</v>
      </c>
      <c r="AK230" s="46">
        <v>0</v>
      </c>
      <c r="AL230" s="46" t="b">
        <v>0</v>
      </c>
      <c r="AM230" s="46">
        <v>289186.54499999998</v>
      </c>
      <c r="AN230" s="46" t="b">
        <v>1</v>
      </c>
      <c r="AO230" s="46">
        <v>0</v>
      </c>
      <c r="AP230" s="46" t="b">
        <v>0</v>
      </c>
      <c r="AQ230" s="46">
        <v>1364649.9280000001</v>
      </c>
      <c r="AS230" s="46">
        <v>1364649.9280000001</v>
      </c>
      <c r="AT230" s="46">
        <v>6</v>
      </c>
      <c r="AU230" s="46" t="b">
        <v>1</v>
      </c>
      <c r="AV230" s="46" t="b">
        <v>0</v>
      </c>
    </row>
    <row r="231" spans="2:48">
      <c r="B231" s="46" t="s">
        <v>665</v>
      </c>
      <c r="C231" s="46" t="s">
        <v>666</v>
      </c>
      <c r="D231" s="46">
        <v>20230901</v>
      </c>
      <c r="E231" s="46">
        <v>2023</v>
      </c>
      <c r="F231" s="46">
        <v>9</v>
      </c>
      <c r="G231" s="46" t="s">
        <v>723</v>
      </c>
      <c r="H231" s="46">
        <v>818</v>
      </c>
      <c r="I231" s="46" t="s">
        <v>668</v>
      </c>
      <c r="J231" s="46" t="s">
        <v>57</v>
      </c>
      <c r="K231" s="46" t="s">
        <v>666</v>
      </c>
      <c r="L231" s="46" t="s">
        <v>669</v>
      </c>
      <c r="M231" s="46">
        <v>702</v>
      </c>
      <c r="N231" s="46" t="s">
        <v>994</v>
      </c>
      <c r="O231" s="46" t="s">
        <v>28</v>
      </c>
      <c r="P231" s="46">
        <v>0</v>
      </c>
      <c r="Q231" s="46" t="s">
        <v>670</v>
      </c>
      <c r="R231" s="46" t="s">
        <v>23</v>
      </c>
      <c r="S231" s="46" t="s">
        <v>671</v>
      </c>
      <c r="T231" s="46" t="s">
        <v>672</v>
      </c>
      <c r="U231" s="46" t="b">
        <v>1</v>
      </c>
      <c r="V231" s="46" t="s">
        <v>985</v>
      </c>
      <c r="W231" s="46" t="s">
        <v>984</v>
      </c>
      <c r="X231" s="46">
        <v>6</v>
      </c>
      <c r="Y231" s="46" t="b">
        <v>1</v>
      </c>
      <c r="Z231" s="46" t="s">
        <v>675</v>
      </c>
      <c r="AA231" s="46" t="s">
        <v>676</v>
      </c>
      <c r="AB231" s="46" t="s">
        <v>677</v>
      </c>
      <c r="AC231" s="46">
        <v>0</v>
      </c>
      <c r="AD231" s="46" t="s">
        <v>678</v>
      </c>
      <c r="AE231" s="46">
        <v>8</v>
      </c>
      <c r="AF231" s="46" t="s">
        <v>679</v>
      </c>
      <c r="AG231" s="46">
        <v>14332.992</v>
      </c>
      <c r="AH231" s="46" t="b">
        <v>1</v>
      </c>
      <c r="AI231" s="46">
        <v>-1</v>
      </c>
      <c r="AJ231" s="46" t="s">
        <v>680</v>
      </c>
      <c r="AK231" s="46">
        <v>0</v>
      </c>
      <c r="AL231" s="46" t="b">
        <v>0</v>
      </c>
      <c r="AM231" s="46">
        <v>14332.992</v>
      </c>
      <c r="AN231" s="46" t="b">
        <v>1</v>
      </c>
      <c r="AO231" s="46">
        <v>0</v>
      </c>
      <c r="AP231" s="46" t="b">
        <v>0</v>
      </c>
      <c r="AQ231" s="46">
        <v>67636.327999999994</v>
      </c>
      <c r="AS231" s="46">
        <v>67636.327999999994</v>
      </c>
      <c r="AT231" s="46">
        <v>6</v>
      </c>
      <c r="AU231" s="46" t="b">
        <v>1</v>
      </c>
      <c r="AV231" s="46" t="b">
        <v>0</v>
      </c>
    </row>
    <row r="232" spans="2:48">
      <c r="B232" s="46" t="s">
        <v>665</v>
      </c>
      <c r="C232" s="46" t="s">
        <v>666</v>
      </c>
      <c r="D232" s="46">
        <v>20230901</v>
      </c>
      <c r="E232" s="46">
        <v>2023</v>
      </c>
      <c r="F232" s="46">
        <v>9</v>
      </c>
      <c r="G232" s="46" t="s">
        <v>723</v>
      </c>
      <c r="H232" s="46">
        <v>818</v>
      </c>
      <c r="I232" s="46" t="s">
        <v>668</v>
      </c>
      <c r="J232" s="46" t="s">
        <v>57</v>
      </c>
      <c r="K232" s="46" t="s">
        <v>666</v>
      </c>
      <c r="L232" s="46" t="s">
        <v>669</v>
      </c>
      <c r="M232" s="46">
        <v>705</v>
      </c>
      <c r="N232" s="46" t="s">
        <v>1004</v>
      </c>
      <c r="O232" s="46" t="s">
        <v>201</v>
      </c>
      <c r="P232" s="46">
        <v>0</v>
      </c>
      <c r="Q232" s="46" t="s">
        <v>670</v>
      </c>
      <c r="R232" s="46" t="s">
        <v>23</v>
      </c>
      <c r="S232" s="46" t="s">
        <v>671</v>
      </c>
      <c r="T232" s="46" t="s">
        <v>672</v>
      </c>
      <c r="U232" s="46" t="b">
        <v>1</v>
      </c>
      <c r="V232" s="46" t="s">
        <v>985</v>
      </c>
      <c r="W232" s="46" t="s">
        <v>984</v>
      </c>
      <c r="X232" s="46">
        <v>6</v>
      </c>
      <c r="Y232" s="46" t="b">
        <v>1</v>
      </c>
      <c r="Z232" s="46" t="s">
        <v>675</v>
      </c>
      <c r="AA232" s="46" t="s">
        <v>676</v>
      </c>
      <c r="AB232" s="46" t="s">
        <v>677</v>
      </c>
      <c r="AC232" s="46">
        <v>0</v>
      </c>
      <c r="AD232" s="46" t="s">
        <v>678</v>
      </c>
      <c r="AE232" s="46">
        <v>8</v>
      </c>
      <c r="AF232" s="46" t="s">
        <v>679</v>
      </c>
      <c r="AG232" s="46">
        <v>1645.816</v>
      </c>
      <c r="AH232" s="46" t="b">
        <v>1</v>
      </c>
      <c r="AI232" s="46">
        <v>-1</v>
      </c>
      <c r="AJ232" s="46" t="s">
        <v>680</v>
      </c>
      <c r="AK232" s="46">
        <v>0</v>
      </c>
      <c r="AL232" s="46" t="b">
        <v>0</v>
      </c>
      <c r="AM232" s="46">
        <v>1645.816</v>
      </c>
      <c r="AN232" s="46" t="b">
        <v>1</v>
      </c>
      <c r="AO232" s="46">
        <v>0</v>
      </c>
      <c r="AP232" s="46" t="b">
        <v>0</v>
      </c>
      <c r="AQ232" s="46">
        <v>7766.4859999999999</v>
      </c>
      <c r="AS232" s="46">
        <v>7766.4859999999999</v>
      </c>
      <c r="AT232" s="46">
        <v>6</v>
      </c>
      <c r="AU232" s="46" t="b">
        <v>1</v>
      </c>
      <c r="AV232" s="46" t="b">
        <v>0</v>
      </c>
    </row>
    <row r="233" spans="2:48">
      <c r="B233" s="46" t="s">
        <v>665</v>
      </c>
      <c r="C233" s="46" t="s">
        <v>666</v>
      </c>
      <c r="D233" s="46">
        <v>20230901</v>
      </c>
      <c r="E233" s="46">
        <v>2023</v>
      </c>
      <c r="F233" s="46">
        <v>9</v>
      </c>
      <c r="G233" s="46" t="s">
        <v>723</v>
      </c>
      <c r="H233" s="46">
        <v>818</v>
      </c>
      <c r="I233" s="46" t="s">
        <v>668</v>
      </c>
      <c r="J233" s="46" t="s">
        <v>57</v>
      </c>
      <c r="K233" s="46" t="s">
        <v>666</v>
      </c>
      <c r="L233" s="46" t="s">
        <v>669</v>
      </c>
      <c r="M233" s="46">
        <v>724</v>
      </c>
      <c r="N233" s="46" t="s">
        <v>684</v>
      </c>
      <c r="O233" s="46" t="s">
        <v>51</v>
      </c>
      <c r="P233" s="46">
        <v>0</v>
      </c>
      <c r="Q233" s="46" t="s">
        <v>670</v>
      </c>
      <c r="R233" s="46" t="s">
        <v>23</v>
      </c>
      <c r="S233" s="46" t="s">
        <v>671</v>
      </c>
      <c r="T233" s="46" t="s">
        <v>672</v>
      </c>
      <c r="U233" s="46" t="b">
        <v>1</v>
      </c>
      <c r="V233" s="46" t="s">
        <v>985</v>
      </c>
      <c r="W233" s="46" t="s">
        <v>984</v>
      </c>
      <c r="X233" s="46">
        <v>6</v>
      </c>
      <c r="Y233" s="46" t="b">
        <v>1</v>
      </c>
      <c r="Z233" s="46" t="s">
        <v>675</v>
      </c>
      <c r="AA233" s="46" t="s">
        <v>676</v>
      </c>
      <c r="AB233" s="46" t="s">
        <v>677</v>
      </c>
      <c r="AC233" s="46">
        <v>0</v>
      </c>
      <c r="AD233" s="46" t="s">
        <v>678</v>
      </c>
      <c r="AE233" s="46">
        <v>8</v>
      </c>
      <c r="AF233" s="46" t="s">
        <v>679</v>
      </c>
      <c r="AG233" s="46">
        <v>297039.68400000001</v>
      </c>
      <c r="AH233" s="46" t="b">
        <v>1</v>
      </c>
      <c r="AI233" s="46">
        <v>-1</v>
      </c>
      <c r="AJ233" s="46" t="s">
        <v>680</v>
      </c>
      <c r="AK233" s="46">
        <v>0</v>
      </c>
      <c r="AL233" s="46" t="b">
        <v>0</v>
      </c>
      <c r="AM233" s="46">
        <v>297039.68400000001</v>
      </c>
      <c r="AN233" s="46" t="b">
        <v>1</v>
      </c>
      <c r="AO233" s="46">
        <v>0</v>
      </c>
      <c r="AP233" s="46" t="b">
        <v>0</v>
      </c>
      <c r="AQ233" s="46">
        <v>1401708.3130000001</v>
      </c>
      <c r="AS233" s="46">
        <v>1401708.3130000001</v>
      </c>
      <c r="AT233" s="46">
        <v>6</v>
      </c>
      <c r="AU233" s="46" t="b">
        <v>1</v>
      </c>
      <c r="AV233" s="46" t="b">
        <v>0</v>
      </c>
    </row>
    <row r="234" spans="2:48">
      <c r="B234" s="46" t="s">
        <v>665</v>
      </c>
      <c r="C234" s="46" t="s">
        <v>666</v>
      </c>
      <c r="D234" s="46">
        <v>20230901</v>
      </c>
      <c r="E234" s="46">
        <v>2023</v>
      </c>
      <c r="F234" s="46">
        <v>9</v>
      </c>
      <c r="G234" s="46" t="s">
        <v>723</v>
      </c>
      <c r="H234" s="46">
        <v>818</v>
      </c>
      <c r="I234" s="46" t="s">
        <v>668</v>
      </c>
      <c r="J234" s="46" t="s">
        <v>57</v>
      </c>
      <c r="K234" s="46" t="s">
        <v>666</v>
      </c>
      <c r="L234" s="46" t="s">
        <v>669</v>
      </c>
      <c r="M234" s="46">
        <v>757</v>
      </c>
      <c r="N234" s="46" t="s">
        <v>996</v>
      </c>
      <c r="O234" s="46" t="s">
        <v>41</v>
      </c>
      <c r="P234" s="46">
        <v>0</v>
      </c>
      <c r="Q234" s="46" t="s">
        <v>670</v>
      </c>
      <c r="R234" s="46" t="s">
        <v>23</v>
      </c>
      <c r="S234" s="46" t="s">
        <v>671</v>
      </c>
      <c r="T234" s="46" t="s">
        <v>672</v>
      </c>
      <c r="U234" s="46" t="b">
        <v>1</v>
      </c>
      <c r="V234" s="46" t="s">
        <v>985</v>
      </c>
      <c r="W234" s="46" t="s">
        <v>984</v>
      </c>
      <c r="X234" s="46">
        <v>6</v>
      </c>
      <c r="Y234" s="46" t="b">
        <v>1</v>
      </c>
      <c r="Z234" s="46" t="s">
        <v>675</v>
      </c>
      <c r="AA234" s="46" t="s">
        <v>676</v>
      </c>
      <c r="AB234" s="46" t="s">
        <v>677</v>
      </c>
      <c r="AC234" s="46">
        <v>0</v>
      </c>
      <c r="AD234" s="46" t="s">
        <v>678</v>
      </c>
      <c r="AE234" s="46">
        <v>8</v>
      </c>
      <c r="AF234" s="46" t="s">
        <v>679</v>
      </c>
      <c r="AG234" s="46">
        <v>13555.125</v>
      </c>
      <c r="AH234" s="46" t="b">
        <v>1</v>
      </c>
      <c r="AI234" s="46">
        <v>-1</v>
      </c>
      <c r="AJ234" s="46" t="s">
        <v>680</v>
      </c>
      <c r="AK234" s="46">
        <v>0</v>
      </c>
      <c r="AL234" s="46" t="b">
        <v>0</v>
      </c>
      <c r="AM234" s="46">
        <v>13555.125</v>
      </c>
      <c r="AN234" s="46" t="b">
        <v>1</v>
      </c>
      <c r="AO234" s="46">
        <v>0</v>
      </c>
      <c r="AP234" s="46" t="b">
        <v>0</v>
      </c>
      <c r="AQ234" s="46">
        <v>63965.635000000002</v>
      </c>
      <c r="AS234" s="46">
        <v>63965.635000000002</v>
      </c>
      <c r="AT234" s="46">
        <v>6</v>
      </c>
      <c r="AU234" s="46" t="b">
        <v>1</v>
      </c>
      <c r="AV234" s="46" t="b">
        <v>0</v>
      </c>
    </row>
    <row r="235" spans="2:48">
      <c r="B235" s="46" t="s">
        <v>665</v>
      </c>
      <c r="C235" s="46" t="s">
        <v>666</v>
      </c>
      <c r="D235" s="46">
        <v>20230901</v>
      </c>
      <c r="E235" s="46">
        <v>2023</v>
      </c>
      <c r="F235" s="46">
        <v>9</v>
      </c>
      <c r="G235" s="46" t="s">
        <v>723</v>
      </c>
      <c r="H235" s="46">
        <v>818</v>
      </c>
      <c r="I235" s="46" t="s">
        <v>668</v>
      </c>
      <c r="J235" s="46" t="s">
        <v>57</v>
      </c>
      <c r="K235" s="46" t="s">
        <v>666</v>
      </c>
      <c r="L235" s="46" t="s">
        <v>669</v>
      </c>
      <c r="M235" s="46">
        <v>764</v>
      </c>
      <c r="N235" s="46" t="s">
        <v>749</v>
      </c>
      <c r="O235" s="46" t="s">
        <v>55</v>
      </c>
      <c r="P235" s="46">
        <v>0</v>
      </c>
      <c r="Q235" s="46" t="s">
        <v>670</v>
      </c>
      <c r="R235" s="46" t="s">
        <v>23</v>
      </c>
      <c r="S235" s="46" t="s">
        <v>671</v>
      </c>
      <c r="T235" s="46" t="s">
        <v>672</v>
      </c>
      <c r="U235" s="46" t="b">
        <v>1</v>
      </c>
      <c r="V235" s="46" t="s">
        <v>985</v>
      </c>
      <c r="W235" s="46" t="s">
        <v>984</v>
      </c>
      <c r="X235" s="46">
        <v>6</v>
      </c>
      <c r="Y235" s="46" t="b">
        <v>1</v>
      </c>
      <c r="Z235" s="46" t="s">
        <v>675</v>
      </c>
      <c r="AA235" s="46" t="s">
        <v>676</v>
      </c>
      <c r="AB235" s="46" t="s">
        <v>677</v>
      </c>
      <c r="AC235" s="46">
        <v>0</v>
      </c>
      <c r="AD235" s="46" t="s">
        <v>678</v>
      </c>
      <c r="AE235" s="46">
        <v>8</v>
      </c>
      <c r="AF235" s="46" t="s">
        <v>679</v>
      </c>
      <c r="AG235" s="46">
        <v>7997.0039999999999</v>
      </c>
      <c r="AH235" s="46" t="b">
        <v>1</v>
      </c>
      <c r="AI235" s="46">
        <v>-1</v>
      </c>
      <c r="AJ235" s="46" t="s">
        <v>680</v>
      </c>
      <c r="AK235" s="46">
        <v>0</v>
      </c>
      <c r="AL235" s="46" t="b">
        <v>0</v>
      </c>
      <c r="AM235" s="46">
        <v>7997.0039999999999</v>
      </c>
      <c r="AN235" s="46" t="b">
        <v>1</v>
      </c>
      <c r="AO235" s="46">
        <v>0</v>
      </c>
      <c r="AP235" s="46" t="b">
        <v>0</v>
      </c>
      <c r="AQ235" s="46">
        <v>37737.271999999997</v>
      </c>
      <c r="AS235" s="46">
        <v>37737.271999999997</v>
      </c>
      <c r="AT235" s="46">
        <v>6</v>
      </c>
      <c r="AU235" s="46" t="b">
        <v>1</v>
      </c>
      <c r="AV235" s="46" t="b">
        <v>0</v>
      </c>
    </row>
    <row r="236" spans="2:48">
      <c r="B236" s="46" t="s">
        <v>665</v>
      </c>
      <c r="C236" s="46" t="s">
        <v>666</v>
      </c>
      <c r="D236" s="46">
        <v>20230901</v>
      </c>
      <c r="E236" s="46">
        <v>2023</v>
      </c>
      <c r="F236" s="46">
        <v>9</v>
      </c>
      <c r="G236" s="46" t="s">
        <v>723</v>
      </c>
      <c r="H236" s="46">
        <v>818</v>
      </c>
      <c r="I236" s="46" t="s">
        <v>668</v>
      </c>
      <c r="J236" s="46" t="s">
        <v>57</v>
      </c>
      <c r="K236" s="46" t="s">
        <v>666</v>
      </c>
      <c r="L236" s="46" t="s">
        <v>669</v>
      </c>
      <c r="M236" s="46">
        <v>784</v>
      </c>
      <c r="N236" s="46" t="s">
        <v>694</v>
      </c>
      <c r="O236" s="46" t="s">
        <v>25</v>
      </c>
      <c r="P236" s="46">
        <v>0</v>
      </c>
      <c r="Q236" s="46" t="s">
        <v>670</v>
      </c>
      <c r="R236" s="46" t="s">
        <v>23</v>
      </c>
      <c r="S236" s="46" t="s">
        <v>671</v>
      </c>
      <c r="T236" s="46" t="s">
        <v>672</v>
      </c>
      <c r="U236" s="46" t="b">
        <v>1</v>
      </c>
      <c r="V236" s="46" t="s">
        <v>985</v>
      </c>
      <c r="W236" s="46" t="s">
        <v>984</v>
      </c>
      <c r="X236" s="46">
        <v>6</v>
      </c>
      <c r="Y236" s="46" t="b">
        <v>1</v>
      </c>
      <c r="Z236" s="46" t="s">
        <v>675</v>
      </c>
      <c r="AA236" s="46" t="s">
        <v>676</v>
      </c>
      <c r="AB236" s="46" t="s">
        <v>677</v>
      </c>
      <c r="AC236" s="46">
        <v>0</v>
      </c>
      <c r="AD236" s="46" t="s">
        <v>678</v>
      </c>
      <c r="AE236" s="46">
        <v>8</v>
      </c>
      <c r="AF236" s="46" t="s">
        <v>679</v>
      </c>
      <c r="AG236" s="46">
        <v>5332.2030000000004</v>
      </c>
      <c r="AH236" s="46" t="b">
        <v>1</v>
      </c>
      <c r="AI236" s="46">
        <v>-1</v>
      </c>
      <c r="AJ236" s="46" t="s">
        <v>680</v>
      </c>
      <c r="AK236" s="46">
        <v>0</v>
      </c>
      <c r="AL236" s="46" t="b">
        <v>0</v>
      </c>
      <c r="AM236" s="46">
        <v>5332.2030000000004</v>
      </c>
      <c r="AN236" s="46" t="b">
        <v>1</v>
      </c>
      <c r="AO236" s="46">
        <v>0</v>
      </c>
      <c r="AP236" s="46" t="b">
        <v>0</v>
      </c>
      <c r="AQ236" s="46">
        <v>25162.272000000001</v>
      </c>
      <c r="AS236" s="46">
        <v>25162.272000000001</v>
      </c>
      <c r="AT236" s="46">
        <v>6</v>
      </c>
      <c r="AU236" s="46" t="b">
        <v>1</v>
      </c>
      <c r="AV236" s="46" t="b">
        <v>0</v>
      </c>
    </row>
    <row r="237" spans="2:48">
      <c r="B237" s="46" t="s">
        <v>665</v>
      </c>
      <c r="C237" s="46" t="s">
        <v>666</v>
      </c>
      <c r="D237" s="46">
        <v>20230901</v>
      </c>
      <c r="E237" s="46">
        <v>2023</v>
      </c>
      <c r="F237" s="46">
        <v>9</v>
      </c>
      <c r="G237" s="46" t="s">
        <v>723</v>
      </c>
      <c r="H237" s="46">
        <v>818</v>
      </c>
      <c r="I237" s="46" t="s">
        <v>668</v>
      </c>
      <c r="J237" s="46" t="s">
        <v>57</v>
      </c>
      <c r="K237" s="46" t="s">
        <v>666</v>
      </c>
      <c r="L237" s="46" t="s">
        <v>669</v>
      </c>
      <c r="M237" s="46">
        <v>792</v>
      </c>
      <c r="N237" s="46" t="s">
        <v>691</v>
      </c>
      <c r="O237" s="46" t="s">
        <v>63</v>
      </c>
      <c r="P237" s="46">
        <v>0</v>
      </c>
      <c r="Q237" s="46" t="s">
        <v>670</v>
      </c>
      <c r="R237" s="46" t="s">
        <v>23</v>
      </c>
      <c r="S237" s="46" t="s">
        <v>671</v>
      </c>
      <c r="T237" s="46" t="s">
        <v>672</v>
      </c>
      <c r="U237" s="46" t="b">
        <v>1</v>
      </c>
      <c r="V237" s="46" t="s">
        <v>985</v>
      </c>
      <c r="W237" s="46" t="s">
        <v>984</v>
      </c>
      <c r="X237" s="46">
        <v>6</v>
      </c>
      <c r="Y237" s="46" t="b">
        <v>1</v>
      </c>
      <c r="Z237" s="46" t="s">
        <v>675</v>
      </c>
      <c r="AA237" s="46" t="s">
        <v>676</v>
      </c>
      <c r="AB237" s="46" t="s">
        <v>677</v>
      </c>
      <c r="AC237" s="46">
        <v>0</v>
      </c>
      <c r="AD237" s="46" t="s">
        <v>678</v>
      </c>
      <c r="AE237" s="46">
        <v>8</v>
      </c>
      <c r="AF237" s="46" t="s">
        <v>679</v>
      </c>
      <c r="AG237" s="46">
        <v>272175.59999999998</v>
      </c>
      <c r="AH237" s="46" t="b">
        <v>1</v>
      </c>
      <c r="AI237" s="46">
        <v>-1</v>
      </c>
      <c r="AJ237" s="46" t="s">
        <v>680</v>
      </c>
      <c r="AK237" s="46">
        <v>0</v>
      </c>
      <c r="AL237" s="46" t="b">
        <v>0</v>
      </c>
      <c r="AM237" s="46">
        <v>272175.59999999998</v>
      </c>
      <c r="AN237" s="46" t="b">
        <v>1</v>
      </c>
      <c r="AO237" s="46">
        <v>0</v>
      </c>
      <c r="AP237" s="46" t="b">
        <v>0</v>
      </c>
      <c r="AQ237" s="46">
        <v>1284376.5360000001</v>
      </c>
      <c r="AS237" s="46">
        <v>1284376.5360000001</v>
      </c>
      <c r="AT237" s="46">
        <v>6</v>
      </c>
      <c r="AU237" s="46" t="b">
        <v>1</v>
      </c>
      <c r="AV237" s="46" t="b">
        <v>0</v>
      </c>
    </row>
    <row r="238" spans="2:48">
      <c r="B238" s="46" t="s">
        <v>665</v>
      </c>
      <c r="C238" s="46" t="s">
        <v>666</v>
      </c>
      <c r="D238" s="46">
        <v>20230901</v>
      </c>
      <c r="E238" s="46">
        <v>2023</v>
      </c>
      <c r="F238" s="46">
        <v>9</v>
      </c>
      <c r="G238" s="46" t="s">
        <v>723</v>
      </c>
      <c r="H238" s="46">
        <v>818</v>
      </c>
      <c r="I238" s="46" t="s">
        <v>668</v>
      </c>
      <c r="J238" s="46" t="s">
        <v>57</v>
      </c>
      <c r="K238" s="46" t="s">
        <v>666</v>
      </c>
      <c r="L238" s="46" t="s">
        <v>669</v>
      </c>
      <c r="M238" s="46">
        <v>804</v>
      </c>
      <c r="N238" s="46" t="s">
        <v>1005</v>
      </c>
      <c r="O238" s="46" t="s">
        <v>110</v>
      </c>
      <c r="P238" s="46">
        <v>0</v>
      </c>
      <c r="Q238" s="46" t="s">
        <v>670</v>
      </c>
      <c r="R238" s="46" t="s">
        <v>23</v>
      </c>
      <c r="S238" s="46" t="s">
        <v>671</v>
      </c>
      <c r="T238" s="46" t="s">
        <v>672</v>
      </c>
      <c r="U238" s="46" t="b">
        <v>1</v>
      </c>
      <c r="V238" s="46" t="s">
        <v>985</v>
      </c>
      <c r="W238" s="46" t="s">
        <v>984</v>
      </c>
      <c r="X238" s="46">
        <v>6</v>
      </c>
      <c r="Y238" s="46" t="b">
        <v>1</v>
      </c>
      <c r="Z238" s="46" t="s">
        <v>675</v>
      </c>
      <c r="AA238" s="46" t="s">
        <v>676</v>
      </c>
      <c r="AB238" s="46" t="s">
        <v>677</v>
      </c>
      <c r="AC238" s="46">
        <v>0</v>
      </c>
      <c r="AD238" s="46" t="s">
        <v>678</v>
      </c>
      <c r="AE238" s="46">
        <v>8</v>
      </c>
      <c r="AF238" s="46" t="s">
        <v>679</v>
      </c>
      <c r="AG238" s="46">
        <v>40557.811000000002</v>
      </c>
      <c r="AH238" s="46" t="b">
        <v>1</v>
      </c>
      <c r="AI238" s="46">
        <v>-1</v>
      </c>
      <c r="AJ238" s="46" t="s">
        <v>680</v>
      </c>
      <c r="AK238" s="46">
        <v>0</v>
      </c>
      <c r="AL238" s="46" t="b">
        <v>0</v>
      </c>
      <c r="AM238" s="46">
        <v>40557.811000000002</v>
      </c>
      <c r="AN238" s="46" t="b">
        <v>1</v>
      </c>
      <c r="AO238" s="46">
        <v>0</v>
      </c>
      <c r="AP238" s="46" t="b">
        <v>0</v>
      </c>
      <c r="AQ238" s="46">
        <v>191389.31299999999</v>
      </c>
      <c r="AS238" s="46">
        <v>191389.31299999999</v>
      </c>
      <c r="AT238" s="46">
        <v>6</v>
      </c>
      <c r="AU238" s="46" t="b">
        <v>1</v>
      </c>
      <c r="AV238" s="46" t="b">
        <v>0</v>
      </c>
    </row>
    <row r="239" spans="2:48">
      <c r="B239" s="46" t="s">
        <v>665</v>
      </c>
      <c r="C239" s="46" t="s">
        <v>666</v>
      </c>
      <c r="D239" s="46">
        <v>20230901</v>
      </c>
      <c r="E239" s="46">
        <v>2023</v>
      </c>
      <c r="F239" s="46">
        <v>9</v>
      </c>
      <c r="G239" s="46" t="s">
        <v>723</v>
      </c>
      <c r="H239" s="46">
        <v>818</v>
      </c>
      <c r="I239" s="46" t="s">
        <v>668</v>
      </c>
      <c r="J239" s="46" t="s">
        <v>57</v>
      </c>
      <c r="K239" s="46" t="s">
        <v>666</v>
      </c>
      <c r="L239" s="46" t="s">
        <v>669</v>
      </c>
      <c r="M239" s="46">
        <v>826</v>
      </c>
      <c r="N239" s="46" t="s">
        <v>685</v>
      </c>
      <c r="O239" s="46" t="s">
        <v>64</v>
      </c>
      <c r="P239" s="46">
        <v>0</v>
      </c>
      <c r="Q239" s="46" t="s">
        <v>670</v>
      </c>
      <c r="R239" s="46" t="s">
        <v>23</v>
      </c>
      <c r="S239" s="46" t="s">
        <v>671</v>
      </c>
      <c r="T239" s="46" t="s">
        <v>672</v>
      </c>
      <c r="U239" s="46" t="b">
        <v>1</v>
      </c>
      <c r="V239" s="46" t="s">
        <v>985</v>
      </c>
      <c r="W239" s="46" t="s">
        <v>984</v>
      </c>
      <c r="X239" s="46">
        <v>6</v>
      </c>
      <c r="Y239" s="46" t="b">
        <v>1</v>
      </c>
      <c r="Z239" s="46" t="s">
        <v>675</v>
      </c>
      <c r="AA239" s="46" t="s">
        <v>676</v>
      </c>
      <c r="AB239" s="46" t="s">
        <v>677</v>
      </c>
      <c r="AC239" s="46">
        <v>0</v>
      </c>
      <c r="AD239" s="46" t="s">
        <v>678</v>
      </c>
      <c r="AE239" s="46">
        <v>8</v>
      </c>
      <c r="AF239" s="46" t="s">
        <v>679</v>
      </c>
      <c r="AG239" s="46">
        <v>44914.982000000004</v>
      </c>
      <c r="AH239" s="46" t="b">
        <v>1</v>
      </c>
      <c r="AI239" s="46">
        <v>-1</v>
      </c>
      <c r="AJ239" s="46" t="s">
        <v>680</v>
      </c>
      <c r="AK239" s="46">
        <v>0</v>
      </c>
      <c r="AL239" s="46" t="b">
        <v>0</v>
      </c>
      <c r="AM239" s="46">
        <v>44914.982000000004</v>
      </c>
      <c r="AN239" s="46" t="b">
        <v>1</v>
      </c>
      <c r="AO239" s="46">
        <v>0</v>
      </c>
      <c r="AP239" s="46" t="b">
        <v>0</v>
      </c>
      <c r="AQ239" s="46">
        <v>211950.481</v>
      </c>
      <c r="AS239" s="46">
        <v>211950.481</v>
      </c>
      <c r="AT239" s="46">
        <v>6</v>
      </c>
      <c r="AU239" s="46" t="b">
        <v>1</v>
      </c>
      <c r="AV239" s="46" t="b">
        <v>0</v>
      </c>
    </row>
    <row r="240" spans="2:48">
      <c r="B240" s="46" t="s">
        <v>665</v>
      </c>
      <c r="C240" s="46" t="s">
        <v>666</v>
      </c>
      <c r="D240" s="46">
        <v>20230901</v>
      </c>
      <c r="E240" s="46">
        <v>2023</v>
      </c>
      <c r="F240" s="46">
        <v>9</v>
      </c>
      <c r="G240" s="46" t="s">
        <v>723</v>
      </c>
      <c r="H240" s="46">
        <v>818</v>
      </c>
      <c r="I240" s="46" t="s">
        <v>668</v>
      </c>
      <c r="J240" s="46" t="s">
        <v>57</v>
      </c>
      <c r="K240" s="46" t="s">
        <v>666</v>
      </c>
      <c r="L240" s="46" t="s">
        <v>669</v>
      </c>
      <c r="M240" s="46">
        <v>842</v>
      </c>
      <c r="N240" s="46" t="s">
        <v>713</v>
      </c>
      <c r="O240" s="46" t="s">
        <v>713</v>
      </c>
      <c r="P240" s="46">
        <v>0</v>
      </c>
      <c r="Q240" s="46" t="s">
        <v>670</v>
      </c>
      <c r="R240" s="46" t="s">
        <v>23</v>
      </c>
      <c r="S240" s="46" t="s">
        <v>671</v>
      </c>
      <c r="T240" s="46" t="s">
        <v>672</v>
      </c>
      <c r="U240" s="46" t="b">
        <v>1</v>
      </c>
      <c r="V240" s="46" t="s">
        <v>985</v>
      </c>
      <c r="W240" s="46" t="s">
        <v>984</v>
      </c>
      <c r="X240" s="46">
        <v>6</v>
      </c>
      <c r="Y240" s="46" t="b">
        <v>1</v>
      </c>
      <c r="Z240" s="46" t="s">
        <v>675</v>
      </c>
      <c r="AA240" s="46" t="s">
        <v>676</v>
      </c>
      <c r="AB240" s="46" t="s">
        <v>677</v>
      </c>
      <c r="AC240" s="46">
        <v>0</v>
      </c>
      <c r="AD240" s="46" t="s">
        <v>678</v>
      </c>
      <c r="AE240" s="46">
        <v>8</v>
      </c>
      <c r="AF240" s="46" t="s">
        <v>679</v>
      </c>
      <c r="AG240" s="46">
        <v>282259.84600000002</v>
      </c>
      <c r="AH240" s="46" t="b">
        <v>1</v>
      </c>
      <c r="AI240" s="46">
        <v>-1</v>
      </c>
      <c r="AJ240" s="46" t="s">
        <v>680</v>
      </c>
      <c r="AK240" s="46">
        <v>0</v>
      </c>
      <c r="AL240" s="46" t="b">
        <v>0</v>
      </c>
      <c r="AM240" s="46">
        <v>282259.84600000002</v>
      </c>
      <c r="AN240" s="46" t="b">
        <v>1</v>
      </c>
      <c r="AO240" s="46">
        <v>0</v>
      </c>
      <c r="AP240" s="46" t="b">
        <v>0</v>
      </c>
      <c r="AQ240" s="46">
        <v>1331963.3500000001</v>
      </c>
      <c r="AS240" s="46">
        <v>1331963.3500000001</v>
      </c>
      <c r="AT240" s="46">
        <v>6</v>
      </c>
      <c r="AU240" s="46" t="b">
        <v>1</v>
      </c>
      <c r="AV240" s="46" t="b">
        <v>0</v>
      </c>
    </row>
    <row r="241" spans="2:48">
      <c r="B241" s="46" t="s">
        <v>665</v>
      </c>
      <c r="C241" s="46" t="s">
        <v>666</v>
      </c>
      <c r="D241" s="46">
        <v>20231001</v>
      </c>
      <c r="E241" s="46">
        <v>2023</v>
      </c>
      <c r="F241" s="46">
        <v>10</v>
      </c>
      <c r="G241" s="46" t="s">
        <v>724</v>
      </c>
      <c r="H241" s="46">
        <v>818</v>
      </c>
      <c r="I241" s="46" t="s">
        <v>668</v>
      </c>
      <c r="J241" s="46" t="s">
        <v>57</v>
      </c>
      <c r="K241" s="46" t="s">
        <v>666</v>
      </c>
      <c r="L241" s="46" t="s">
        <v>669</v>
      </c>
      <c r="M241" s="46">
        <v>0</v>
      </c>
      <c r="N241" s="46" t="s">
        <v>670</v>
      </c>
      <c r="O241" s="46" t="s">
        <v>23</v>
      </c>
      <c r="P241" s="46">
        <v>0</v>
      </c>
      <c r="Q241" s="46" t="s">
        <v>670</v>
      </c>
      <c r="R241" s="46" t="s">
        <v>23</v>
      </c>
      <c r="S241" s="46" t="s">
        <v>671</v>
      </c>
      <c r="T241" s="46" t="s">
        <v>672</v>
      </c>
      <c r="U241" s="46" t="b">
        <v>1</v>
      </c>
      <c r="V241" s="46" t="s">
        <v>985</v>
      </c>
      <c r="W241" s="46" t="s">
        <v>984</v>
      </c>
      <c r="X241" s="46">
        <v>6</v>
      </c>
      <c r="Y241" s="46" t="b">
        <v>1</v>
      </c>
      <c r="Z241" s="46" t="s">
        <v>675</v>
      </c>
      <c r="AA241" s="46" t="s">
        <v>676</v>
      </c>
      <c r="AB241" s="46" t="s">
        <v>677</v>
      </c>
      <c r="AC241" s="46">
        <v>0</v>
      </c>
      <c r="AD241" s="46" t="s">
        <v>678</v>
      </c>
      <c r="AE241" s="46">
        <v>8</v>
      </c>
      <c r="AF241" s="46" t="s">
        <v>679</v>
      </c>
      <c r="AG241" s="46">
        <v>3549420.892</v>
      </c>
      <c r="AH241" s="46" t="b">
        <v>1</v>
      </c>
      <c r="AI241" s="46">
        <v>-1</v>
      </c>
      <c r="AJ241" s="46" t="s">
        <v>680</v>
      </c>
      <c r="AK241" s="46">
        <v>0</v>
      </c>
      <c r="AL241" s="46" t="b">
        <v>0</v>
      </c>
      <c r="AM241" s="46">
        <v>3549420.892</v>
      </c>
      <c r="AN241" s="46" t="b">
        <v>1</v>
      </c>
      <c r="AO241" s="46">
        <v>0</v>
      </c>
      <c r="AP241" s="46" t="b">
        <v>0</v>
      </c>
      <c r="AQ241" s="46">
        <v>16749454.829</v>
      </c>
      <c r="AS241" s="46">
        <v>16749454.829</v>
      </c>
      <c r="AT241" s="46">
        <v>6</v>
      </c>
      <c r="AU241" s="46" t="b">
        <v>0</v>
      </c>
      <c r="AV241" s="46" t="b">
        <v>1</v>
      </c>
    </row>
    <row r="242" spans="2:48">
      <c r="B242" s="46" t="s">
        <v>665</v>
      </c>
      <c r="C242" s="46" t="s">
        <v>666</v>
      </c>
      <c r="D242" s="46">
        <v>20231001</v>
      </c>
      <c r="E242" s="46">
        <v>2023</v>
      </c>
      <c r="F242" s="46">
        <v>10</v>
      </c>
      <c r="G242" s="46" t="s">
        <v>724</v>
      </c>
      <c r="H242" s="46">
        <v>818</v>
      </c>
      <c r="I242" s="46" t="s">
        <v>668</v>
      </c>
      <c r="J242" s="46" t="s">
        <v>57</v>
      </c>
      <c r="K242" s="46" t="s">
        <v>666</v>
      </c>
      <c r="L242" s="46" t="s">
        <v>669</v>
      </c>
      <c r="M242" s="46">
        <v>36</v>
      </c>
      <c r="N242" s="46" t="s">
        <v>765</v>
      </c>
      <c r="O242" s="46" t="s">
        <v>24</v>
      </c>
      <c r="P242" s="46">
        <v>0</v>
      </c>
      <c r="Q242" s="46" t="s">
        <v>670</v>
      </c>
      <c r="R242" s="46" t="s">
        <v>23</v>
      </c>
      <c r="S242" s="46" t="s">
        <v>671</v>
      </c>
      <c r="T242" s="46" t="s">
        <v>672</v>
      </c>
      <c r="U242" s="46" t="b">
        <v>1</v>
      </c>
      <c r="V242" s="46" t="s">
        <v>985</v>
      </c>
      <c r="W242" s="46" t="s">
        <v>984</v>
      </c>
      <c r="X242" s="46">
        <v>6</v>
      </c>
      <c r="Y242" s="46" t="b">
        <v>1</v>
      </c>
      <c r="Z242" s="46" t="s">
        <v>675</v>
      </c>
      <c r="AA242" s="46" t="s">
        <v>676</v>
      </c>
      <c r="AB242" s="46" t="s">
        <v>677</v>
      </c>
      <c r="AC242" s="46">
        <v>0</v>
      </c>
      <c r="AD242" s="46" t="s">
        <v>678</v>
      </c>
      <c r="AE242" s="46">
        <v>8</v>
      </c>
      <c r="AF242" s="46" t="s">
        <v>679</v>
      </c>
      <c r="AG242" s="46">
        <v>15662.487999999999</v>
      </c>
      <c r="AH242" s="46" t="b">
        <v>1</v>
      </c>
      <c r="AI242" s="46">
        <v>-1</v>
      </c>
      <c r="AJ242" s="46" t="s">
        <v>680</v>
      </c>
      <c r="AK242" s="46">
        <v>0</v>
      </c>
      <c r="AL242" s="46" t="b">
        <v>0</v>
      </c>
      <c r="AM242" s="46">
        <v>15662.487999999999</v>
      </c>
      <c r="AN242" s="46" t="b">
        <v>1</v>
      </c>
      <c r="AO242" s="46">
        <v>0</v>
      </c>
      <c r="AP242" s="46" t="b">
        <v>0</v>
      </c>
      <c r="AQ242" s="46">
        <v>73910.125</v>
      </c>
      <c r="AS242" s="46">
        <v>73910.125</v>
      </c>
      <c r="AT242" s="46">
        <v>6</v>
      </c>
      <c r="AU242" s="46" t="b">
        <v>1</v>
      </c>
      <c r="AV242" s="46" t="b">
        <v>0</v>
      </c>
    </row>
    <row r="243" spans="2:48">
      <c r="B243" s="46" t="s">
        <v>665</v>
      </c>
      <c r="C243" s="46" t="s">
        <v>666</v>
      </c>
      <c r="D243" s="46">
        <v>20231001</v>
      </c>
      <c r="E243" s="46">
        <v>2023</v>
      </c>
      <c r="F243" s="46">
        <v>10</v>
      </c>
      <c r="G243" s="46" t="s">
        <v>724</v>
      </c>
      <c r="H243" s="46">
        <v>818</v>
      </c>
      <c r="I243" s="46" t="s">
        <v>668</v>
      </c>
      <c r="J243" s="46" t="s">
        <v>57</v>
      </c>
      <c r="K243" s="46" t="s">
        <v>666</v>
      </c>
      <c r="L243" s="46" t="s">
        <v>669</v>
      </c>
      <c r="M243" s="46">
        <v>56</v>
      </c>
      <c r="N243" s="46" t="s">
        <v>696</v>
      </c>
      <c r="O243" s="46" t="s">
        <v>74</v>
      </c>
      <c r="P243" s="46">
        <v>0</v>
      </c>
      <c r="Q243" s="46" t="s">
        <v>670</v>
      </c>
      <c r="R243" s="46" t="s">
        <v>23</v>
      </c>
      <c r="S243" s="46" t="s">
        <v>671</v>
      </c>
      <c r="T243" s="46" t="s">
        <v>672</v>
      </c>
      <c r="U243" s="46" t="b">
        <v>1</v>
      </c>
      <c r="V243" s="46" t="s">
        <v>985</v>
      </c>
      <c r="W243" s="46" t="s">
        <v>984</v>
      </c>
      <c r="X243" s="46">
        <v>6</v>
      </c>
      <c r="Y243" s="46" t="b">
        <v>1</v>
      </c>
      <c r="Z243" s="46" t="s">
        <v>675</v>
      </c>
      <c r="AA243" s="46" t="s">
        <v>676</v>
      </c>
      <c r="AB243" s="46" t="s">
        <v>677</v>
      </c>
      <c r="AC243" s="46">
        <v>0</v>
      </c>
      <c r="AD243" s="46" t="s">
        <v>678</v>
      </c>
      <c r="AE243" s="46">
        <v>8</v>
      </c>
      <c r="AF243" s="46" t="s">
        <v>679</v>
      </c>
      <c r="AG243" s="46">
        <v>40955.154000000002</v>
      </c>
      <c r="AH243" s="46" t="b">
        <v>1</v>
      </c>
      <c r="AI243" s="46">
        <v>-1</v>
      </c>
      <c r="AJ243" s="46" t="s">
        <v>680</v>
      </c>
      <c r="AK243" s="46">
        <v>0</v>
      </c>
      <c r="AL243" s="46" t="b">
        <v>0</v>
      </c>
      <c r="AM243" s="46">
        <v>40955.154000000002</v>
      </c>
      <c r="AN243" s="46" t="b">
        <v>1</v>
      </c>
      <c r="AO243" s="46">
        <v>0</v>
      </c>
      <c r="AP243" s="46" t="b">
        <v>0</v>
      </c>
      <c r="AQ243" s="46">
        <v>193264.345</v>
      </c>
      <c r="AS243" s="46">
        <v>193264.345</v>
      </c>
      <c r="AT243" s="46">
        <v>6</v>
      </c>
      <c r="AU243" s="46" t="b">
        <v>1</v>
      </c>
      <c r="AV243" s="46" t="b">
        <v>0</v>
      </c>
    </row>
    <row r="244" spans="2:48">
      <c r="B244" s="46" t="s">
        <v>665</v>
      </c>
      <c r="C244" s="46" t="s">
        <v>666</v>
      </c>
      <c r="D244" s="46">
        <v>20231001</v>
      </c>
      <c r="E244" s="46">
        <v>2023</v>
      </c>
      <c r="F244" s="46">
        <v>10</v>
      </c>
      <c r="G244" s="46" t="s">
        <v>724</v>
      </c>
      <c r="H244" s="46">
        <v>818</v>
      </c>
      <c r="I244" s="46" t="s">
        <v>668</v>
      </c>
      <c r="J244" s="46" t="s">
        <v>57</v>
      </c>
      <c r="K244" s="46" t="s">
        <v>666</v>
      </c>
      <c r="L244" s="46" t="s">
        <v>669</v>
      </c>
      <c r="M244" s="46">
        <v>76</v>
      </c>
      <c r="N244" s="46" t="s">
        <v>987</v>
      </c>
      <c r="O244" s="46" t="s">
        <v>66</v>
      </c>
      <c r="P244" s="46">
        <v>0</v>
      </c>
      <c r="Q244" s="46" t="s">
        <v>670</v>
      </c>
      <c r="R244" s="46" t="s">
        <v>23</v>
      </c>
      <c r="S244" s="46" t="s">
        <v>671</v>
      </c>
      <c r="T244" s="46" t="s">
        <v>672</v>
      </c>
      <c r="U244" s="46" t="b">
        <v>1</v>
      </c>
      <c r="V244" s="46" t="s">
        <v>985</v>
      </c>
      <c r="W244" s="46" t="s">
        <v>984</v>
      </c>
      <c r="X244" s="46">
        <v>6</v>
      </c>
      <c r="Y244" s="46" t="b">
        <v>1</v>
      </c>
      <c r="Z244" s="46" t="s">
        <v>675</v>
      </c>
      <c r="AA244" s="46" t="s">
        <v>676</v>
      </c>
      <c r="AB244" s="46" t="s">
        <v>677</v>
      </c>
      <c r="AC244" s="46">
        <v>0</v>
      </c>
      <c r="AD244" s="46" t="s">
        <v>678</v>
      </c>
      <c r="AE244" s="46">
        <v>8</v>
      </c>
      <c r="AF244" s="46" t="s">
        <v>679</v>
      </c>
      <c r="AG244" s="46">
        <v>29461.5</v>
      </c>
      <c r="AH244" s="46" t="b">
        <v>1</v>
      </c>
      <c r="AI244" s="46">
        <v>-1</v>
      </c>
      <c r="AJ244" s="46" t="s">
        <v>680</v>
      </c>
      <c r="AK244" s="46">
        <v>0</v>
      </c>
      <c r="AL244" s="46" t="b">
        <v>0</v>
      </c>
      <c r="AM244" s="46">
        <v>29461.5</v>
      </c>
      <c r="AN244" s="46" t="b">
        <v>1</v>
      </c>
      <c r="AO244" s="46">
        <v>0</v>
      </c>
      <c r="AP244" s="46" t="b">
        <v>0</v>
      </c>
      <c r="AQ244" s="46">
        <v>139026.641</v>
      </c>
      <c r="AS244" s="46">
        <v>139026.641</v>
      </c>
      <c r="AT244" s="46">
        <v>6</v>
      </c>
      <c r="AU244" s="46" t="b">
        <v>1</v>
      </c>
      <c r="AV244" s="46" t="b">
        <v>0</v>
      </c>
    </row>
    <row r="245" spans="2:48">
      <c r="B245" s="46" t="s">
        <v>665</v>
      </c>
      <c r="C245" s="46" t="s">
        <v>666</v>
      </c>
      <c r="D245" s="46">
        <v>20231001</v>
      </c>
      <c r="E245" s="46">
        <v>2023</v>
      </c>
      <c r="F245" s="46">
        <v>10</v>
      </c>
      <c r="G245" s="46" t="s">
        <v>724</v>
      </c>
      <c r="H245" s="46">
        <v>818</v>
      </c>
      <c r="I245" s="46" t="s">
        <v>668</v>
      </c>
      <c r="J245" s="46" t="s">
        <v>57</v>
      </c>
      <c r="K245" s="46" t="s">
        <v>666</v>
      </c>
      <c r="L245" s="46" t="s">
        <v>669</v>
      </c>
      <c r="M245" s="46">
        <v>156</v>
      </c>
      <c r="N245" s="46" t="s">
        <v>711</v>
      </c>
      <c r="O245" s="46" t="s">
        <v>29</v>
      </c>
      <c r="P245" s="46">
        <v>0</v>
      </c>
      <c r="Q245" s="46" t="s">
        <v>670</v>
      </c>
      <c r="R245" s="46" t="s">
        <v>23</v>
      </c>
      <c r="S245" s="46" t="s">
        <v>671</v>
      </c>
      <c r="T245" s="46" t="s">
        <v>672</v>
      </c>
      <c r="U245" s="46" t="b">
        <v>1</v>
      </c>
      <c r="V245" s="46" t="s">
        <v>985</v>
      </c>
      <c r="W245" s="46" t="s">
        <v>984</v>
      </c>
      <c r="X245" s="46">
        <v>6</v>
      </c>
      <c r="Y245" s="46" t="b">
        <v>1</v>
      </c>
      <c r="Z245" s="46" t="s">
        <v>675</v>
      </c>
      <c r="AA245" s="46" t="s">
        <v>676</v>
      </c>
      <c r="AB245" s="46" t="s">
        <v>677</v>
      </c>
      <c r="AC245" s="46">
        <v>0</v>
      </c>
      <c r="AD245" s="46" t="s">
        <v>678</v>
      </c>
      <c r="AE245" s="46">
        <v>8</v>
      </c>
      <c r="AF245" s="46" t="s">
        <v>679</v>
      </c>
      <c r="AG245" s="46">
        <v>799268.5</v>
      </c>
      <c r="AH245" s="46" t="b">
        <v>1</v>
      </c>
      <c r="AI245" s="46">
        <v>-1</v>
      </c>
      <c r="AJ245" s="46" t="s">
        <v>680</v>
      </c>
      <c r="AK245" s="46">
        <v>0</v>
      </c>
      <c r="AL245" s="46" t="b">
        <v>0</v>
      </c>
      <c r="AM245" s="46">
        <v>799268.5</v>
      </c>
      <c r="AN245" s="46" t="b">
        <v>1</v>
      </c>
      <c r="AO245" s="46">
        <v>0</v>
      </c>
      <c r="AP245" s="46" t="b">
        <v>0</v>
      </c>
      <c r="AQ245" s="46">
        <v>3771688.9730000002</v>
      </c>
      <c r="AS245" s="46">
        <v>3771688.9730000002</v>
      </c>
      <c r="AT245" s="46">
        <v>6</v>
      </c>
      <c r="AU245" s="46" t="b">
        <v>1</v>
      </c>
      <c r="AV245" s="46" t="b">
        <v>0</v>
      </c>
    </row>
    <row r="246" spans="2:48">
      <c r="B246" s="46" t="s">
        <v>665</v>
      </c>
      <c r="C246" s="46" t="s">
        <v>666</v>
      </c>
      <c r="D246" s="46">
        <v>20231001</v>
      </c>
      <c r="E246" s="46">
        <v>2023</v>
      </c>
      <c r="F246" s="46">
        <v>10</v>
      </c>
      <c r="G246" s="46" t="s">
        <v>724</v>
      </c>
      <c r="H246" s="46">
        <v>818</v>
      </c>
      <c r="I246" s="46" t="s">
        <v>668</v>
      </c>
      <c r="J246" s="46" t="s">
        <v>57</v>
      </c>
      <c r="K246" s="46" t="s">
        <v>666</v>
      </c>
      <c r="L246" s="46" t="s">
        <v>669</v>
      </c>
      <c r="M246" s="46">
        <v>208</v>
      </c>
      <c r="N246" s="46" t="s">
        <v>988</v>
      </c>
      <c r="O246" s="46" t="s">
        <v>72</v>
      </c>
      <c r="P246" s="46">
        <v>0</v>
      </c>
      <c r="Q246" s="46" t="s">
        <v>670</v>
      </c>
      <c r="R246" s="46" t="s">
        <v>23</v>
      </c>
      <c r="S246" s="46" t="s">
        <v>671</v>
      </c>
      <c r="T246" s="46" t="s">
        <v>672</v>
      </c>
      <c r="U246" s="46" t="b">
        <v>1</v>
      </c>
      <c r="V246" s="46" t="s">
        <v>985</v>
      </c>
      <c r="W246" s="46" t="s">
        <v>984</v>
      </c>
      <c r="X246" s="46">
        <v>6</v>
      </c>
      <c r="Y246" s="46" t="b">
        <v>1</v>
      </c>
      <c r="Z246" s="46" t="s">
        <v>675</v>
      </c>
      <c r="AA246" s="46" t="s">
        <v>676</v>
      </c>
      <c r="AB246" s="46" t="s">
        <v>677</v>
      </c>
      <c r="AC246" s="46">
        <v>0</v>
      </c>
      <c r="AD246" s="46" t="s">
        <v>678</v>
      </c>
      <c r="AE246" s="46">
        <v>8</v>
      </c>
      <c r="AF246" s="46" t="s">
        <v>679</v>
      </c>
      <c r="AG246" s="46">
        <v>34825.184000000001</v>
      </c>
      <c r="AH246" s="46" t="b">
        <v>1</v>
      </c>
      <c r="AI246" s="46">
        <v>-1</v>
      </c>
      <c r="AJ246" s="46" t="s">
        <v>680</v>
      </c>
      <c r="AK246" s="46">
        <v>0</v>
      </c>
      <c r="AL246" s="46" t="b">
        <v>0</v>
      </c>
      <c r="AM246" s="46">
        <v>34825.184000000001</v>
      </c>
      <c r="AN246" s="46" t="b">
        <v>1</v>
      </c>
      <c r="AO246" s="46">
        <v>0</v>
      </c>
      <c r="AP246" s="46" t="b">
        <v>0</v>
      </c>
      <c r="AQ246" s="46">
        <v>164337.46900000001</v>
      </c>
      <c r="AS246" s="46">
        <v>164337.46900000001</v>
      </c>
      <c r="AT246" s="46">
        <v>6</v>
      </c>
      <c r="AU246" s="46" t="b">
        <v>1</v>
      </c>
      <c r="AV246" s="46" t="b">
        <v>0</v>
      </c>
    </row>
    <row r="247" spans="2:48">
      <c r="B247" s="46" t="s">
        <v>665</v>
      </c>
      <c r="C247" s="46" t="s">
        <v>666</v>
      </c>
      <c r="D247" s="46">
        <v>20231001</v>
      </c>
      <c r="E247" s="46">
        <v>2023</v>
      </c>
      <c r="F247" s="46">
        <v>10</v>
      </c>
      <c r="G247" s="46" t="s">
        <v>724</v>
      </c>
      <c r="H247" s="46">
        <v>818</v>
      </c>
      <c r="I247" s="46" t="s">
        <v>668</v>
      </c>
      <c r="J247" s="46" t="s">
        <v>57</v>
      </c>
      <c r="K247" s="46" t="s">
        <v>666</v>
      </c>
      <c r="L247" s="46" t="s">
        <v>669</v>
      </c>
      <c r="M247" s="46">
        <v>251</v>
      </c>
      <c r="N247" s="46" t="s">
        <v>688</v>
      </c>
      <c r="O247" s="46" t="s">
        <v>69</v>
      </c>
      <c r="P247" s="46">
        <v>0</v>
      </c>
      <c r="Q247" s="46" t="s">
        <v>670</v>
      </c>
      <c r="R247" s="46" t="s">
        <v>23</v>
      </c>
      <c r="S247" s="46" t="s">
        <v>671</v>
      </c>
      <c r="T247" s="46" t="s">
        <v>672</v>
      </c>
      <c r="U247" s="46" t="b">
        <v>1</v>
      </c>
      <c r="V247" s="46" t="s">
        <v>985</v>
      </c>
      <c r="W247" s="46" t="s">
        <v>984</v>
      </c>
      <c r="X247" s="46">
        <v>6</v>
      </c>
      <c r="Y247" s="46" t="b">
        <v>1</v>
      </c>
      <c r="Z247" s="46" t="s">
        <v>675</v>
      </c>
      <c r="AA247" s="46" t="s">
        <v>676</v>
      </c>
      <c r="AB247" s="46" t="s">
        <v>677</v>
      </c>
      <c r="AC247" s="46">
        <v>0</v>
      </c>
      <c r="AD247" s="46" t="s">
        <v>678</v>
      </c>
      <c r="AE247" s="46">
        <v>8</v>
      </c>
      <c r="AF247" s="46" t="s">
        <v>679</v>
      </c>
      <c r="AG247" s="46">
        <v>103399.611</v>
      </c>
      <c r="AH247" s="46" t="b">
        <v>1</v>
      </c>
      <c r="AI247" s="46">
        <v>-1</v>
      </c>
      <c r="AJ247" s="46" t="s">
        <v>680</v>
      </c>
      <c r="AK247" s="46">
        <v>0</v>
      </c>
      <c r="AL247" s="46" t="b">
        <v>0</v>
      </c>
      <c r="AM247" s="46">
        <v>103399.611</v>
      </c>
      <c r="AN247" s="46" t="b">
        <v>1</v>
      </c>
      <c r="AO247" s="46">
        <v>0</v>
      </c>
      <c r="AP247" s="46" t="b">
        <v>0</v>
      </c>
      <c r="AQ247" s="46">
        <v>487935.12099999998</v>
      </c>
      <c r="AS247" s="46">
        <v>487935.12099999998</v>
      </c>
      <c r="AT247" s="46">
        <v>6</v>
      </c>
      <c r="AU247" s="46" t="b">
        <v>1</v>
      </c>
      <c r="AV247" s="46" t="b">
        <v>0</v>
      </c>
    </row>
    <row r="248" spans="2:48">
      <c r="B248" s="46" t="s">
        <v>665</v>
      </c>
      <c r="C248" s="46" t="s">
        <v>666</v>
      </c>
      <c r="D248" s="46">
        <v>20231001</v>
      </c>
      <c r="E248" s="46">
        <v>2023</v>
      </c>
      <c r="F248" s="46">
        <v>10</v>
      </c>
      <c r="G248" s="46" t="s">
        <v>724</v>
      </c>
      <c r="H248" s="46">
        <v>818</v>
      </c>
      <c r="I248" s="46" t="s">
        <v>668</v>
      </c>
      <c r="J248" s="46" t="s">
        <v>57</v>
      </c>
      <c r="K248" s="46" t="s">
        <v>666</v>
      </c>
      <c r="L248" s="46" t="s">
        <v>669</v>
      </c>
      <c r="M248" s="46">
        <v>276</v>
      </c>
      <c r="N248" s="46" t="s">
        <v>681</v>
      </c>
      <c r="O248" s="46" t="s">
        <v>30</v>
      </c>
      <c r="P248" s="46">
        <v>0</v>
      </c>
      <c r="Q248" s="46" t="s">
        <v>670</v>
      </c>
      <c r="R248" s="46" t="s">
        <v>23</v>
      </c>
      <c r="S248" s="46" t="s">
        <v>671</v>
      </c>
      <c r="T248" s="46" t="s">
        <v>672</v>
      </c>
      <c r="U248" s="46" t="b">
        <v>1</v>
      </c>
      <c r="V248" s="46" t="s">
        <v>985</v>
      </c>
      <c r="W248" s="46" t="s">
        <v>984</v>
      </c>
      <c r="X248" s="46">
        <v>6</v>
      </c>
      <c r="Y248" s="46" t="b">
        <v>1</v>
      </c>
      <c r="Z248" s="46" t="s">
        <v>675</v>
      </c>
      <c r="AA248" s="46" t="s">
        <v>676</v>
      </c>
      <c r="AB248" s="46" t="s">
        <v>677</v>
      </c>
      <c r="AC248" s="46">
        <v>0</v>
      </c>
      <c r="AD248" s="46" t="s">
        <v>678</v>
      </c>
      <c r="AE248" s="46">
        <v>8</v>
      </c>
      <c r="AF248" s="46" t="s">
        <v>679</v>
      </c>
      <c r="AG248" s="46">
        <v>623354.46299999999</v>
      </c>
      <c r="AH248" s="46" t="b">
        <v>1</v>
      </c>
      <c r="AI248" s="46">
        <v>-1</v>
      </c>
      <c r="AJ248" s="46" t="s">
        <v>680</v>
      </c>
      <c r="AK248" s="46">
        <v>0</v>
      </c>
      <c r="AL248" s="46" t="b">
        <v>0</v>
      </c>
      <c r="AM248" s="46">
        <v>623354.46299999999</v>
      </c>
      <c r="AN248" s="46" t="b">
        <v>1</v>
      </c>
      <c r="AO248" s="46">
        <v>0</v>
      </c>
      <c r="AP248" s="46" t="b">
        <v>0</v>
      </c>
      <c r="AQ248" s="46">
        <v>2941563.6370000001</v>
      </c>
      <c r="AS248" s="46">
        <v>2941563.6370000001</v>
      </c>
      <c r="AT248" s="46">
        <v>6</v>
      </c>
      <c r="AU248" s="46" t="b">
        <v>1</v>
      </c>
      <c r="AV248" s="46" t="b">
        <v>0</v>
      </c>
    </row>
    <row r="249" spans="2:48">
      <c r="B249" s="46" t="s">
        <v>665</v>
      </c>
      <c r="C249" s="46" t="s">
        <v>666</v>
      </c>
      <c r="D249" s="46">
        <v>20231001</v>
      </c>
      <c r="E249" s="46">
        <v>2023</v>
      </c>
      <c r="F249" s="46">
        <v>10</v>
      </c>
      <c r="G249" s="46" t="s">
        <v>724</v>
      </c>
      <c r="H249" s="46">
        <v>818</v>
      </c>
      <c r="I249" s="46" t="s">
        <v>668</v>
      </c>
      <c r="J249" s="46" t="s">
        <v>57</v>
      </c>
      <c r="K249" s="46" t="s">
        <v>666</v>
      </c>
      <c r="L249" s="46" t="s">
        <v>669</v>
      </c>
      <c r="M249" s="46">
        <v>360</v>
      </c>
      <c r="N249" s="46" t="s">
        <v>1006</v>
      </c>
      <c r="O249" s="46" t="s">
        <v>44</v>
      </c>
      <c r="P249" s="46">
        <v>0</v>
      </c>
      <c r="Q249" s="46" t="s">
        <v>670</v>
      </c>
      <c r="R249" s="46" t="s">
        <v>23</v>
      </c>
      <c r="S249" s="46" t="s">
        <v>671</v>
      </c>
      <c r="T249" s="46" t="s">
        <v>672</v>
      </c>
      <c r="U249" s="46" t="b">
        <v>1</v>
      </c>
      <c r="V249" s="46" t="s">
        <v>985</v>
      </c>
      <c r="W249" s="46" t="s">
        <v>984</v>
      </c>
      <c r="X249" s="46">
        <v>6</v>
      </c>
      <c r="Y249" s="46" t="b">
        <v>1</v>
      </c>
      <c r="Z249" s="46" t="s">
        <v>675</v>
      </c>
      <c r="AA249" s="46" t="s">
        <v>676</v>
      </c>
      <c r="AB249" s="46" t="s">
        <v>677</v>
      </c>
      <c r="AC249" s="46">
        <v>0</v>
      </c>
      <c r="AD249" s="46" t="s">
        <v>678</v>
      </c>
      <c r="AE249" s="46">
        <v>8</v>
      </c>
      <c r="AF249" s="46" t="s">
        <v>679</v>
      </c>
      <c r="AG249" s="46">
        <v>412.72199999999998</v>
      </c>
      <c r="AH249" s="46" t="b">
        <v>1</v>
      </c>
      <c r="AI249" s="46">
        <v>-1</v>
      </c>
      <c r="AJ249" s="46" t="s">
        <v>680</v>
      </c>
      <c r="AK249" s="46">
        <v>0</v>
      </c>
      <c r="AL249" s="46" t="b">
        <v>0</v>
      </c>
      <c r="AM249" s="46">
        <v>412.72199999999998</v>
      </c>
      <c r="AN249" s="46" t="b">
        <v>1</v>
      </c>
      <c r="AO249" s="46">
        <v>0</v>
      </c>
      <c r="AP249" s="46" t="b">
        <v>0</v>
      </c>
      <c r="AQ249" s="46">
        <v>1947.605</v>
      </c>
      <c r="AS249" s="46">
        <v>1947.605</v>
      </c>
      <c r="AT249" s="46">
        <v>6</v>
      </c>
      <c r="AU249" s="46" t="b">
        <v>1</v>
      </c>
      <c r="AV249" s="46" t="b">
        <v>0</v>
      </c>
    </row>
    <row r="250" spans="2:48">
      <c r="B250" s="46" t="s">
        <v>665</v>
      </c>
      <c r="C250" s="46" t="s">
        <v>666</v>
      </c>
      <c r="D250" s="46">
        <v>20231001</v>
      </c>
      <c r="E250" s="46">
        <v>2023</v>
      </c>
      <c r="F250" s="46">
        <v>10</v>
      </c>
      <c r="G250" s="46" t="s">
        <v>724</v>
      </c>
      <c r="H250" s="46">
        <v>818</v>
      </c>
      <c r="I250" s="46" t="s">
        <v>668</v>
      </c>
      <c r="J250" s="46" t="s">
        <v>57</v>
      </c>
      <c r="K250" s="46" t="s">
        <v>666</v>
      </c>
      <c r="L250" s="46" t="s">
        <v>669</v>
      </c>
      <c r="M250" s="46">
        <v>376</v>
      </c>
      <c r="N250" s="46" t="s">
        <v>991</v>
      </c>
      <c r="O250" s="46" t="s">
        <v>100</v>
      </c>
      <c r="P250" s="46">
        <v>0</v>
      </c>
      <c r="Q250" s="46" t="s">
        <v>670</v>
      </c>
      <c r="R250" s="46" t="s">
        <v>23</v>
      </c>
      <c r="S250" s="46" t="s">
        <v>671</v>
      </c>
      <c r="T250" s="46" t="s">
        <v>672</v>
      </c>
      <c r="U250" s="46" t="b">
        <v>1</v>
      </c>
      <c r="V250" s="46" t="s">
        <v>985</v>
      </c>
      <c r="W250" s="46" t="s">
        <v>984</v>
      </c>
      <c r="X250" s="46">
        <v>6</v>
      </c>
      <c r="Y250" s="46" t="b">
        <v>1</v>
      </c>
      <c r="Z250" s="46" t="s">
        <v>675</v>
      </c>
      <c r="AA250" s="46" t="s">
        <v>676</v>
      </c>
      <c r="AB250" s="46" t="s">
        <v>677</v>
      </c>
      <c r="AC250" s="46">
        <v>0</v>
      </c>
      <c r="AD250" s="46" t="s">
        <v>678</v>
      </c>
      <c r="AE250" s="46">
        <v>8</v>
      </c>
      <c r="AF250" s="46" t="s">
        <v>679</v>
      </c>
      <c r="AG250" s="46">
        <v>13119.379000000001</v>
      </c>
      <c r="AH250" s="46" t="b">
        <v>1</v>
      </c>
      <c r="AI250" s="46">
        <v>-1</v>
      </c>
      <c r="AJ250" s="46" t="s">
        <v>680</v>
      </c>
      <c r="AK250" s="46">
        <v>0</v>
      </c>
      <c r="AL250" s="46" t="b">
        <v>0</v>
      </c>
      <c r="AM250" s="46">
        <v>13119.379000000001</v>
      </c>
      <c r="AN250" s="46" t="b">
        <v>1</v>
      </c>
      <c r="AO250" s="46">
        <v>0</v>
      </c>
      <c r="AP250" s="46" t="b">
        <v>0</v>
      </c>
      <c r="AQ250" s="46">
        <v>61909.381000000001</v>
      </c>
      <c r="AS250" s="46">
        <v>61909.381000000001</v>
      </c>
      <c r="AT250" s="46">
        <v>6</v>
      </c>
      <c r="AU250" s="46" t="b">
        <v>1</v>
      </c>
      <c r="AV250" s="46" t="b">
        <v>0</v>
      </c>
    </row>
    <row r="251" spans="2:48">
      <c r="B251" s="46" t="s">
        <v>665</v>
      </c>
      <c r="C251" s="46" t="s">
        <v>666</v>
      </c>
      <c r="D251" s="46">
        <v>20231001</v>
      </c>
      <c r="E251" s="46">
        <v>2023</v>
      </c>
      <c r="F251" s="46">
        <v>10</v>
      </c>
      <c r="G251" s="46" t="s">
        <v>724</v>
      </c>
      <c r="H251" s="46">
        <v>818</v>
      </c>
      <c r="I251" s="46" t="s">
        <v>668</v>
      </c>
      <c r="J251" s="46" t="s">
        <v>57</v>
      </c>
      <c r="K251" s="46" t="s">
        <v>666</v>
      </c>
      <c r="L251" s="46" t="s">
        <v>669</v>
      </c>
      <c r="M251" s="46">
        <v>380</v>
      </c>
      <c r="N251" s="46" t="s">
        <v>689</v>
      </c>
      <c r="O251" s="46" t="s">
        <v>71</v>
      </c>
      <c r="P251" s="46">
        <v>0</v>
      </c>
      <c r="Q251" s="46" t="s">
        <v>670</v>
      </c>
      <c r="R251" s="46" t="s">
        <v>23</v>
      </c>
      <c r="S251" s="46" t="s">
        <v>671</v>
      </c>
      <c r="T251" s="46" t="s">
        <v>672</v>
      </c>
      <c r="U251" s="46" t="b">
        <v>1</v>
      </c>
      <c r="V251" s="46" t="s">
        <v>985</v>
      </c>
      <c r="W251" s="46" t="s">
        <v>984</v>
      </c>
      <c r="X251" s="46">
        <v>6</v>
      </c>
      <c r="Y251" s="46" t="b">
        <v>1</v>
      </c>
      <c r="Z251" s="46" t="s">
        <v>675</v>
      </c>
      <c r="AA251" s="46" t="s">
        <v>676</v>
      </c>
      <c r="AB251" s="46" t="s">
        <v>677</v>
      </c>
      <c r="AC251" s="46">
        <v>0</v>
      </c>
      <c r="AD251" s="46" t="s">
        <v>678</v>
      </c>
      <c r="AE251" s="46">
        <v>8</v>
      </c>
      <c r="AF251" s="46" t="s">
        <v>679</v>
      </c>
      <c r="AG251" s="46">
        <v>201481.19200000001</v>
      </c>
      <c r="AH251" s="46" t="b">
        <v>1</v>
      </c>
      <c r="AI251" s="46">
        <v>-1</v>
      </c>
      <c r="AJ251" s="46" t="s">
        <v>680</v>
      </c>
      <c r="AK251" s="46">
        <v>0</v>
      </c>
      <c r="AL251" s="46" t="b">
        <v>0</v>
      </c>
      <c r="AM251" s="46">
        <v>201481.19200000001</v>
      </c>
      <c r="AN251" s="46" t="b">
        <v>1</v>
      </c>
      <c r="AO251" s="46">
        <v>0</v>
      </c>
      <c r="AP251" s="46" t="b">
        <v>0</v>
      </c>
      <c r="AQ251" s="46">
        <v>950774.85199999996</v>
      </c>
      <c r="AS251" s="46">
        <v>950774.85199999996</v>
      </c>
      <c r="AT251" s="46">
        <v>6</v>
      </c>
      <c r="AU251" s="46" t="b">
        <v>1</v>
      </c>
      <c r="AV251" s="46" t="b">
        <v>0</v>
      </c>
    </row>
    <row r="252" spans="2:48">
      <c r="B252" s="46" t="s">
        <v>665</v>
      </c>
      <c r="C252" s="46" t="s">
        <v>666</v>
      </c>
      <c r="D252" s="46">
        <v>20231001</v>
      </c>
      <c r="E252" s="46">
        <v>2023</v>
      </c>
      <c r="F252" s="46">
        <v>10</v>
      </c>
      <c r="G252" s="46" t="s">
        <v>724</v>
      </c>
      <c r="H252" s="46">
        <v>818</v>
      </c>
      <c r="I252" s="46" t="s">
        <v>668</v>
      </c>
      <c r="J252" s="46" t="s">
        <v>57</v>
      </c>
      <c r="K252" s="46" t="s">
        <v>666</v>
      </c>
      <c r="L252" s="46" t="s">
        <v>669</v>
      </c>
      <c r="M252" s="46">
        <v>392</v>
      </c>
      <c r="N252" s="46" t="s">
        <v>747</v>
      </c>
      <c r="O252" s="46" t="s">
        <v>32</v>
      </c>
      <c r="P252" s="46">
        <v>0</v>
      </c>
      <c r="Q252" s="46" t="s">
        <v>670</v>
      </c>
      <c r="R252" s="46" t="s">
        <v>23</v>
      </c>
      <c r="S252" s="46" t="s">
        <v>671</v>
      </c>
      <c r="T252" s="46" t="s">
        <v>672</v>
      </c>
      <c r="U252" s="46" t="b">
        <v>1</v>
      </c>
      <c r="V252" s="46" t="s">
        <v>985</v>
      </c>
      <c r="W252" s="46" t="s">
        <v>984</v>
      </c>
      <c r="X252" s="46">
        <v>6</v>
      </c>
      <c r="Y252" s="46" t="b">
        <v>1</v>
      </c>
      <c r="Z252" s="46" t="s">
        <v>675</v>
      </c>
      <c r="AA252" s="46" t="s">
        <v>676</v>
      </c>
      <c r="AB252" s="46" t="s">
        <v>677</v>
      </c>
      <c r="AC252" s="46">
        <v>0</v>
      </c>
      <c r="AD252" s="46" t="s">
        <v>678</v>
      </c>
      <c r="AE252" s="46">
        <v>8</v>
      </c>
      <c r="AF252" s="46" t="s">
        <v>679</v>
      </c>
      <c r="AG252" s="46">
        <v>5921.6260000000002</v>
      </c>
      <c r="AH252" s="46" t="b">
        <v>1</v>
      </c>
      <c r="AI252" s="46">
        <v>-1</v>
      </c>
      <c r="AJ252" s="46" t="s">
        <v>680</v>
      </c>
      <c r="AK252" s="46">
        <v>0</v>
      </c>
      <c r="AL252" s="46" t="b">
        <v>0</v>
      </c>
      <c r="AM252" s="46">
        <v>5921.6260000000002</v>
      </c>
      <c r="AN252" s="46" t="b">
        <v>1</v>
      </c>
      <c r="AO252" s="46">
        <v>0</v>
      </c>
      <c r="AP252" s="46" t="b">
        <v>0</v>
      </c>
      <c r="AQ252" s="46">
        <v>27943.717000000001</v>
      </c>
      <c r="AS252" s="46">
        <v>27943.717000000001</v>
      </c>
      <c r="AT252" s="46">
        <v>6</v>
      </c>
      <c r="AU252" s="46" t="b">
        <v>1</v>
      </c>
      <c r="AV252" s="46" t="b">
        <v>0</v>
      </c>
    </row>
    <row r="253" spans="2:48">
      <c r="B253" s="46" t="s">
        <v>665</v>
      </c>
      <c r="C253" s="46" t="s">
        <v>666</v>
      </c>
      <c r="D253" s="46">
        <v>20231001</v>
      </c>
      <c r="E253" s="46">
        <v>2023</v>
      </c>
      <c r="F253" s="46">
        <v>10</v>
      </c>
      <c r="G253" s="46" t="s">
        <v>724</v>
      </c>
      <c r="H253" s="46">
        <v>818</v>
      </c>
      <c r="I253" s="46" t="s">
        <v>668</v>
      </c>
      <c r="J253" s="46" t="s">
        <v>57</v>
      </c>
      <c r="K253" s="46" t="s">
        <v>666</v>
      </c>
      <c r="L253" s="46" t="s">
        <v>669</v>
      </c>
      <c r="M253" s="46">
        <v>410</v>
      </c>
      <c r="N253" s="46" t="s">
        <v>754</v>
      </c>
      <c r="O253" s="46" t="s">
        <v>755</v>
      </c>
      <c r="P253" s="46">
        <v>0</v>
      </c>
      <c r="Q253" s="46" t="s">
        <v>670</v>
      </c>
      <c r="R253" s="46" t="s">
        <v>23</v>
      </c>
      <c r="S253" s="46" t="s">
        <v>671</v>
      </c>
      <c r="T253" s="46" t="s">
        <v>672</v>
      </c>
      <c r="U253" s="46" t="b">
        <v>1</v>
      </c>
      <c r="V253" s="46" t="s">
        <v>985</v>
      </c>
      <c r="W253" s="46" t="s">
        <v>984</v>
      </c>
      <c r="X253" s="46">
        <v>6</v>
      </c>
      <c r="Y253" s="46" t="b">
        <v>1</v>
      </c>
      <c r="Z253" s="46" t="s">
        <v>675</v>
      </c>
      <c r="AA253" s="46" t="s">
        <v>676</v>
      </c>
      <c r="AB253" s="46" t="s">
        <v>677</v>
      </c>
      <c r="AC253" s="46">
        <v>0</v>
      </c>
      <c r="AD253" s="46" t="s">
        <v>678</v>
      </c>
      <c r="AE253" s="46">
        <v>8</v>
      </c>
      <c r="AF253" s="46" t="s">
        <v>679</v>
      </c>
      <c r="AG253" s="46">
        <v>26310.241999999998</v>
      </c>
      <c r="AH253" s="46" t="b">
        <v>1</v>
      </c>
      <c r="AI253" s="46">
        <v>-1</v>
      </c>
      <c r="AJ253" s="46" t="s">
        <v>680</v>
      </c>
      <c r="AK253" s="46">
        <v>0</v>
      </c>
      <c r="AL253" s="46" t="b">
        <v>0</v>
      </c>
      <c r="AM253" s="46">
        <v>26310.241999999998</v>
      </c>
      <c r="AN253" s="46" t="b">
        <v>1</v>
      </c>
      <c r="AO253" s="46">
        <v>0</v>
      </c>
      <c r="AP253" s="46" t="b">
        <v>0</v>
      </c>
      <c r="AQ253" s="46">
        <v>124156.08900000001</v>
      </c>
      <c r="AS253" s="46">
        <v>124156.08900000001</v>
      </c>
      <c r="AT253" s="46">
        <v>6</v>
      </c>
      <c r="AU253" s="46" t="b">
        <v>1</v>
      </c>
      <c r="AV253" s="46" t="b">
        <v>0</v>
      </c>
    </row>
    <row r="254" spans="2:48">
      <c r="B254" s="46" t="s">
        <v>665</v>
      </c>
      <c r="C254" s="46" t="s">
        <v>666</v>
      </c>
      <c r="D254" s="46">
        <v>20231001</v>
      </c>
      <c r="E254" s="46">
        <v>2023</v>
      </c>
      <c r="F254" s="46">
        <v>10</v>
      </c>
      <c r="G254" s="46" t="s">
        <v>724</v>
      </c>
      <c r="H254" s="46">
        <v>818</v>
      </c>
      <c r="I254" s="46" t="s">
        <v>668</v>
      </c>
      <c r="J254" s="46" t="s">
        <v>57</v>
      </c>
      <c r="K254" s="46" t="s">
        <v>666</v>
      </c>
      <c r="L254" s="46" t="s">
        <v>669</v>
      </c>
      <c r="M254" s="46">
        <v>528</v>
      </c>
      <c r="N254" s="46" t="s">
        <v>698</v>
      </c>
      <c r="O254" s="46" t="s">
        <v>60</v>
      </c>
      <c r="P254" s="46">
        <v>0</v>
      </c>
      <c r="Q254" s="46" t="s">
        <v>670</v>
      </c>
      <c r="R254" s="46" t="s">
        <v>23</v>
      </c>
      <c r="S254" s="46" t="s">
        <v>671</v>
      </c>
      <c r="T254" s="46" t="s">
        <v>672</v>
      </c>
      <c r="U254" s="46" t="b">
        <v>1</v>
      </c>
      <c r="V254" s="46" t="s">
        <v>985</v>
      </c>
      <c r="W254" s="46" t="s">
        <v>984</v>
      </c>
      <c r="X254" s="46">
        <v>6</v>
      </c>
      <c r="Y254" s="46" t="b">
        <v>1</v>
      </c>
      <c r="Z254" s="46" t="s">
        <v>675</v>
      </c>
      <c r="AA254" s="46" t="s">
        <v>676</v>
      </c>
      <c r="AB254" s="46" t="s">
        <v>677</v>
      </c>
      <c r="AC254" s="46">
        <v>0</v>
      </c>
      <c r="AD254" s="46" t="s">
        <v>678</v>
      </c>
      <c r="AE254" s="46">
        <v>8</v>
      </c>
      <c r="AF254" s="46" t="s">
        <v>679</v>
      </c>
      <c r="AG254" s="46">
        <v>74729.676999999996</v>
      </c>
      <c r="AH254" s="46" t="b">
        <v>1</v>
      </c>
      <c r="AI254" s="46">
        <v>-1</v>
      </c>
      <c r="AJ254" s="46" t="s">
        <v>680</v>
      </c>
      <c r="AK254" s="46">
        <v>0</v>
      </c>
      <c r="AL254" s="46" t="b">
        <v>0</v>
      </c>
      <c r="AM254" s="46">
        <v>74729.676999999996</v>
      </c>
      <c r="AN254" s="46" t="b">
        <v>1</v>
      </c>
      <c r="AO254" s="46">
        <v>0</v>
      </c>
      <c r="AP254" s="46" t="b">
        <v>0</v>
      </c>
      <c r="AQ254" s="46">
        <v>352643.82</v>
      </c>
      <c r="AS254" s="46">
        <v>352643.82</v>
      </c>
      <c r="AT254" s="46">
        <v>6</v>
      </c>
      <c r="AU254" s="46" t="b">
        <v>1</v>
      </c>
      <c r="AV254" s="46" t="b">
        <v>0</v>
      </c>
    </row>
    <row r="255" spans="2:48">
      <c r="B255" s="46" t="s">
        <v>665</v>
      </c>
      <c r="C255" s="46" t="s">
        <v>666</v>
      </c>
      <c r="D255" s="46">
        <v>20231001</v>
      </c>
      <c r="E255" s="46">
        <v>2023</v>
      </c>
      <c r="F255" s="46">
        <v>10</v>
      </c>
      <c r="G255" s="46" t="s">
        <v>724</v>
      </c>
      <c r="H255" s="46">
        <v>818</v>
      </c>
      <c r="I255" s="46" t="s">
        <v>668</v>
      </c>
      <c r="J255" s="46" t="s">
        <v>57</v>
      </c>
      <c r="K255" s="46" t="s">
        <v>666</v>
      </c>
      <c r="L255" s="46" t="s">
        <v>669</v>
      </c>
      <c r="M255" s="46">
        <v>568</v>
      </c>
      <c r="N255" s="46" t="s">
        <v>682</v>
      </c>
      <c r="O255" s="46" t="s">
        <v>683</v>
      </c>
      <c r="P255" s="46">
        <v>0</v>
      </c>
      <c r="Q255" s="46" t="s">
        <v>670</v>
      </c>
      <c r="R255" s="46" t="s">
        <v>23</v>
      </c>
      <c r="S255" s="46" t="s">
        <v>671</v>
      </c>
      <c r="T255" s="46" t="s">
        <v>672</v>
      </c>
      <c r="U255" s="46" t="b">
        <v>1</v>
      </c>
      <c r="V255" s="46" t="s">
        <v>985</v>
      </c>
      <c r="W255" s="46" t="s">
        <v>984</v>
      </c>
      <c r="X255" s="46">
        <v>6</v>
      </c>
      <c r="Y255" s="46" t="b">
        <v>1</v>
      </c>
      <c r="Z255" s="46" t="s">
        <v>675</v>
      </c>
      <c r="AA255" s="46" t="s">
        <v>676</v>
      </c>
      <c r="AB255" s="46" t="s">
        <v>677</v>
      </c>
      <c r="AC255" s="46">
        <v>0</v>
      </c>
      <c r="AD255" s="46" t="s">
        <v>678</v>
      </c>
      <c r="AE255" s="46">
        <v>8</v>
      </c>
      <c r="AF255" s="46" t="s">
        <v>679</v>
      </c>
      <c r="AG255" s="46">
        <v>70005.421000000002</v>
      </c>
      <c r="AH255" s="46" t="b">
        <v>1</v>
      </c>
      <c r="AI255" s="46">
        <v>-1</v>
      </c>
      <c r="AJ255" s="46" t="s">
        <v>680</v>
      </c>
      <c r="AK255" s="46">
        <v>0</v>
      </c>
      <c r="AL255" s="46" t="b">
        <v>0</v>
      </c>
      <c r="AM255" s="46">
        <v>70005.421000000002</v>
      </c>
      <c r="AN255" s="46" t="b">
        <v>1</v>
      </c>
      <c r="AO255" s="46">
        <v>0</v>
      </c>
      <c r="AP255" s="46" t="b">
        <v>0</v>
      </c>
      <c r="AQ255" s="46">
        <v>330350.40700000001</v>
      </c>
      <c r="AS255" s="46">
        <v>330350.40700000001</v>
      </c>
      <c r="AT255" s="46">
        <v>6</v>
      </c>
      <c r="AU255" s="46" t="b">
        <v>1</v>
      </c>
      <c r="AV255" s="46" t="b">
        <v>0</v>
      </c>
    </row>
    <row r="256" spans="2:48">
      <c r="B256" s="46" t="s">
        <v>665</v>
      </c>
      <c r="C256" s="46" t="s">
        <v>666</v>
      </c>
      <c r="D256" s="46">
        <v>20231001</v>
      </c>
      <c r="E256" s="46">
        <v>2023</v>
      </c>
      <c r="F256" s="46">
        <v>10</v>
      </c>
      <c r="G256" s="46" t="s">
        <v>724</v>
      </c>
      <c r="H256" s="46">
        <v>818</v>
      </c>
      <c r="I256" s="46" t="s">
        <v>668</v>
      </c>
      <c r="J256" s="46" t="s">
        <v>57</v>
      </c>
      <c r="K256" s="46" t="s">
        <v>666</v>
      </c>
      <c r="L256" s="46" t="s">
        <v>669</v>
      </c>
      <c r="M256" s="46">
        <v>579</v>
      </c>
      <c r="N256" s="46" t="s">
        <v>992</v>
      </c>
      <c r="O256" s="46" t="s">
        <v>61</v>
      </c>
      <c r="P256" s="46">
        <v>0</v>
      </c>
      <c r="Q256" s="46" t="s">
        <v>670</v>
      </c>
      <c r="R256" s="46" t="s">
        <v>23</v>
      </c>
      <c r="S256" s="46" t="s">
        <v>671</v>
      </c>
      <c r="T256" s="46" t="s">
        <v>672</v>
      </c>
      <c r="U256" s="46" t="b">
        <v>1</v>
      </c>
      <c r="V256" s="46" t="s">
        <v>985</v>
      </c>
      <c r="W256" s="46" t="s">
        <v>984</v>
      </c>
      <c r="X256" s="46">
        <v>6</v>
      </c>
      <c r="Y256" s="46" t="b">
        <v>1</v>
      </c>
      <c r="Z256" s="46" t="s">
        <v>675</v>
      </c>
      <c r="AA256" s="46" t="s">
        <v>676</v>
      </c>
      <c r="AB256" s="46" t="s">
        <v>677</v>
      </c>
      <c r="AC256" s="46">
        <v>0</v>
      </c>
      <c r="AD256" s="46" t="s">
        <v>678</v>
      </c>
      <c r="AE256" s="46">
        <v>8</v>
      </c>
      <c r="AF256" s="46" t="s">
        <v>679</v>
      </c>
      <c r="AG256" s="46">
        <v>11654.235000000001</v>
      </c>
      <c r="AH256" s="46" t="b">
        <v>1</v>
      </c>
      <c r="AI256" s="46">
        <v>-1</v>
      </c>
      <c r="AJ256" s="46" t="s">
        <v>680</v>
      </c>
      <c r="AK256" s="46">
        <v>0</v>
      </c>
      <c r="AL256" s="46" t="b">
        <v>0</v>
      </c>
      <c r="AM256" s="46">
        <v>11654.235000000001</v>
      </c>
      <c r="AN256" s="46" t="b">
        <v>1</v>
      </c>
      <c r="AO256" s="46">
        <v>0</v>
      </c>
      <c r="AP256" s="46" t="b">
        <v>0</v>
      </c>
      <c r="AQ256" s="46">
        <v>54995.472999999998</v>
      </c>
      <c r="AS256" s="46">
        <v>54995.472999999998</v>
      </c>
      <c r="AT256" s="46">
        <v>6</v>
      </c>
      <c r="AU256" s="46" t="b">
        <v>1</v>
      </c>
      <c r="AV256" s="46" t="b">
        <v>0</v>
      </c>
    </row>
    <row r="257" spans="2:48">
      <c r="B257" s="46" t="s">
        <v>665</v>
      </c>
      <c r="C257" s="46" t="s">
        <v>666</v>
      </c>
      <c r="D257" s="46">
        <v>20231001</v>
      </c>
      <c r="E257" s="46">
        <v>2023</v>
      </c>
      <c r="F257" s="46">
        <v>10</v>
      </c>
      <c r="G257" s="46" t="s">
        <v>724</v>
      </c>
      <c r="H257" s="46">
        <v>818</v>
      </c>
      <c r="I257" s="46" t="s">
        <v>668</v>
      </c>
      <c r="J257" s="46" t="s">
        <v>57</v>
      </c>
      <c r="K257" s="46" t="s">
        <v>666</v>
      </c>
      <c r="L257" s="46" t="s">
        <v>669</v>
      </c>
      <c r="M257" s="46">
        <v>608</v>
      </c>
      <c r="N257" s="46" t="s">
        <v>1007</v>
      </c>
      <c r="O257" s="46" t="s">
        <v>62</v>
      </c>
      <c r="P257" s="46">
        <v>0</v>
      </c>
      <c r="Q257" s="46" t="s">
        <v>670</v>
      </c>
      <c r="R257" s="46" t="s">
        <v>23</v>
      </c>
      <c r="S257" s="46" t="s">
        <v>671</v>
      </c>
      <c r="T257" s="46" t="s">
        <v>672</v>
      </c>
      <c r="U257" s="46" t="b">
        <v>1</v>
      </c>
      <c r="V257" s="46" t="s">
        <v>985</v>
      </c>
      <c r="W257" s="46" t="s">
        <v>984</v>
      </c>
      <c r="X257" s="46">
        <v>6</v>
      </c>
      <c r="Y257" s="46" t="b">
        <v>1</v>
      </c>
      <c r="Z257" s="46" t="s">
        <v>675</v>
      </c>
      <c r="AA257" s="46" t="s">
        <v>676</v>
      </c>
      <c r="AB257" s="46" t="s">
        <v>677</v>
      </c>
      <c r="AC257" s="46">
        <v>0</v>
      </c>
      <c r="AD257" s="46" t="s">
        <v>678</v>
      </c>
      <c r="AE257" s="46">
        <v>8</v>
      </c>
      <c r="AF257" s="46" t="s">
        <v>679</v>
      </c>
      <c r="AG257" s="46">
        <v>20361.891</v>
      </c>
      <c r="AH257" s="46" t="b">
        <v>1</v>
      </c>
      <c r="AI257" s="46">
        <v>-1</v>
      </c>
      <c r="AJ257" s="46" t="s">
        <v>680</v>
      </c>
      <c r="AK257" s="46">
        <v>0</v>
      </c>
      <c r="AL257" s="46" t="b">
        <v>0</v>
      </c>
      <c r="AM257" s="46">
        <v>20361.891</v>
      </c>
      <c r="AN257" s="46" t="b">
        <v>1</v>
      </c>
      <c r="AO257" s="46">
        <v>0</v>
      </c>
      <c r="AP257" s="46" t="b">
        <v>0</v>
      </c>
      <c r="AQ257" s="46">
        <v>96086.258000000002</v>
      </c>
      <c r="AS257" s="46">
        <v>96086.258000000002</v>
      </c>
      <c r="AT257" s="46">
        <v>6</v>
      </c>
      <c r="AU257" s="46" t="b">
        <v>1</v>
      </c>
      <c r="AV257" s="46" t="b">
        <v>0</v>
      </c>
    </row>
    <row r="258" spans="2:48">
      <c r="B258" s="46" t="s">
        <v>665</v>
      </c>
      <c r="C258" s="46" t="s">
        <v>666</v>
      </c>
      <c r="D258" s="46">
        <v>20231001</v>
      </c>
      <c r="E258" s="46">
        <v>2023</v>
      </c>
      <c r="F258" s="46">
        <v>10</v>
      </c>
      <c r="G258" s="46" t="s">
        <v>724</v>
      </c>
      <c r="H258" s="46">
        <v>818</v>
      </c>
      <c r="I258" s="46" t="s">
        <v>668</v>
      </c>
      <c r="J258" s="46" t="s">
        <v>57</v>
      </c>
      <c r="K258" s="46" t="s">
        <v>666</v>
      </c>
      <c r="L258" s="46" t="s">
        <v>669</v>
      </c>
      <c r="M258" s="46">
        <v>616</v>
      </c>
      <c r="N258" s="46" t="s">
        <v>999</v>
      </c>
      <c r="O258" s="46" t="s">
        <v>84</v>
      </c>
      <c r="P258" s="46">
        <v>0</v>
      </c>
      <c r="Q258" s="46" t="s">
        <v>670</v>
      </c>
      <c r="R258" s="46" t="s">
        <v>23</v>
      </c>
      <c r="S258" s="46" t="s">
        <v>671</v>
      </c>
      <c r="T258" s="46" t="s">
        <v>672</v>
      </c>
      <c r="U258" s="46" t="b">
        <v>1</v>
      </c>
      <c r="V258" s="46" t="s">
        <v>985</v>
      </c>
      <c r="W258" s="46" t="s">
        <v>984</v>
      </c>
      <c r="X258" s="46">
        <v>6</v>
      </c>
      <c r="Y258" s="46" t="b">
        <v>1</v>
      </c>
      <c r="Z258" s="46" t="s">
        <v>675</v>
      </c>
      <c r="AA258" s="46" t="s">
        <v>676</v>
      </c>
      <c r="AB258" s="46" t="s">
        <v>677</v>
      </c>
      <c r="AC258" s="46">
        <v>0</v>
      </c>
      <c r="AD258" s="46" t="s">
        <v>678</v>
      </c>
      <c r="AE258" s="46">
        <v>8</v>
      </c>
      <c r="AF258" s="46" t="s">
        <v>679</v>
      </c>
      <c r="AG258" s="46">
        <v>1281.152</v>
      </c>
      <c r="AH258" s="46" t="b">
        <v>1</v>
      </c>
      <c r="AI258" s="46">
        <v>-1</v>
      </c>
      <c r="AJ258" s="46" t="s">
        <v>680</v>
      </c>
      <c r="AK258" s="46">
        <v>0</v>
      </c>
      <c r="AL258" s="46" t="b">
        <v>0</v>
      </c>
      <c r="AM258" s="46">
        <v>1281.152</v>
      </c>
      <c r="AN258" s="46" t="b">
        <v>1</v>
      </c>
      <c r="AO258" s="46">
        <v>0</v>
      </c>
      <c r="AP258" s="46" t="b">
        <v>0</v>
      </c>
      <c r="AQ258" s="46">
        <v>6045.6620000000003</v>
      </c>
      <c r="AS258" s="46">
        <v>6045.6620000000003</v>
      </c>
      <c r="AT258" s="46">
        <v>6</v>
      </c>
      <c r="AU258" s="46" t="b">
        <v>1</v>
      </c>
      <c r="AV258" s="46" t="b">
        <v>0</v>
      </c>
    </row>
    <row r="259" spans="2:48">
      <c r="B259" s="46" t="s">
        <v>665</v>
      </c>
      <c r="C259" s="46" t="s">
        <v>666</v>
      </c>
      <c r="D259" s="46">
        <v>20231001</v>
      </c>
      <c r="E259" s="46">
        <v>2023</v>
      </c>
      <c r="F259" s="46">
        <v>10</v>
      </c>
      <c r="G259" s="46" t="s">
        <v>724</v>
      </c>
      <c r="H259" s="46">
        <v>818</v>
      </c>
      <c r="I259" s="46" t="s">
        <v>668</v>
      </c>
      <c r="J259" s="46" t="s">
        <v>57</v>
      </c>
      <c r="K259" s="46" t="s">
        <v>666</v>
      </c>
      <c r="L259" s="46" t="s">
        <v>669</v>
      </c>
      <c r="M259" s="46">
        <v>634</v>
      </c>
      <c r="N259" s="46" t="s">
        <v>993</v>
      </c>
      <c r="O259" s="46" t="s">
        <v>37</v>
      </c>
      <c r="P259" s="46">
        <v>0</v>
      </c>
      <c r="Q259" s="46" t="s">
        <v>670</v>
      </c>
      <c r="R259" s="46" t="s">
        <v>23</v>
      </c>
      <c r="S259" s="46" t="s">
        <v>671</v>
      </c>
      <c r="T259" s="46" t="s">
        <v>672</v>
      </c>
      <c r="U259" s="46" t="b">
        <v>1</v>
      </c>
      <c r="V259" s="46" t="s">
        <v>985</v>
      </c>
      <c r="W259" s="46" t="s">
        <v>984</v>
      </c>
      <c r="X259" s="46">
        <v>6</v>
      </c>
      <c r="Y259" s="46" t="b">
        <v>1</v>
      </c>
      <c r="Z259" s="46" t="s">
        <v>675</v>
      </c>
      <c r="AA259" s="46" t="s">
        <v>676</v>
      </c>
      <c r="AB259" s="46" t="s">
        <v>677</v>
      </c>
      <c r="AC259" s="46">
        <v>0</v>
      </c>
      <c r="AD259" s="46" t="s">
        <v>678</v>
      </c>
      <c r="AE259" s="46">
        <v>8</v>
      </c>
      <c r="AF259" s="46" t="s">
        <v>679</v>
      </c>
      <c r="AG259" s="46">
        <v>87167.092000000004</v>
      </c>
      <c r="AH259" s="46" t="b">
        <v>1</v>
      </c>
      <c r="AI259" s="46">
        <v>-1</v>
      </c>
      <c r="AJ259" s="46" t="s">
        <v>680</v>
      </c>
      <c r="AK259" s="46">
        <v>0</v>
      </c>
      <c r="AL259" s="46" t="b">
        <v>0</v>
      </c>
      <c r="AM259" s="46">
        <v>87167.092000000004</v>
      </c>
      <c r="AN259" s="46" t="b">
        <v>1</v>
      </c>
      <c r="AO259" s="46">
        <v>0</v>
      </c>
      <c r="AP259" s="46" t="b">
        <v>0</v>
      </c>
      <c r="AQ259" s="46">
        <v>411335.06199999998</v>
      </c>
      <c r="AS259" s="46">
        <v>411335.06199999998</v>
      </c>
      <c r="AT259" s="46">
        <v>6</v>
      </c>
      <c r="AU259" s="46" t="b">
        <v>1</v>
      </c>
      <c r="AV259" s="46" t="b">
        <v>0</v>
      </c>
    </row>
    <row r="260" spans="2:48">
      <c r="B260" s="46" t="s">
        <v>665</v>
      </c>
      <c r="C260" s="46" t="s">
        <v>666</v>
      </c>
      <c r="D260" s="46">
        <v>20231001</v>
      </c>
      <c r="E260" s="46">
        <v>2023</v>
      </c>
      <c r="F260" s="46">
        <v>10</v>
      </c>
      <c r="G260" s="46" t="s">
        <v>724</v>
      </c>
      <c r="H260" s="46">
        <v>818</v>
      </c>
      <c r="I260" s="46" t="s">
        <v>668</v>
      </c>
      <c r="J260" s="46" t="s">
        <v>57</v>
      </c>
      <c r="K260" s="46" t="s">
        <v>666</v>
      </c>
      <c r="L260" s="46" t="s">
        <v>669</v>
      </c>
      <c r="M260" s="46">
        <v>643</v>
      </c>
      <c r="N260" s="46" t="s">
        <v>761</v>
      </c>
      <c r="O260" s="46" t="s">
        <v>38</v>
      </c>
      <c r="P260" s="46">
        <v>0</v>
      </c>
      <c r="Q260" s="46" t="s">
        <v>670</v>
      </c>
      <c r="R260" s="46" t="s">
        <v>23</v>
      </c>
      <c r="S260" s="46" t="s">
        <v>671</v>
      </c>
      <c r="T260" s="46" t="s">
        <v>672</v>
      </c>
      <c r="U260" s="46" t="b">
        <v>1</v>
      </c>
      <c r="V260" s="46" t="s">
        <v>985</v>
      </c>
      <c r="W260" s="46" t="s">
        <v>984</v>
      </c>
      <c r="X260" s="46">
        <v>6</v>
      </c>
      <c r="Y260" s="46" t="b">
        <v>1</v>
      </c>
      <c r="Z260" s="46" t="s">
        <v>675</v>
      </c>
      <c r="AA260" s="46" t="s">
        <v>676</v>
      </c>
      <c r="AB260" s="46" t="s">
        <v>677</v>
      </c>
      <c r="AC260" s="46">
        <v>0</v>
      </c>
      <c r="AD260" s="46" t="s">
        <v>678</v>
      </c>
      <c r="AE260" s="46">
        <v>8</v>
      </c>
      <c r="AF260" s="46" t="s">
        <v>679</v>
      </c>
      <c r="AG260" s="46">
        <v>154.953</v>
      </c>
      <c r="AH260" s="46" t="b">
        <v>1</v>
      </c>
      <c r="AI260" s="46">
        <v>-1</v>
      </c>
      <c r="AJ260" s="46" t="s">
        <v>680</v>
      </c>
      <c r="AK260" s="46">
        <v>0</v>
      </c>
      <c r="AL260" s="46" t="b">
        <v>0</v>
      </c>
      <c r="AM260" s="46">
        <v>154.953</v>
      </c>
      <c r="AN260" s="46" t="b">
        <v>1</v>
      </c>
      <c r="AO260" s="46">
        <v>0</v>
      </c>
      <c r="AP260" s="46" t="b">
        <v>0</v>
      </c>
      <c r="AQ260" s="46">
        <v>731.21100000000001</v>
      </c>
      <c r="AS260" s="46">
        <v>731.21100000000001</v>
      </c>
      <c r="AT260" s="46">
        <v>6</v>
      </c>
      <c r="AU260" s="46" t="b">
        <v>1</v>
      </c>
      <c r="AV260" s="46" t="b">
        <v>0</v>
      </c>
    </row>
    <row r="261" spans="2:48">
      <c r="B261" s="46" t="s">
        <v>665</v>
      </c>
      <c r="C261" s="46" t="s">
        <v>666</v>
      </c>
      <c r="D261" s="46">
        <v>20231001</v>
      </c>
      <c r="E261" s="46">
        <v>2023</v>
      </c>
      <c r="F261" s="46">
        <v>10</v>
      </c>
      <c r="G261" s="46" t="s">
        <v>724</v>
      </c>
      <c r="H261" s="46">
        <v>818</v>
      </c>
      <c r="I261" s="46" t="s">
        <v>668</v>
      </c>
      <c r="J261" s="46" t="s">
        <v>57</v>
      </c>
      <c r="K261" s="46" t="s">
        <v>666</v>
      </c>
      <c r="L261" s="46" t="s">
        <v>669</v>
      </c>
      <c r="M261" s="46">
        <v>682</v>
      </c>
      <c r="N261" s="46" t="s">
        <v>758</v>
      </c>
      <c r="O261" s="46" t="s">
        <v>39</v>
      </c>
      <c r="P261" s="46">
        <v>0</v>
      </c>
      <c r="Q261" s="46" t="s">
        <v>670</v>
      </c>
      <c r="R261" s="46" t="s">
        <v>23</v>
      </c>
      <c r="S261" s="46" t="s">
        <v>671</v>
      </c>
      <c r="T261" s="46" t="s">
        <v>672</v>
      </c>
      <c r="U261" s="46" t="b">
        <v>1</v>
      </c>
      <c r="V261" s="46" t="s">
        <v>985</v>
      </c>
      <c r="W261" s="46" t="s">
        <v>984</v>
      </c>
      <c r="X261" s="46">
        <v>6</v>
      </c>
      <c r="Y261" s="46" t="b">
        <v>1</v>
      </c>
      <c r="Z261" s="46" t="s">
        <v>675</v>
      </c>
      <c r="AA261" s="46" t="s">
        <v>676</v>
      </c>
      <c r="AB261" s="46" t="s">
        <v>677</v>
      </c>
      <c r="AC261" s="46">
        <v>0</v>
      </c>
      <c r="AD261" s="46" t="s">
        <v>678</v>
      </c>
      <c r="AE261" s="46">
        <v>8</v>
      </c>
      <c r="AF261" s="46" t="s">
        <v>679</v>
      </c>
      <c r="AG261" s="46">
        <v>47872.553</v>
      </c>
      <c r="AH261" s="46" t="b">
        <v>1</v>
      </c>
      <c r="AI261" s="46">
        <v>-1</v>
      </c>
      <c r="AJ261" s="46" t="s">
        <v>680</v>
      </c>
      <c r="AK261" s="46">
        <v>0</v>
      </c>
      <c r="AL261" s="46" t="b">
        <v>0</v>
      </c>
      <c r="AM261" s="46">
        <v>47872.553</v>
      </c>
      <c r="AN261" s="46" t="b">
        <v>1</v>
      </c>
      <c r="AO261" s="46">
        <v>0</v>
      </c>
      <c r="AP261" s="46" t="b">
        <v>0</v>
      </c>
      <c r="AQ261" s="46">
        <v>225907.041</v>
      </c>
      <c r="AS261" s="46">
        <v>225907.041</v>
      </c>
      <c r="AT261" s="46">
        <v>6</v>
      </c>
      <c r="AU261" s="46" t="b">
        <v>1</v>
      </c>
      <c r="AV261" s="46" t="b">
        <v>0</v>
      </c>
    </row>
    <row r="262" spans="2:48">
      <c r="B262" s="46" t="s">
        <v>665</v>
      </c>
      <c r="C262" s="46" t="s">
        <v>666</v>
      </c>
      <c r="D262" s="46">
        <v>20231001</v>
      </c>
      <c r="E262" s="46">
        <v>2023</v>
      </c>
      <c r="F262" s="46">
        <v>10</v>
      </c>
      <c r="G262" s="46" t="s">
        <v>724</v>
      </c>
      <c r="H262" s="46">
        <v>818</v>
      </c>
      <c r="I262" s="46" t="s">
        <v>668</v>
      </c>
      <c r="J262" s="46" t="s">
        <v>57</v>
      </c>
      <c r="K262" s="46" t="s">
        <v>666</v>
      </c>
      <c r="L262" s="46" t="s">
        <v>669</v>
      </c>
      <c r="M262" s="46">
        <v>699</v>
      </c>
      <c r="N262" s="46" t="s">
        <v>748</v>
      </c>
      <c r="O262" s="46" t="s">
        <v>0</v>
      </c>
      <c r="P262" s="46">
        <v>0</v>
      </c>
      <c r="Q262" s="46" t="s">
        <v>670</v>
      </c>
      <c r="R262" s="46" t="s">
        <v>23</v>
      </c>
      <c r="S262" s="46" t="s">
        <v>671</v>
      </c>
      <c r="T262" s="46" t="s">
        <v>672</v>
      </c>
      <c r="U262" s="46" t="b">
        <v>1</v>
      </c>
      <c r="V262" s="46" t="s">
        <v>985</v>
      </c>
      <c r="W262" s="46" t="s">
        <v>984</v>
      </c>
      <c r="X262" s="46">
        <v>6</v>
      </c>
      <c r="Y262" s="46" t="b">
        <v>1</v>
      </c>
      <c r="Z262" s="46" t="s">
        <v>675</v>
      </c>
      <c r="AA262" s="46" t="s">
        <v>676</v>
      </c>
      <c r="AB262" s="46" t="s">
        <v>677</v>
      </c>
      <c r="AC262" s="46">
        <v>0</v>
      </c>
      <c r="AD262" s="46" t="s">
        <v>678</v>
      </c>
      <c r="AE262" s="46">
        <v>8</v>
      </c>
      <c r="AF262" s="46" t="s">
        <v>679</v>
      </c>
      <c r="AG262" s="46">
        <v>389302.43199999997</v>
      </c>
      <c r="AH262" s="46" t="b">
        <v>1</v>
      </c>
      <c r="AI262" s="46">
        <v>-1</v>
      </c>
      <c r="AJ262" s="46" t="s">
        <v>680</v>
      </c>
      <c r="AK262" s="46">
        <v>0</v>
      </c>
      <c r="AL262" s="46" t="b">
        <v>0</v>
      </c>
      <c r="AM262" s="46">
        <v>389302.43199999997</v>
      </c>
      <c r="AN262" s="46" t="b">
        <v>1</v>
      </c>
      <c r="AO262" s="46">
        <v>0</v>
      </c>
      <c r="AP262" s="46" t="b">
        <v>0</v>
      </c>
      <c r="AQ262" s="46">
        <v>1837089.402</v>
      </c>
      <c r="AS262" s="46">
        <v>1837089.402</v>
      </c>
      <c r="AT262" s="46">
        <v>6</v>
      </c>
      <c r="AU262" s="46" t="b">
        <v>1</v>
      </c>
      <c r="AV262" s="46" t="b">
        <v>0</v>
      </c>
    </row>
    <row r="263" spans="2:48">
      <c r="B263" s="46" t="s">
        <v>665</v>
      </c>
      <c r="C263" s="46" t="s">
        <v>666</v>
      </c>
      <c r="D263" s="46">
        <v>20231001</v>
      </c>
      <c r="E263" s="46">
        <v>2023</v>
      </c>
      <c r="F263" s="46">
        <v>10</v>
      </c>
      <c r="G263" s="46" t="s">
        <v>724</v>
      </c>
      <c r="H263" s="46">
        <v>818</v>
      </c>
      <c r="I263" s="46" t="s">
        <v>668</v>
      </c>
      <c r="J263" s="46" t="s">
        <v>57</v>
      </c>
      <c r="K263" s="46" t="s">
        <v>666</v>
      </c>
      <c r="L263" s="46" t="s">
        <v>669</v>
      </c>
      <c r="M263" s="46">
        <v>702</v>
      </c>
      <c r="N263" s="46" t="s">
        <v>994</v>
      </c>
      <c r="O263" s="46" t="s">
        <v>28</v>
      </c>
      <c r="P263" s="46">
        <v>0</v>
      </c>
      <c r="Q263" s="46" t="s">
        <v>670</v>
      </c>
      <c r="R263" s="46" t="s">
        <v>23</v>
      </c>
      <c r="S263" s="46" t="s">
        <v>671</v>
      </c>
      <c r="T263" s="46" t="s">
        <v>672</v>
      </c>
      <c r="U263" s="46" t="b">
        <v>1</v>
      </c>
      <c r="V263" s="46" t="s">
        <v>985</v>
      </c>
      <c r="W263" s="46" t="s">
        <v>984</v>
      </c>
      <c r="X263" s="46">
        <v>6</v>
      </c>
      <c r="Y263" s="46" t="b">
        <v>1</v>
      </c>
      <c r="Z263" s="46" t="s">
        <v>675</v>
      </c>
      <c r="AA263" s="46" t="s">
        <v>676</v>
      </c>
      <c r="AB263" s="46" t="s">
        <v>677</v>
      </c>
      <c r="AC263" s="46">
        <v>0</v>
      </c>
      <c r="AD263" s="46" t="s">
        <v>678</v>
      </c>
      <c r="AE263" s="46">
        <v>8</v>
      </c>
      <c r="AF263" s="46" t="s">
        <v>679</v>
      </c>
      <c r="AG263" s="46">
        <v>6955.6959999999999</v>
      </c>
      <c r="AH263" s="46" t="b">
        <v>1</v>
      </c>
      <c r="AI263" s="46">
        <v>-1</v>
      </c>
      <c r="AJ263" s="46" t="s">
        <v>680</v>
      </c>
      <c r="AK263" s="46">
        <v>0</v>
      </c>
      <c r="AL263" s="46" t="b">
        <v>0</v>
      </c>
      <c r="AM263" s="46">
        <v>6955.6959999999999</v>
      </c>
      <c r="AN263" s="46" t="b">
        <v>1</v>
      </c>
      <c r="AO263" s="46">
        <v>0</v>
      </c>
      <c r="AP263" s="46" t="b">
        <v>0</v>
      </c>
      <c r="AQ263" s="46">
        <v>32823.417000000001</v>
      </c>
      <c r="AS263" s="46">
        <v>32823.417000000001</v>
      </c>
      <c r="AT263" s="46">
        <v>6</v>
      </c>
      <c r="AU263" s="46" t="b">
        <v>1</v>
      </c>
      <c r="AV263" s="46" t="b">
        <v>0</v>
      </c>
    </row>
    <row r="264" spans="2:48">
      <c r="B264" s="46" t="s">
        <v>665</v>
      </c>
      <c r="C264" s="46" t="s">
        <v>666</v>
      </c>
      <c r="D264" s="46">
        <v>20231001</v>
      </c>
      <c r="E264" s="46">
        <v>2023</v>
      </c>
      <c r="F264" s="46">
        <v>10</v>
      </c>
      <c r="G264" s="46" t="s">
        <v>724</v>
      </c>
      <c r="H264" s="46">
        <v>818</v>
      </c>
      <c r="I264" s="46" t="s">
        <v>668</v>
      </c>
      <c r="J264" s="46" t="s">
        <v>57</v>
      </c>
      <c r="K264" s="46" t="s">
        <v>666</v>
      </c>
      <c r="L264" s="46" t="s">
        <v>669</v>
      </c>
      <c r="M264" s="46">
        <v>704</v>
      </c>
      <c r="N264" s="46" t="s">
        <v>756</v>
      </c>
      <c r="O264" s="46" t="s">
        <v>59</v>
      </c>
      <c r="P264" s="46">
        <v>0</v>
      </c>
      <c r="Q264" s="46" t="s">
        <v>670</v>
      </c>
      <c r="R264" s="46" t="s">
        <v>23</v>
      </c>
      <c r="S264" s="46" t="s">
        <v>671</v>
      </c>
      <c r="T264" s="46" t="s">
        <v>672</v>
      </c>
      <c r="U264" s="46" t="b">
        <v>1</v>
      </c>
      <c r="V264" s="46" t="s">
        <v>985</v>
      </c>
      <c r="W264" s="46" t="s">
        <v>984</v>
      </c>
      <c r="X264" s="46">
        <v>6</v>
      </c>
      <c r="Y264" s="46" t="b">
        <v>1</v>
      </c>
      <c r="Z264" s="46" t="s">
        <v>675</v>
      </c>
      <c r="AA264" s="46" t="s">
        <v>676</v>
      </c>
      <c r="AB264" s="46" t="s">
        <v>677</v>
      </c>
      <c r="AC264" s="46">
        <v>0</v>
      </c>
      <c r="AD264" s="46" t="s">
        <v>678</v>
      </c>
      <c r="AE264" s="46">
        <v>8</v>
      </c>
      <c r="AF264" s="46" t="s">
        <v>679</v>
      </c>
      <c r="AG264" s="46">
        <v>619.6</v>
      </c>
      <c r="AH264" s="46" t="b">
        <v>1</v>
      </c>
      <c r="AI264" s="46">
        <v>-1</v>
      </c>
      <c r="AJ264" s="46" t="s">
        <v>680</v>
      </c>
      <c r="AK264" s="46">
        <v>0</v>
      </c>
      <c r="AL264" s="46" t="b">
        <v>0</v>
      </c>
      <c r="AM264" s="46">
        <v>619.6</v>
      </c>
      <c r="AN264" s="46" t="b">
        <v>1</v>
      </c>
      <c r="AO264" s="46">
        <v>0</v>
      </c>
      <c r="AP264" s="46" t="b">
        <v>0</v>
      </c>
      <c r="AQ264" s="46">
        <v>2923.8470000000002</v>
      </c>
      <c r="AS264" s="46">
        <v>2923.8470000000002</v>
      </c>
      <c r="AT264" s="46">
        <v>6</v>
      </c>
      <c r="AU264" s="46" t="b">
        <v>1</v>
      </c>
      <c r="AV264" s="46" t="b">
        <v>0</v>
      </c>
    </row>
    <row r="265" spans="2:48">
      <c r="B265" s="46" t="s">
        <v>665</v>
      </c>
      <c r="C265" s="46" t="s">
        <v>666</v>
      </c>
      <c r="D265" s="46">
        <v>20231001</v>
      </c>
      <c r="E265" s="46">
        <v>2023</v>
      </c>
      <c r="F265" s="46">
        <v>10</v>
      </c>
      <c r="G265" s="46" t="s">
        <v>724</v>
      </c>
      <c r="H265" s="46">
        <v>818</v>
      </c>
      <c r="I265" s="46" t="s">
        <v>668</v>
      </c>
      <c r="J265" s="46" t="s">
        <v>57</v>
      </c>
      <c r="K265" s="46" t="s">
        <v>666</v>
      </c>
      <c r="L265" s="46" t="s">
        <v>669</v>
      </c>
      <c r="M265" s="46">
        <v>705</v>
      </c>
      <c r="N265" s="46" t="s">
        <v>1004</v>
      </c>
      <c r="O265" s="46" t="s">
        <v>201</v>
      </c>
      <c r="P265" s="46">
        <v>0</v>
      </c>
      <c r="Q265" s="46" t="s">
        <v>670</v>
      </c>
      <c r="R265" s="46" t="s">
        <v>23</v>
      </c>
      <c r="S265" s="46" t="s">
        <v>671</v>
      </c>
      <c r="T265" s="46" t="s">
        <v>672</v>
      </c>
      <c r="U265" s="46" t="b">
        <v>1</v>
      </c>
      <c r="V265" s="46" t="s">
        <v>985</v>
      </c>
      <c r="W265" s="46" t="s">
        <v>984</v>
      </c>
      <c r="X265" s="46">
        <v>6</v>
      </c>
      <c r="Y265" s="46" t="b">
        <v>1</v>
      </c>
      <c r="Z265" s="46" t="s">
        <v>675</v>
      </c>
      <c r="AA265" s="46" t="s">
        <v>676</v>
      </c>
      <c r="AB265" s="46" t="s">
        <v>677</v>
      </c>
      <c r="AC265" s="46">
        <v>0</v>
      </c>
      <c r="AD265" s="46" t="s">
        <v>678</v>
      </c>
      <c r="AE265" s="46">
        <v>8</v>
      </c>
      <c r="AF265" s="46" t="s">
        <v>679</v>
      </c>
      <c r="AG265" s="46">
        <v>872.62900000000002</v>
      </c>
      <c r="AH265" s="46" t="b">
        <v>1</v>
      </c>
      <c r="AI265" s="46">
        <v>-1</v>
      </c>
      <c r="AJ265" s="46" t="s">
        <v>680</v>
      </c>
      <c r="AK265" s="46">
        <v>0</v>
      </c>
      <c r="AL265" s="46" t="b">
        <v>0</v>
      </c>
      <c r="AM265" s="46">
        <v>872.62900000000002</v>
      </c>
      <c r="AN265" s="46" t="b">
        <v>1</v>
      </c>
      <c r="AO265" s="46">
        <v>0</v>
      </c>
      <c r="AP265" s="46" t="b">
        <v>0</v>
      </c>
      <c r="AQ265" s="46">
        <v>4117.8710000000001</v>
      </c>
      <c r="AS265" s="46">
        <v>4117.8710000000001</v>
      </c>
      <c r="AT265" s="46">
        <v>6</v>
      </c>
      <c r="AU265" s="46" t="b">
        <v>1</v>
      </c>
      <c r="AV265" s="46" t="b">
        <v>0</v>
      </c>
    </row>
    <row r="266" spans="2:48">
      <c r="B266" s="46" t="s">
        <v>665</v>
      </c>
      <c r="C266" s="46" t="s">
        <v>666</v>
      </c>
      <c r="D266" s="46">
        <v>20231001</v>
      </c>
      <c r="E266" s="46">
        <v>2023</v>
      </c>
      <c r="F266" s="46">
        <v>10</v>
      </c>
      <c r="G266" s="46" t="s">
        <v>724</v>
      </c>
      <c r="H266" s="46">
        <v>818</v>
      </c>
      <c r="I266" s="46" t="s">
        <v>668</v>
      </c>
      <c r="J266" s="46" t="s">
        <v>57</v>
      </c>
      <c r="K266" s="46" t="s">
        <v>666</v>
      </c>
      <c r="L266" s="46" t="s">
        <v>669</v>
      </c>
      <c r="M266" s="46">
        <v>710</v>
      </c>
      <c r="N266" s="46" t="s">
        <v>995</v>
      </c>
      <c r="O266" s="46" t="s">
        <v>40</v>
      </c>
      <c r="P266" s="46">
        <v>0</v>
      </c>
      <c r="Q266" s="46" t="s">
        <v>670</v>
      </c>
      <c r="R266" s="46" t="s">
        <v>23</v>
      </c>
      <c r="S266" s="46" t="s">
        <v>671</v>
      </c>
      <c r="T266" s="46" t="s">
        <v>672</v>
      </c>
      <c r="U266" s="46" t="b">
        <v>1</v>
      </c>
      <c r="V266" s="46" t="s">
        <v>985</v>
      </c>
      <c r="W266" s="46" t="s">
        <v>984</v>
      </c>
      <c r="X266" s="46">
        <v>6</v>
      </c>
      <c r="Y266" s="46" t="b">
        <v>1</v>
      </c>
      <c r="Z266" s="46" t="s">
        <v>675</v>
      </c>
      <c r="AA266" s="46" t="s">
        <v>676</v>
      </c>
      <c r="AB266" s="46" t="s">
        <v>677</v>
      </c>
      <c r="AC266" s="46">
        <v>0</v>
      </c>
      <c r="AD266" s="46" t="s">
        <v>678</v>
      </c>
      <c r="AE266" s="46">
        <v>8</v>
      </c>
      <c r="AF266" s="46" t="s">
        <v>679</v>
      </c>
      <c r="AG266" s="46">
        <v>13730.677</v>
      </c>
      <c r="AH266" s="46" t="b">
        <v>1</v>
      </c>
      <c r="AI266" s="46">
        <v>-1</v>
      </c>
      <c r="AJ266" s="46" t="s">
        <v>680</v>
      </c>
      <c r="AK266" s="46">
        <v>0</v>
      </c>
      <c r="AL266" s="46" t="b">
        <v>0</v>
      </c>
      <c r="AM266" s="46">
        <v>13730.677</v>
      </c>
      <c r="AN266" s="46" t="b">
        <v>1</v>
      </c>
      <c r="AO266" s="46">
        <v>0</v>
      </c>
      <c r="AP266" s="46" t="b">
        <v>0</v>
      </c>
      <c r="AQ266" s="46">
        <v>64794.050999999999</v>
      </c>
      <c r="AS266" s="46">
        <v>64794.050999999999</v>
      </c>
      <c r="AT266" s="46">
        <v>6</v>
      </c>
      <c r="AU266" s="46" t="b">
        <v>1</v>
      </c>
      <c r="AV266" s="46" t="b">
        <v>0</v>
      </c>
    </row>
    <row r="267" spans="2:48">
      <c r="B267" s="46" t="s">
        <v>665</v>
      </c>
      <c r="C267" s="46" t="s">
        <v>666</v>
      </c>
      <c r="D267" s="46">
        <v>20231001</v>
      </c>
      <c r="E267" s="46">
        <v>2023</v>
      </c>
      <c r="F267" s="46">
        <v>10</v>
      </c>
      <c r="G267" s="46" t="s">
        <v>724</v>
      </c>
      <c r="H267" s="46">
        <v>818</v>
      </c>
      <c r="I267" s="46" t="s">
        <v>668</v>
      </c>
      <c r="J267" s="46" t="s">
        <v>57</v>
      </c>
      <c r="K267" s="46" t="s">
        <v>666</v>
      </c>
      <c r="L267" s="46" t="s">
        <v>669</v>
      </c>
      <c r="M267" s="46">
        <v>724</v>
      </c>
      <c r="N267" s="46" t="s">
        <v>684</v>
      </c>
      <c r="O267" s="46" t="s">
        <v>51</v>
      </c>
      <c r="P267" s="46">
        <v>0</v>
      </c>
      <c r="Q267" s="46" t="s">
        <v>670</v>
      </c>
      <c r="R267" s="46" t="s">
        <v>23</v>
      </c>
      <c r="S267" s="46" t="s">
        <v>671</v>
      </c>
      <c r="T267" s="46" t="s">
        <v>672</v>
      </c>
      <c r="U267" s="46" t="b">
        <v>1</v>
      </c>
      <c r="V267" s="46" t="s">
        <v>985</v>
      </c>
      <c r="W267" s="46" t="s">
        <v>984</v>
      </c>
      <c r="X267" s="46">
        <v>6</v>
      </c>
      <c r="Y267" s="46" t="b">
        <v>1</v>
      </c>
      <c r="Z267" s="46" t="s">
        <v>675</v>
      </c>
      <c r="AA267" s="46" t="s">
        <v>676</v>
      </c>
      <c r="AB267" s="46" t="s">
        <v>677</v>
      </c>
      <c r="AC267" s="46">
        <v>0</v>
      </c>
      <c r="AD267" s="46" t="s">
        <v>678</v>
      </c>
      <c r="AE267" s="46">
        <v>8</v>
      </c>
      <c r="AF267" s="46" t="s">
        <v>679</v>
      </c>
      <c r="AG267" s="46">
        <v>226368.72899999999</v>
      </c>
      <c r="AH267" s="46" t="b">
        <v>1</v>
      </c>
      <c r="AI267" s="46">
        <v>-1</v>
      </c>
      <c r="AJ267" s="46" t="s">
        <v>680</v>
      </c>
      <c r="AK267" s="46">
        <v>0</v>
      </c>
      <c r="AL267" s="46" t="b">
        <v>0</v>
      </c>
      <c r="AM267" s="46">
        <v>226368.72899999999</v>
      </c>
      <c r="AN267" s="46" t="b">
        <v>1</v>
      </c>
      <c r="AO267" s="46">
        <v>0</v>
      </c>
      <c r="AP267" s="46" t="b">
        <v>0</v>
      </c>
      <c r="AQ267" s="46">
        <v>1068217.301</v>
      </c>
      <c r="AS267" s="46">
        <v>1068217.301</v>
      </c>
      <c r="AT267" s="46">
        <v>6</v>
      </c>
      <c r="AU267" s="46" t="b">
        <v>1</v>
      </c>
      <c r="AV267" s="46" t="b">
        <v>0</v>
      </c>
    </row>
    <row r="268" spans="2:48">
      <c r="B268" s="46" t="s">
        <v>665</v>
      </c>
      <c r="C268" s="46" t="s">
        <v>666</v>
      </c>
      <c r="D268" s="46">
        <v>20231001</v>
      </c>
      <c r="E268" s="46">
        <v>2023</v>
      </c>
      <c r="F268" s="46">
        <v>10</v>
      </c>
      <c r="G268" s="46" t="s">
        <v>724</v>
      </c>
      <c r="H268" s="46">
        <v>818</v>
      </c>
      <c r="I268" s="46" t="s">
        <v>668</v>
      </c>
      <c r="J268" s="46" t="s">
        <v>57</v>
      </c>
      <c r="K268" s="46" t="s">
        <v>666</v>
      </c>
      <c r="L268" s="46" t="s">
        <v>669</v>
      </c>
      <c r="M268" s="46">
        <v>757</v>
      </c>
      <c r="N268" s="46" t="s">
        <v>996</v>
      </c>
      <c r="O268" s="46" t="s">
        <v>41</v>
      </c>
      <c r="P268" s="46">
        <v>0</v>
      </c>
      <c r="Q268" s="46" t="s">
        <v>670</v>
      </c>
      <c r="R268" s="46" t="s">
        <v>23</v>
      </c>
      <c r="S268" s="46" t="s">
        <v>671</v>
      </c>
      <c r="T268" s="46" t="s">
        <v>672</v>
      </c>
      <c r="U268" s="46" t="b">
        <v>1</v>
      </c>
      <c r="V268" s="46" t="s">
        <v>985</v>
      </c>
      <c r="W268" s="46" t="s">
        <v>984</v>
      </c>
      <c r="X268" s="46">
        <v>6</v>
      </c>
      <c r="Y268" s="46" t="b">
        <v>1</v>
      </c>
      <c r="Z268" s="46" t="s">
        <v>675</v>
      </c>
      <c r="AA268" s="46" t="s">
        <v>676</v>
      </c>
      <c r="AB268" s="46" t="s">
        <v>677</v>
      </c>
      <c r="AC268" s="46">
        <v>0</v>
      </c>
      <c r="AD268" s="46" t="s">
        <v>678</v>
      </c>
      <c r="AE268" s="46">
        <v>8</v>
      </c>
      <c r="AF268" s="46" t="s">
        <v>679</v>
      </c>
      <c r="AG268" s="46">
        <v>10634.367</v>
      </c>
      <c r="AH268" s="46" t="b">
        <v>1</v>
      </c>
      <c r="AI268" s="46">
        <v>-1</v>
      </c>
      <c r="AJ268" s="46" t="s">
        <v>680</v>
      </c>
      <c r="AK268" s="46">
        <v>0</v>
      </c>
      <c r="AL268" s="46" t="b">
        <v>0</v>
      </c>
      <c r="AM268" s="46">
        <v>10634.367</v>
      </c>
      <c r="AN268" s="46" t="b">
        <v>1</v>
      </c>
      <c r="AO268" s="46">
        <v>0</v>
      </c>
      <c r="AP268" s="46" t="b">
        <v>0</v>
      </c>
      <c r="AQ268" s="46">
        <v>50182.792999999998</v>
      </c>
      <c r="AS268" s="46">
        <v>50182.792999999998</v>
      </c>
      <c r="AT268" s="46">
        <v>6</v>
      </c>
      <c r="AU268" s="46" t="b">
        <v>1</v>
      </c>
      <c r="AV268" s="46" t="b">
        <v>0</v>
      </c>
    </row>
    <row r="269" spans="2:48">
      <c r="B269" s="46" t="s">
        <v>665</v>
      </c>
      <c r="C269" s="46" t="s">
        <v>666</v>
      </c>
      <c r="D269" s="46">
        <v>20231001</v>
      </c>
      <c r="E269" s="46">
        <v>2023</v>
      </c>
      <c r="F269" s="46">
        <v>10</v>
      </c>
      <c r="G269" s="46" t="s">
        <v>724</v>
      </c>
      <c r="H269" s="46">
        <v>818</v>
      </c>
      <c r="I269" s="46" t="s">
        <v>668</v>
      </c>
      <c r="J269" s="46" t="s">
        <v>57</v>
      </c>
      <c r="K269" s="46" t="s">
        <v>666</v>
      </c>
      <c r="L269" s="46" t="s">
        <v>669</v>
      </c>
      <c r="M269" s="46">
        <v>764</v>
      </c>
      <c r="N269" s="46" t="s">
        <v>749</v>
      </c>
      <c r="O269" s="46" t="s">
        <v>55</v>
      </c>
      <c r="P269" s="46">
        <v>0</v>
      </c>
      <c r="Q269" s="46" t="s">
        <v>670</v>
      </c>
      <c r="R269" s="46" t="s">
        <v>23</v>
      </c>
      <c r="S269" s="46" t="s">
        <v>671</v>
      </c>
      <c r="T269" s="46" t="s">
        <v>672</v>
      </c>
      <c r="U269" s="46" t="b">
        <v>1</v>
      </c>
      <c r="V269" s="46" t="s">
        <v>985</v>
      </c>
      <c r="W269" s="46" t="s">
        <v>984</v>
      </c>
      <c r="X269" s="46">
        <v>6</v>
      </c>
      <c r="Y269" s="46" t="b">
        <v>1</v>
      </c>
      <c r="Z269" s="46" t="s">
        <v>675</v>
      </c>
      <c r="AA269" s="46" t="s">
        <v>676</v>
      </c>
      <c r="AB269" s="46" t="s">
        <v>677</v>
      </c>
      <c r="AC269" s="46">
        <v>0</v>
      </c>
      <c r="AD269" s="46" t="s">
        <v>678</v>
      </c>
      <c r="AE269" s="46">
        <v>8</v>
      </c>
      <c r="AF269" s="46" t="s">
        <v>679</v>
      </c>
      <c r="AG269" s="46">
        <v>4026.4459999999999</v>
      </c>
      <c r="AH269" s="46" t="b">
        <v>1</v>
      </c>
      <c r="AI269" s="46">
        <v>-1</v>
      </c>
      <c r="AJ269" s="46" t="s">
        <v>680</v>
      </c>
      <c r="AK269" s="46">
        <v>0</v>
      </c>
      <c r="AL269" s="46" t="b">
        <v>0</v>
      </c>
      <c r="AM269" s="46">
        <v>4026.4459999999999</v>
      </c>
      <c r="AN269" s="46" t="b">
        <v>1</v>
      </c>
      <c r="AO269" s="46">
        <v>0</v>
      </c>
      <c r="AP269" s="46" t="b">
        <v>0</v>
      </c>
      <c r="AQ269" s="46">
        <v>19000.502</v>
      </c>
      <c r="AS269" s="46">
        <v>19000.502</v>
      </c>
      <c r="AT269" s="46">
        <v>6</v>
      </c>
      <c r="AU269" s="46" t="b">
        <v>1</v>
      </c>
      <c r="AV269" s="46" t="b">
        <v>0</v>
      </c>
    </row>
    <row r="270" spans="2:48">
      <c r="B270" s="46" t="s">
        <v>665</v>
      </c>
      <c r="C270" s="46" t="s">
        <v>666</v>
      </c>
      <c r="D270" s="46">
        <v>20231001</v>
      </c>
      <c r="E270" s="46">
        <v>2023</v>
      </c>
      <c r="F270" s="46">
        <v>10</v>
      </c>
      <c r="G270" s="46" t="s">
        <v>724</v>
      </c>
      <c r="H270" s="46">
        <v>818</v>
      </c>
      <c r="I270" s="46" t="s">
        <v>668</v>
      </c>
      <c r="J270" s="46" t="s">
        <v>57</v>
      </c>
      <c r="K270" s="46" t="s">
        <v>666</v>
      </c>
      <c r="L270" s="46" t="s">
        <v>669</v>
      </c>
      <c r="M270" s="46">
        <v>784</v>
      </c>
      <c r="N270" s="46" t="s">
        <v>694</v>
      </c>
      <c r="O270" s="46" t="s">
        <v>25</v>
      </c>
      <c r="P270" s="46">
        <v>0</v>
      </c>
      <c r="Q270" s="46" t="s">
        <v>670</v>
      </c>
      <c r="R270" s="46" t="s">
        <v>23</v>
      </c>
      <c r="S270" s="46" t="s">
        <v>671</v>
      </c>
      <c r="T270" s="46" t="s">
        <v>672</v>
      </c>
      <c r="U270" s="46" t="b">
        <v>1</v>
      </c>
      <c r="V270" s="46" t="s">
        <v>985</v>
      </c>
      <c r="W270" s="46" t="s">
        <v>984</v>
      </c>
      <c r="X270" s="46">
        <v>6</v>
      </c>
      <c r="Y270" s="46" t="b">
        <v>1</v>
      </c>
      <c r="Z270" s="46" t="s">
        <v>675</v>
      </c>
      <c r="AA270" s="46" t="s">
        <v>676</v>
      </c>
      <c r="AB270" s="46" t="s">
        <v>677</v>
      </c>
      <c r="AC270" s="46">
        <v>0</v>
      </c>
      <c r="AD270" s="46" t="s">
        <v>678</v>
      </c>
      <c r="AE270" s="46">
        <v>8</v>
      </c>
      <c r="AF270" s="46" t="s">
        <v>679</v>
      </c>
      <c r="AG270" s="46">
        <v>123294.769</v>
      </c>
      <c r="AH270" s="46" t="b">
        <v>1</v>
      </c>
      <c r="AI270" s="46">
        <v>-1</v>
      </c>
      <c r="AJ270" s="46" t="s">
        <v>680</v>
      </c>
      <c r="AK270" s="46">
        <v>0</v>
      </c>
      <c r="AL270" s="46" t="b">
        <v>0</v>
      </c>
      <c r="AM270" s="46">
        <v>123294.769</v>
      </c>
      <c r="AN270" s="46" t="b">
        <v>1</v>
      </c>
      <c r="AO270" s="46">
        <v>0</v>
      </c>
      <c r="AP270" s="46" t="b">
        <v>0</v>
      </c>
      <c r="AQ270" s="46">
        <v>581818.90099999995</v>
      </c>
      <c r="AS270" s="46">
        <v>581818.90099999995</v>
      </c>
      <c r="AT270" s="46">
        <v>6</v>
      </c>
      <c r="AU270" s="46" t="b">
        <v>1</v>
      </c>
      <c r="AV270" s="46" t="b">
        <v>0</v>
      </c>
    </row>
    <row r="271" spans="2:48">
      <c r="B271" s="46" t="s">
        <v>665</v>
      </c>
      <c r="C271" s="46" t="s">
        <v>666</v>
      </c>
      <c r="D271" s="46">
        <v>20231001</v>
      </c>
      <c r="E271" s="46">
        <v>2023</v>
      </c>
      <c r="F271" s="46">
        <v>10</v>
      </c>
      <c r="G271" s="46" t="s">
        <v>724</v>
      </c>
      <c r="H271" s="46">
        <v>818</v>
      </c>
      <c r="I271" s="46" t="s">
        <v>668</v>
      </c>
      <c r="J271" s="46" t="s">
        <v>57</v>
      </c>
      <c r="K271" s="46" t="s">
        <v>666</v>
      </c>
      <c r="L271" s="46" t="s">
        <v>669</v>
      </c>
      <c r="M271" s="46">
        <v>792</v>
      </c>
      <c r="N271" s="46" t="s">
        <v>691</v>
      </c>
      <c r="O271" s="46" t="s">
        <v>63</v>
      </c>
      <c r="P271" s="46">
        <v>0</v>
      </c>
      <c r="Q271" s="46" t="s">
        <v>670</v>
      </c>
      <c r="R271" s="46" t="s">
        <v>23</v>
      </c>
      <c r="S271" s="46" t="s">
        <v>671</v>
      </c>
      <c r="T271" s="46" t="s">
        <v>672</v>
      </c>
      <c r="U271" s="46" t="b">
        <v>1</v>
      </c>
      <c r="V271" s="46" t="s">
        <v>985</v>
      </c>
      <c r="W271" s="46" t="s">
        <v>984</v>
      </c>
      <c r="X271" s="46">
        <v>6</v>
      </c>
      <c r="Y271" s="46" t="b">
        <v>1</v>
      </c>
      <c r="Z271" s="46" t="s">
        <v>675</v>
      </c>
      <c r="AA271" s="46" t="s">
        <v>676</v>
      </c>
      <c r="AB271" s="46" t="s">
        <v>677</v>
      </c>
      <c r="AC271" s="46">
        <v>0</v>
      </c>
      <c r="AD271" s="46" t="s">
        <v>678</v>
      </c>
      <c r="AE271" s="46">
        <v>8</v>
      </c>
      <c r="AF271" s="46" t="s">
        <v>679</v>
      </c>
      <c r="AG271" s="46">
        <v>242787.00200000001</v>
      </c>
      <c r="AH271" s="46" t="b">
        <v>1</v>
      </c>
      <c r="AI271" s="46">
        <v>-1</v>
      </c>
      <c r="AJ271" s="46" t="s">
        <v>680</v>
      </c>
      <c r="AK271" s="46">
        <v>0</v>
      </c>
      <c r="AL271" s="46" t="b">
        <v>0</v>
      </c>
      <c r="AM271" s="46">
        <v>242787.00200000001</v>
      </c>
      <c r="AN271" s="46" t="b">
        <v>1</v>
      </c>
      <c r="AO271" s="46">
        <v>0</v>
      </c>
      <c r="AP271" s="46" t="b">
        <v>0</v>
      </c>
      <c r="AQ271" s="46">
        <v>1145693.916</v>
      </c>
      <c r="AS271" s="46">
        <v>1145693.916</v>
      </c>
      <c r="AT271" s="46">
        <v>6</v>
      </c>
      <c r="AU271" s="46" t="b">
        <v>1</v>
      </c>
      <c r="AV271" s="46" t="b">
        <v>0</v>
      </c>
    </row>
    <row r="272" spans="2:48">
      <c r="B272" s="46" t="s">
        <v>665</v>
      </c>
      <c r="C272" s="46" t="s">
        <v>666</v>
      </c>
      <c r="D272" s="46">
        <v>20231001</v>
      </c>
      <c r="E272" s="46">
        <v>2023</v>
      </c>
      <c r="F272" s="46">
        <v>10</v>
      </c>
      <c r="G272" s="46" t="s">
        <v>724</v>
      </c>
      <c r="H272" s="46">
        <v>818</v>
      </c>
      <c r="I272" s="46" t="s">
        <v>668</v>
      </c>
      <c r="J272" s="46" t="s">
        <v>57</v>
      </c>
      <c r="K272" s="46" t="s">
        <v>666</v>
      </c>
      <c r="L272" s="46" t="s">
        <v>669</v>
      </c>
      <c r="M272" s="46">
        <v>826</v>
      </c>
      <c r="N272" s="46" t="s">
        <v>685</v>
      </c>
      <c r="O272" s="46" t="s">
        <v>64</v>
      </c>
      <c r="P272" s="46">
        <v>0</v>
      </c>
      <c r="Q272" s="46" t="s">
        <v>670</v>
      </c>
      <c r="R272" s="46" t="s">
        <v>23</v>
      </c>
      <c r="S272" s="46" t="s">
        <v>671</v>
      </c>
      <c r="T272" s="46" t="s">
        <v>672</v>
      </c>
      <c r="U272" s="46" t="b">
        <v>1</v>
      </c>
      <c r="V272" s="46" t="s">
        <v>985</v>
      </c>
      <c r="W272" s="46" t="s">
        <v>984</v>
      </c>
      <c r="X272" s="46">
        <v>6</v>
      </c>
      <c r="Y272" s="46" t="b">
        <v>1</v>
      </c>
      <c r="Z272" s="46" t="s">
        <v>675</v>
      </c>
      <c r="AA272" s="46" t="s">
        <v>676</v>
      </c>
      <c r="AB272" s="46" t="s">
        <v>677</v>
      </c>
      <c r="AC272" s="46">
        <v>0</v>
      </c>
      <c r="AD272" s="46" t="s">
        <v>678</v>
      </c>
      <c r="AE272" s="46">
        <v>8</v>
      </c>
      <c r="AF272" s="46" t="s">
        <v>679</v>
      </c>
      <c r="AG272" s="46">
        <v>49069.665999999997</v>
      </c>
      <c r="AH272" s="46" t="b">
        <v>1</v>
      </c>
      <c r="AI272" s="46">
        <v>-1</v>
      </c>
      <c r="AJ272" s="46" t="s">
        <v>680</v>
      </c>
      <c r="AK272" s="46">
        <v>0</v>
      </c>
      <c r="AL272" s="46" t="b">
        <v>0</v>
      </c>
      <c r="AM272" s="46">
        <v>49069.665999999997</v>
      </c>
      <c r="AN272" s="46" t="b">
        <v>1</v>
      </c>
      <c r="AO272" s="46">
        <v>0</v>
      </c>
      <c r="AP272" s="46" t="b">
        <v>0</v>
      </c>
      <c r="AQ272" s="46">
        <v>231556.125</v>
      </c>
      <c r="AS272" s="46">
        <v>231556.125</v>
      </c>
      <c r="AT272" s="46">
        <v>6</v>
      </c>
      <c r="AU272" s="46" t="b">
        <v>1</v>
      </c>
      <c r="AV272" s="46" t="b">
        <v>0</v>
      </c>
    </row>
    <row r="273" spans="2:48">
      <c r="B273" s="46" t="s">
        <v>665</v>
      </c>
      <c r="C273" s="46" t="s">
        <v>666</v>
      </c>
      <c r="D273" s="46">
        <v>20231001</v>
      </c>
      <c r="E273" s="46">
        <v>2023</v>
      </c>
      <c r="F273" s="46">
        <v>10</v>
      </c>
      <c r="G273" s="46" t="s">
        <v>724</v>
      </c>
      <c r="H273" s="46">
        <v>818</v>
      </c>
      <c r="I273" s="46" t="s">
        <v>668</v>
      </c>
      <c r="J273" s="46" t="s">
        <v>57</v>
      </c>
      <c r="K273" s="46" t="s">
        <v>666</v>
      </c>
      <c r="L273" s="46" t="s">
        <v>669</v>
      </c>
      <c r="M273" s="46">
        <v>842</v>
      </c>
      <c r="N273" s="46" t="s">
        <v>713</v>
      </c>
      <c r="O273" s="46" t="s">
        <v>713</v>
      </c>
      <c r="P273" s="46">
        <v>0</v>
      </c>
      <c r="Q273" s="46" t="s">
        <v>670</v>
      </c>
      <c r="R273" s="46" t="s">
        <v>23</v>
      </c>
      <c r="S273" s="46" t="s">
        <v>671</v>
      </c>
      <c r="T273" s="46" t="s">
        <v>672</v>
      </c>
      <c r="U273" s="46" t="b">
        <v>1</v>
      </c>
      <c r="V273" s="46" t="s">
        <v>985</v>
      </c>
      <c r="W273" s="46" t="s">
        <v>984</v>
      </c>
      <c r="X273" s="46">
        <v>6</v>
      </c>
      <c r="Y273" s="46" t="b">
        <v>1</v>
      </c>
      <c r="Z273" s="46" t="s">
        <v>675</v>
      </c>
      <c r="AA273" s="46" t="s">
        <v>676</v>
      </c>
      <c r="AB273" s="46" t="s">
        <v>677</v>
      </c>
      <c r="AC273" s="46">
        <v>0</v>
      </c>
      <c r="AD273" s="46" t="s">
        <v>678</v>
      </c>
      <c r="AE273" s="46">
        <v>8</v>
      </c>
      <c r="AF273" s="46" t="s">
        <v>679</v>
      </c>
      <c r="AG273" s="46">
        <v>274359.842</v>
      </c>
      <c r="AH273" s="46" t="b">
        <v>1</v>
      </c>
      <c r="AI273" s="46">
        <v>-1</v>
      </c>
      <c r="AJ273" s="46" t="s">
        <v>680</v>
      </c>
      <c r="AK273" s="46">
        <v>0</v>
      </c>
      <c r="AL273" s="46" t="b">
        <v>0</v>
      </c>
      <c r="AM273" s="46">
        <v>274359.842</v>
      </c>
      <c r="AN273" s="46" t="b">
        <v>1</v>
      </c>
      <c r="AO273" s="46">
        <v>0</v>
      </c>
      <c r="AP273" s="46" t="b">
        <v>0</v>
      </c>
      <c r="AQ273" s="46">
        <v>1294683.817</v>
      </c>
      <c r="AS273" s="46">
        <v>1294683.817</v>
      </c>
      <c r="AT273" s="46">
        <v>6</v>
      </c>
      <c r="AU273" s="46" t="b">
        <v>1</v>
      </c>
      <c r="AV273" s="46" t="b">
        <v>0</v>
      </c>
    </row>
    <row r="274" spans="2:48">
      <c r="B274" s="46" t="s">
        <v>665</v>
      </c>
      <c r="C274" s="46" t="s">
        <v>666</v>
      </c>
      <c r="D274" s="46">
        <v>20231101</v>
      </c>
      <c r="E274" s="46">
        <v>2023</v>
      </c>
      <c r="F274" s="46">
        <v>11</v>
      </c>
      <c r="G274" s="46" t="s">
        <v>725</v>
      </c>
      <c r="H274" s="46">
        <v>818</v>
      </c>
      <c r="I274" s="46" t="s">
        <v>668</v>
      </c>
      <c r="J274" s="46" t="s">
        <v>57</v>
      </c>
      <c r="K274" s="46" t="s">
        <v>666</v>
      </c>
      <c r="L274" s="46" t="s">
        <v>669</v>
      </c>
      <c r="M274" s="46">
        <v>0</v>
      </c>
      <c r="N274" s="46" t="s">
        <v>670</v>
      </c>
      <c r="O274" s="46" t="s">
        <v>23</v>
      </c>
      <c r="P274" s="46">
        <v>0</v>
      </c>
      <c r="Q274" s="46" t="s">
        <v>670</v>
      </c>
      <c r="R274" s="46" t="s">
        <v>23</v>
      </c>
      <c r="S274" s="46" t="s">
        <v>671</v>
      </c>
      <c r="T274" s="46" t="s">
        <v>672</v>
      </c>
      <c r="U274" s="46" t="b">
        <v>1</v>
      </c>
      <c r="V274" s="46" t="s">
        <v>985</v>
      </c>
      <c r="W274" s="46" t="s">
        <v>984</v>
      </c>
      <c r="X274" s="46">
        <v>6</v>
      </c>
      <c r="Y274" s="46" t="b">
        <v>1</v>
      </c>
      <c r="Z274" s="46" t="s">
        <v>675</v>
      </c>
      <c r="AA274" s="46" t="s">
        <v>676</v>
      </c>
      <c r="AB274" s="46" t="s">
        <v>677</v>
      </c>
      <c r="AC274" s="46">
        <v>0</v>
      </c>
      <c r="AD274" s="46" t="s">
        <v>678</v>
      </c>
      <c r="AE274" s="46">
        <v>8</v>
      </c>
      <c r="AF274" s="46" t="s">
        <v>679</v>
      </c>
      <c r="AG274" s="46">
        <v>3427779.824</v>
      </c>
      <c r="AH274" s="46" t="b">
        <v>1</v>
      </c>
      <c r="AI274" s="46">
        <v>-1</v>
      </c>
      <c r="AJ274" s="46" t="s">
        <v>680</v>
      </c>
      <c r="AK274" s="46">
        <v>0</v>
      </c>
      <c r="AL274" s="46" t="b">
        <v>0</v>
      </c>
      <c r="AM274" s="46">
        <v>3427779.824</v>
      </c>
      <c r="AN274" s="46" t="b">
        <v>1</v>
      </c>
      <c r="AO274" s="46">
        <v>0</v>
      </c>
      <c r="AP274" s="46" t="b">
        <v>0</v>
      </c>
      <c r="AQ274" s="46">
        <v>16175439.622</v>
      </c>
      <c r="AS274" s="46">
        <v>16175439.622</v>
      </c>
      <c r="AT274" s="46">
        <v>6</v>
      </c>
      <c r="AU274" s="46" t="b">
        <v>0</v>
      </c>
      <c r="AV274" s="46" t="b">
        <v>1</v>
      </c>
    </row>
    <row r="275" spans="2:48">
      <c r="B275" s="46" t="s">
        <v>665</v>
      </c>
      <c r="C275" s="46" t="s">
        <v>666</v>
      </c>
      <c r="D275" s="46">
        <v>20231101</v>
      </c>
      <c r="E275" s="46">
        <v>2023</v>
      </c>
      <c r="F275" s="46">
        <v>11</v>
      </c>
      <c r="G275" s="46" t="s">
        <v>725</v>
      </c>
      <c r="H275" s="46">
        <v>818</v>
      </c>
      <c r="I275" s="46" t="s">
        <v>668</v>
      </c>
      <c r="J275" s="46" t="s">
        <v>57</v>
      </c>
      <c r="K275" s="46" t="s">
        <v>666</v>
      </c>
      <c r="L275" s="46" t="s">
        <v>669</v>
      </c>
      <c r="M275" s="46">
        <v>36</v>
      </c>
      <c r="N275" s="46" t="s">
        <v>765</v>
      </c>
      <c r="O275" s="46" t="s">
        <v>24</v>
      </c>
      <c r="P275" s="46">
        <v>0</v>
      </c>
      <c r="Q275" s="46" t="s">
        <v>670</v>
      </c>
      <c r="R275" s="46" t="s">
        <v>23</v>
      </c>
      <c r="S275" s="46" t="s">
        <v>671</v>
      </c>
      <c r="T275" s="46" t="s">
        <v>672</v>
      </c>
      <c r="U275" s="46" t="b">
        <v>1</v>
      </c>
      <c r="V275" s="46" t="s">
        <v>985</v>
      </c>
      <c r="W275" s="46" t="s">
        <v>984</v>
      </c>
      <c r="X275" s="46">
        <v>6</v>
      </c>
      <c r="Y275" s="46" t="b">
        <v>1</v>
      </c>
      <c r="Z275" s="46" t="s">
        <v>675</v>
      </c>
      <c r="AA275" s="46" t="s">
        <v>676</v>
      </c>
      <c r="AB275" s="46" t="s">
        <v>677</v>
      </c>
      <c r="AC275" s="46">
        <v>0</v>
      </c>
      <c r="AD275" s="46" t="s">
        <v>678</v>
      </c>
      <c r="AE275" s="46">
        <v>8</v>
      </c>
      <c r="AF275" s="46" t="s">
        <v>679</v>
      </c>
      <c r="AG275" s="46">
        <v>37274.025000000001</v>
      </c>
      <c r="AH275" s="46" t="b">
        <v>1</v>
      </c>
      <c r="AI275" s="46">
        <v>-1</v>
      </c>
      <c r="AJ275" s="46" t="s">
        <v>680</v>
      </c>
      <c r="AK275" s="46">
        <v>0</v>
      </c>
      <c r="AL275" s="46" t="b">
        <v>0</v>
      </c>
      <c r="AM275" s="46">
        <v>37274.025000000001</v>
      </c>
      <c r="AN275" s="46" t="b">
        <v>1</v>
      </c>
      <c r="AO275" s="46">
        <v>0</v>
      </c>
      <c r="AP275" s="46" t="b">
        <v>0</v>
      </c>
      <c r="AQ275" s="46">
        <v>175893.36900000001</v>
      </c>
      <c r="AS275" s="46">
        <v>175893.36900000001</v>
      </c>
      <c r="AT275" s="46">
        <v>6</v>
      </c>
      <c r="AU275" s="46" t="b">
        <v>1</v>
      </c>
      <c r="AV275" s="46" t="b">
        <v>0</v>
      </c>
    </row>
    <row r="276" spans="2:48">
      <c r="B276" s="46" t="s">
        <v>665</v>
      </c>
      <c r="C276" s="46" t="s">
        <v>666</v>
      </c>
      <c r="D276" s="46">
        <v>20231101</v>
      </c>
      <c r="E276" s="46">
        <v>2023</v>
      </c>
      <c r="F276" s="46">
        <v>11</v>
      </c>
      <c r="G276" s="46" t="s">
        <v>725</v>
      </c>
      <c r="H276" s="46">
        <v>818</v>
      </c>
      <c r="I276" s="46" t="s">
        <v>668</v>
      </c>
      <c r="J276" s="46" t="s">
        <v>57</v>
      </c>
      <c r="K276" s="46" t="s">
        <v>666</v>
      </c>
      <c r="L276" s="46" t="s">
        <v>669</v>
      </c>
      <c r="M276" s="46">
        <v>56</v>
      </c>
      <c r="N276" s="46" t="s">
        <v>696</v>
      </c>
      <c r="O276" s="46" t="s">
        <v>74</v>
      </c>
      <c r="P276" s="46">
        <v>0</v>
      </c>
      <c r="Q276" s="46" t="s">
        <v>670</v>
      </c>
      <c r="R276" s="46" t="s">
        <v>23</v>
      </c>
      <c r="S276" s="46" t="s">
        <v>671</v>
      </c>
      <c r="T276" s="46" t="s">
        <v>672</v>
      </c>
      <c r="U276" s="46" t="b">
        <v>1</v>
      </c>
      <c r="V276" s="46" t="s">
        <v>985</v>
      </c>
      <c r="W276" s="46" t="s">
        <v>984</v>
      </c>
      <c r="X276" s="46">
        <v>6</v>
      </c>
      <c r="Y276" s="46" t="b">
        <v>1</v>
      </c>
      <c r="Z276" s="46" t="s">
        <v>675</v>
      </c>
      <c r="AA276" s="46" t="s">
        <v>676</v>
      </c>
      <c r="AB276" s="46" t="s">
        <v>677</v>
      </c>
      <c r="AC276" s="46">
        <v>0</v>
      </c>
      <c r="AD276" s="46" t="s">
        <v>678</v>
      </c>
      <c r="AE276" s="46">
        <v>8</v>
      </c>
      <c r="AF276" s="46" t="s">
        <v>679</v>
      </c>
      <c r="AG276" s="46">
        <v>199879.82699999999</v>
      </c>
      <c r="AH276" s="46" t="b">
        <v>1</v>
      </c>
      <c r="AI276" s="46">
        <v>-1</v>
      </c>
      <c r="AJ276" s="46" t="s">
        <v>680</v>
      </c>
      <c r="AK276" s="46">
        <v>0</v>
      </c>
      <c r="AL276" s="46" t="b">
        <v>0</v>
      </c>
      <c r="AM276" s="46">
        <v>199879.82699999999</v>
      </c>
      <c r="AN276" s="46" t="b">
        <v>1</v>
      </c>
      <c r="AO276" s="46">
        <v>0</v>
      </c>
      <c r="AP276" s="46" t="b">
        <v>0</v>
      </c>
      <c r="AQ276" s="46">
        <v>943218.12800000003</v>
      </c>
      <c r="AS276" s="46">
        <v>943218.12800000003</v>
      </c>
      <c r="AT276" s="46">
        <v>6</v>
      </c>
      <c r="AU276" s="46" t="b">
        <v>1</v>
      </c>
      <c r="AV276" s="46" t="b">
        <v>0</v>
      </c>
    </row>
    <row r="277" spans="2:48">
      <c r="B277" s="46" t="s">
        <v>665</v>
      </c>
      <c r="C277" s="46" t="s">
        <v>666</v>
      </c>
      <c r="D277" s="46">
        <v>20231101</v>
      </c>
      <c r="E277" s="46">
        <v>2023</v>
      </c>
      <c r="F277" s="46">
        <v>11</v>
      </c>
      <c r="G277" s="46" t="s">
        <v>725</v>
      </c>
      <c r="H277" s="46">
        <v>818</v>
      </c>
      <c r="I277" s="46" t="s">
        <v>668</v>
      </c>
      <c r="J277" s="46" t="s">
        <v>57</v>
      </c>
      <c r="K277" s="46" t="s">
        <v>666</v>
      </c>
      <c r="L277" s="46" t="s">
        <v>669</v>
      </c>
      <c r="M277" s="46">
        <v>76</v>
      </c>
      <c r="N277" s="46" t="s">
        <v>987</v>
      </c>
      <c r="O277" s="46" t="s">
        <v>66</v>
      </c>
      <c r="P277" s="46">
        <v>0</v>
      </c>
      <c r="Q277" s="46" t="s">
        <v>670</v>
      </c>
      <c r="R277" s="46" t="s">
        <v>23</v>
      </c>
      <c r="S277" s="46" t="s">
        <v>671</v>
      </c>
      <c r="T277" s="46" t="s">
        <v>672</v>
      </c>
      <c r="U277" s="46" t="b">
        <v>1</v>
      </c>
      <c r="V277" s="46" t="s">
        <v>985</v>
      </c>
      <c r="W277" s="46" t="s">
        <v>984</v>
      </c>
      <c r="X277" s="46">
        <v>6</v>
      </c>
      <c r="Y277" s="46" t="b">
        <v>1</v>
      </c>
      <c r="Z277" s="46" t="s">
        <v>675</v>
      </c>
      <c r="AA277" s="46" t="s">
        <v>676</v>
      </c>
      <c r="AB277" s="46" t="s">
        <v>677</v>
      </c>
      <c r="AC277" s="46">
        <v>0</v>
      </c>
      <c r="AD277" s="46" t="s">
        <v>678</v>
      </c>
      <c r="AE277" s="46">
        <v>8</v>
      </c>
      <c r="AF277" s="46" t="s">
        <v>679</v>
      </c>
      <c r="AG277" s="46">
        <v>27527.319</v>
      </c>
      <c r="AH277" s="46" t="b">
        <v>1</v>
      </c>
      <c r="AI277" s="46">
        <v>-1</v>
      </c>
      <c r="AJ277" s="46" t="s">
        <v>680</v>
      </c>
      <c r="AK277" s="46">
        <v>0</v>
      </c>
      <c r="AL277" s="46" t="b">
        <v>0</v>
      </c>
      <c r="AM277" s="46">
        <v>27527.319</v>
      </c>
      <c r="AN277" s="46" t="b">
        <v>1</v>
      </c>
      <c r="AO277" s="46">
        <v>0</v>
      </c>
      <c r="AP277" s="46" t="b">
        <v>0</v>
      </c>
      <c r="AQ277" s="46">
        <v>129899.383</v>
      </c>
      <c r="AS277" s="46">
        <v>129899.383</v>
      </c>
      <c r="AT277" s="46">
        <v>6</v>
      </c>
      <c r="AU277" s="46" t="b">
        <v>1</v>
      </c>
      <c r="AV277" s="46" t="b">
        <v>0</v>
      </c>
    </row>
    <row r="278" spans="2:48">
      <c r="B278" s="46" t="s">
        <v>665</v>
      </c>
      <c r="C278" s="46" t="s">
        <v>666</v>
      </c>
      <c r="D278" s="46">
        <v>20231101</v>
      </c>
      <c r="E278" s="46">
        <v>2023</v>
      </c>
      <c r="F278" s="46">
        <v>11</v>
      </c>
      <c r="G278" s="46" t="s">
        <v>725</v>
      </c>
      <c r="H278" s="46">
        <v>818</v>
      </c>
      <c r="I278" s="46" t="s">
        <v>668</v>
      </c>
      <c r="J278" s="46" t="s">
        <v>57</v>
      </c>
      <c r="K278" s="46" t="s">
        <v>666</v>
      </c>
      <c r="L278" s="46" t="s">
        <v>669</v>
      </c>
      <c r="M278" s="46">
        <v>124</v>
      </c>
      <c r="N278" s="46" t="s">
        <v>1008</v>
      </c>
      <c r="O278" s="46" t="s">
        <v>70</v>
      </c>
      <c r="P278" s="46">
        <v>0</v>
      </c>
      <c r="Q278" s="46" t="s">
        <v>670</v>
      </c>
      <c r="R278" s="46" t="s">
        <v>23</v>
      </c>
      <c r="S278" s="46" t="s">
        <v>671</v>
      </c>
      <c r="T278" s="46" t="s">
        <v>672</v>
      </c>
      <c r="U278" s="46" t="b">
        <v>1</v>
      </c>
      <c r="V278" s="46" t="s">
        <v>985</v>
      </c>
      <c r="W278" s="46" t="s">
        <v>984</v>
      </c>
      <c r="X278" s="46">
        <v>6</v>
      </c>
      <c r="Y278" s="46" t="b">
        <v>1</v>
      </c>
      <c r="Z278" s="46" t="s">
        <v>675</v>
      </c>
      <c r="AA278" s="46" t="s">
        <v>676</v>
      </c>
      <c r="AB278" s="46" t="s">
        <v>677</v>
      </c>
      <c r="AC278" s="46">
        <v>0</v>
      </c>
      <c r="AD278" s="46" t="s">
        <v>678</v>
      </c>
      <c r="AE278" s="46">
        <v>8</v>
      </c>
      <c r="AF278" s="46" t="s">
        <v>679</v>
      </c>
      <c r="AG278" s="46">
        <v>5070.1180000000004</v>
      </c>
      <c r="AH278" s="46" t="b">
        <v>1</v>
      </c>
      <c r="AI278" s="46">
        <v>-1</v>
      </c>
      <c r="AJ278" s="46" t="s">
        <v>680</v>
      </c>
      <c r="AK278" s="46">
        <v>0</v>
      </c>
      <c r="AL278" s="46" t="b">
        <v>0</v>
      </c>
      <c r="AM278" s="46">
        <v>5070.1180000000004</v>
      </c>
      <c r="AN278" s="46" t="b">
        <v>1</v>
      </c>
      <c r="AO278" s="46">
        <v>0</v>
      </c>
      <c r="AP278" s="46" t="b">
        <v>0</v>
      </c>
      <c r="AQ278" s="46">
        <v>23925.511999999999</v>
      </c>
      <c r="AS278" s="46">
        <v>23925.511999999999</v>
      </c>
      <c r="AT278" s="46">
        <v>6</v>
      </c>
      <c r="AU278" s="46" t="b">
        <v>1</v>
      </c>
      <c r="AV278" s="46" t="b">
        <v>0</v>
      </c>
    </row>
    <row r="279" spans="2:48">
      <c r="B279" s="46" t="s">
        <v>665</v>
      </c>
      <c r="C279" s="46" t="s">
        <v>666</v>
      </c>
      <c r="D279" s="46">
        <v>20231101</v>
      </c>
      <c r="E279" s="46">
        <v>2023</v>
      </c>
      <c r="F279" s="46">
        <v>11</v>
      </c>
      <c r="G279" s="46" t="s">
        <v>725</v>
      </c>
      <c r="H279" s="46">
        <v>818</v>
      </c>
      <c r="I279" s="46" t="s">
        <v>668</v>
      </c>
      <c r="J279" s="46" t="s">
        <v>57</v>
      </c>
      <c r="K279" s="46" t="s">
        <v>666</v>
      </c>
      <c r="L279" s="46" t="s">
        <v>669</v>
      </c>
      <c r="M279" s="46">
        <v>156</v>
      </c>
      <c r="N279" s="46" t="s">
        <v>711</v>
      </c>
      <c r="O279" s="46" t="s">
        <v>29</v>
      </c>
      <c r="P279" s="46">
        <v>0</v>
      </c>
      <c r="Q279" s="46" t="s">
        <v>670</v>
      </c>
      <c r="R279" s="46" t="s">
        <v>23</v>
      </c>
      <c r="S279" s="46" t="s">
        <v>671</v>
      </c>
      <c r="T279" s="46" t="s">
        <v>672</v>
      </c>
      <c r="U279" s="46" t="b">
        <v>1</v>
      </c>
      <c r="V279" s="46" t="s">
        <v>985</v>
      </c>
      <c r="W279" s="46" t="s">
        <v>984</v>
      </c>
      <c r="X279" s="46">
        <v>6</v>
      </c>
      <c r="Y279" s="46" t="b">
        <v>1</v>
      </c>
      <c r="Z279" s="46" t="s">
        <v>675</v>
      </c>
      <c r="AA279" s="46" t="s">
        <v>676</v>
      </c>
      <c r="AB279" s="46" t="s">
        <v>677</v>
      </c>
      <c r="AC279" s="46">
        <v>0</v>
      </c>
      <c r="AD279" s="46" t="s">
        <v>678</v>
      </c>
      <c r="AE279" s="46">
        <v>8</v>
      </c>
      <c r="AF279" s="46" t="s">
        <v>679</v>
      </c>
      <c r="AG279" s="46">
        <v>595904.228</v>
      </c>
      <c r="AH279" s="46" t="b">
        <v>1</v>
      </c>
      <c r="AI279" s="46">
        <v>-1</v>
      </c>
      <c r="AJ279" s="46" t="s">
        <v>680</v>
      </c>
      <c r="AK279" s="46">
        <v>0</v>
      </c>
      <c r="AL279" s="46" t="b">
        <v>0</v>
      </c>
      <c r="AM279" s="46">
        <v>595904.228</v>
      </c>
      <c r="AN279" s="46" t="b">
        <v>1</v>
      </c>
      <c r="AO279" s="46">
        <v>0</v>
      </c>
      <c r="AP279" s="46" t="b">
        <v>0</v>
      </c>
      <c r="AQ279" s="46">
        <v>2812028.003</v>
      </c>
      <c r="AS279" s="46">
        <v>2812028.003</v>
      </c>
      <c r="AT279" s="46">
        <v>6</v>
      </c>
      <c r="AU279" s="46" t="b">
        <v>1</v>
      </c>
      <c r="AV279" s="46" t="b">
        <v>0</v>
      </c>
    </row>
    <row r="280" spans="2:48">
      <c r="B280" s="46" t="s">
        <v>665</v>
      </c>
      <c r="C280" s="46" t="s">
        <v>666</v>
      </c>
      <c r="D280" s="46">
        <v>20231101</v>
      </c>
      <c r="E280" s="46">
        <v>2023</v>
      </c>
      <c r="F280" s="46">
        <v>11</v>
      </c>
      <c r="G280" s="46" t="s">
        <v>725</v>
      </c>
      <c r="H280" s="46">
        <v>818</v>
      </c>
      <c r="I280" s="46" t="s">
        <v>668</v>
      </c>
      <c r="J280" s="46" t="s">
        <v>57</v>
      </c>
      <c r="K280" s="46" t="s">
        <v>666</v>
      </c>
      <c r="L280" s="46" t="s">
        <v>669</v>
      </c>
      <c r="M280" s="46">
        <v>208</v>
      </c>
      <c r="N280" s="46" t="s">
        <v>988</v>
      </c>
      <c r="O280" s="46" t="s">
        <v>72</v>
      </c>
      <c r="P280" s="46">
        <v>0</v>
      </c>
      <c r="Q280" s="46" t="s">
        <v>670</v>
      </c>
      <c r="R280" s="46" t="s">
        <v>23</v>
      </c>
      <c r="S280" s="46" t="s">
        <v>671</v>
      </c>
      <c r="T280" s="46" t="s">
        <v>672</v>
      </c>
      <c r="U280" s="46" t="b">
        <v>1</v>
      </c>
      <c r="V280" s="46" t="s">
        <v>985</v>
      </c>
      <c r="W280" s="46" t="s">
        <v>984</v>
      </c>
      <c r="X280" s="46">
        <v>6</v>
      </c>
      <c r="Y280" s="46" t="b">
        <v>1</v>
      </c>
      <c r="Z280" s="46" t="s">
        <v>675</v>
      </c>
      <c r="AA280" s="46" t="s">
        <v>676</v>
      </c>
      <c r="AB280" s="46" t="s">
        <v>677</v>
      </c>
      <c r="AC280" s="46">
        <v>0</v>
      </c>
      <c r="AD280" s="46" t="s">
        <v>678</v>
      </c>
      <c r="AE280" s="46">
        <v>8</v>
      </c>
      <c r="AF280" s="46" t="s">
        <v>679</v>
      </c>
      <c r="AG280" s="46">
        <v>72671.160999999993</v>
      </c>
      <c r="AH280" s="46" t="b">
        <v>1</v>
      </c>
      <c r="AI280" s="46">
        <v>-1</v>
      </c>
      <c r="AJ280" s="46" t="s">
        <v>680</v>
      </c>
      <c r="AK280" s="46">
        <v>0</v>
      </c>
      <c r="AL280" s="46" t="b">
        <v>0</v>
      </c>
      <c r="AM280" s="46">
        <v>72671.160999999993</v>
      </c>
      <c r="AN280" s="46" t="b">
        <v>1</v>
      </c>
      <c r="AO280" s="46">
        <v>0</v>
      </c>
      <c r="AP280" s="46" t="b">
        <v>0</v>
      </c>
      <c r="AQ280" s="46">
        <v>342929.83600000001</v>
      </c>
      <c r="AS280" s="46">
        <v>342929.83600000001</v>
      </c>
      <c r="AT280" s="46">
        <v>6</v>
      </c>
      <c r="AU280" s="46" t="b">
        <v>1</v>
      </c>
      <c r="AV280" s="46" t="b">
        <v>0</v>
      </c>
    </row>
    <row r="281" spans="2:48">
      <c r="B281" s="46" t="s">
        <v>665</v>
      </c>
      <c r="C281" s="46" t="s">
        <v>666</v>
      </c>
      <c r="D281" s="46">
        <v>20231101</v>
      </c>
      <c r="E281" s="46">
        <v>2023</v>
      </c>
      <c r="F281" s="46">
        <v>11</v>
      </c>
      <c r="G281" s="46" t="s">
        <v>725</v>
      </c>
      <c r="H281" s="46">
        <v>818</v>
      </c>
      <c r="I281" s="46" t="s">
        <v>668</v>
      </c>
      <c r="J281" s="46" t="s">
        <v>57</v>
      </c>
      <c r="K281" s="46" t="s">
        <v>666</v>
      </c>
      <c r="L281" s="46" t="s">
        <v>669</v>
      </c>
      <c r="M281" s="46">
        <v>251</v>
      </c>
      <c r="N281" s="46" t="s">
        <v>688</v>
      </c>
      <c r="O281" s="46" t="s">
        <v>69</v>
      </c>
      <c r="P281" s="46">
        <v>0</v>
      </c>
      <c r="Q281" s="46" t="s">
        <v>670</v>
      </c>
      <c r="R281" s="46" t="s">
        <v>23</v>
      </c>
      <c r="S281" s="46" t="s">
        <v>671</v>
      </c>
      <c r="T281" s="46" t="s">
        <v>672</v>
      </c>
      <c r="U281" s="46" t="b">
        <v>1</v>
      </c>
      <c r="V281" s="46" t="s">
        <v>985</v>
      </c>
      <c r="W281" s="46" t="s">
        <v>984</v>
      </c>
      <c r="X281" s="46">
        <v>6</v>
      </c>
      <c r="Y281" s="46" t="b">
        <v>1</v>
      </c>
      <c r="Z281" s="46" t="s">
        <v>675</v>
      </c>
      <c r="AA281" s="46" t="s">
        <v>676</v>
      </c>
      <c r="AB281" s="46" t="s">
        <v>677</v>
      </c>
      <c r="AC281" s="46">
        <v>0</v>
      </c>
      <c r="AD281" s="46" t="s">
        <v>678</v>
      </c>
      <c r="AE281" s="46">
        <v>8</v>
      </c>
      <c r="AF281" s="46" t="s">
        <v>679</v>
      </c>
      <c r="AG281" s="46">
        <v>102630.749</v>
      </c>
      <c r="AH281" s="46" t="b">
        <v>1</v>
      </c>
      <c r="AI281" s="46">
        <v>-1</v>
      </c>
      <c r="AJ281" s="46" t="s">
        <v>680</v>
      </c>
      <c r="AK281" s="46">
        <v>0</v>
      </c>
      <c r="AL281" s="46" t="b">
        <v>0</v>
      </c>
      <c r="AM281" s="46">
        <v>102630.749</v>
      </c>
      <c r="AN281" s="46" t="b">
        <v>1</v>
      </c>
      <c r="AO281" s="46">
        <v>0</v>
      </c>
      <c r="AP281" s="46" t="b">
        <v>0</v>
      </c>
      <c r="AQ281" s="46">
        <v>484306.92099999997</v>
      </c>
      <c r="AS281" s="46">
        <v>484306.92099999997</v>
      </c>
      <c r="AT281" s="46">
        <v>6</v>
      </c>
      <c r="AU281" s="46" t="b">
        <v>1</v>
      </c>
      <c r="AV281" s="46" t="b">
        <v>0</v>
      </c>
    </row>
    <row r="282" spans="2:48">
      <c r="B282" s="46" t="s">
        <v>665</v>
      </c>
      <c r="C282" s="46" t="s">
        <v>666</v>
      </c>
      <c r="D282" s="46">
        <v>20231101</v>
      </c>
      <c r="E282" s="46">
        <v>2023</v>
      </c>
      <c r="F282" s="46">
        <v>11</v>
      </c>
      <c r="G282" s="46" t="s">
        <v>725</v>
      </c>
      <c r="H282" s="46">
        <v>818</v>
      </c>
      <c r="I282" s="46" t="s">
        <v>668</v>
      </c>
      <c r="J282" s="46" t="s">
        <v>57</v>
      </c>
      <c r="K282" s="46" t="s">
        <v>666</v>
      </c>
      <c r="L282" s="46" t="s">
        <v>669</v>
      </c>
      <c r="M282" s="46">
        <v>276</v>
      </c>
      <c r="N282" s="46" t="s">
        <v>681</v>
      </c>
      <c r="O282" s="46" t="s">
        <v>30</v>
      </c>
      <c r="P282" s="46">
        <v>0</v>
      </c>
      <c r="Q282" s="46" t="s">
        <v>670</v>
      </c>
      <c r="R282" s="46" t="s">
        <v>23</v>
      </c>
      <c r="S282" s="46" t="s">
        <v>671</v>
      </c>
      <c r="T282" s="46" t="s">
        <v>672</v>
      </c>
      <c r="U282" s="46" t="b">
        <v>1</v>
      </c>
      <c r="V282" s="46" t="s">
        <v>985</v>
      </c>
      <c r="W282" s="46" t="s">
        <v>984</v>
      </c>
      <c r="X282" s="46">
        <v>6</v>
      </c>
      <c r="Y282" s="46" t="b">
        <v>1</v>
      </c>
      <c r="Z282" s="46" t="s">
        <v>675</v>
      </c>
      <c r="AA282" s="46" t="s">
        <v>676</v>
      </c>
      <c r="AB282" s="46" t="s">
        <v>677</v>
      </c>
      <c r="AC282" s="46">
        <v>0</v>
      </c>
      <c r="AD282" s="46" t="s">
        <v>678</v>
      </c>
      <c r="AE282" s="46">
        <v>8</v>
      </c>
      <c r="AF282" s="46" t="s">
        <v>679</v>
      </c>
      <c r="AG282" s="46">
        <v>384202.67</v>
      </c>
      <c r="AH282" s="46" t="b">
        <v>1</v>
      </c>
      <c r="AI282" s="46">
        <v>-1</v>
      </c>
      <c r="AJ282" s="46" t="s">
        <v>680</v>
      </c>
      <c r="AK282" s="46">
        <v>0</v>
      </c>
      <c r="AL282" s="46" t="b">
        <v>0</v>
      </c>
      <c r="AM282" s="46">
        <v>384202.67</v>
      </c>
      <c r="AN282" s="46" t="b">
        <v>1</v>
      </c>
      <c r="AO282" s="46">
        <v>0</v>
      </c>
      <c r="AP282" s="46" t="b">
        <v>0</v>
      </c>
      <c r="AQ282" s="46">
        <v>1813024.0020000001</v>
      </c>
      <c r="AS282" s="46">
        <v>1813024.0020000001</v>
      </c>
      <c r="AT282" s="46">
        <v>6</v>
      </c>
      <c r="AU282" s="46" t="b">
        <v>1</v>
      </c>
      <c r="AV282" s="46" t="b">
        <v>0</v>
      </c>
    </row>
    <row r="283" spans="2:48">
      <c r="B283" s="46" t="s">
        <v>665</v>
      </c>
      <c r="C283" s="46" t="s">
        <v>666</v>
      </c>
      <c r="D283" s="46">
        <v>20231101</v>
      </c>
      <c r="E283" s="46">
        <v>2023</v>
      </c>
      <c r="F283" s="46">
        <v>11</v>
      </c>
      <c r="G283" s="46" t="s">
        <v>725</v>
      </c>
      <c r="H283" s="46">
        <v>818</v>
      </c>
      <c r="I283" s="46" t="s">
        <v>668</v>
      </c>
      <c r="J283" s="46" t="s">
        <v>57</v>
      </c>
      <c r="K283" s="46" t="s">
        <v>666</v>
      </c>
      <c r="L283" s="46" t="s">
        <v>669</v>
      </c>
      <c r="M283" s="46">
        <v>344</v>
      </c>
      <c r="N283" s="46" t="s">
        <v>989</v>
      </c>
      <c r="O283" s="46" t="s">
        <v>990</v>
      </c>
      <c r="P283" s="46">
        <v>0</v>
      </c>
      <c r="Q283" s="46" t="s">
        <v>670</v>
      </c>
      <c r="R283" s="46" t="s">
        <v>23</v>
      </c>
      <c r="S283" s="46" t="s">
        <v>671</v>
      </c>
      <c r="T283" s="46" t="s">
        <v>672</v>
      </c>
      <c r="U283" s="46" t="b">
        <v>1</v>
      </c>
      <c r="V283" s="46" t="s">
        <v>985</v>
      </c>
      <c r="W283" s="46" t="s">
        <v>984</v>
      </c>
      <c r="X283" s="46">
        <v>6</v>
      </c>
      <c r="Y283" s="46" t="b">
        <v>1</v>
      </c>
      <c r="Z283" s="46" t="s">
        <v>675</v>
      </c>
      <c r="AA283" s="46" t="s">
        <v>676</v>
      </c>
      <c r="AB283" s="46" t="s">
        <v>677</v>
      </c>
      <c r="AC283" s="46">
        <v>0</v>
      </c>
      <c r="AD283" s="46" t="s">
        <v>678</v>
      </c>
      <c r="AE283" s="46">
        <v>8</v>
      </c>
      <c r="AF283" s="46" t="s">
        <v>679</v>
      </c>
      <c r="AG283" s="46">
        <v>164.28100000000001</v>
      </c>
      <c r="AH283" s="46" t="b">
        <v>1</v>
      </c>
      <c r="AI283" s="46">
        <v>-1</v>
      </c>
      <c r="AJ283" s="46" t="s">
        <v>680</v>
      </c>
      <c r="AK283" s="46">
        <v>0</v>
      </c>
      <c r="AL283" s="46" t="b">
        <v>0</v>
      </c>
      <c r="AM283" s="46">
        <v>164.28100000000001</v>
      </c>
      <c r="AN283" s="46" t="b">
        <v>1</v>
      </c>
      <c r="AO283" s="46">
        <v>0</v>
      </c>
      <c r="AP283" s="46" t="b">
        <v>0</v>
      </c>
      <c r="AQ283" s="46">
        <v>775.22900000000004</v>
      </c>
      <c r="AS283" s="46">
        <v>775.22900000000004</v>
      </c>
      <c r="AT283" s="46">
        <v>6</v>
      </c>
      <c r="AU283" s="46" t="b">
        <v>1</v>
      </c>
      <c r="AV283" s="46" t="b">
        <v>0</v>
      </c>
    </row>
    <row r="284" spans="2:48">
      <c r="B284" s="46" t="s">
        <v>665</v>
      </c>
      <c r="C284" s="46" t="s">
        <v>666</v>
      </c>
      <c r="D284" s="46">
        <v>20231101</v>
      </c>
      <c r="E284" s="46">
        <v>2023</v>
      </c>
      <c r="F284" s="46">
        <v>11</v>
      </c>
      <c r="G284" s="46" t="s">
        <v>725</v>
      </c>
      <c r="H284" s="46">
        <v>818</v>
      </c>
      <c r="I284" s="46" t="s">
        <v>668</v>
      </c>
      <c r="J284" s="46" t="s">
        <v>57</v>
      </c>
      <c r="K284" s="46" t="s">
        <v>666</v>
      </c>
      <c r="L284" s="46" t="s">
        <v>669</v>
      </c>
      <c r="M284" s="46">
        <v>376</v>
      </c>
      <c r="N284" s="46" t="s">
        <v>991</v>
      </c>
      <c r="O284" s="46" t="s">
        <v>100</v>
      </c>
      <c r="P284" s="46">
        <v>0</v>
      </c>
      <c r="Q284" s="46" t="s">
        <v>670</v>
      </c>
      <c r="R284" s="46" t="s">
        <v>23</v>
      </c>
      <c r="S284" s="46" t="s">
        <v>671</v>
      </c>
      <c r="T284" s="46" t="s">
        <v>672</v>
      </c>
      <c r="U284" s="46" t="b">
        <v>1</v>
      </c>
      <c r="V284" s="46" t="s">
        <v>985</v>
      </c>
      <c r="W284" s="46" t="s">
        <v>984</v>
      </c>
      <c r="X284" s="46">
        <v>6</v>
      </c>
      <c r="Y284" s="46" t="b">
        <v>1</v>
      </c>
      <c r="Z284" s="46" t="s">
        <v>675</v>
      </c>
      <c r="AA284" s="46" t="s">
        <v>676</v>
      </c>
      <c r="AB284" s="46" t="s">
        <v>677</v>
      </c>
      <c r="AC284" s="46">
        <v>0</v>
      </c>
      <c r="AD284" s="46" t="s">
        <v>678</v>
      </c>
      <c r="AE284" s="46">
        <v>8</v>
      </c>
      <c r="AF284" s="46" t="s">
        <v>679</v>
      </c>
      <c r="AG284" s="46">
        <v>19559.383999999998</v>
      </c>
      <c r="AH284" s="46" t="b">
        <v>1</v>
      </c>
      <c r="AI284" s="46">
        <v>-1</v>
      </c>
      <c r="AJ284" s="46" t="s">
        <v>680</v>
      </c>
      <c r="AK284" s="46">
        <v>0</v>
      </c>
      <c r="AL284" s="46" t="b">
        <v>0</v>
      </c>
      <c r="AM284" s="46">
        <v>19559.383999999998</v>
      </c>
      <c r="AN284" s="46" t="b">
        <v>1</v>
      </c>
      <c r="AO284" s="46">
        <v>0</v>
      </c>
      <c r="AP284" s="46" t="b">
        <v>0</v>
      </c>
      <c r="AQ284" s="46">
        <v>92299.286999999997</v>
      </c>
      <c r="AS284" s="46">
        <v>92299.286999999997</v>
      </c>
      <c r="AT284" s="46">
        <v>6</v>
      </c>
      <c r="AU284" s="46" t="b">
        <v>1</v>
      </c>
      <c r="AV284" s="46" t="b">
        <v>0</v>
      </c>
    </row>
    <row r="285" spans="2:48">
      <c r="B285" s="46" t="s">
        <v>665</v>
      </c>
      <c r="C285" s="46" t="s">
        <v>666</v>
      </c>
      <c r="D285" s="46">
        <v>20231101</v>
      </c>
      <c r="E285" s="46">
        <v>2023</v>
      </c>
      <c r="F285" s="46">
        <v>11</v>
      </c>
      <c r="G285" s="46" t="s">
        <v>725</v>
      </c>
      <c r="H285" s="46">
        <v>818</v>
      </c>
      <c r="I285" s="46" t="s">
        <v>668</v>
      </c>
      <c r="J285" s="46" t="s">
        <v>57</v>
      </c>
      <c r="K285" s="46" t="s">
        <v>666</v>
      </c>
      <c r="L285" s="46" t="s">
        <v>669</v>
      </c>
      <c r="M285" s="46">
        <v>380</v>
      </c>
      <c r="N285" s="46" t="s">
        <v>689</v>
      </c>
      <c r="O285" s="46" t="s">
        <v>71</v>
      </c>
      <c r="P285" s="46">
        <v>0</v>
      </c>
      <c r="Q285" s="46" t="s">
        <v>670</v>
      </c>
      <c r="R285" s="46" t="s">
        <v>23</v>
      </c>
      <c r="S285" s="46" t="s">
        <v>671</v>
      </c>
      <c r="T285" s="46" t="s">
        <v>672</v>
      </c>
      <c r="U285" s="46" t="b">
        <v>1</v>
      </c>
      <c r="V285" s="46" t="s">
        <v>985</v>
      </c>
      <c r="W285" s="46" t="s">
        <v>984</v>
      </c>
      <c r="X285" s="46">
        <v>6</v>
      </c>
      <c r="Y285" s="46" t="b">
        <v>1</v>
      </c>
      <c r="Z285" s="46" t="s">
        <v>675</v>
      </c>
      <c r="AA285" s="46" t="s">
        <v>676</v>
      </c>
      <c r="AB285" s="46" t="s">
        <v>677</v>
      </c>
      <c r="AC285" s="46">
        <v>0</v>
      </c>
      <c r="AD285" s="46" t="s">
        <v>678</v>
      </c>
      <c r="AE285" s="46">
        <v>8</v>
      </c>
      <c r="AF285" s="46" t="s">
        <v>679</v>
      </c>
      <c r="AG285" s="46">
        <v>134290.715</v>
      </c>
      <c r="AH285" s="46" t="b">
        <v>1</v>
      </c>
      <c r="AI285" s="46">
        <v>-1</v>
      </c>
      <c r="AJ285" s="46" t="s">
        <v>680</v>
      </c>
      <c r="AK285" s="46">
        <v>0</v>
      </c>
      <c r="AL285" s="46" t="b">
        <v>0</v>
      </c>
      <c r="AM285" s="46">
        <v>134290.715</v>
      </c>
      <c r="AN285" s="46" t="b">
        <v>1</v>
      </c>
      <c r="AO285" s="46">
        <v>0</v>
      </c>
      <c r="AP285" s="46" t="b">
        <v>0</v>
      </c>
      <c r="AQ285" s="46">
        <v>633707.96</v>
      </c>
      <c r="AS285" s="46">
        <v>633707.96</v>
      </c>
      <c r="AT285" s="46">
        <v>6</v>
      </c>
      <c r="AU285" s="46" t="b">
        <v>1</v>
      </c>
      <c r="AV285" s="46" t="b">
        <v>0</v>
      </c>
    </row>
    <row r="286" spans="2:48">
      <c r="B286" s="46" t="s">
        <v>665</v>
      </c>
      <c r="C286" s="46" t="s">
        <v>666</v>
      </c>
      <c r="D286" s="46">
        <v>20231101</v>
      </c>
      <c r="E286" s="46">
        <v>2023</v>
      </c>
      <c r="F286" s="46">
        <v>11</v>
      </c>
      <c r="G286" s="46" t="s">
        <v>725</v>
      </c>
      <c r="H286" s="46">
        <v>818</v>
      </c>
      <c r="I286" s="46" t="s">
        <v>668</v>
      </c>
      <c r="J286" s="46" t="s">
        <v>57</v>
      </c>
      <c r="K286" s="46" t="s">
        <v>666</v>
      </c>
      <c r="L286" s="46" t="s">
        <v>669</v>
      </c>
      <c r="M286" s="46">
        <v>392</v>
      </c>
      <c r="N286" s="46" t="s">
        <v>747</v>
      </c>
      <c r="O286" s="46" t="s">
        <v>32</v>
      </c>
      <c r="P286" s="46">
        <v>0</v>
      </c>
      <c r="Q286" s="46" t="s">
        <v>670</v>
      </c>
      <c r="R286" s="46" t="s">
        <v>23</v>
      </c>
      <c r="S286" s="46" t="s">
        <v>671</v>
      </c>
      <c r="T286" s="46" t="s">
        <v>672</v>
      </c>
      <c r="U286" s="46" t="b">
        <v>1</v>
      </c>
      <c r="V286" s="46" t="s">
        <v>985</v>
      </c>
      <c r="W286" s="46" t="s">
        <v>984</v>
      </c>
      <c r="X286" s="46">
        <v>6</v>
      </c>
      <c r="Y286" s="46" t="b">
        <v>1</v>
      </c>
      <c r="Z286" s="46" t="s">
        <v>675</v>
      </c>
      <c r="AA286" s="46" t="s">
        <v>676</v>
      </c>
      <c r="AB286" s="46" t="s">
        <v>677</v>
      </c>
      <c r="AC286" s="46">
        <v>0</v>
      </c>
      <c r="AD286" s="46" t="s">
        <v>678</v>
      </c>
      <c r="AE286" s="46">
        <v>8</v>
      </c>
      <c r="AF286" s="46" t="s">
        <v>679</v>
      </c>
      <c r="AG286" s="46">
        <v>1116.2840000000001</v>
      </c>
      <c r="AH286" s="46" t="b">
        <v>1</v>
      </c>
      <c r="AI286" s="46">
        <v>-1</v>
      </c>
      <c r="AJ286" s="46" t="s">
        <v>680</v>
      </c>
      <c r="AK286" s="46">
        <v>0</v>
      </c>
      <c r="AL286" s="46" t="b">
        <v>0</v>
      </c>
      <c r="AM286" s="46">
        <v>1116.2840000000001</v>
      </c>
      <c r="AN286" s="46" t="b">
        <v>1</v>
      </c>
      <c r="AO286" s="46">
        <v>0</v>
      </c>
      <c r="AP286" s="46" t="b">
        <v>0</v>
      </c>
      <c r="AQ286" s="46">
        <v>5267.6610000000001</v>
      </c>
      <c r="AS286" s="46">
        <v>5267.6610000000001</v>
      </c>
      <c r="AT286" s="46">
        <v>6</v>
      </c>
      <c r="AU286" s="46" t="b">
        <v>1</v>
      </c>
      <c r="AV286" s="46" t="b">
        <v>0</v>
      </c>
    </row>
    <row r="287" spans="2:48">
      <c r="B287" s="46" t="s">
        <v>665</v>
      </c>
      <c r="C287" s="46" t="s">
        <v>666</v>
      </c>
      <c r="D287" s="46">
        <v>20231101</v>
      </c>
      <c r="E287" s="46">
        <v>2023</v>
      </c>
      <c r="F287" s="46">
        <v>11</v>
      </c>
      <c r="G287" s="46" t="s">
        <v>725</v>
      </c>
      <c r="H287" s="46">
        <v>818</v>
      </c>
      <c r="I287" s="46" t="s">
        <v>668</v>
      </c>
      <c r="J287" s="46" t="s">
        <v>57</v>
      </c>
      <c r="K287" s="46" t="s">
        <v>666</v>
      </c>
      <c r="L287" s="46" t="s">
        <v>669</v>
      </c>
      <c r="M287" s="46">
        <v>400</v>
      </c>
      <c r="N287" s="46" t="s">
        <v>1003</v>
      </c>
      <c r="O287" s="46" t="s">
        <v>214</v>
      </c>
      <c r="P287" s="46">
        <v>0</v>
      </c>
      <c r="Q287" s="46" t="s">
        <v>670</v>
      </c>
      <c r="R287" s="46" t="s">
        <v>23</v>
      </c>
      <c r="S287" s="46" t="s">
        <v>671</v>
      </c>
      <c r="T287" s="46" t="s">
        <v>672</v>
      </c>
      <c r="U287" s="46" t="b">
        <v>1</v>
      </c>
      <c r="V287" s="46" t="s">
        <v>985</v>
      </c>
      <c r="W287" s="46" t="s">
        <v>984</v>
      </c>
      <c r="X287" s="46">
        <v>6</v>
      </c>
      <c r="Y287" s="46" t="b">
        <v>1</v>
      </c>
      <c r="Z287" s="46" t="s">
        <v>675</v>
      </c>
      <c r="AA287" s="46" t="s">
        <v>676</v>
      </c>
      <c r="AB287" s="46" t="s">
        <v>677</v>
      </c>
      <c r="AC287" s="46">
        <v>0</v>
      </c>
      <c r="AD287" s="46" t="s">
        <v>678</v>
      </c>
      <c r="AE287" s="46">
        <v>8</v>
      </c>
      <c r="AF287" s="46" t="s">
        <v>679</v>
      </c>
      <c r="AG287" s="46">
        <v>13297.099</v>
      </c>
      <c r="AH287" s="46" t="b">
        <v>1</v>
      </c>
      <c r="AI287" s="46">
        <v>-1</v>
      </c>
      <c r="AJ287" s="46" t="s">
        <v>680</v>
      </c>
      <c r="AK287" s="46">
        <v>0</v>
      </c>
      <c r="AL287" s="46" t="b">
        <v>0</v>
      </c>
      <c r="AM287" s="46">
        <v>13297.099</v>
      </c>
      <c r="AN287" s="46" t="b">
        <v>1</v>
      </c>
      <c r="AO287" s="46">
        <v>0</v>
      </c>
      <c r="AP287" s="46" t="b">
        <v>0</v>
      </c>
      <c r="AQ287" s="46">
        <v>62748.027000000002</v>
      </c>
      <c r="AS287" s="46">
        <v>62748.027000000002</v>
      </c>
      <c r="AT287" s="46">
        <v>6</v>
      </c>
      <c r="AU287" s="46" t="b">
        <v>1</v>
      </c>
      <c r="AV287" s="46" t="b">
        <v>0</v>
      </c>
    </row>
    <row r="288" spans="2:48">
      <c r="B288" s="46" t="s">
        <v>665</v>
      </c>
      <c r="C288" s="46" t="s">
        <v>666</v>
      </c>
      <c r="D288" s="46">
        <v>20231101</v>
      </c>
      <c r="E288" s="46">
        <v>2023</v>
      </c>
      <c r="F288" s="46">
        <v>11</v>
      </c>
      <c r="G288" s="46" t="s">
        <v>725</v>
      </c>
      <c r="H288" s="46">
        <v>818</v>
      </c>
      <c r="I288" s="46" t="s">
        <v>668</v>
      </c>
      <c r="J288" s="46" t="s">
        <v>57</v>
      </c>
      <c r="K288" s="46" t="s">
        <v>666</v>
      </c>
      <c r="L288" s="46" t="s">
        <v>669</v>
      </c>
      <c r="M288" s="46">
        <v>410</v>
      </c>
      <c r="N288" s="46" t="s">
        <v>754</v>
      </c>
      <c r="O288" s="46" t="s">
        <v>755</v>
      </c>
      <c r="P288" s="46">
        <v>0</v>
      </c>
      <c r="Q288" s="46" t="s">
        <v>670</v>
      </c>
      <c r="R288" s="46" t="s">
        <v>23</v>
      </c>
      <c r="S288" s="46" t="s">
        <v>671</v>
      </c>
      <c r="T288" s="46" t="s">
        <v>672</v>
      </c>
      <c r="U288" s="46" t="b">
        <v>1</v>
      </c>
      <c r="V288" s="46" t="s">
        <v>985</v>
      </c>
      <c r="W288" s="46" t="s">
        <v>984</v>
      </c>
      <c r="X288" s="46">
        <v>6</v>
      </c>
      <c r="Y288" s="46" t="b">
        <v>1</v>
      </c>
      <c r="Z288" s="46" t="s">
        <v>675</v>
      </c>
      <c r="AA288" s="46" t="s">
        <v>676</v>
      </c>
      <c r="AB288" s="46" t="s">
        <v>677</v>
      </c>
      <c r="AC288" s="46">
        <v>0</v>
      </c>
      <c r="AD288" s="46" t="s">
        <v>678</v>
      </c>
      <c r="AE288" s="46">
        <v>8</v>
      </c>
      <c r="AF288" s="46" t="s">
        <v>679</v>
      </c>
      <c r="AG288" s="46">
        <v>39719.955000000002</v>
      </c>
      <c r="AH288" s="46" t="b">
        <v>1</v>
      </c>
      <c r="AI288" s="46">
        <v>-1</v>
      </c>
      <c r="AJ288" s="46" t="s">
        <v>680</v>
      </c>
      <c r="AK288" s="46">
        <v>0</v>
      </c>
      <c r="AL288" s="46" t="b">
        <v>0</v>
      </c>
      <c r="AM288" s="46">
        <v>39719.955000000002</v>
      </c>
      <c r="AN288" s="46" t="b">
        <v>1</v>
      </c>
      <c r="AO288" s="46">
        <v>0</v>
      </c>
      <c r="AP288" s="46" t="b">
        <v>0</v>
      </c>
      <c r="AQ288" s="46">
        <v>187435.53</v>
      </c>
      <c r="AS288" s="46">
        <v>187435.53</v>
      </c>
      <c r="AT288" s="46">
        <v>6</v>
      </c>
      <c r="AU288" s="46" t="b">
        <v>1</v>
      </c>
      <c r="AV288" s="46" t="b">
        <v>0</v>
      </c>
    </row>
    <row r="289" spans="2:48">
      <c r="B289" s="46" t="s">
        <v>665</v>
      </c>
      <c r="C289" s="46" t="s">
        <v>666</v>
      </c>
      <c r="D289" s="46">
        <v>20231101</v>
      </c>
      <c r="E289" s="46">
        <v>2023</v>
      </c>
      <c r="F289" s="46">
        <v>11</v>
      </c>
      <c r="G289" s="46" t="s">
        <v>725</v>
      </c>
      <c r="H289" s="46">
        <v>818</v>
      </c>
      <c r="I289" s="46" t="s">
        <v>668</v>
      </c>
      <c r="J289" s="46" t="s">
        <v>57</v>
      </c>
      <c r="K289" s="46" t="s">
        <v>666</v>
      </c>
      <c r="L289" s="46" t="s">
        <v>669</v>
      </c>
      <c r="M289" s="46">
        <v>458</v>
      </c>
      <c r="N289" s="46" t="s">
        <v>722</v>
      </c>
      <c r="O289" s="46" t="s">
        <v>26</v>
      </c>
      <c r="P289" s="46">
        <v>0</v>
      </c>
      <c r="Q289" s="46" t="s">
        <v>670</v>
      </c>
      <c r="R289" s="46" t="s">
        <v>23</v>
      </c>
      <c r="S289" s="46" t="s">
        <v>671</v>
      </c>
      <c r="T289" s="46" t="s">
        <v>672</v>
      </c>
      <c r="U289" s="46" t="b">
        <v>1</v>
      </c>
      <c r="V289" s="46" t="s">
        <v>985</v>
      </c>
      <c r="W289" s="46" t="s">
        <v>984</v>
      </c>
      <c r="X289" s="46">
        <v>6</v>
      </c>
      <c r="Y289" s="46" t="b">
        <v>1</v>
      </c>
      <c r="Z289" s="46" t="s">
        <v>675</v>
      </c>
      <c r="AA289" s="46" t="s">
        <v>676</v>
      </c>
      <c r="AB289" s="46" t="s">
        <v>677</v>
      </c>
      <c r="AC289" s="46">
        <v>0</v>
      </c>
      <c r="AD289" s="46" t="s">
        <v>678</v>
      </c>
      <c r="AE289" s="46">
        <v>8</v>
      </c>
      <c r="AF289" s="46" t="s">
        <v>679</v>
      </c>
      <c r="AG289" s="46">
        <v>8186.3109999999997</v>
      </c>
      <c r="AH289" s="46" t="b">
        <v>1</v>
      </c>
      <c r="AI289" s="46">
        <v>-1</v>
      </c>
      <c r="AJ289" s="46" t="s">
        <v>680</v>
      </c>
      <c r="AK289" s="46">
        <v>0</v>
      </c>
      <c r="AL289" s="46" t="b">
        <v>0</v>
      </c>
      <c r="AM289" s="46">
        <v>8186.3109999999997</v>
      </c>
      <c r="AN289" s="46" t="b">
        <v>1</v>
      </c>
      <c r="AO289" s="46">
        <v>0</v>
      </c>
      <c r="AP289" s="46" t="b">
        <v>0</v>
      </c>
      <c r="AQ289" s="46">
        <v>38630.597000000002</v>
      </c>
      <c r="AS289" s="46">
        <v>38630.597000000002</v>
      </c>
      <c r="AT289" s="46">
        <v>6</v>
      </c>
      <c r="AU289" s="46" t="b">
        <v>1</v>
      </c>
      <c r="AV289" s="46" t="b">
        <v>0</v>
      </c>
    </row>
    <row r="290" spans="2:48">
      <c r="B290" s="46" t="s">
        <v>665</v>
      </c>
      <c r="C290" s="46" t="s">
        <v>666</v>
      </c>
      <c r="D290" s="46">
        <v>20231101</v>
      </c>
      <c r="E290" s="46">
        <v>2023</v>
      </c>
      <c r="F290" s="46">
        <v>11</v>
      </c>
      <c r="G290" s="46" t="s">
        <v>725</v>
      </c>
      <c r="H290" s="46">
        <v>818</v>
      </c>
      <c r="I290" s="46" t="s">
        <v>668</v>
      </c>
      <c r="J290" s="46" t="s">
        <v>57</v>
      </c>
      <c r="K290" s="46" t="s">
        <v>666</v>
      </c>
      <c r="L290" s="46" t="s">
        <v>669</v>
      </c>
      <c r="M290" s="46">
        <v>484</v>
      </c>
      <c r="N290" s="46" t="s">
        <v>998</v>
      </c>
      <c r="O290" s="46" t="s">
        <v>80</v>
      </c>
      <c r="P290" s="46">
        <v>0</v>
      </c>
      <c r="Q290" s="46" t="s">
        <v>670</v>
      </c>
      <c r="R290" s="46" t="s">
        <v>23</v>
      </c>
      <c r="S290" s="46" t="s">
        <v>671</v>
      </c>
      <c r="T290" s="46" t="s">
        <v>672</v>
      </c>
      <c r="U290" s="46" t="b">
        <v>1</v>
      </c>
      <c r="V290" s="46" t="s">
        <v>985</v>
      </c>
      <c r="W290" s="46" t="s">
        <v>984</v>
      </c>
      <c r="X290" s="46">
        <v>6</v>
      </c>
      <c r="Y290" s="46" t="b">
        <v>1</v>
      </c>
      <c r="Z290" s="46" t="s">
        <v>675</v>
      </c>
      <c r="AA290" s="46" t="s">
        <v>676</v>
      </c>
      <c r="AB290" s="46" t="s">
        <v>677</v>
      </c>
      <c r="AC290" s="46">
        <v>0</v>
      </c>
      <c r="AD290" s="46" t="s">
        <v>678</v>
      </c>
      <c r="AE290" s="46">
        <v>8</v>
      </c>
      <c r="AF290" s="46" t="s">
        <v>679</v>
      </c>
      <c r="AG290" s="46">
        <v>1196.069</v>
      </c>
      <c r="AH290" s="46" t="b">
        <v>1</v>
      </c>
      <c r="AI290" s="46">
        <v>-1</v>
      </c>
      <c r="AJ290" s="46" t="s">
        <v>680</v>
      </c>
      <c r="AK290" s="46">
        <v>0</v>
      </c>
      <c r="AL290" s="46" t="b">
        <v>0</v>
      </c>
      <c r="AM290" s="46">
        <v>1196.069</v>
      </c>
      <c r="AN290" s="46" t="b">
        <v>1</v>
      </c>
      <c r="AO290" s="46">
        <v>0</v>
      </c>
      <c r="AP290" s="46" t="b">
        <v>0</v>
      </c>
      <c r="AQ290" s="46">
        <v>5644.1620000000003</v>
      </c>
      <c r="AS290" s="46">
        <v>5644.1620000000003</v>
      </c>
      <c r="AT290" s="46">
        <v>6</v>
      </c>
      <c r="AU290" s="46" t="b">
        <v>1</v>
      </c>
      <c r="AV290" s="46" t="b">
        <v>0</v>
      </c>
    </row>
    <row r="291" spans="2:48">
      <c r="B291" s="46" t="s">
        <v>665</v>
      </c>
      <c r="C291" s="46" t="s">
        <v>666</v>
      </c>
      <c r="D291" s="46">
        <v>20231101</v>
      </c>
      <c r="E291" s="46">
        <v>2023</v>
      </c>
      <c r="F291" s="46">
        <v>11</v>
      </c>
      <c r="G291" s="46" t="s">
        <v>725</v>
      </c>
      <c r="H291" s="46">
        <v>818</v>
      </c>
      <c r="I291" s="46" t="s">
        <v>668</v>
      </c>
      <c r="J291" s="46" t="s">
        <v>57</v>
      </c>
      <c r="K291" s="46" t="s">
        <v>666</v>
      </c>
      <c r="L291" s="46" t="s">
        <v>669</v>
      </c>
      <c r="M291" s="46">
        <v>490</v>
      </c>
      <c r="N291" s="46" t="s">
        <v>762</v>
      </c>
      <c r="O291" s="46" t="s">
        <v>763</v>
      </c>
      <c r="P291" s="46">
        <v>0</v>
      </c>
      <c r="Q291" s="46" t="s">
        <v>670</v>
      </c>
      <c r="R291" s="46" t="s">
        <v>23</v>
      </c>
      <c r="S291" s="46" t="s">
        <v>671</v>
      </c>
      <c r="T291" s="46" t="s">
        <v>672</v>
      </c>
      <c r="U291" s="46" t="b">
        <v>1</v>
      </c>
      <c r="V291" s="46" t="s">
        <v>985</v>
      </c>
      <c r="W291" s="46" t="s">
        <v>984</v>
      </c>
      <c r="X291" s="46">
        <v>6</v>
      </c>
      <c r="Y291" s="46" t="b">
        <v>1</v>
      </c>
      <c r="Z291" s="46" t="s">
        <v>675</v>
      </c>
      <c r="AA291" s="46" t="s">
        <v>676</v>
      </c>
      <c r="AB291" s="46" t="s">
        <v>677</v>
      </c>
      <c r="AC291" s="46">
        <v>0</v>
      </c>
      <c r="AD291" s="46" t="s">
        <v>678</v>
      </c>
      <c r="AE291" s="46">
        <v>8</v>
      </c>
      <c r="AF291" s="46" t="s">
        <v>679</v>
      </c>
      <c r="AG291" s="46">
        <v>58423.481</v>
      </c>
      <c r="AH291" s="46" t="b">
        <v>1</v>
      </c>
      <c r="AI291" s="46">
        <v>-1</v>
      </c>
      <c r="AJ291" s="46" t="s">
        <v>680</v>
      </c>
      <c r="AK291" s="46">
        <v>0</v>
      </c>
      <c r="AL291" s="46" t="b">
        <v>0</v>
      </c>
      <c r="AM291" s="46">
        <v>58423.481</v>
      </c>
      <c r="AN291" s="46" t="b">
        <v>1</v>
      </c>
      <c r="AO291" s="46">
        <v>0</v>
      </c>
      <c r="AP291" s="46" t="b">
        <v>0</v>
      </c>
      <c r="AQ291" s="46">
        <v>275696.087</v>
      </c>
      <c r="AS291" s="46">
        <v>275696.087</v>
      </c>
      <c r="AT291" s="46">
        <v>6</v>
      </c>
      <c r="AU291" s="46" t="b">
        <v>1</v>
      </c>
      <c r="AV291" s="46" t="b">
        <v>0</v>
      </c>
    </row>
    <row r="292" spans="2:48">
      <c r="B292" s="46" t="s">
        <v>665</v>
      </c>
      <c r="C292" s="46" t="s">
        <v>666</v>
      </c>
      <c r="D292" s="46">
        <v>20231101</v>
      </c>
      <c r="E292" s="46">
        <v>2023</v>
      </c>
      <c r="F292" s="46">
        <v>11</v>
      </c>
      <c r="G292" s="46" t="s">
        <v>725</v>
      </c>
      <c r="H292" s="46">
        <v>818</v>
      </c>
      <c r="I292" s="46" t="s">
        <v>668</v>
      </c>
      <c r="J292" s="46" t="s">
        <v>57</v>
      </c>
      <c r="K292" s="46" t="s">
        <v>666</v>
      </c>
      <c r="L292" s="46" t="s">
        <v>669</v>
      </c>
      <c r="M292" s="46">
        <v>528</v>
      </c>
      <c r="N292" s="46" t="s">
        <v>698</v>
      </c>
      <c r="O292" s="46" t="s">
        <v>60</v>
      </c>
      <c r="P292" s="46">
        <v>0</v>
      </c>
      <c r="Q292" s="46" t="s">
        <v>670</v>
      </c>
      <c r="R292" s="46" t="s">
        <v>23</v>
      </c>
      <c r="S292" s="46" t="s">
        <v>671</v>
      </c>
      <c r="T292" s="46" t="s">
        <v>672</v>
      </c>
      <c r="U292" s="46" t="b">
        <v>1</v>
      </c>
      <c r="V292" s="46" t="s">
        <v>985</v>
      </c>
      <c r="W292" s="46" t="s">
        <v>984</v>
      </c>
      <c r="X292" s="46">
        <v>6</v>
      </c>
      <c r="Y292" s="46" t="b">
        <v>1</v>
      </c>
      <c r="Z292" s="46" t="s">
        <v>675</v>
      </c>
      <c r="AA292" s="46" t="s">
        <v>676</v>
      </c>
      <c r="AB292" s="46" t="s">
        <v>677</v>
      </c>
      <c r="AC292" s="46">
        <v>0</v>
      </c>
      <c r="AD292" s="46" t="s">
        <v>678</v>
      </c>
      <c r="AE292" s="46">
        <v>8</v>
      </c>
      <c r="AF292" s="46" t="s">
        <v>679</v>
      </c>
      <c r="AG292" s="46">
        <v>104773.62300000001</v>
      </c>
      <c r="AH292" s="46" t="b">
        <v>1</v>
      </c>
      <c r="AI292" s="46">
        <v>-1</v>
      </c>
      <c r="AJ292" s="46" t="s">
        <v>680</v>
      </c>
      <c r="AK292" s="46">
        <v>0</v>
      </c>
      <c r="AL292" s="46" t="b">
        <v>0</v>
      </c>
      <c r="AM292" s="46">
        <v>104773.62300000001</v>
      </c>
      <c r="AN292" s="46" t="b">
        <v>1</v>
      </c>
      <c r="AO292" s="46">
        <v>0</v>
      </c>
      <c r="AP292" s="46" t="b">
        <v>0</v>
      </c>
      <c r="AQ292" s="46">
        <v>494418.98200000002</v>
      </c>
      <c r="AS292" s="46">
        <v>494418.98200000002</v>
      </c>
      <c r="AT292" s="46">
        <v>6</v>
      </c>
      <c r="AU292" s="46" t="b">
        <v>1</v>
      </c>
      <c r="AV292" s="46" t="b">
        <v>0</v>
      </c>
    </row>
    <row r="293" spans="2:48">
      <c r="B293" s="46" t="s">
        <v>665</v>
      </c>
      <c r="C293" s="46" t="s">
        <v>666</v>
      </c>
      <c r="D293" s="46">
        <v>20231101</v>
      </c>
      <c r="E293" s="46">
        <v>2023</v>
      </c>
      <c r="F293" s="46">
        <v>11</v>
      </c>
      <c r="G293" s="46" t="s">
        <v>725</v>
      </c>
      <c r="H293" s="46">
        <v>818</v>
      </c>
      <c r="I293" s="46" t="s">
        <v>668</v>
      </c>
      <c r="J293" s="46" t="s">
        <v>57</v>
      </c>
      <c r="K293" s="46" t="s">
        <v>666</v>
      </c>
      <c r="L293" s="46" t="s">
        <v>669</v>
      </c>
      <c r="M293" s="46">
        <v>568</v>
      </c>
      <c r="N293" s="46" t="s">
        <v>682</v>
      </c>
      <c r="O293" s="46" t="s">
        <v>683</v>
      </c>
      <c r="P293" s="46">
        <v>0</v>
      </c>
      <c r="Q293" s="46" t="s">
        <v>670</v>
      </c>
      <c r="R293" s="46" t="s">
        <v>23</v>
      </c>
      <c r="S293" s="46" t="s">
        <v>671</v>
      </c>
      <c r="T293" s="46" t="s">
        <v>672</v>
      </c>
      <c r="U293" s="46" t="b">
        <v>1</v>
      </c>
      <c r="V293" s="46" t="s">
        <v>985</v>
      </c>
      <c r="W293" s="46" t="s">
        <v>984</v>
      </c>
      <c r="X293" s="46">
        <v>6</v>
      </c>
      <c r="Y293" s="46" t="b">
        <v>1</v>
      </c>
      <c r="Z293" s="46" t="s">
        <v>675</v>
      </c>
      <c r="AA293" s="46" t="s">
        <v>676</v>
      </c>
      <c r="AB293" s="46" t="s">
        <v>677</v>
      </c>
      <c r="AC293" s="46">
        <v>0</v>
      </c>
      <c r="AD293" s="46" t="s">
        <v>678</v>
      </c>
      <c r="AE293" s="46">
        <v>8</v>
      </c>
      <c r="AF293" s="46" t="s">
        <v>679</v>
      </c>
      <c r="AG293" s="46">
        <v>61429.533000000003</v>
      </c>
      <c r="AH293" s="46" t="b">
        <v>1</v>
      </c>
      <c r="AI293" s="46">
        <v>-1</v>
      </c>
      <c r="AJ293" s="46" t="s">
        <v>680</v>
      </c>
      <c r="AK293" s="46">
        <v>0</v>
      </c>
      <c r="AL293" s="46" t="b">
        <v>0</v>
      </c>
      <c r="AM293" s="46">
        <v>61429.533000000003</v>
      </c>
      <c r="AN293" s="46" t="b">
        <v>1</v>
      </c>
      <c r="AO293" s="46">
        <v>0</v>
      </c>
      <c r="AP293" s="46" t="b">
        <v>0</v>
      </c>
      <c r="AQ293" s="46">
        <v>289881.42499999999</v>
      </c>
      <c r="AS293" s="46">
        <v>289881.42499999999</v>
      </c>
      <c r="AT293" s="46">
        <v>6</v>
      </c>
      <c r="AU293" s="46" t="b">
        <v>1</v>
      </c>
      <c r="AV293" s="46" t="b">
        <v>0</v>
      </c>
    </row>
    <row r="294" spans="2:48">
      <c r="B294" s="46" t="s">
        <v>665</v>
      </c>
      <c r="C294" s="46" t="s">
        <v>666</v>
      </c>
      <c r="D294" s="46">
        <v>20231101</v>
      </c>
      <c r="E294" s="46">
        <v>2023</v>
      </c>
      <c r="F294" s="46">
        <v>11</v>
      </c>
      <c r="G294" s="46" t="s">
        <v>725</v>
      </c>
      <c r="H294" s="46">
        <v>818</v>
      </c>
      <c r="I294" s="46" t="s">
        <v>668</v>
      </c>
      <c r="J294" s="46" t="s">
        <v>57</v>
      </c>
      <c r="K294" s="46" t="s">
        <v>666</v>
      </c>
      <c r="L294" s="46" t="s">
        <v>669</v>
      </c>
      <c r="M294" s="46">
        <v>579</v>
      </c>
      <c r="N294" s="46" t="s">
        <v>992</v>
      </c>
      <c r="O294" s="46" t="s">
        <v>61</v>
      </c>
      <c r="P294" s="46">
        <v>0</v>
      </c>
      <c r="Q294" s="46" t="s">
        <v>670</v>
      </c>
      <c r="R294" s="46" t="s">
        <v>23</v>
      </c>
      <c r="S294" s="46" t="s">
        <v>671</v>
      </c>
      <c r="T294" s="46" t="s">
        <v>672</v>
      </c>
      <c r="U294" s="46" t="b">
        <v>1</v>
      </c>
      <c r="V294" s="46" t="s">
        <v>985</v>
      </c>
      <c r="W294" s="46" t="s">
        <v>984</v>
      </c>
      <c r="X294" s="46">
        <v>6</v>
      </c>
      <c r="Y294" s="46" t="b">
        <v>1</v>
      </c>
      <c r="Z294" s="46" t="s">
        <v>675</v>
      </c>
      <c r="AA294" s="46" t="s">
        <v>676</v>
      </c>
      <c r="AB294" s="46" t="s">
        <v>677</v>
      </c>
      <c r="AC294" s="46">
        <v>0</v>
      </c>
      <c r="AD294" s="46" t="s">
        <v>678</v>
      </c>
      <c r="AE294" s="46">
        <v>8</v>
      </c>
      <c r="AF294" s="46" t="s">
        <v>679</v>
      </c>
      <c r="AG294" s="46">
        <v>20600.973000000002</v>
      </c>
      <c r="AH294" s="46" t="b">
        <v>1</v>
      </c>
      <c r="AI294" s="46">
        <v>-1</v>
      </c>
      <c r="AJ294" s="46" t="s">
        <v>680</v>
      </c>
      <c r="AK294" s="46">
        <v>0</v>
      </c>
      <c r="AL294" s="46" t="b">
        <v>0</v>
      </c>
      <c r="AM294" s="46">
        <v>20600.973000000002</v>
      </c>
      <c r="AN294" s="46" t="b">
        <v>1</v>
      </c>
      <c r="AO294" s="46">
        <v>0</v>
      </c>
      <c r="AP294" s="46" t="b">
        <v>0</v>
      </c>
      <c r="AQ294" s="46">
        <v>97214.468999999997</v>
      </c>
      <c r="AS294" s="46">
        <v>97214.468999999997</v>
      </c>
      <c r="AT294" s="46">
        <v>6</v>
      </c>
      <c r="AU294" s="46" t="b">
        <v>1</v>
      </c>
      <c r="AV294" s="46" t="b">
        <v>0</v>
      </c>
    </row>
    <row r="295" spans="2:48">
      <c r="B295" s="46" t="s">
        <v>665</v>
      </c>
      <c r="C295" s="46" t="s">
        <v>666</v>
      </c>
      <c r="D295" s="46">
        <v>20231101</v>
      </c>
      <c r="E295" s="46">
        <v>2023</v>
      </c>
      <c r="F295" s="46">
        <v>11</v>
      </c>
      <c r="G295" s="46" t="s">
        <v>725</v>
      </c>
      <c r="H295" s="46">
        <v>818</v>
      </c>
      <c r="I295" s="46" t="s">
        <v>668</v>
      </c>
      <c r="J295" s="46" t="s">
        <v>57</v>
      </c>
      <c r="K295" s="46" t="s">
        <v>666</v>
      </c>
      <c r="L295" s="46" t="s">
        <v>669</v>
      </c>
      <c r="M295" s="46">
        <v>616</v>
      </c>
      <c r="N295" s="46" t="s">
        <v>999</v>
      </c>
      <c r="O295" s="46" t="s">
        <v>84</v>
      </c>
      <c r="P295" s="46">
        <v>0</v>
      </c>
      <c r="Q295" s="46" t="s">
        <v>670</v>
      </c>
      <c r="R295" s="46" t="s">
        <v>23</v>
      </c>
      <c r="S295" s="46" t="s">
        <v>671</v>
      </c>
      <c r="T295" s="46" t="s">
        <v>672</v>
      </c>
      <c r="U295" s="46" t="b">
        <v>1</v>
      </c>
      <c r="V295" s="46" t="s">
        <v>985</v>
      </c>
      <c r="W295" s="46" t="s">
        <v>984</v>
      </c>
      <c r="X295" s="46">
        <v>6</v>
      </c>
      <c r="Y295" s="46" t="b">
        <v>1</v>
      </c>
      <c r="Z295" s="46" t="s">
        <v>675</v>
      </c>
      <c r="AA295" s="46" t="s">
        <v>676</v>
      </c>
      <c r="AB295" s="46" t="s">
        <v>677</v>
      </c>
      <c r="AC295" s="46">
        <v>0</v>
      </c>
      <c r="AD295" s="46" t="s">
        <v>678</v>
      </c>
      <c r="AE295" s="46">
        <v>8</v>
      </c>
      <c r="AF295" s="46" t="s">
        <v>679</v>
      </c>
      <c r="AG295" s="46">
        <v>37194.682000000001</v>
      </c>
      <c r="AH295" s="46" t="b">
        <v>1</v>
      </c>
      <c r="AI295" s="46">
        <v>-1</v>
      </c>
      <c r="AJ295" s="46" t="s">
        <v>680</v>
      </c>
      <c r="AK295" s="46">
        <v>0</v>
      </c>
      <c r="AL295" s="46" t="b">
        <v>0</v>
      </c>
      <c r="AM295" s="46">
        <v>37194.682000000001</v>
      </c>
      <c r="AN295" s="46" t="b">
        <v>1</v>
      </c>
      <c r="AO295" s="46">
        <v>0</v>
      </c>
      <c r="AP295" s="46" t="b">
        <v>0</v>
      </c>
      <c r="AQ295" s="46">
        <v>175518.95300000001</v>
      </c>
      <c r="AS295" s="46">
        <v>175518.95300000001</v>
      </c>
      <c r="AT295" s="46">
        <v>6</v>
      </c>
      <c r="AU295" s="46" t="b">
        <v>1</v>
      </c>
      <c r="AV295" s="46" t="b">
        <v>0</v>
      </c>
    </row>
    <row r="296" spans="2:48">
      <c r="B296" s="46" t="s">
        <v>665</v>
      </c>
      <c r="C296" s="46" t="s">
        <v>666</v>
      </c>
      <c r="D296" s="46">
        <v>20231101</v>
      </c>
      <c r="E296" s="46">
        <v>2023</v>
      </c>
      <c r="F296" s="46">
        <v>11</v>
      </c>
      <c r="G296" s="46" t="s">
        <v>725</v>
      </c>
      <c r="H296" s="46">
        <v>818</v>
      </c>
      <c r="I296" s="46" t="s">
        <v>668</v>
      </c>
      <c r="J296" s="46" t="s">
        <v>57</v>
      </c>
      <c r="K296" s="46" t="s">
        <v>666</v>
      </c>
      <c r="L296" s="46" t="s">
        <v>669</v>
      </c>
      <c r="M296" s="46">
        <v>634</v>
      </c>
      <c r="N296" s="46" t="s">
        <v>993</v>
      </c>
      <c r="O296" s="46" t="s">
        <v>37</v>
      </c>
      <c r="P296" s="46">
        <v>0</v>
      </c>
      <c r="Q296" s="46" t="s">
        <v>670</v>
      </c>
      <c r="R296" s="46" t="s">
        <v>23</v>
      </c>
      <c r="S296" s="46" t="s">
        <v>671</v>
      </c>
      <c r="T296" s="46" t="s">
        <v>672</v>
      </c>
      <c r="U296" s="46" t="b">
        <v>1</v>
      </c>
      <c r="V296" s="46" t="s">
        <v>985</v>
      </c>
      <c r="W296" s="46" t="s">
        <v>984</v>
      </c>
      <c r="X296" s="46">
        <v>6</v>
      </c>
      <c r="Y296" s="46" t="b">
        <v>1</v>
      </c>
      <c r="Z296" s="46" t="s">
        <v>675</v>
      </c>
      <c r="AA296" s="46" t="s">
        <v>676</v>
      </c>
      <c r="AB296" s="46" t="s">
        <v>677</v>
      </c>
      <c r="AC296" s="46">
        <v>0</v>
      </c>
      <c r="AD296" s="46" t="s">
        <v>678</v>
      </c>
      <c r="AE296" s="46">
        <v>8</v>
      </c>
      <c r="AF296" s="46" t="s">
        <v>679</v>
      </c>
      <c r="AG296" s="46">
        <v>42898.766000000003</v>
      </c>
      <c r="AH296" s="46" t="b">
        <v>1</v>
      </c>
      <c r="AI296" s="46">
        <v>-1</v>
      </c>
      <c r="AJ296" s="46" t="s">
        <v>680</v>
      </c>
      <c r="AK296" s="46">
        <v>0</v>
      </c>
      <c r="AL296" s="46" t="b">
        <v>0</v>
      </c>
      <c r="AM296" s="46">
        <v>42898.766000000003</v>
      </c>
      <c r="AN296" s="46" t="b">
        <v>1</v>
      </c>
      <c r="AO296" s="46">
        <v>0</v>
      </c>
      <c r="AP296" s="46" t="b">
        <v>0</v>
      </c>
      <c r="AQ296" s="46">
        <v>202436.10500000001</v>
      </c>
      <c r="AS296" s="46">
        <v>202436.10500000001</v>
      </c>
      <c r="AT296" s="46">
        <v>6</v>
      </c>
      <c r="AU296" s="46" t="b">
        <v>1</v>
      </c>
      <c r="AV296" s="46" t="b">
        <v>0</v>
      </c>
    </row>
    <row r="297" spans="2:48">
      <c r="B297" s="46" t="s">
        <v>665</v>
      </c>
      <c r="C297" s="46" t="s">
        <v>666</v>
      </c>
      <c r="D297" s="46">
        <v>20231101</v>
      </c>
      <c r="E297" s="46">
        <v>2023</v>
      </c>
      <c r="F297" s="46">
        <v>11</v>
      </c>
      <c r="G297" s="46" t="s">
        <v>725</v>
      </c>
      <c r="H297" s="46">
        <v>818</v>
      </c>
      <c r="I297" s="46" t="s">
        <v>668</v>
      </c>
      <c r="J297" s="46" t="s">
        <v>57</v>
      </c>
      <c r="K297" s="46" t="s">
        <v>666</v>
      </c>
      <c r="L297" s="46" t="s">
        <v>669</v>
      </c>
      <c r="M297" s="46">
        <v>682</v>
      </c>
      <c r="N297" s="46" t="s">
        <v>758</v>
      </c>
      <c r="O297" s="46" t="s">
        <v>39</v>
      </c>
      <c r="P297" s="46">
        <v>0</v>
      </c>
      <c r="Q297" s="46" t="s">
        <v>670</v>
      </c>
      <c r="R297" s="46" t="s">
        <v>23</v>
      </c>
      <c r="S297" s="46" t="s">
        <v>671</v>
      </c>
      <c r="T297" s="46" t="s">
        <v>672</v>
      </c>
      <c r="U297" s="46" t="b">
        <v>1</v>
      </c>
      <c r="V297" s="46" t="s">
        <v>985</v>
      </c>
      <c r="W297" s="46" t="s">
        <v>984</v>
      </c>
      <c r="X297" s="46">
        <v>6</v>
      </c>
      <c r="Y297" s="46" t="b">
        <v>1</v>
      </c>
      <c r="Z297" s="46" t="s">
        <v>675</v>
      </c>
      <c r="AA297" s="46" t="s">
        <v>676</v>
      </c>
      <c r="AB297" s="46" t="s">
        <v>677</v>
      </c>
      <c r="AC297" s="46">
        <v>0</v>
      </c>
      <c r="AD297" s="46" t="s">
        <v>678</v>
      </c>
      <c r="AE297" s="46">
        <v>8</v>
      </c>
      <c r="AF297" s="46" t="s">
        <v>679</v>
      </c>
      <c r="AG297" s="46">
        <v>50476.112999999998</v>
      </c>
      <c r="AH297" s="46" t="b">
        <v>1</v>
      </c>
      <c r="AI297" s="46">
        <v>-1</v>
      </c>
      <c r="AJ297" s="46" t="s">
        <v>680</v>
      </c>
      <c r="AK297" s="46">
        <v>0</v>
      </c>
      <c r="AL297" s="46" t="b">
        <v>0</v>
      </c>
      <c r="AM297" s="46">
        <v>50476.112999999998</v>
      </c>
      <c r="AN297" s="46" t="b">
        <v>1</v>
      </c>
      <c r="AO297" s="46">
        <v>0</v>
      </c>
      <c r="AP297" s="46" t="b">
        <v>0</v>
      </c>
      <c r="AQ297" s="46">
        <v>238193.046</v>
      </c>
      <c r="AS297" s="46">
        <v>238193.046</v>
      </c>
      <c r="AT297" s="46">
        <v>6</v>
      </c>
      <c r="AU297" s="46" t="b">
        <v>1</v>
      </c>
      <c r="AV297" s="46" t="b">
        <v>0</v>
      </c>
    </row>
    <row r="298" spans="2:48">
      <c r="B298" s="46" t="s">
        <v>665</v>
      </c>
      <c r="C298" s="46" t="s">
        <v>666</v>
      </c>
      <c r="D298" s="46">
        <v>20231101</v>
      </c>
      <c r="E298" s="46">
        <v>2023</v>
      </c>
      <c r="F298" s="46">
        <v>11</v>
      </c>
      <c r="G298" s="46" t="s">
        <v>725</v>
      </c>
      <c r="H298" s="46">
        <v>818</v>
      </c>
      <c r="I298" s="46" t="s">
        <v>668</v>
      </c>
      <c r="J298" s="46" t="s">
        <v>57</v>
      </c>
      <c r="K298" s="46" t="s">
        <v>666</v>
      </c>
      <c r="L298" s="46" t="s">
        <v>669</v>
      </c>
      <c r="M298" s="46">
        <v>699</v>
      </c>
      <c r="N298" s="46" t="s">
        <v>748</v>
      </c>
      <c r="O298" s="46" t="s">
        <v>0</v>
      </c>
      <c r="P298" s="46">
        <v>0</v>
      </c>
      <c r="Q298" s="46" t="s">
        <v>670</v>
      </c>
      <c r="R298" s="46" t="s">
        <v>23</v>
      </c>
      <c r="S298" s="46" t="s">
        <v>671</v>
      </c>
      <c r="T298" s="46" t="s">
        <v>672</v>
      </c>
      <c r="U298" s="46" t="b">
        <v>1</v>
      </c>
      <c r="V298" s="46" t="s">
        <v>985</v>
      </c>
      <c r="W298" s="46" t="s">
        <v>984</v>
      </c>
      <c r="X298" s="46">
        <v>6</v>
      </c>
      <c r="Y298" s="46" t="b">
        <v>1</v>
      </c>
      <c r="Z298" s="46" t="s">
        <v>675</v>
      </c>
      <c r="AA298" s="46" t="s">
        <v>676</v>
      </c>
      <c r="AB298" s="46" t="s">
        <v>677</v>
      </c>
      <c r="AC298" s="46">
        <v>0</v>
      </c>
      <c r="AD298" s="46" t="s">
        <v>678</v>
      </c>
      <c r="AE298" s="46">
        <v>8</v>
      </c>
      <c r="AF298" s="46" t="s">
        <v>679</v>
      </c>
      <c r="AG298" s="46">
        <v>277728.71600000001</v>
      </c>
      <c r="AH298" s="46" t="b">
        <v>1</v>
      </c>
      <c r="AI298" s="46">
        <v>-1</v>
      </c>
      <c r="AJ298" s="46" t="s">
        <v>680</v>
      </c>
      <c r="AK298" s="46">
        <v>0</v>
      </c>
      <c r="AL298" s="46" t="b">
        <v>0</v>
      </c>
      <c r="AM298" s="46">
        <v>277728.71600000001</v>
      </c>
      <c r="AN298" s="46" t="b">
        <v>1</v>
      </c>
      <c r="AO298" s="46">
        <v>0</v>
      </c>
      <c r="AP298" s="46" t="b">
        <v>0</v>
      </c>
      <c r="AQ298" s="46">
        <v>1310581.281</v>
      </c>
      <c r="AS298" s="46">
        <v>1310581.281</v>
      </c>
      <c r="AT298" s="46">
        <v>6</v>
      </c>
      <c r="AU298" s="46" t="b">
        <v>1</v>
      </c>
      <c r="AV298" s="46" t="b">
        <v>0</v>
      </c>
    </row>
    <row r="299" spans="2:48">
      <c r="B299" s="46" t="s">
        <v>665</v>
      </c>
      <c r="C299" s="46" t="s">
        <v>666</v>
      </c>
      <c r="D299" s="46">
        <v>20231101</v>
      </c>
      <c r="E299" s="46">
        <v>2023</v>
      </c>
      <c r="F299" s="46">
        <v>11</v>
      </c>
      <c r="G299" s="46" t="s">
        <v>725</v>
      </c>
      <c r="H299" s="46">
        <v>818</v>
      </c>
      <c r="I299" s="46" t="s">
        <v>668</v>
      </c>
      <c r="J299" s="46" t="s">
        <v>57</v>
      </c>
      <c r="K299" s="46" t="s">
        <v>666</v>
      </c>
      <c r="L299" s="46" t="s">
        <v>669</v>
      </c>
      <c r="M299" s="46">
        <v>702</v>
      </c>
      <c r="N299" s="46" t="s">
        <v>994</v>
      </c>
      <c r="O299" s="46" t="s">
        <v>28</v>
      </c>
      <c r="P299" s="46">
        <v>0</v>
      </c>
      <c r="Q299" s="46" t="s">
        <v>670</v>
      </c>
      <c r="R299" s="46" t="s">
        <v>23</v>
      </c>
      <c r="S299" s="46" t="s">
        <v>671</v>
      </c>
      <c r="T299" s="46" t="s">
        <v>672</v>
      </c>
      <c r="U299" s="46" t="b">
        <v>1</v>
      </c>
      <c r="V299" s="46" t="s">
        <v>985</v>
      </c>
      <c r="W299" s="46" t="s">
        <v>984</v>
      </c>
      <c r="X299" s="46">
        <v>6</v>
      </c>
      <c r="Y299" s="46" t="b">
        <v>1</v>
      </c>
      <c r="Z299" s="46" t="s">
        <v>675</v>
      </c>
      <c r="AA299" s="46" t="s">
        <v>676</v>
      </c>
      <c r="AB299" s="46" t="s">
        <v>677</v>
      </c>
      <c r="AC299" s="46">
        <v>0</v>
      </c>
      <c r="AD299" s="46" t="s">
        <v>678</v>
      </c>
      <c r="AE299" s="46">
        <v>8</v>
      </c>
      <c r="AF299" s="46" t="s">
        <v>679</v>
      </c>
      <c r="AG299" s="46">
        <v>4109.5870000000004</v>
      </c>
      <c r="AH299" s="46" t="b">
        <v>1</v>
      </c>
      <c r="AI299" s="46">
        <v>-1</v>
      </c>
      <c r="AJ299" s="46" t="s">
        <v>680</v>
      </c>
      <c r="AK299" s="46">
        <v>0</v>
      </c>
      <c r="AL299" s="46" t="b">
        <v>0</v>
      </c>
      <c r="AM299" s="46">
        <v>4109.5870000000004</v>
      </c>
      <c r="AN299" s="46" t="b">
        <v>1</v>
      </c>
      <c r="AO299" s="46">
        <v>0</v>
      </c>
      <c r="AP299" s="46" t="b">
        <v>0</v>
      </c>
      <c r="AQ299" s="46">
        <v>19392.834999999999</v>
      </c>
      <c r="AS299" s="46">
        <v>19392.834999999999</v>
      </c>
      <c r="AT299" s="46">
        <v>6</v>
      </c>
      <c r="AU299" s="46" t="b">
        <v>1</v>
      </c>
      <c r="AV299" s="46" t="b">
        <v>0</v>
      </c>
    </row>
    <row r="300" spans="2:48">
      <c r="B300" s="46" t="s">
        <v>665</v>
      </c>
      <c r="C300" s="46" t="s">
        <v>666</v>
      </c>
      <c r="D300" s="46">
        <v>20231101</v>
      </c>
      <c r="E300" s="46">
        <v>2023</v>
      </c>
      <c r="F300" s="46">
        <v>11</v>
      </c>
      <c r="G300" s="46" t="s">
        <v>725</v>
      </c>
      <c r="H300" s="46">
        <v>818</v>
      </c>
      <c r="I300" s="46" t="s">
        <v>668</v>
      </c>
      <c r="J300" s="46" t="s">
        <v>57</v>
      </c>
      <c r="K300" s="46" t="s">
        <v>666</v>
      </c>
      <c r="L300" s="46" t="s">
        <v>669</v>
      </c>
      <c r="M300" s="46">
        <v>704</v>
      </c>
      <c r="N300" s="46" t="s">
        <v>756</v>
      </c>
      <c r="O300" s="46" t="s">
        <v>59</v>
      </c>
      <c r="P300" s="46">
        <v>0</v>
      </c>
      <c r="Q300" s="46" t="s">
        <v>670</v>
      </c>
      <c r="R300" s="46" t="s">
        <v>23</v>
      </c>
      <c r="S300" s="46" t="s">
        <v>671</v>
      </c>
      <c r="T300" s="46" t="s">
        <v>672</v>
      </c>
      <c r="U300" s="46" t="b">
        <v>1</v>
      </c>
      <c r="V300" s="46" t="s">
        <v>985</v>
      </c>
      <c r="W300" s="46" t="s">
        <v>984</v>
      </c>
      <c r="X300" s="46">
        <v>6</v>
      </c>
      <c r="Y300" s="46" t="b">
        <v>1</v>
      </c>
      <c r="Z300" s="46" t="s">
        <v>675</v>
      </c>
      <c r="AA300" s="46" t="s">
        <v>676</v>
      </c>
      <c r="AB300" s="46" t="s">
        <v>677</v>
      </c>
      <c r="AC300" s="46">
        <v>0</v>
      </c>
      <c r="AD300" s="46" t="s">
        <v>678</v>
      </c>
      <c r="AE300" s="46">
        <v>8</v>
      </c>
      <c r="AF300" s="46" t="s">
        <v>679</v>
      </c>
      <c r="AG300" s="46">
        <v>82222.104000000007</v>
      </c>
      <c r="AH300" s="46" t="b">
        <v>1</v>
      </c>
      <c r="AI300" s="46">
        <v>-1</v>
      </c>
      <c r="AJ300" s="46" t="s">
        <v>680</v>
      </c>
      <c r="AK300" s="46">
        <v>0</v>
      </c>
      <c r="AL300" s="46" t="b">
        <v>0</v>
      </c>
      <c r="AM300" s="46">
        <v>82222.104000000007</v>
      </c>
      <c r="AN300" s="46" t="b">
        <v>1</v>
      </c>
      <c r="AO300" s="46">
        <v>0</v>
      </c>
      <c r="AP300" s="46" t="b">
        <v>0</v>
      </c>
      <c r="AQ300" s="46">
        <v>388000.03100000002</v>
      </c>
      <c r="AS300" s="46">
        <v>388000.03100000002</v>
      </c>
      <c r="AT300" s="46">
        <v>6</v>
      </c>
      <c r="AU300" s="46" t="b">
        <v>1</v>
      </c>
      <c r="AV300" s="46" t="b">
        <v>0</v>
      </c>
    </row>
    <row r="301" spans="2:48">
      <c r="B301" s="46" t="s">
        <v>665</v>
      </c>
      <c r="C301" s="46" t="s">
        <v>666</v>
      </c>
      <c r="D301" s="46">
        <v>20231101</v>
      </c>
      <c r="E301" s="46">
        <v>2023</v>
      </c>
      <c r="F301" s="46">
        <v>11</v>
      </c>
      <c r="G301" s="46" t="s">
        <v>725</v>
      </c>
      <c r="H301" s="46">
        <v>818</v>
      </c>
      <c r="I301" s="46" t="s">
        <v>668</v>
      </c>
      <c r="J301" s="46" t="s">
        <v>57</v>
      </c>
      <c r="K301" s="46" t="s">
        <v>666</v>
      </c>
      <c r="L301" s="46" t="s">
        <v>669</v>
      </c>
      <c r="M301" s="46">
        <v>705</v>
      </c>
      <c r="N301" s="46" t="s">
        <v>1004</v>
      </c>
      <c r="O301" s="46" t="s">
        <v>201</v>
      </c>
      <c r="P301" s="46">
        <v>0</v>
      </c>
      <c r="Q301" s="46" t="s">
        <v>670</v>
      </c>
      <c r="R301" s="46" t="s">
        <v>23</v>
      </c>
      <c r="S301" s="46" t="s">
        <v>671</v>
      </c>
      <c r="T301" s="46" t="s">
        <v>672</v>
      </c>
      <c r="U301" s="46" t="b">
        <v>1</v>
      </c>
      <c r="V301" s="46" t="s">
        <v>985</v>
      </c>
      <c r="W301" s="46" t="s">
        <v>984</v>
      </c>
      <c r="X301" s="46">
        <v>6</v>
      </c>
      <c r="Y301" s="46" t="b">
        <v>1</v>
      </c>
      <c r="Z301" s="46" t="s">
        <v>675</v>
      </c>
      <c r="AA301" s="46" t="s">
        <v>676</v>
      </c>
      <c r="AB301" s="46" t="s">
        <v>677</v>
      </c>
      <c r="AC301" s="46">
        <v>0</v>
      </c>
      <c r="AD301" s="46" t="s">
        <v>678</v>
      </c>
      <c r="AE301" s="46">
        <v>8</v>
      </c>
      <c r="AF301" s="46" t="s">
        <v>679</v>
      </c>
      <c r="AG301" s="46">
        <v>1123.3630000000001</v>
      </c>
      <c r="AH301" s="46" t="b">
        <v>1</v>
      </c>
      <c r="AI301" s="46">
        <v>-1</v>
      </c>
      <c r="AJ301" s="46" t="s">
        <v>680</v>
      </c>
      <c r="AK301" s="46">
        <v>0</v>
      </c>
      <c r="AL301" s="46" t="b">
        <v>0</v>
      </c>
      <c r="AM301" s="46">
        <v>1123.3630000000001</v>
      </c>
      <c r="AN301" s="46" t="b">
        <v>1</v>
      </c>
      <c r="AO301" s="46">
        <v>0</v>
      </c>
      <c r="AP301" s="46" t="b">
        <v>0</v>
      </c>
      <c r="AQ301" s="46">
        <v>5301.0659999999998</v>
      </c>
      <c r="AS301" s="46">
        <v>5301.0659999999998</v>
      </c>
      <c r="AT301" s="46">
        <v>6</v>
      </c>
      <c r="AU301" s="46" t="b">
        <v>1</v>
      </c>
      <c r="AV301" s="46" t="b">
        <v>0</v>
      </c>
    </row>
    <row r="302" spans="2:48">
      <c r="B302" s="46" t="s">
        <v>665</v>
      </c>
      <c r="C302" s="46" t="s">
        <v>666</v>
      </c>
      <c r="D302" s="46">
        <v>20231101</v>
      </c>
      <c r="E302" s="46">
        <v>2023</v>
      </c>
      <c r="F302" s="46">
        <v>11</v>
      </c>
      <c r="G302" s="46" t="s">
        <v>725</v>
      </c>
      <c r="H302" s="46">
        <v>818</v>
      </c>
      <c r="I302" s="46" t="s">
        <v>668</v>
      </c>
      <c r="J302" s="46" t="s">
        <v>57</v>
      </c>
      <c r="K302" s="46" t="s">
        <v>666</v>
      </c>
      <c r="L302" s="46" t="s">
        <v>669</v>
      </c>
      <c r="M302" s="46">
        <v>724</v>
      </c>
      <c r="N302" s="46" t="s">
        <v>684</v>
      </c>
      <c r="O302" s="46" t="s">
        <v>51</v>
      </c>
      <c r="P302" s="46">
        <v>0</v>
      </c>
      <c r="Q302" s="46" t="s">
        <v>670</v>
      </c>
      <c r="R302" s="46" t="s">
        <v>23</v>
      </c>
      <c r="S302" s="46" t="s">
        <v>671</v>
      </c>
      <c r="T302" s="46" t="s">
        <v>672</v>
      </c>
      <c r="U302" s="46" t="b">
        <v>1</v>
      </c>
      <c r="V302" s="46" t="s">
        <v>985</v>
      </c>
      <c r="W302" s="46" t="s">
        <v>984</v>
      </c>
      <c r="X302" s="46">
        <v>6</v>
      </c>
      <c r="Y302" s="46" t="b">
        <v>1</v>
      </c>
      <c r="Z302" s="46" t="s">
        <v>675</v>
      </c>
      <c r="AA302" s="46" t="s">
        <v>676</v>
      </c>
      <c r="AB302" s="46" t="s">
        <v>677</v>
      </c>
      <c r="AC302" s="46">
        <v>0</v>
      </c>
      <c r="AD302" s="46" t="s">
        <v>678</v>
      </c>
      <c r="AE302" s="46">
        <v>8</v>
      </c>
      <c r="AF302" s="46" t="s">
        <v>679</v>
      </c>
      <c r="AG302" s="46">
        <v>321671.58399999997</v>
      </c>
      <c r="AH302" s="46" t="b">
        <v>1</v>
      </c>
      <c r="AI302" s="46">
        <v>-1</v>
      </c>
      <c r="AJ302" s="46" t="s">
        <v>680</v>
      </c>
      <c r="AK302" s="46">
        <v>0</v>
      </c>
      <c r="AL302" s="46" t="b">
        <v>0</v>
      </c>
      <c r="AM302" s="46">
        <v>321671.58399999997</v>
      </c>
      <c r="AN302" s="46" t="b">
        <v>1</v>
      </c>
      <c r="AO302" s="46">
        <v>0</v>
      </c>
      <c r="AP302" s="46" t="b">
        <v>0</v>
      </c>
      <c r="AQ302" s="46">
        <v>1517944.429</v>
      </c>
      <c r="AS302" s="46">
        <v>1517944.429</v>
      </c>
      <c r="AT302" s="46">
        <v>6</v>
      </c>
      <c r="AU302" s="46" t="b">
        <v>1</v>
      </c>
      <c r="AV302" s="46" t="b">
        <v>0</v>
      </c>
    </row>
    <row r="303" spans="2:48">
      <c r="B303" s="46" t="s">
        <v>665</v>
      </c>
      <c r="C303" s="46" t="s">
        <v>666</v>
      </c>
      <c r="D303" s="46">
        <v>20231101</v>
      </c>
      <c r="E303" s="46">
        <v>2023</v>
      </c>
      <c r="F303" s="46">
        <v>11</v>
      </c>
      <c r="G303" s="46" t="s">
        <v>725</v>
      </c>
      <c r="H303" s="46">
        <v>818</v>
      </c>
      <c r="I303" s="46" t="s">
        <v>668</v>
      </c>
      <c r="J303" s="46" t="s">
        <v>57</v>
      </c>
      <c r="K303" s="46" t="s">
        <v>666</v>
      </c>
      <c r="L303" s="46" t="s">
        <v>669</v>
      </c>
      <c r="M303" s="46">
        <v>757</v>
      </c>
      <c r="N303" s="46" t="s">
        <v>996</v>
      </c>
      <c r="O303" s="46" t="s">
        <v>41</v>
      </c>
      <c r="P303" s="46">
        <v>0</v>
      </c>
      <c r="Q303" s="46" t="s">
        <v>670</v>
      </c>
      <c r="R303" s="46" t="s">
        <v>23</v>
      </c>
      <c r="S303" s="46" t="s">
        <v>671</v>
      </c>
      <c r="T303" s="46" t="s">
        <v>672</v>
      </c>
      <c r="U303" s="46" t="b">
        <v>1</v>
      </c>
      <c r="V303" s="46" t="s">
        <v>985</v>
      </c>
      <c r="W303" s="46" t="s">
        <v>984</v>
      </c>
      <c r="X303" s="46">
        <v>6</v>
      </c>
      <c r="Y303" s="46" t="b">
        <v>1</v>
      </c>
      <c r="Z303" s="46" t="s">
        <v>675</v>
      </c>
      <c r="AA303" s="46" t="s">
        <v>676</v>
      </c>
      <c r="AB303" s="46" t="s">
        <v>677</v>
      </c>
      <c r="AC303" s="46">
        <v>0</v>
      </c>
      <c r="AD303" s="46" t="s">
        <v>678</v>
      </c>
      <c r="AE303" s="46">
        <v>8</v>
      </c>
      <c r="AF303" s="46" t="s">
        <v>679</v>
      </c>
      <c r="AG303" s="46">
        <v>8942.1790000000001</v>
      </c>
      <c r="AH303" s="46" t="b">
        <v>1</v>
      </c>
      <c r="AI303" s="46">
        <v>-1</v>
      </c>
      <c r="AJ303" s="46" t="s">
        <v>680</v>
      </c>
      <c r="AK303" s="46">
        <v>0</v>
      </c>
      <c r="AL303" s="46" t="b">
        <v>0</v>
      </c>
      <c r="AM303" s="46">
        <v>8942.1790000000001</v>
      </c>
      <c r="AN303" s="46" t="b">
        <v>1</v>
      </c>
      <c r="AO303" s="46">
        <v>0</v>
      </c>
      <c r="AP303" s="46" t="b">
        <v>0</v>
      </c>
      <c r="AQ303" s="46">
        <v>42197.483</v>
      </c>
      <c r="AS303" s="46">
        <v>42197.483</v>
      </c>
      <c r="AT303" s="46">
        <v>6</v>
      </c>
      <c r="AU303" s="46" t="b">
        <v>1</v>
      </c>
      <c r="AV303" s="46" t="b">
        <v>0</v>
      </c>
    </row>
    <row r="304" spans="2:48">
      <c r="B304" s="46" t="s">
        <v>665</v>
      </c>
      <c r="C304" s="46" t="s">
        <v>666</v>
      </c>
      <c r="D304" s="46">
        <v>20231101</v>
      </c>
      <c r="E304" s="46">
        <v>2023</v>
      </c>
      <c r="F304" s="46">
        <v>11</v>
      </c>
      <c r="G304" s="46" t="s">
        <v>725</v>
      </c>
      <c r="H304" s="46">
        <v>818</v>
      </c>
      <c r="I304" s="46" t="s">
        <v>668</v>
      </c>
      <c r="J304" s="46" t="s">
        <v>57</v>
      </c>
      <c r="K304" s="46" t="s">
        <v>666</v>
      </c>
      <c r="L304" s="46" t="s">
        <v>669</v>
      </c>
      <c r="M304" s="46">
        <v>764</v>
      </c>
      <c r="N304" s="46" t="s">
        <v>749</v>
      </c>
      <c r="O304" s="46" t="s">
        <v>55</v>
      </c>
      <c r="P304" s="46">
        <v>0</v>
      </c>
      <c r="Q304" s="46" t="s">
        <v>670</v>
      </c>
      <c r="R304" s="46" t="s">
        <v>23</v>
      </c>
      <c r="S304" s="46" t="s">
        <v>671</v>
      </c>
      <c r="T304" s="46" t="s">
        <v>672</v>
      </c>
      <c r="U304" s="46" t="b">
        <v>1</v>
      </c>
      <c r="V304" s="46" t="s">
        <v>985</v>
      </c>
      <c r="W304" s="46" t="s">
        <v>984</v>
      </c>
      <c r="X304" s="46">
        <v>6</v>
      </c>
      <c r="Y304" s="46" t="b">
        <v>1</v>
      </c>
      <c r="Z304" s="46" t="s">
        <v>675</v>
      </c>
      <c r="AA304" s="46" t="s">
        <v>676</v>
      </c>
      <c r="AB304" s="46" t="s">
        <v>677</v>
      </c>
      <c r="AC304" s="46">
        <v>0</v>
      </c>
      <c r="AD304" s="46" t="s">
        <v>678</v>
      </c>
      <c r="AE304" s="46">
        <v>8</v>
      </c>
      <c r="AF304" s="46" t="s">
        <v>679</v>
      </c>
      <c r="AG304" s="46">
        <v>13944.671</v>
      </c>
      <c r="AH304" s="46" t="b">
        <v>1</v>
      </c>
      <c r="AI304" s="46">
        <v>-1</v>
      </c>
      <c r="AJ304" s="46" t="s">
        <v>680</v>
      </c>
      <c r="AK304" s="46">
        <v>0</v>
      </c>
      <c r="AL304" s="46" t="b">
        <v>0</v>
      </c>
      <c r="AM304" s="46">
        <v>13944.671</v>
      </c>
      <c r="AN304" s="46" t="b">
        <v>1</v>
      </c>
      <c r="AO304" s="46">
        <v>0</v>
      </c>
      <c r="AP304" s="46" t="b">
        <v>0</v>
      </c>
      <c r="AQ304" s="46">
        <v>65803.87</v>
      </c>
      <c r="AS304" s="46">
        <v>65803.87</v>
      </c>
      <c r="AT304" s="46">
        <v>6</v>
      </c>
      <c r="AU304" s="46" t="b">
        <v>1</v>
      </c>
      <c r="AV304" s="46" t="b">
        <v>0</v>
      </c>
    </row>
    <row r="305" spans="2:48">
      <c r="B305" s="46" t="s">
        <v>665</v>
      </c>
      <c r="C305" s="46" t="s">
        <v>666</v>
      </c>
      <c r="D305" s="46">
        <v>20231101</v>
      </c>
      <c r="E305" s="46">
        <v>2023</v>
      </c>
      <c r="F305" s="46">
        <v>11</v>
      </c>
      <c r="G305" s="46" t="s">
        <v>725</v>
      </c>
      <c r="H305" s="46">
        <v>818</v>
      </c>
      <c r="I305" s="46" t="s">
        <v>668</v>
      </c>
      <c r="J305" s="46" t="s">
        <v>57</v>
      </c>
      <c r="K305" s="46" t="s">
        <v>666</v>
      </c>
      <c r="L305" s="46" t="s">
        <v>669</v>
      </c>
      <c r="M305" s="46">
        <v>784</v>
      </c>
      <c r="N305" s="46" t="s">
        <v>694</v>
      </c>
      <c r="O305" s="46" t="s">
        <v>25</v>
      </c>
      <c r="P305" s="46">
        <v>0</v>
      </c>
      <c r="Q305" s="46" t="s">
        <v>670</v>
      </c>
      <c r="R305" s="46" t="s">
        <v>23</v>
      </c>
      <c r="S305" s="46" t="s">
        <v>671</v>
      </c>
      <c r="T305" s="46" t="s">
        <v>672</v>
      </c>
      <c r="U305" s="46" t="b">
        <v>1</v>
      </c>
      <c r="V305" s="46" t="s">
        <v>985</v>
      </c>
      <c r="W305" s="46" t="s">
        <v>984</v>
      </c>
      <c r="X305" s="46">
        <v>6</v>
      </c>
      <c r="Y305" s="46" t="b">
        <v>1</v>
      </c>
      <c r="Z305" s="46" t="s">
        <v>675</v>
      </c>
      <c r="AA305" s="46" t="s">
        <v>676</v>
      </c>
      <c r="AB305" s="46" t="s">
        <v>677</v>
      </c>
      <c r="AC305" s="46">
        <v>0</v>
      </c>
      <c r="AD305" s="46" t="s">
        <v>678</v>
      </c>
      <c r="AE305" s="46">
        <v>8</v>
      </c>
      <c r="AF305" s="46" t="s">
        <v>679</v>
      </c>
      <c r="AG305" s="46">
        <v>99370.645999999993</v>
      </c>
      <c r="AH305" s="46" t="b">
        <v>1</v>
      </c>
      <c r="AI305" s="46">
        <v>-1</v>
      </c>
      <c r="AJ305" s="46" t="s">
        <v>680</v>
      </c>
      <c r="AK305" s="46">
        <v>0</v>
      </c>
      <c r="AL305" s="46" t="b">
        <v>0</v>
      </c>
      <c r="AM305" s="46">
        <v>99370.645999999993</v>
      </c>
      <c r="AN305" s="46" t="b">
        <v>1</v>
      </c>
      <c r="AO305" s="46">
        <v>0</v>
      </c>
      <c r="AP305" s="46" t="b">
        <v>0</v>
      </c>
      <c r="AQ305" s="46">
        <v>468922.73200000002</v>
      </c>
      <c r="AS305" s="46">
        <v>468922.73200000002</v>
      </c>
      <c r="AT305" s="46">
        <v>6</v>
      </c>
      <c r="AU305" s="46" t="b">
        <v>1</v>
      </c>
      <c r="AV305" s="46" t="b">
        <v>0</v>
      </c>
    </row>
    <row r="306" spans="2:48">
      <c r="B306" s="46" t="s">
        <v>665</v>
      </c>
      <c r="C306" s="46" t="s">
        <v>666</v>
      </c>
      <c r="D306" s="46">
        <v>20231101</v>
      </c>
      <c r="E306" s="46">
        <v>2023</v>
      </c>
      <c r="F306" s="46">
        <v>11</v>
      </c>
      <c r="G306" s="46" t="s">
        <v>725</v>
      </c>
      <c r="H306" s="46">
        <v>818</v>
      </c>
      <c r="I306" s="46" t="s">
        <v>668</v>
      </c>
      <c r="J306" s="46" t="s">
        <v>57</v>
      </c>
      <c r="K306" s="46" t="s">
        <v>666</v>
      </c>
      <c r="L306" s="46" t="s">
        <v>669</v>
      </c>
      <c r="M306" s="46">
        <v>792</v>
      </c>
      <c r="N306" s="46" t="s">
        <v>691</v>
      </c>
      <c r="O306" s="46" t="s">
        <v>63</v>
      </c>
      <c r="P306" s="46">
        <v>0</v>
      </c>
      <c r="Q306" s="46" t="s">
        <v>670</v>
      </c>
      <c r="R306" s="46" t="s">
        <v>23</v>
      </c>
      <c r="S306" s="46" t="s">
        <v>671</v>
      </c>
      <c r="T306" s="46" t="s">
        <v>672</v>
      </c>
      <c r="U306" s="46" t="b">
        <v>1</v>
      </c>
      <c r="V306" s="46" t="s">
        <v>985</v>
      </c>
      <c r="W306" s="46" t="s">
        <v>984</v>
      </c>
      <c r="X306" s="46">
        <v>6</v>
      </c>
      <c r="Y306" s="46" t="b">
        <v>1</v>
      </c>
      <c r="Z306" s="46" t="s">
        <v>675</v>
      </c>
      <c r="AA306" s="46" t="s">
        <v>676</v>
      </c>
      <c r="AB306" s="46" t="s">
        <v>677</v>
      </c>
      <c r="AC306" s="46">
        <v>0</v>
      </c>
      <c r="AD306" s="46" t="s">
        <v>678</v>
      </c>
      <c r="AE306" s="46">
        <v>8</v>
      </c>
      <c r="AF306" s="46" t="s">
        <v>679</v>
      </c>
      <c r="AG306" s="46">
        <v>276414.20699999999</v>
      </c>
      <c r="AH306" s="46" t="b">
        <v>1</v>
      </c>
      <c r="AI306" s="46">
        <v>-1</v>
      </c>
      <c r="AJ306" s="46" t="s">
        <v>680</v>
      </c>
      <c r="AK306" s="46">
        <v>0</v>
      </c>
      <c r="AL306" s="46" t="b">
        <v>0</v>
      </c>
      <c r="AM306" s="46">
        <v>276414.20699999999</v>
      </c>
      <c r="AN306" s="46" t="b">
        <v>1</v>
      </c>
      <c r="AO306" s="46">
        <v>0</v>
      </c>
      <c r="AP306" s="46" t="b">
        <v>0</v>
      </c>
      <c r="AQ306" s="46">
        <v>1304378.2109999999</v>
      </c>
      <c r="AS306" s="46">
        <v>1304378.2109999999</v>
      </c>
      <c r="AT306" s="46">
        <v>6</v>
      </c>
      <c r="AU306" s="46" t="b">
        <v>1</v>
      </c>
      <c r="AV306" s="46" t="b">
        <v>0</v>
      </c>
    </row>
    <row r="307" spans="2:48">
      <c r="B307" s="46" t="s">
        <v>665</v>
      </c>
      <c r="C307" s="46" t="s">
        <v>666</v>
      </c>
      <c r="D307" s="46">
        <v>20231101</v>
      </c>
      <c r="E307" s="46">
        <v>2023</v>
      </c>
      <c r="F307" s="46">
        <v>11</v>
      </c>
      <c r="G307" s="46" t="s">
        <v>725</v>
      </c>
      <c r="H307" s="46">
        <v>818</v>
      </c>
      <c r="I307" s="46" t="s">
        <v>668</v>
      </c>
      <c r="J307" s="46" t="s">
        <v>57</v>
      </c>
      <c r="K307" s="46" t="s">
        <v>666</v>
      </c>
      <c r="L307" s="46" t="s">
        <v>669</v>
      </c>
      <c r="M307" s="46">
        <v>826</v>
      </c>
      <c r="N307" s="46" t="s">
        <v>685</v>
      </c>
      <c r="O307" s="46" t="s">
        <v>64</v>
      </c>
      <c r="P307" s="46">
        <v>0</v>
      </c>
      <c r="Q307" s="46" t="s">
        <v>670</v>
      </c>
      <c r="R307" s="46" t="s">
        <v>23</v>
      </c>
      <c r="S307" s="46" t="s">
        <v>671</v>
      </c>
      <c r="T307" s="46" t="s">
        <v>672</v>
      </c>
      <c r="U307" s="46" t="b">
        <v>1</v>
      </c>
      <c r="V307" s="46" t="s">
        <v>985</v>
      </c>
      <c r="W307" s="46" t="s">
        <v>984</v>
      </c>
      <c r="X307" s="46">
        <v>6</v>
      </c>
      <c r="Y307" s="46" t="b">
        <v>1</v>
      </c>
      <c r="Z307" s="46" t="s">
        <v>675</v>
      </c>
      <c r="AA307" s="46" t="s">
        <v>676</v>
      </c>
      <c r="AB307" s="46" t="s">
        <v>677</v>
      </c>
      <c r="AC307" s="46">
        <v>0</v>
      </c>
      <c r="AD307" s="46" t="s">
        <v>678</v>
      </c>
      <c r="AE307" s="46">
        <v>8</v>
      </c>
      <c r="AF307" s="46" t="s">
        <v>679</v>
      </c>
      <c r="AG307" s="46">
        <v>27252.608</v>
      </c>
      <c r="AH307" s="46" t="b">
        <v>1</v>
      </c>
      <c r="AI307" s="46">
        <v>-1</v>
      </c>
      <c r="AJ307" s="46" t="s">
        <v>680</v>
      </c>
      <c r="AK307" s="46">
        <v>0</v>
      </c>
      <c r="AL307" s="46" t="b">
        <v>0</v>
      </c>
      <c r="AM307" s="46">
        <v>27252.608</v>
      </c>
      <c r="AN307" s="46" t="b">
        <v>1</v>
      </c>
      <c r="AO307" s="46">
        <v>0</v>
      </c>
      <c r="AP307" s="46" t="b">
        <v>0</v>
      </c>
      <c r="AQ307" s="46">
        <v>128603.04399999999</v>
      </c>
      <c r="AS307" s="46">
        <v>128603.04399999999</v>
      </c>
      <c r="AT307" s="46">
        <v>6</v>
      </c>
      <c r="AU307" s="46" t="b">
        <v>1</v>
      </c>
      <c r="AV307" s="46" t="b">
        <v>0</v>
      </c>
    </row>
    <row r="308" spans="2:48">
      <c r="B308" s="46" t="s">
        <v>665</v>
      </c>
      <c r="C308" s="46" t="s">
        <v>666</v>
      </c>
      <c r="D308" s="46">
        <v>20231101</v>
      </c>
      <c r="E308" s="46">
        <v>2023</v>
      </c>
      <c r="F308" s="46">
        <v>11</v>
      </c>
      <c r="G308" s="46" t="s">
        <v>725</v>
      </c>
      <c r="H308" s="46">
        <v>818</v>
      </c>
      <c r="I308" s="46" t="s">
        <v>668</v>
      </c>
      <c r="J308" s="46" t="s">
        <v>57</v>
      </c>
      <c r="K308" s="46" t="s">
        <v>666</v>
      </c>
      <c r="L308" s="46" t="s">
        <v>669</v>
      </c>
      <c r="M308" s="46">
        <v>842</v>
      </c>
      <c r="N308" s="46" t="s">
        <v>713</v>
      </c>
      <c r="O308" s="46" t="s">
        <v>713</v>
      </c>
      <c r="P308" s="46">
        <v>0</v>
      </c>
      <c r="Q308" s="46" t="s">
        <v>670</v>
      </c>
      <c r="R308" s="46" t="s">
        <v>23</v>
      </c>
      <c r="S308" s="46" t="s">
        <v>671</v>
      </c>
      <c r="T308" s="46" t="s">
        <v>672</v>
      </c>
      <c r="U308" s="46" t="b">
        <v>1</v>
      </c>
      <c r="V308" s="46" t="s">
        <v>985</v>
      </c>
      <c r="W308" s="46" t="s">
        <v>984</v>
      </c>
      <c r="X308" s="46">
        <v>6</v>
      </c>
      <c r="Y308" s="46" t="b">
        <v>1</v>
      </c>
      <c r="Z308" s="46" t="s">
        <v>675</v>
      </c>
      <c r="AA308" s="46" t="s">
        <v>676</v>
      </c>
      <c r="AB308" s="46" t="s">
        <v>677</v>
      </c>
      <c r="AC308" s="46">
        <v>0</v>
      </c>
      <c r="AD308" s="46" t="s">
        <v>678</v>
      </c>
      <c r="AE308" s="46">
        <v>8</v>
      </c>
      <c r="AF308" s="46" t="s">
        <v>679</v>
      </c>
      <c r="AG308" s="46">
        <v>296512.79599999997</v>
      </c>
      <c r="AH308" s="46" t="b">
        <v>1</v>
      </c>
      <c r="AI308" s="46">
        <v>-1</v>
      </c>
      <c r="AJ308" s="46" t="s">
        <v>680</v>
      </c>
      <c r="AK308" s="46">
        <v>0</v>
      </c>
      <c r="AL308" s="46" t="b">
        <v>0</v>
      </c>
      <c r="AM308" s="46">
        <v>296512.79599999997</v>
      </c>
      <c r="AN308" s="46" t="b">
        <v>1</v>
      </c>
      <c r="AO308" s="46">
        <v>0</v>
      </c>
      <c r="AP308" s="46" t="b">
        <v>0</v>
      </c>
      <c r="AQ308" s="46">
        <v>1399221.9669999999</v>
      </c>
      <c r="AS308" s="46">
        <v>1399221.9669999999</v>
      </c>
      <c r="AT308" s="46">
        <v>6</v>
      </c>
      <c r="AU308" s="46" t="b">
        <v>1</v>
      </c>
      <c r="AV308" s="46" t="b">
        <v>0</v>
      </c>
    </row>
    <row r="309" spans="2:48">
      <c r="B309" s="46" t="s">
        <v>665</v>
      </c>
      <c r="C309" s="46" t="s">
        <v>666</v>
      </c>
      <c r="D309" s="46">
        <v>20231201</v>
      </c>
      <c r="E309" s="46">
        <v>2023</v>
      </c>
      <c r="F309" s="46">
        <v>12</v>
      </c>
      <c r="G309" s="46" t="s">
        <v>726</v>
      </c>
      <c r="H309" s="46">
        <v>818</v>
      </c>
      <c r="I309" s="46" t="s">
        <v>668</v>
      </c>
      <c r="J309" s="46" t="s">
        <v>57</v>
      </c>
      <c r="K309" s="46" t="s">
        <v>666</v>
      </c>
      <c r="L309" s="46" t="s">
        <v>669</v>
      </c>
      <c r="M309" s="46">
        <v>0</v>
      </c>
      <c r="N309" s="46" t="s">
        <v>670</v>
      </c>
      <c r="O309" s="46" t="s">
        <v>23</v>
      </c>
      <c r="P309" s="46">
        <v>0</v>
      </c>
      <c r="Q309" s="46" t="s">
        <v>670</v>
      </c>
      <c r="R309" s="46" t="s">
        <v>23</v>
      </c>
      <c r="S309" s="46" t="s">
        <v>671</v>
      </c>
      <c r="T309" s="46" t="s">
        <v>672</v>
      </c>
      <c r="U309" s="46" t="b">
        <v>1</v>
      </c>
      <c r="V309" s="46" t="s">
        <v>985</v>
      </c>
      <c r="W309" s="46" t="s">
        <v>984</v>
      </c>
      <c r="X309" s="46">
        <v>6</v>
      </c>
      <c r="Y309" s="46" t="b">
        <v>1</v>
      </c>
      <c r="Z309" s="46" t="s">
        <v>675</v>
      </c>
      <c r="AA309" s="46" t="s">
        <v>676</v>
      </c>
      <c r="AB309" s="46" t="s">
        <v>677</v>
      </c>
      <c r="AC309" s="46">
        <v>0</v>
      </c>
      <c r="AD309" s="46" t="s">
        <v>678</v>
      </c>
      <c r="AE309" s="46">
        <v>8</v>
      </c>
      <c r="AF309" s="46" t="s">
        <v>679</v>
      </c>
      <c r="AG309" s="46">
        <v>2423249.1630000002</v>
      </c>
      <c r="AH309" s="46" t="b">
        <v>1</v>
      </c>
      <c r="AI309" s="46">
        <v>-1</v>
      </c>
      <c r="AJ309" s="46" t="s">
        <v>680</v>
      </c>
      <c r="AK309" s="46">
        <v>0</v>
      </c>
      <c r="AL309" s="46" t="b">
        <v>0</v>
      </c>
      <c r="AM309" s="46">
        <v>2423249.1630000002</v>
      </c>
      <c r="AN309" s="46" t="b">
        <v>1</v>
      </c>
      <c r="AO309" s="46">
        <v>0</v>
      </c>
      <c r="AP309" s="46" t="b">
        <v>0</v>
      </c>
      <c r="AQ309" s="46">
        <v>11435133.684</v>
      </c>
      <c r="AS309" s="46">
        <v>11435133.684</v>
      </c>
      <c r="AT309" s="46">
        <v>6</v>
      </c>
      <c r="AU309" s="46" t="b">
        <v>0</v>
      </c>
      <c r="AV309" s="46" t="b">
        <v>1</v>
      </c>
    </row>
    <row r="310" spans="2:48">
      <c r="B310" s="46" t="s">
        <v>665</v>
      </c>
      <c r="C310" s="46" t="s">
        <v>666</v>
      </c>
      <c r="D310" s="46">
        <v>20231201</v>
      </c>
      <c r="E310" s="46">
        <v>2023</v>
      </c>
      <c r="F310" s="46">
        <v>12</v>
      </c>
      <c r="G310" s="46" t="s">
        <v>726</v>
      </c>
      <c r="H310" s="46">
        <v>818</v>
      </c>
      <c r="I310" s="46" t="s">
        <v>668</v>
      </c>
      <c r="J310" s="46" t="s">
        <v>57</v>
      </c>
      <c r="K310" s="46" t="s">
        <v>666</v>
      </c>
      <c r="L310" s="46" t="s">
        <v>669</v>
      </c>
      <c r="M310" s="46">
        <v>40</v>
      </c>
      <c r="N310" s="46" t="s">
        <v>750</v>
      </c>
      <c r="O310" s="46" t="s">
        <v>43</v>
      </c>
      <c r="P310" s="46">
        <v>0</v>
      </c>
      <c r="Q310" s="46" t="s">
        <v>670</v>
      </c>
      <c r="R310" s="46" t="s">
        <v>23</v>
      </c>
      <c r="S310" s="46" t="s">
        <v>671</v>
      </c>
      <c r="T310" s="46" t="s">
        <v>672</v>
      </c>
      <c r="U310" s="46" t="b">
        <v>1</v>
      </c>
      <c r="V310" s="46" t="s">
        <v>985</v>
      </c>
      <c r="W310" s="46" t="s">
        <v>984</v>
      </c>
      <c r="X310" s="46">
        <v>6</v>
      </c>
      <c r="Y310" s="46" t="b">
        <v>1</v>
      </c>
      <c r="Z310" s="46" t="s">
        <v>675</v>
      </c>
      <c r="AA310" s="46" t="s">
        <v>676</v>
      </c>
      <c r="AB310" s="46" t="s">
        <v>677</v>
      </c>
      <c r="AC310" s="46">
        <v>0</v>
      </c>
      <c r="AD310" s="46" t="s">
        <v>678</v>
      </c>
      <c r="AE310" s="46">
        <v>8</v>
      </c>
      <c r="AF310" s="46" t="s">
        <v>679</v>
      </c>
      <c r="AG310" s="46">
        <v>4019.498</v>
      </c>
      <c r="AH310" s="46" t="b">
        <v>1</v>
      </c>
      <c r="AI310" s="46">
        <v>-1</v>
      </c>
      <c r="AJ310" s="46" t="s">
        <v>680</v>
      </c>
      <c r="AK310" s="46">
        <v>0</v>
      </c>
      <c r="AL310" s="46" t="b">
        <v>0</v>
      </c>
      <c r="AM310" s="46">
        <v>4019.498</v>
      </c>
      <c r="AN310" s="46" t="b">
        <v>1</v>
      </c>
      <c r="AO310" s="46">
        <v>0</v>
      </c>
      <c r="AP310" s="46" t="b">
        <v>0</v>
      </c>
      <c r="AQ310" s="46">
        <v>18967.716</v>
      </c>
      <c r="AS310" s="46">
        <v>18967.716</v>
      </c>
      <c r="AT310" s="46">
        <v>6</v>
      </c>
      <c r="AU310" s="46" t="b">
        <v>1</v>
      </c>
      <c r="AV310" s="46" t="b">
        <v>0</v>
      </c>
    </row>
    <row r="311" spans="2:48">
      <c r="B311" s="46" t="s">
        <v>665</v>
      </c>
      <c r="C311" s="46" t="s">
        <v>666</v>
      </c>
      <c r="D311" s="46">
        <v>20231201</v>
      </c>
      <c r="E311" s="46">
        <v>2023</v>
      </c>
      <c r="F311" s="46">
        <v>12</v>
      </c>
      <c r="G311" s="46" t="s">
        <v>726</v>
      </c>
      <c r="H311" s="46">
        <v>818</v>
      </c>
      <c r="I311" s="46" t="s">
        <v>668</v>
      </c>
      <c r="J311" s="46" t="s">
        <v>57</v>
      </c>
      <c r="K311" s="46" t="s">
        <v>666</v>
      </c>
      <c r="L311" s="46" t="s">
        <v>669</v>
      </c>
      <c r="M311" s="46">
        <v>56</v>
      </c>
      <c r="N311" s="46" t="s">
        <v>696</v>
      </c>
      <c r="O311" s="46" t="s">
        <v>74</v>
      </c>
      <c r="P311" s="46">
        <v>0</v>
      </c>
      <c r="Q311" s="46" t="s">
        <v>670</v>
      </c>
      <c r="R311" s="46" t="s">
        <v>23</v>
      </c>
      <c r="S311" s="46" t="s">
        <v>671</v>
      </c>
      <c r="T311" s="46" t="s">
        <v>672</v>
      </c>
      <c r="U311" s="46" t="b">
        <v>1</v>
      </c>
      <c r="V311" s="46" t="s">
        <v>985</v>
      </c>
      <c r="W311" s="46" t="s">
        <v>984</v>
      </c>
      <c r="X311" s="46">
        <v>6</v>
      </c>
      <c r="Y311" s="46" t="b">
        <v>1</v>
      </c>
      <c r="Z311" s="46" t="s">
        <v>675</v>
      </c>
      <c r="AA311" s="46" t="s">
        <v>676</v>
      </c>
      <c r="AB311" s="46" t="s">
        <v>677</v>
      </c>
      <c r="AC311" s="46">
        <v>0</v>
      </c>
      <c r="AD311" s="46" t="s">
        <v>678</v>
      </c>
      <c r="AE311" s="46">
        <v>8</v>
      </c>
      <c r="AF311" s="46" t="s">
        <v>679</v>
      </c>
      <c r="AG311" s="46">
        <v>4467.3090000000002</v>
      </c>
      <c r="AH311" s="46" t="b">
        <v>1</v>
      </c>
      <c r="AI311" s="46">
        <v>-1</v>
      </c>
      <c r="AJ311" s="46" t="s">
        <v>680</v>
      </c>
      <c r="AK311" s="46">
        <v>0</v>
      </c>
      <c r="AL311" s="46" t="b">
        <v>0</v>
      </c>
      <c r="AM311" s="46">
        <v>4467.3090000000002</v>
      </c>
      <c r="AN311" s="46" t="b">
        <v>1</v>
      </c>
      <c r="AO311" s="46">
        <v>0</v>
      </c>
      <c r="AP311" s="46" t="b">
        <v>0</v>
      </c>
      <c r="AQ311" s="46">
        <v>21080.902999999998</v>
      </c>
      <c r="AS311" s="46">
        <v>21080.902999999998</v>
      </c>
      <c r="AT311" s="46">
        <v>6</v>
      </c>
      <c r="AU311" s="46" t="b">
        <v>1</v>
      </c>
      <c r="AV311" s="46" t="b">
        <v>0</v>
      </c>
    </row>
    <row r="312" spans="2:48">
      <c r="B312" s="46" t="s">
        <v>665</v>
      </c>
      <c r="C312" s="46" t="s">
        <v>666</v>
      </c>
      <c r="D312" s="46">
        <v>20231201</v>
      </c>
      <c r="E312" s="46">
        <v>2023</v>
      </c>
      <c r="F312" s="46">
        <v>12</v>
      </c>
      <c r="G312" s="46" t="s">
        <v>726</v>
      </c>
      <c r="H312" s="46">
        <v>818</v>
      </c>
      <c r="I312" s="46" t="s">
        <v>668</v>
      </c>
      <c r="J312" s="46" t="s">
        <v>57</v>
      </c>
      <c r="K312" s="46" t="s">
        <v>666</v>
      </c>
      <c r="L312" s="46" t="s">
        <v>669</v>
      </c>
      <c r="M312" s="46">
        <v>76</v>
      </c>
      <c r="N312" s="46" t="s">
        <v>987</v>
      </c>
      <c r="O312" s="46" t="s">
        <v>66</v>
      </c>
      <c r="P312" s="46">
        <v>0</v>
      </c>
      <c r="Q312" s="46" t="s">
        <v>670</v>
      </c>
      <c r="R312" s="46" t="s">
        <v>23</v>
      </c>
      <c r="S312" s="46" t="s">
        <v>671</v>
      </c>
      <c r="T312" s="46" t="s">
        <v>672</v>
      </c>
      <c r="U312" s="46" t="b">
        <v>1</v>
      </c>
      <c r="V312" s="46" t="s">
        <v>985</v>
      </c>
      <c r="W312" s="46" t="s">
        <v>984</v>
      </c>
      <c r="X312" s="46">
        <v>6</v>
      </c>
      <c r="Y312" s="46" t="b">
        <v>1</v>
      </c>
      <c r="Z312" s="46" t="s">
        <v>675</v>
      </c>
      <c r="AA312" s="46" t="s">
        <v>676</v>
      </c>
      <c r="AB312" s="46" t="s">
        <v>677</v>
      </c>
      <c r="AC312" s="46">
        <v>0</v>
      </c>
      <c r="AD312" s="46" t="s">
        <v>678</v>
      </c>
      <c r="AE312" s="46">
        <v>8</v>
      </c>
      <c r="AF312" s="46" t="s">
        <v>679</v>
      </c>
      <c r="AG312" s="46">
        <v>10460.517</v>
      </c>
      <c r="AH312" s="46" t="b">
        <v>1</v>
      </c>
      <c r="AI312" s="46">
        <v>-1</v>
      </c>
      <c r="AJ312" s="46" t="s">
        <v>680</v>
      </c>
      <c r="AK312" s="46">
        <v>0</v>
      </c>
      <c r="AL312" s="46" t="b">
        <v>0</v>
      </c>
      <c r="AM312" s="46">
        <v>10460.517</v>
      </c>
      <c r="AN312" s="46" t="b">
        <v>1</v>
      </c>
      <c r="AO312" s="46">
        <v>0</v>
      </c>
      <c r="AP312" s="46" t="b">
        <v>0</v>
      </c>
      <c r="AQ312" s="46">
        <v>49362.406000000003</v>
      </c>
      <c r="AS312" s="46">
        <v>49362.406000000003</v>
      </c>
      <c r="AT312" s="46">
        <v>6</v>
      </c>
      <c r="AU312" s="46" t="b">
        <v>1</v>
      </c>
      <c r="AV312" s="46" t="b">
        <v>0</v>
      </c>
    </row>
    <row r="313" spans="2:48">
      <c r="B313" s="46" t="s">
        <v>665</v>
      </c>
      <c r="C313" s="46" t="s">
        <v>666</v>
      </c>
      <c r="D313" s="46">
        <v>20231201</v>
      </c>
      <c r="E313" s="46">
        <v>2023</v>
      </c>
      <c r="F313" s="46">
        <v>12</v>
      </c>
      <c r="G313" s="46" t="s">
        <v>726</v>
      </c>
      <c r="H313" s="46">
        <v>818</v>
      </c>
      <c r="I313" s="46" t="s">
        <v>668</v>
      </c>
      <c r="J313" s="46" t="s">
        <v>57</v>
      </c>
      <c r="K313" s="46" t="s">
        <v>666</v>
      </c>
      <c r="L313" s="46" t="s">
        <v>669</v>
      </c>
      <c r="M313" s="46">
        <v>124</v>
      </c>
      <c r="N313" s="46" t="s">
        <v>1008</v>
      </c>
      <c r="O313" s="46" t="s">
        <v>70</v>
      </c>
      <c r="P313" s="46">
        <v>0</v>
      </c>
      <c r="Q313" s="46" t="s">
        <v>670</v>
      </c>
      <c r="R313" s="46" t="s">
        <v>23</v>
      </c>
      <c r="S313" s="46" t="s">
        <v>671</v>
      </c>
      <c r="T313" s="46" t="s">
        <v>672</v>
      </c>
      <c r="U313" s="46" t="b">
        <v>1</v>
      </c>
      <c r="V313" s="46" t="s">
        <v>985</v>
      </c>
      <c r="W313" s="46" t="s">
        <v>984</v>
      </c>
      <c r="X313" s="46">
        <v>6</v>
      </c>
      <c r="Y313" s="46" t="b">
        <v>1</v>
      </c>
      <c r="Z313" s="46" t="s">
        <v>675</v>
      </c>
      <c r="AA313" s="46" t="s">
        <v>676</v>
      </c>
      <c r="AB313" s="46" t="s">
        <v>677</v>
      </c>
      <c r="AC313" s="46">
        <v>0</v>
      </c>
      <c r="AD313" s="46" t="s">
        <v>678</v>
      </c>
      <c r="AE313" s="46">
        <v>8</v>
      </c>
      <c r="AF313" s="46" t="s">
        <v>679</v>
      </c>
      <c r="AG313" s="46">
        <v>216.68799999999999</v>
      </c>
      <c r="AH313" s="46" t="b">
        <v>1</v>
      </c>
      <c r="AI313" s="46">
        <v>-1</v>
      </c>
      <c r="AJ313" s="46" t="s">
        <v>680</v>
      </c>
      <c r="AK313" s="46">
        <v>0</v>
      </c>
      <c r="AL313" s="46" t="b">
        <v>0</v>
      </c>
      <c r="AM313" s="46">
        <v>216.68799999999999</v>
      </c>
      <c r="AN313" s="46" t="b">
        <v>1</v>
      </c>
      <c r="AO313" s="46">
        <v>0</v>
      </c>
      <c r="AP313" s="46" t="b">
        <v>0</v>
      </c>
      <c r="AQ313" s="46">
        <v>1022.534</v>
      </c>
      <c r="AS313" s="46">
        <v>1022.534</v>
      </c>
      <c r="AT313" s="46">
        <v>6</v>
      </c>
      <c r="AU313" s="46" t="b">
        <v>1</v>
      </c>
      <c r="AV313" s="46" t="b">
        <v>0</v>
      </c>
    </row>
    <row r="314" spans="2:48">
      <c r="B314" s="46" t="s">
        <v>665</v>
      </c>
      <c r="C314" s="46" t="s">
        <v>666</v>
      </c>
      <c r="D314" s="46">
        <v>20231201</v>
      </c>
      <c r="E314" s="46">
        <v>2023</v>
      </c>
      <c r="F314" s="46">
        <v>12</v>
      </c>
      <c r="G314" s="46" t="s">
        <v>726</v>
      </c>
      <c r="H314" s="46">
        <v>818</v>
      </c>
      <c r="I314" s="46" t="s">
        <v>668</v>
      </c>
      <c r="J314" s="46" t="s">
        <v>57</v>
      </c>
      <c r="K314" s="46" t="s">
        <v>666</v>
      </c>
      <c r="L314" s="46" t="s">
        <v>669</v>
      </c>
      <c r="M314" s="46">
        <v>156</v>
      </c>
      <c r="N314" s="46" t="s">
        <v>711</v>
      </c>
      <c r="O314" s="46" t="s">
        <v>29</v>
      </c>
      <c r="P314" s="46">
        <v>0</v>
      </c>
      <c r="Q314" s="46" t="s">
        <v>670</v>
      </c>
      <c r="R314" s="46" t="s">
        <v>23</v>
      </c>
      <c r="S314" s="46" t="s">
        <v>671</v>
      </c>
      <c r="T314" s="46" t="s">
        <v>672</v>
      </c>
      <c r="U314" s="46" t="b">
        <v>1</v>
      </c>
      <c r="V314" s="46" t="s">
        <v>985</v>
      </c>
      <c r="W314" s="46" t="s">
        <v>984</v>
      </c>
      <c r="X314" s="46">
        <v>6</v>
      </c>
      <c r="Y314" s="46" t="b">
        <v>1</v>
      </c>
      <c r="Z314" s="46" t="s">
        <v>675</v>
      </c>
      <c r="AA314" s="46" t="s">
        <v>676</v>
      </c>
      <c r="AB314" s="46" t="s">
        <v>677</v>
      </c>
      <c r="AC314" s="46">
        <v>0</v>
      </c>
      <c r="AD314" s="46" t="s">
        <v>678</v>
      </c>
      <c r="AE314" s="46">
        <v>8</v>
      </c>
      <c r="AF314" s="46" t="s">
        <v>679</v>
      </c>
      <c r="AG314" s="46">
        <v>409309.00799999997</v>
      </c>
      <c r="AH314" s="46" t="b">
        <v>1</v>
      </c>
      <c r="AI314" s="46">
        <v>-1</v>
      </c>
      <c r="AJ314" s="46" t="s">
        <v>680</v>
      </c>
      <c r="AK314" s="46">
        <v>0</v>
      </c>
      <c r="AL314" s="46" t="b">
        <v>0</v>
      </c>
      <c r="AM314" s="46">
        <v>409309.00799999997</v>
      </c>
      <c r="AN314" s="46" t="b">
        <v>1</v>
      </c>
      <c r="AO314" s="46">
        <v>0</v>
      </c>
      <c r="AP314" s="46" t="b">
        <v>0</v>
      </c>
      <c r="AQ314" s="46">
        <v>1931498.9539999999</v>
      </c>
      <c r="AS314" s="46">
        <v>1931498.9539999999</v>
      </c>
      <c r="AT314" s="46">
        <v>6</v>
      </c>
      <c r="AU314" s="46" t="b">
        <v>1</v>
      </c>
      <c r="AV314" s="46" t="b">
        <v>0</v>
      </c>
    </row>
    <row r="315" spans="2:48">
      <c r="B315" s="46" t="s">
        <v>665</v>
      </c>
      <c r="C315" s="46" t="s">
        <v>666</v>
      </c>
      <c r="D315" s="46">
        <v>20231201</v>
      </c>
      <c r="E315" s="46">
        <v>2023</v>
      </c>
      <c r="F315" s="46">
        <v>12</v>
      </c>
      <c r="G315" s="46" t="s">
        <v>726</v>
      </c>
      <c r="H315" s="46">
        <v>818</v>
      </c>
      <c r="I315" s="46" t="s">
        <v>668</v>
      </c>
      <c r="J315" s="46" t="s">
        <v>57</v>
      </c>
      <c r="K315" s="46" t="s">
        <v>666</v>
      </c>
      <c r="L315" s="46" t="s">
        <v>669</v>
      </c>
      <c r="M315" s="46">
        <v>208</v>
      </c>
      <c r="N315" s="46" t="s">
        <v>988</v>
      </c>
      <c r="O315" s="46" t="s">
        <v>72</v>
      </c>
      <c r="P315" s="46">
        <v>0</v>
      </c>
      <c r="Q315" s="46" t="s">
        <v>670</v>
      </c>
      <c r="R315" s="46" t="s">
        <v>23</v>
      </c>
      <c r="S315" s="46" t="s">
        <v>671</v>
      </c>
      <c r="T315" s="46" t="s">
        <v>672</v>
      </c>
      <c r="U315" s="46" t="b">
        <v>1</v>
      </c>
      <c r="V315" s="46" t="s">
        <v>985</v>
      </c>
      <c r="W315" s="46" t="s">
        <v>984</v>
      </c>
      <c r="X315" s="46">
        <v>6</v>
      </c>
      <c r="Y315" s="46" t="b">
        <v>1</v>
      </c>
      <c r="Z315" s="46" t="s">
        <v>675</v>
      </c>
      <c r="AA315" s="46" t="s">
        <v>676</v>
      </c>
      <c r="AB315" s="46" t="s">
        <v>677</v>
      </c>
      <c r="AC315" s="46">
        <v>0</v>
      </c>
      <c r="AD315" s="46" t="s">
        <v>678</v>
      </c>
      <c r="AE315" s="46">
        <v>8</v>
      </c>
      <c r="AF315" s="46" t="s">
        <v>679</v>
      </c>
      <c r="AG315" s="46">
        <v>2400.364</v>
      </c>
      <c r="AH315" s="46" t="b">
        <v>1</v>
      </c>
      <c r="AI315" s="46">
        <v>-1</v>
      </c>
      <c r="AJ315" s="46" t="s">
        <v>680</v>
      </c>
      <c r="AK315" s="46">
        <v>0</v>
      </c>
      <c r="AL315" s="46" t="b">
        <v>0</v>
      </c>
      <c r="AM315" s="46">
        <v>2400.364</v>
      </c>
      <c r="AN315" s="46" t="b">
        <v>1</v>
      </c>
      <c r="AO315" s="46">
        <v>0</v>
      </c>
      <c r="AP315" s="46" t="b">
        <v>0</v>
      </c>
      <c r="AQ315" s="46">
        <v>11327.14</v>
      </c>
      <c r="AS315" s="46">
        <v>11327.14</v>
      </c>
      <c r="AT315" s="46">
        <v>6</v>
      </c>
      <c r="AU315" s="46" t="b">
        <v>1</v>
      </c>
      <c r="AV315" s="46" t="b">
        <v>0</v>
      </c>
    </row>
    <row r="316" spans="2:48">
      <c r="B316" s="46" t="s">
        <v>665</v>
      </c>
      <c r="C316" s="46" t="s">
        <v>666</v>
      </c>
      <c r="D316" s="46">
        <v>20231201</v>
      </c>
      <c r="E316" s="46">
        <v>2023</v>
      </c>
      <c r="F316" s="46">
        <v>12</v>
      </c>
      <c r="G316" s="46" t="s">
        <v>726</v>
      </c>
      <c r="H316" s="46">
        <v>818</v>
      </c>
      <c r="I316" s="46" t="s">
        <v>668</v>
      </c>
      <c r="J316" s="46" t="s">
        <v>57</v>
      </c>
      <c r="K316" s="46" t="s">
        <v>666</v>
      </c>
      <c r="L316" s="46" t="s">
        <v>669</v>
      </c>
      <c r="M316" s="46">
        <v>251</v>
      </c>
      <c r="N316" s="46" t="s">
        <v>688</v>
      </c>
      <c r="O316" s="46" t="s">
        <v>69</v>
      </c>
      <c r="P316" s="46">
        <v>0</v>
      </c>
      <c r="Q316" s="46" t="s">
        <v>670</v>
      </c>
      <c r="R316" s="46" t="s">
        <v>23</v>
      </c>
      <c r="S316" s="46" t="s">
        <v>671</v>
      </c>
      <c r="T316" s="46" t="s">
        <v>672</v>
      </c>
      <c r="U316" s="46" t="b">
        <v>1</v>
      </c>
      <c r="V316" s="46" t="s">
        <v>985</v>
      </c>
      <c r="W316" s="46" t="s">
        <v>984</v>
      </c>
      <c r="X316" s="46">
        <v>6</v>
      </c>
      <c r="Y316" s="46" t="b">
        <v>1</v>
      </c>
      <c r="Z316" s="46" t="s">
        <v>675</v>
      </c>
      <c r="AA316" s="46" t="s">
        <v>676</v>
      </c>
      <c r="AB316" s="46" t="s">
        <v>677</v>
      </c>
      <c r="AC316" s="46">
        <v>0</v>
      </c>
      <c r="AD316" s="46" t="s">
        <v>678</v>
      </c>
      <c r="AE316" s="46">
        <v>8</v>
      </c>
      <c r="AF316" s="46" t="s">
        <v>679</v>
      </c>
      <c r="AG316" s="46">
        <v>83094.263000000006</v>
      </c>
      <c r="AH316" s="46" t="b">
        <v>1</v>
      </c>
      <c r="AI316" s="46">
        <v>-1</v>
      </c>
      <c r="AJ316" s="46" t="s">
        <v>680</v>
      </c>
      <c r="AK316" s="46">
        <v>0</v>
      </c>
      <c r="AL316" s="46" t="b">
        <v>0</v>
      </c>
      <c r="AM316" s="46">
        <v>83094.263000000006</v>
      </c>
      <c r="AN316" s="46" t="b">
        <v>1</v>
      </c>
      <c r="AO316" s="46">
        <v>0</v>
      </c>
      <c r="AP316" s="46" t="b">
        <v>0</v>
      </c>
      <c r="AQ316" s="46">
        <v>392115.68300000002</v>
      </c>
      <c r="AS316" s="46">
        <v>392115.68300000002</v>
      </c>
      <c r="AT316" s="46">
        <v>6</v>
      </c>
      <c r="AU316" s="46" t="b">
        <v>1</v>
      </c>
      <c r="AV316" s="46" t="b">
        <v>0</v>
      </c>
    </row>
    <row r="317" spans="2:48">
      <c r="B317" s="46" t="s">
        <v>665</v>
      </c>
      <c r="C317" s="46" t="s">
        <v>666</v>
      </c>
      <c r="D317" s="46">
        <v>20231201</v>
      </c>
      <c r="E317" s="46">
        <v>2023</v>
      </c>
      <c r="F317" s="46">
        <v>12</v>
      </c>
      <c r="G317" s="46" t="s">
        <v>726</v>
      </c>
      <c r="H317" s="46">
        <v>818</v>
      </c>
      <c r="I317" s="46" t="s">
        <v>668</v>
      </c>
      <c r="J317" s="46" t="s">
        <v>57</v>
      </c>
      <c r="K317" s="46" t="s">
        <v>666</v>
      </c>
      <c r="L317" s="46" t="s">
        <v>669</v>
      </c>
      <c r="M317" s="46">
        <v>268</v>
      </c>
      <c r="N317" s="46" t="s">
        <v>1009</v>
      </c>
      <c r="O317" s="46" t="s">
        <v>196</v>
      </c>
      <c r="P317" s="46">
        <v>0</v>
      </c>
      <c r="Q317" s="46" t="s">
        <v>670</v>
      </c>
      <c r="R317" s="46" t="s">
        <v>23</v>
      </c>
      <c r="S317" s="46" t="s">
        <v>671</v>
      </c>
      <c r="T317" s="46" t="s">
        <v>672</v>
      </c>
      <c r="U317" s="46" t="b">
        <v>1</v>
      </c>
      <c r="V317" s="46" t="s">
        <v>985</v>
      </c>
      <c r="W317" s="46" t="s">
        <v>984</v>
      </c>
      <c r="X317" s="46">
        <v>6</v>
      </c>
      <c r="Y317" s="46" t="b">
        <v>1</v>
      </c>
      <c r="Z317" s="46" t="s">
        <v>675</v>
      </c>
      <c r="AA317" s="46" t="s">
        <v>676</v>
      </c>
      <c r="AB317" s="46" t="s">
        <v>677</v>
      </c>
      <c r="AC317" s="46">
        <v>0</v>
      </c>
      <c r="AD317" s="46" t="s">
        <v>678</v>
      </c>
      <c r="AE317" s="46">
        <v>8</v>
      </c>
      <c r="AF317" s="46" t="s">
        <v>679</v>
      </c>
      <c r="AG317" s="46">
        <v>19144.256000000001</v>
      </c>
      <c r="AH317" s="46" t="b">
        <v>1</v>
      </c>
      <c r="AI317" s="46">
        <v>-1</v>
      </c>
      <c r="AJ317" s="46" t="s">
        <v>680</v>
      </c>
      <c r="AK317" s="46">
        <v>0</v>
      </c>
      <c r="AL317" s="46" t="b">
        <v>0</v>
      </c>
      <c r="AM317" s="46">
        <v>19144.256000000001</v>
      </c>
      <c r="AN317" s="46" t="b">
        <v>1</v>
      </c>
      <c r="AO317" s="46">
        <v>0</v>
      </c>
      <c r="AP317" s="46" t="b">
        <v>0</v>
      </c>
      <c r="AQ317" s="46">
        <v>90340.327999999994</v>
      </c>
      <c r="AS317" s="46">
        <v>90340.327999999994</v>
      </c>
      <c r="AT317" s="46">
        <v>6</v>
      </c>
      <c r="AU317" s="46" t="b">
        <v>1</v>
      </c>
      <c r="AV317" s="46" t="b">
        <v>0</v>
      </c>
    </row>
    <row r="318" spans="2:48">
      <c r="B318" s="46" t="s">
        <v>665</v>
      </c>
      <c r="C318" s="46" t="s">
        <v>666</v>
      </c>
      <c r="D318" s="46">
        <v>20231201</v>
      </c>
      <c r="E318" s="46">
        <v>2023</v>
      </c>
      <c r="F318" s="46">
        <v>12</v>
      </c>
      <c r="G318" s="46" t="s">
        <v>726</v>
      </c>
      <c r="H318" s="46">
        <v>818</v>
      </c>
      <c r="I318" s="46" t="s">
        <v>668</v>
      </c>
      <c r="J318" s="46" t="s">
        <v>57</v>
      </c>
      <c r="K318" s="46" t="s">
        <v>666</v>
      </c>
      <c r="L318" s="46" t="s">
        <v>669</v>
      </c>
      <c r="M318" s="46">
        <v>276</v>
      </c>
      <c r="N318" s="46" t="s">
        <v>681</v>
      </c>
      <c r="O318" s="46" t="s">
        <v>30</v>
      </c>
      <c r="P318" s="46">
        <v>0</v>
      </c>
      <c r="Q318" s="46" t="s">
        <v>670</v>
      </c>
      <c r="R318" s="46" t="s">
        <v>23</v>
      </c>
      <c r="S318" s="46" t="s">
        <v>671</v>
      </c>
      <c r="T318" s="46" t="s">
        <v>672</v>
      </c>
      <c r="U318" s="46" t="b">
        <v>1</v>
      </c>
      <c r="V318" s="46" t="s">
        <v>985</v>
      </c>
      <c r="W318" s="46" t="s">
        <v>984</v>
      </c>
      <c r="X318" s="46">
        <v>6</v>
      </c>
      <c r="Y318" s="46" t="b">
        <v>1</v>
      </c>
      <c r="Z318" s="46" t="s">
        <v>675</v>
      </c>
      <c r="AA318" s="46" t="s">
        <v>676</v>
      </c>
      <c r="AB318" s="46" t="s">
        <v>677</v>
      </c>
      <c r="AC318" s="46">
        <v>0</v>
      </c>
      <c r="AD318" s="46" t="s">
        <v>678</v>
      </c>
      <c r="AE318" s="46">
        <v>8</v>
      </c>
      <c r="AF318" s="46" t="s">
        <v>679</v>
      </c>
      <c r="AG318" s="46">
        <v>393706.283</v>
      </c>
      <c r="AH318" s="46" t="b">
        <v>1</v>
      </c>
      <c r="AI318" s="46">
        <v>-1</v>
      </c>
      <c r="AJ318" s="46" t="s">
        <v>680</v>
      </c>
      <c r="AK318" s="46">
        <v>0</v>
      </c>
      <c r="AL318" s="46" t="b">
        <v>0</v>
      </c>
      <c r="AM318" s="46">
        <v>393706.283</v>
      </c>
      <c r="AN318" s="46" t="b">
        <v>1</v>
      </c>
      <c r="AO318" s="46">
        <v>0</v>
      </c>
      <c r="AP318" s="46" t="b">
        <v>0</v>
      </c>
      <c r="AQ318" s="46">
        <v>1857870.848</v>
      </c>
      <c r="AS318" s="46">
        <v>1857870.848</v>
      </c>
      <c r="AT318" s="46">
        <v>6</v>
      </c>
      <c r="AU318" s="46" t="b">
        <v>1</v>
      </c>
      <c r="AV318" s="46" t="b">
        <v>0</v>
      </c>
    </row>
    <row r="319" spans="2:48">
      <c r="B319" s="46" t="s">
        <v>665</v>
      </c>
      <c r="C319" s="46" t="s">
        <v>666</v>
      </c>
      <c r="D319" s="46">
        <v>20231201</v>
      </c>
      <c r="E319" s="46">
        <v>2023</v>
      </c>
      <c r="F319" s="46">
        <v>12</v>
      </c>
      <c r="G319" s="46" t="s">
        <v>726</v>
      </c>
      <c r="H319" s="46">
        <v>818</v>
      </c>
      <c r="I319" s="46" t="s">
        <v>668</v>
      </c>
      <c r="J319" s="46" t="s">
        <v>57</v>
      </c>
      <c r="K319" s="46" t="s">
        <v>666</v>
      </c>
      <c r="L319" s="46" t="s">
        <v>669</v>
      </c>
      <c r="M319" s="46">
        <v>360</v>
      </c>
      <c r="N319" s="46" t="s">
        <v>1006</v>
      </c>
      <c r="O319" s="46" t="s">
        <v>44</v>
      </c>
      <c r="P319" s="46">
        <v>0</v>
      </c>
      <c r="Q319" s="46" t="s">
        <v>670</v>
      </c>
      <c r="R319" s="46" t="s">
        <v>23</v>
      </c>
      <c r="S319" s="46" t="s">
        <v>671</v>
      </c>
      <c r="T319" s="46" t="s">
        <v>672</v>
      </c>
      <c r="U319" s="46" t="b">
        <v>1</v>
      </c>
      <c r="V319" s="46" t="s">
        <v>985</v>
      </c>
      <c r="W319" s="46" t="s">
        <v>984</v>
      </c>
      <c r="X319" s="46">
        <v>6</v>
      </c>
      <c r="Y319" s="46" t="b">
        <v>1</v>
      </c>
      <c r="Z319" s="46" t="s">
        <v>675</v>
      </c>
      <c r="AA319" s="46" t="s">
        <v>676</v>
      </c>
      <c r="AB319" s="46" t="s">
        <v>677</v>
      </c>
      <c r="AC319" s="46">
        <v>0</v>
      </c>
      <c r="AD319" s="46" t="s">
        <v>678</v>
      </c>
      <c r="AE319" s="46">
        <v>8</v>
      </c>
      <c r="AF319" s="46" t="s">
        <v>679</v>
      </c>
      <c r="AG319" s="46">
        <v>8860.9189999999999</v>
      </c>
      <c r="AH319" s="46" t="b">
        <v>1</v>
      </c>
      <c r="AI319" s="46">
        <v>-1</v>
      </c>
      <c r="AJ319" s="46" t="s">
        <v>680</v>
      </c>
      <c r="AK319" s="46">
        <v>0</v>
      </c>
      <c r="AL319" s="46" t="b">
        <v>0</v>
      </c>
      <c r="AM319" s="46">
        <v>8860.9189999999999</v>
      </c>
      <c r="AN319" s="46" t="b">
        <v>1</v>
      </c>
      <c r="AO319" s="46">
        <v>0</v>
      </c>
      <c r="AP319" s="46" t="b">
        <v>0</v>
      </c>
      <c r="AQ319" s="46">
        <v>41814.023000000001</v>
      </c>
      <c r="AS319" s="46">
        <v>41814.023000000001</v>
      </c>
      <c r="AT319" s="46">
        <v>6</v>
      </c>
      <c r="AU319" s="46" t="b">
        <v>1</v>
      </c>
      <c r="AV319" s="46" t="b">
        <v>0</v>
      </c>
    </row>
    <row r="320" spans="2:48">
      <c r="B320" s="46" t="s">
        <v>665</v>
      </c>
      <c r="C320" s="46" t="s">
        <v>666</v>
      </c>
      <c r="D320" s="46">
        <v>20231201</v>
      </c>
      <c r="E320" s="46">
        <v>2023</v>
      </c>
      <c r="F320" s="46">
        <v>12</v>
      </c>
      <c r="G320" s="46" t="s">
        <v>726</v>
      </c>
      <c r="H320" s="46">
        <v>818</v>
      </c>
      <c r="I320" s="46" t="s">
        <v>668</v>
      </c>
      <c r="J320" s="46" t="s">
        <v>57</v>
      </c>
      <c r="K320" s="46" t="s">
        <v>666</v>
      </c>
      <c r="L320" s="46" t="s">
        <v>669</v>
      </c>
      <c r="M320" s="46">
        <v>376</v>
      </c>
      <c r="N320" s="46" t="s">
        <v>991</v>
      </c>
      <c r="O320" s="46" t="s">
        <v>100</v>
      </c>
      <c r="P320" s="46">
        <v>0</v>
      </c>
      <c r="Q320" s="46" t="s">
        <v>670</v>
      </c>
      <c r="R320" s="46" t="s">
        <v>23</v>
      </c>
      <c r="S320" s="46" t="s">
        <v>671</v>
      </c>
      <c r="T320" s="46" t="s">
        <v>672</v>
      </c>
      <c r="U320" s="46" t="b">
        <v>1</v>
      </c>
      <c r="V320" s="46" t="s">
        <v>985</v>
      </c>
      <c r="W320" s="46" t="s">
        <v>984</v>
      </c>
      <c r="X320" s="46">
        <v>6</v>
      </c>
      <c r="Y320" s="46" t="b">
        <v>1</v>
      </c>
      <c r="Z320" s="46" t="s">
        <v>675</v>
      </c>
      <c r="AA320" s="46" t="s">
        <v>676</v>
      </c>
      <c r="AB320" s="46" t="s">
        <v>677</v>
      </c>
      <c r="AC320" s="46">
        <v>0</v>
      </c>
      <c r="AD320" s="46" t="s">
        <v>678</v>
      </c>
      <c r="AE320" s="46">
        <v>8</v>
      </c>
      <c r="AF320" s="46" t="s">
        <v>679</v>
      </c>
      <c r="AG320" s="46">
        <v>22404.616999999998</v>
      </c>
      <c r="AH320" s="46" t="b">
        <v>1</v>
      </c>
      <c r="AI320" s="46">
        <v>-1</v>
      </c>
      <c r="AJ320" s="46" t="s">
        <v>680</v>
      </c>
      <c r="AK320" s="46">
        <v>0</v>
      </c>
      <c r="AL320" s="46" t="b">
        <v>0</v>
      </c>
      <c r="AM320" s="46">
        <v>22404.616999999998</v>
      </c>
      <c r="AN320" s="46" t="b">
        <v>1</v>
      </c>
      <c r="AO320" s="46">
        <v>0</v>
      </c>
      <c r="AP320" s="46" t="b">
        <v>0</v>
      </c>
      <c r="AQ320" s="46">
        <v>105725.73</v>
      </c>
      <c r="AS320" s="46">
        <v>105725.73</v>
      </c>
      <c r="AT320" s="46">
        <v>6</v>
      </c>
      <c r="AU320" s="46" t="b">
        <v>1</v>
      </c>
      <c r="AV320" s="46" t="b">
        <v>0</v>
      </c>
    </row>
    <row r="321" spans="2:48">
      <c r="B321" s="46" t="s">
        <v>665</v>
      </c>
      <c r="C321" s="46" t="s">
        <v>666</v>
      </c>
      <c r="D321" s="46">
        <v>20231201</v>
      </c>
      <c r="E321" s="46">
        <v>2023</v>
      </c>
      <c r="F321" s="46">
        <v>12</v>
      </c>
      <c r="G321" s="46" t="s">
        <v>726</v>
      </c>
      <c r="H321" s="46">
        <v>818</v>
      </c>
      <c r="I321" s="46" t="s">
        <v>668</v>
      </c>
      <c r="J321" s="46" t="s">
        <v>57</v>
      </c>
      <c r="K321" s="46" t="s">
        <v>666</v>
      </c>
      <c r="L321" s="46" t="s">
        <v>669</v>
      </c>
      <c r="M321" s="46">
        <v>380</v>
      </c>
      <c r="N321" s="46" t="s">
        <v>689</v>
      </c>
      <c r="O321" s="46" t="s">
        <v>71</v>
      </c>
      <c r="P321" s="46">
        <v>0</v>
      </c>
      <c r="Q321" s="46" t="s">
        <v>670</v>
      </c>
      <c r="R321" s="46" t="s">
        <v>23</v>
      </c>
      <c r="S321" s="46" t="s">
        <v>671</v>
      </c>
      <c r="T321" s="46" t="s">
        <v>672</v>
      </c>
      <c r="U321" s="46" t="b">
        <v>1</v>
      </c>
      <c r="V321" s="46" t="s">
        <v>985</v>
      </c>
      <c r="W321" s="46" t="s">
        <v>984</v>
      </c>
      <c r="X321" s="46">
        <v>6</v>
      </c>
      <c r="Y321" s="46" t="b">
        <v>1</v>
      </c>
      <c r="Z321" s="46" t="s">
        <v>675</v>
      </c>
      <c r="AA321" s="46" t="s">
        <v>676</v>
      </c>
      <c r="AB321" s="46" t="s">
        <v>677</v>
      </c>
      <c r="AC321" s="46">
        <v>0</v>
      </c>
      <c r="AD321" s="46" t="s">
        <v>678</v>
      </c>
      <c r="AE321" s="46">
        <v>8</v>
      </c>
      <c r="AF321" s="46" t="s">
        <v>679</v>
      </c>
      <c r="AG321" s="46">
        <v>108070.197</v>
      </c>
      <c r="AH321" s="46" t="b">
        <v>1</v>
      </c>
      <c r="AI321" s="46">
        <v>-1</v>
      </c>
      <c r="AJ321" s="46" t="s">
        <v>680</v>
      </c>
      <c r="AK321" s="46">
        <v>0</v>
      </c>
      <c r="AL321" s="46" t="b">
        <v>0</v>
      </c>
      <c r="AM321" s="46">
        <v>108070.197</v>
      </c>
      <c r="AN321" s="46" t="b">
        <v>1</v>
      </c>
      <c r="AO321" s="46">
        <v>0</v>
      </c>
      <c r="AP321" s="46" t="b">
        <v>0</v>
      </c>
      <c r="AQ321" s="46">
        <v>509975.26899999997</v>
      </c>
      <c r="AS321" s="46">
        <v>509975.26899999997</v>
      </c>
      <c r="AT321" s="46">
        <v>6</v>
      </c>
      <c r="AU321" s="46" t="b">
        <v>1</v>
      </c>
      <c r="AV321" s="46" t="b">
        <v>0</v>
      </c>
    </row>
    <row r="322" spans="2:48">
      <c r="B322" s="46" t="s">
        <v>665</v>
      </c>
      <c r="C322" s="46" t="s">
        <v>666</v>
      </c>
      <c r="D322" s="46">
        <v>20231201</v>
      </c>
      <c r="E322" s="46">
        <v>2023</v>
      </c>
      <c r="F322" s="46">
        <v>12</v>
      </c>
      <c r="G322" s="46" t="s">
        <v>726</v>
      </c>
      <c r="H322" s="46">
        <v>818</v>
      </c>
      <c r="I322" s="46" t="s">
        <v>668</v>
      </c>
      <c r="J322" s="46" t="s">
        <v>57</v>
      </c>
      <c r="K322" s="46" t="s">
        <v>666</v>
      </c>
      <c r="L322" s="46" t="s">
        <v>669</v>
      </c>
      <c r="M322" s="46">
        <v>392</v>
      </c>
      <c r="N322" s="46" t="s">
        <v>747</v>
      </c>
      <c r="O322" s="46" t="s">
        <v>32</v>
      </c>
      <c r="P322" s="46">
        <v>0</v>
      </c>
      <c r="Q322" s="46" t="s">
        <v>670</v>
      </c>
      <c r="R322" s="46" t="s">
        <v>23</v>
      </c>
      <c r="S322" s="46" t="s">
        <v>671</v>
      </c>
      <c r="T322" s="46" t="s">
        <v>672</v>
      </c>
      <c r="U322" s="46" t="b">
        <v>1</v>
      </c>
      <c r="V322" s="46" t="s">
        <v>985</v>
      </c>
      <c r="W322" s="46" t="s">
        <v>984</v>
      </c>
      <c r="X322" s="46">
        <v>6</v>
      </c>
      <c r="Y322" s="46" t="b">
        <v>1</v>
      </c>
      <c r="Z322" s="46" t="s">
        <v>675</v>
      </c>
      <c r="AA322" s="46" t="s">
        <v>676</v>
      </c>
      <c r="AB322" s="46" t="s">
        <v>677</v>
      </c>
      <c r="AC322" s="46">
        <v>0</v>
      </c>
      <c r="AD322" s="46" t="s">
        <v>678</v>
      </c>
      <c r="AE322" s="46">
        <v>8</v>
      </c>
      <c r="AF322" s="46" t="s">
        <v>679</v>
      </c>
      <c r="AG322" s="46">
        <v>339.80799999999999</v>
      </c>
      <c r="AH322" s="46" t="b">
        <v>1</v>
      </c>
      <c r="AI322" s="46">
        <v>-1</v>
      </c>
      <c r="AJ322" s="46" t="s">
        <v>680</v>
      </c>
      <c r="AK322" s="46">
        <v>0</v>
      </c>
      <c r="AL322" s="46" t="b">
        <v>0</v>
      </c>
      <c r="AM322" s="46">
        <v>339.80799999999999</v>
      </c>
      <c r="AN322" s="46" t="b">
        <v>1</v>
      </c>
      <c r="AO322" s="46">
        <v>0</v>
      </c>
      <c r="AP322" s="46" t="b">
        <v>0</v>
      </c>
      <c r="AQ322" s="46">
        <v>1603.5260000000001</v>
      </c>
      <c r="AS322" s="46">
        <v>1603.5260000000001</v>
      </c>
      <c r="AT322" s="46">
        <v>6</v>
      </c>
      <c r="AU322" s="46" t="b">
        <v>1</v>
      </c>
      <c r="AV322" s="46" t="b">
        <v>0</v>
      </c>
    </row>
    <row r="323" spans="2:48">
      <c r="B323" s="46" t="s">
        <v>665</v>
      </c>
      <c r="C323" s="46" t="s">
        <v>666</v>
      </c>
      <c r="D323" s="46">
        <v>20231201</v>
      </c>
      <c r="E323" s="46">
        <v>2023</v>
      </c>
      <c r="F323" s="46">
        <v>12</v>
      </c>
      <c r="G323" s="46" t="s">
        <v>726</v>
      </c>
      <c r="H323" s="46">
        <v>818</v>
      </c>
      <c r="I323" s="46" t="s">
        <v>668</v>
      </c>
      <c r="J323" s="46" t="s">
        <v>57</v>
      </c>
      <c r="K323" s="46" t="s">
        <v>666</v>
      </c>
      <c r="L323" s="46" t="s">
        <v>669</v>
      </c>
      <c r="M323" s="46">
        <v>400</v>
      </c>
      <c r="N323" s="46" t="s">
        <v>1003</v>
      </c>
      <c r="O323" s="46" t="s">
        <v>214</v>
      </c>
      <c r="P323" s="46">
        <v>0</v>
      </c>
      <c r="Q323" s="46" t="s">
        <v>670</v>
      </c>
      <c r="R323" s="46" t="s">
        <v>23</v>
      </c>
      <c r="S323" s="46" t="s">
        <v>671</v>
      </c>
      <c r="T323" s="46" t="s">
        <v>672</v>
      </c>
      <c r="U323" s="46" t="b">
        <v>1</v>
      </c>
      <c r="V323" s="46" t="s">
        <v>985</v>
      </c>
      <c r="W323" s="46" t="s">
        <v>984</v>
      </c>
      <c r="X323" s="46">
        <v>6</v>
      </c>
      <c r="Y323" s="46" t="b">
        <v>1</v>
      </c>
      <c r="Z323" s="46" t="s">
        <v>675</v>
      </c>
      <c r="AA323" s="46" t="s">
        <v>676</v>
      </c>
      <c r="AB323" s="46" t="s">
        <v>677</v>
      </c>
      <c r="AC323" s="46">
        <v>0</v>
      </c>
      <c r="AD323" s="46" t="s">
        <v>678</v>
      </c>
      <c r="AE323" s="46">
        <v>8</v>
      </c>
      <c r="AF323" s="46" t="s">
        <v>679</v>
      </c>
      <c r="AG323" s="46">
        <v>30277.016</v>
      </c>
      <c r="AH323" s="46" t="b">
        <v>1</v>
      </c>
      <c r="AI323" s="46">
        <v>-1</v>
      </c>
      <c r="AJ323" s="46" t="s">
        <v>680</v>
      </c>
      <c r="AK323" s="46">
        <v>0</v>
      </c>
      <c r="AL323" s="46" t="b">
        <v>0</v>
      </c>
      <c r="AM323" s="46">
        <v>30277.016</v>
      </c>
      <c r="AN323" s="46" t="b">
        <v>1</v>
      </c>
      <c r="AO323" s="46">
        <v>0</v>
      </c>
      <c r="AP323" s="46" t="b">
        <v>0</v>
      </c>
      <c r="AQ323" s="46">
        <v>142875</v>
      </c>
      <c r="AS323" s="46">
        <v>142875</v>
      </c>
      <c r="AT323" s="46">
        <v>6</v>
      </c>
      <c r="AU323" s="46" t="b">
        <v>1</v>
      </c>
      <c r="AV323" s="46" t="b">
        <v>0</v>
      </c>
    </row>
    <row r="324" spans="2:48">
      <c r="B324" s="46" t="s">
        <v>665</v>
      </c>
      <c r="C324" s="46" t="s">
        <v>666</v>
      </c>
      <c r="D324" s="46">
        <v>20231201</v>
      </c>
      <c r="E324" s="46">
        <v>2023</v>
      </c>
      <c r="F324" s="46">
        <v>12</v>
      </c>
      <c r="G324" s="46" t="s">
        <v>726</v>
      </c>
      <c r="H324" s="46">
        <v>818</v>
      </c>
      <c r="I324" s="46" t="s">
        <v>668</v>
      </c>
      <c r="J324" s="46" t="s">
        <v>57</v>
      </c>
      <c r="K324" s="46" t="s">
        <v>666</v>
      </c>
      <c r="L324" s="46" t="s">
        <v>669</v>
      </c>
      <c r="M324" s="46">
        <v>410</v>
      </c>
      <c r="N324" s="46" t="s">
        <v>754</v>
      </c>
      <c r="O324" s="46" t="s">
        <v>755</v>
      </c>
      <c r="P324" s="46">
        <v>0</v>
      </c>
      <c r="Q324" s="46" t="s">
        <v>670</v>
      </c>
      <c r="R324" s="46" t="s">
        <v>23</v>
      </c>
      <c r="S324" s="46" t="s">
        <v>671</v>
      </c>
      <c r="T324" s="46" t="s">
        <v>672</v>
      </c>
      <c r="U324" s="46" t="b">
        <v>1</v>
      </c>
      <c r="V324" s="46" t="s">
        <v>985</v>
      </c>
      <c r="W324" s="46" t="s">
        <v>984</v>
      </c>
      <c r="X324" s="46">
        <v>6</v>
      </c>
      <c r="Y324" s="46" t="b">
        <v>1</v>
      </c>
      <c r="Z324" s="46" t="s">
        <v>675</v>
      </c>
      <c r="AA324" s="46" t="s">
        <v>676</v>
      </c>
      <c r="AB324" s="46" t="s">
        <v>677</v>
      </c>
      <c r="AC324" s="46">
        <v>0</v>
      </c>
      <c r="AD324" s="46" t="s">
        <v>678</v>
      </c>
      <c r="AE324" s="46">
        <v>8</v>
      </c>
      <c r="AF324" s="46" t="s">
        <v>679</v>
      </c>
      <c r="AG324" s="46">
        <v>48498.402999999998</v>
      </c>
      <c r="AH324" s="46" t="b">
        <v>1</v>
      </c>
      <c r="AI324" s="46">
        <v>-1</v>
      </c>
      <c r="AJ324" s="46" t="s">
        <v>680</v>
      </c>
      <c r="AK324" s="46">
        <v>0</v>
      </c>
      <c r="AL324" s="46" t="b">
        <v>0</v>
      </c>
      <c r="AM324" s="46">
        <v>48498.402999999998</v>
      </c>
      <c r="AN324" s="46" t="b">
        <v>1</v>
      </c>
      <c r="AO324" s="46">
        <v>0</v>
      </c>
      <c r="AP324" s="46" t="b">
        <v>0</v>
      </c>
      <c r="AQ324" s="46">
        <v>228860.37700000001</v>
      </c>
      <c r="AS324" s="46">
        <v>228860.37700000001</v>
      </c>
      <c r="AT324" s="46">
        <v>6</v>
      </c>
      <c r="AU324" s="46" t="b">
        <v>1</v>
      </c>
      <c r="AV324" s="46" t="b">
        <v>0</v>
      </c>
    </row>
    <row r="325" spans="2:48">
      <c r="B325" s="46" t="s">
        <v>665</v>
      </c>
      <c r="C325" s="46" t="s">
        <v>666</v>
      </c>
      <c r="D325" s="46">
        <v>20231201</v>
      </c>
      <c r="E325" s="46">
        <v>2023</v>
      </c>
      <c r="F325" s="46">
        <v>12</v>
      </c>
      <c r="G325" s="46" t="s">
        <v>726</v>
      </c>
      <c r="H325" s="46">
        <v>818</v>
      </c>
      <c r="I325" s="46" t="s">
        <v>668</v>
      </c>
      <c r="J325" s="46" t="s">
        <v>57</v>
      </c>
      <c r="K325" s="46" t="s">
        <v>666</v>
      </c>
      <c r="L325" s="46" t="s">
        <v>669</v>
      </c>
      <c r="M325" s="46">
        <v>458</v>
      </c>
      <c r="N325" s="46" t="s">
        <v>722</v>
      </c>
      <c r="O325" s="46" t="s">
        <v>26</v>
      </c>
      <c r="P325" s="46">
        <v>0</v>
      </c>
      <c r="Q325" s="46" t="s">
        <v>670</v>
      </c>
      <c r="R325" s="46" t="s">
        <v>23</v>
      </c>
      <c r="S325" s="46" t="s">
        <v>671</v>
      </c>
      <c r="T325" s="46" t="s">
        <v>672</v>
      </c>
      <c r="U325" s="46" t="b">
        <v>1</v>
      </c>
      <c r="V325" s="46" t="s">
        <v>985</v>
      </c>
      <c r="W325" s="46" t="s">
        <v>984</v>
      </c>
      <c r="X325" s="46">
        <v>6</v>
      </c>
      <c r="Y325" s="46" t="b">
        <v>1</v>
      </c>
      <c r="Z325" s="46" t="s">
        <v>675</v>
      </c>
      <c r="AA325" s="46" t="s">
        <v>676</v>
      </c>
      <c r="AB325" s="46" t="s">
        <v>677</v>
      </c>
      <c r="AC325" s="46">
        <v>0</v>
      </c>
      <c r="AD325" s="46" t="s">
        <v>678</v>
      </c>
      <c r="AE325" s="46">
        <v>8</v>
      </c>
      <c r="AF325" s="46" t="s">
        <v>679</v>
      </c>
      <c r="AG325" s="46">
        <v>8941.4060000000009</v>
      </c>
      <c r="AH325" s="46" t="b">
        <v>1</v>
      </c>
      <c r="AI325" s="46">
        <v>-1</v>
      </c>
      <c r="AJ325" s="46" t="s">
        <v>680</v>
      </c>
      <c r="AK325" s="46">
        <v>0</v>
      </c>
      <c r="AL325" s="46" t="b">
        <v>0</v>
      </c>
      <c r="AM325" s="46">
        <v>8941.4060000000009</v>
      </c>
      <c r="AN325" s="46" t="b">
        <v>1</v>
      </c>
      <c r="AO325" s="46">
        <v>0</v>
      </c>
      <c r="AP325" s="46" t="b">
        <v>0</v>
      </c>
      <c r="AQ325" s="46">
        <v>42193.834000000003</v>
      </c>
      <c r="AS325" s="46">
        <v>42193.834000000003</v>
      </c>
      <c r="AT325" s="46">
        <v>6</v>
      </c>
      <c r="AU325" s="46" t="b">
        <v>1</v>
      </c>
      <c r="AV325" s="46" t="b">
        <v>0</v>
      </c>
    </row>
    <row r="326" spans="2:48">
      <c r="B326" s="46" t="s">
        <v>665</v>
      </c>
      <c r="C326" s="46" t="s">
        <v>666</v>
      </c>
      <c r="D326" s="46">
        <v>20231201</v>
      </c>
      <c r="E326" s="46">
        <v>2023</v>
      </c>
      <c r="F326" s="46">
        <v>12</v>
      </c>
      <c r="G326" s="46" t="s">
        <v>726</v>
      </c>
      <c r="H326" s="46">
        <v>818</v>
      </c>
      <c r="I326" s="46" t="s">
        <v>668</v>
      </c>
      <c r="J326" s="46" t="s">
        <v>57</v>
      </c>
      <c r="K326" s="46" t="s">
        <v>666</v>
      </c>
      <c r="L326" s="46" t="s">
        <v>669</v>
      </c>
      <c r="M326" s="46">
        <v>528</v>
      </c>
      <c r="N326" s="46" t="s">
        <v>698</v>
      </c>
      <c r="O326" s="46" t="s">
        <v>60</v>
      </c>
      <c r="P326" s="46">
        <v>0</v>
      </c>
      <c r="Q326" s="46" t="s">
        <v>670</v>
      </c>
      <c r="R326" s="46" t="s">
        <v>23</v>
      </c>
      <c r="S326" s="46" t="s">
        <v>671</v>
      </c>
      <c r="T326" s="46" t="s">
        <v>672</v>
      </c>
      <c r="U326" s="46" t="b">
        <v>1</v>
      </c>
      <c r="V326" s="46" t="s">
        <v>985</v>
      </c>
      <c r="W326" s="46" t="s">
        <v>984</v>
      </c>
      <c r="X326" s="46">
        <v>6</v>
      </c>
      <c r="Y326" s="46" t="b">
        <v>1</v>
      </c>
      <c r="Z326" s="46" t="s">
        <v>675</v>
      </c>
      <c r="AA326" s="46" t="s">
        <v>676</v>
      </c>
      <c r="AB326" s="46" t="s">
        <v>677</v>
      </c>
      <c r="AC326" s="46">
        <v>0</v>
      </c>
      <c r="AD326" s="46" t="s">
        <v>678</v>
      </c>
      <c r="AE326" s="46">
        <v>8</v>
      </c>
      <c r="AF326" s="46" t="s">
        <v>679</v>
      </c>
      <c r="AG326" s="46">
        <v>193732.51699999999</v>
      </c>
      <c r="AH326" s="46" t="b">
        <v>1</v>
      </c>
      <c r="AI326" s="46">
        <v>-1</v>
      </c>
      <c r="AJ326" s="46" t="s">
        <v>680</v>
      </c>
      <c r="AK326" s="46">
        <v>0</v>
      </c>
      <c r="AL326" s="46" t="b">
        <v>0</v>
      </c>
      <c r="AM326" s="46">
        <v>193732.51699999999</v>
      </c>
      <c r="AN326" s="46" t="b">
        <v>1</v>
      </c>
      <c r="AO326" s="46">
        <v>0</v>
      </c>
      <c r="AP326" s="46" t="b">
        <v>0</v>
      </c>
      <c r="AQ326" s="46">
        <v>914209.42599999998</v>
      </c>
      <c r="AS326" s="46">
        <v>914209.42599999998</v>
      </c>
      <c r="AT326" s="46">
        <v>6</v>
      </c>
      <c r="AU326" s="46" t="b">
        <v>1</v>
      </c>
      <c r="AV326" s="46" t="b">
        <v>0</v>
      </c>
    </row>
    <row r="327" spans="2:48">
      <c r="B327" s="46" t="s">
        <v>665</v>
      </c>
      <c r="C327" s="46" t="s">
        <v>666</v>
      </c>
      <c r="D327" s="46">
        <v>20231201</v>
      </c>
      <c r="E327" s="46">
        <v>2023</v>
      </c>
      <c r="F327" s="46">
        <v>12</v>
      </c>
      <c r="G327" s="46" t="s">
        <v>726</v>
      </c>
      <c r="H327" s="46">
        <v>818</v>
      </c>
      <c r="I327" s="46" t="s">
        <v>668</v>
      </c>
      <c r="J327" s="46" t="s">
        <v>57</v>
      </c>
      <c r="K327" s="46" t="s">
        <v>666</v>
      </c>
      <c r="L327" s="46" t="s">
        <v>669</v>
      </c>
      <c r="M327" s="46">
        <v>568</v>
      </c>
      <c r="N327" s="46" t="s">
        <v>682</v>
      </c>
      <c r="O327" s="46" t="s">
        <v>683</v>
      </c>
      <c r="P327" s="46">
        <v>0</v>
      </c>
      <c r="Q327" s="46" t="s">
        <v>670</v>
      </c>
      <c r="R327" s="46" t="s">
        <v>23</v>
      </c>
      <c r="S327" s="46" t="s">
        <v>671</v>
      </c>
      <c r="T327" s="46" t="s">
        <v>672</v>
      </c>
      <c r="U327" s="46" t="b">
        <v>1</v>
      </c>
      <c r="V327" s="46" t="s">
        <v>985</v>
      </c>
      <c r="W327" s="46" t="s">
        <v>984</v>
      </c>
      <c r="X327" s="46">
        <v>6</v>
      </c>
      <c r="Y327" s="46" t="b">
        <v>1</v>
      </c>
      <c r="Z327" s="46" t="s">
        <v>675</v>
      </c>
      <c r="AA327" s="46" t="s">
        <v>676</v>
      </c>
      <c r="AB327" s="46" t="s">
        <v>677</v>
      </c>
      <c r="AC327" s="46">
        <v>0</v>
      </c>
      <c r="AD327" s="46" t="s">
        <v>678</v>
      </c>
      <c r="AE327" s="46">
        <v>8</v>
      </c>
      <c r="AF327" s="46" t="s">
        <v>679</v>
      </c>
      <c r="AG327" s="46">
        <v>60009.288999999997</v>
      </c>
      <c r="AH327" s="46" t="b">
        <v>1</v>
      </c>
      <c r="AI327" s="46">
        <v>-1</v>
      </c>
      <c r="AJ327" s="46" t="s">
        <v>680</v>
      </c>
      <c r="AK327" s="46">
        <v>0</v>
      </c>
      <c r="AL327" s="46" t="b">
        <v>0</v>
      </c>
      <c r="AM327" s="46">
        <v>60009.288999999997</v>
      </c>
      <c r="AN327" s="46" t="b">
        <v>1</v>
      </c>
      <c r="AO327" s="46">
        <v>0</v>
      </c>
      <c r="AP327" s="46" t="b">
        <v>0</v>
      </c>
      <c r="AQ327" s="46">
        <v>283179.39899999998</v>
      </c>
      <c r="AS327" s="46">
        <v>283179.39899999998</v>
      </c>
      <c r="AT327" s="46">
        <v>6</v>
      </c>
      <c r="AU327" s="46" t="b">
        <v>1</v>
      </c>
      <c r="AV327" s="46" t="b">
        <v>0</v>
      </c>
    </row>
    <row r="328" spans="2:48">
      <c r="B328" s="46" t="s">
        <v>665</v>
      </c>
      <c r="C328" s="46" t="s">
        <v>666</v>
      </c>
      <c r="D328" s="46">
        <v>20231201</v>
      </c>
      <c r="E328" s="46">
        <v>2023</v>
      </c>
      <c r="F328" s="46">
        <v>12</v>
      </c>
      <c r="G328" s="46" t="s">
        <v>726</v>
      </c>
      <c r="H328" s="46">
        <v>818</v>
      </c>
      <c r="I328" s="46" t="s">
        <v>668</v>
      </c>
      <c r="J328" s="46" t="s">
        <v>57</v>
      </c>
      <c r="K328" s="46" t="s">
        <v>666</v>
      </c>
      <c r="L328" s="46" t="s">
        <v>669</v>
      </c>
      <c r="M328" s="46">
        <v>616</v>
      </c>
      <c r="N328" s="46" t="s">
        <v>999</v>
      </c>
      <c r="O328" s="46" t="s">
        <v>84</v>
      </c>
      <c r="P328" s="46">
        <v>0</v>
      </c>
      <c r="Q328" s="46" t="s">
        <v>670</v>
      </c>
      <c r="R328" s="46" t="s">
        <v>23</v>
      </c>
      <c r="S328" s="46" t="s">
        <v>671</v>
      </c>
      <c r="T328" s="46" t="s">
        <v>672</v>
      </c>
      <c r="U328" s="46" t="b">
        <v>1</v>
      </c>
      <c r="V328" s="46" t="s">
        <v>985</v>
      </c>
      <c r="W328" s="46" t="s">
        <v>984</v>
      </c>
      <c r="X328" s="46">
        <v>6</v>
      </c>
      <c r="Y328" s="46" t="b">
        <v>1</v>
      </c>
      <c r="Z328" s="46" t="s">
        <v>675</v>
      </c>
      <c r="AA328" s="46" t="s">
        <v>676</v>
      </c>
      <c r="AB328" s="46" t="s">
        <v>677</v>
      </c>
      <c r="AC328" s="46">
        <v>0</v>
      </c>
      <c r="AD328" s="46" t="s">
        <v>678</v>
      </c>
      <c r="AE328" s="46">
        <v>8</v>
      </c>
      <c r="AF328" s="46" t="s">
        <v>679</v>
      </c>
      <c r="AG328" s="46">
        <v>3027.7469999999998</v>
      </c>
      <c r="AH328" s="46" t="b">
        <v>1</v>
      </c>
      <c r="AI328" s="46">
        <v>-1</v>
      </c>
      <c r="AJ328" s="46" t="s">
        <v>680</v>
      </c>
      <c r="AK328" s="46">
        <v>0</v>
      </c>
      <c r="AL328" s="46" t="b">
        <v>0</v>
      </c>
      <c r="AM328" s="46">
        <v>3027.7469999999998</v>
      </c>
      <c r="AN328" s="46" t="b">
        <v>1</v>
      </c>
      <c r="AO328" s="46">
        <v>0</v>
      </c>
      <c r="AP328" s="46" t="b">
        <v>0</v>
      </c>
      <c r="AQ328" s="46">
        <v>14287.715</v>
      </c>
      <c r="AS328" s="46">
        <v>14287.715</v>
      </c>
      <c r="AT328" s="46">
        <v>6</v>
      </c>
      <c r="AU328" s="46" t="b">
        <v>1</v>
      </c>
      <c r="AV328" s="46" t="b">
        <v>0</v>
      </c>
    </row>
    <row r="329" spans="2:48">
      <c r="B329" s="46" t="s">
        <v>665</v>
      </c>
      <c r="C329" s="46" t="s">
        <v>666</v>
      </c>
      <c r="D329" s="46">
        <v>20231201</v>
      </c>
      <c r="E329" s="46">
        <v>2023</v>
      </c>
      <c r="F329" s="46">
        <v>12</v>
      </c>
      <c r="G329" s="46" t="s">
        <v>726</v>
      </c>
      <c r="H329" s="46">
        <v>818</v>
      </c>
      <c r="I329" s="46" t="s">
        <v>668</v>
      </c>
      <c r="J329" s="46" t="s">
        <v>57</v>
      </c>
      <c r="K329" s="46" t="s">
        <v>666</v>
      </c>
      <c r="L329" s="46" t="s">
        <v>669</v>
      </c>
      <c r="M329" s="46">
        <v>634</v>
      </c>
      <c r="N329" s="46" t="s">
        <v>993</v>
      </c>
      <c r="O329" s="46" t="s">
        <v>37</v>
      </c>
      <c r="P329" s="46">
        <v>0</v>
      </c>
      <c r="Q329" s="46" t="s">
        <v>670</v>
      </c>
      <c r="R329" s="46" t="s">
        <v>23</v>
      </c>
      <c r="S329" s="46" t="s">
        <v>671</v>
      </c>
      <c r="T329" s="46" t="s">
        <v>672</v>
      </c>
      <c r="U329" s="46" t="b">
        <v>1</v>
      </c>
      <c r="V329" s="46" t="s">
        <v>985</v>
      </c>
      <c r="W329" s="46" t="s">
        <v>984</v>
      </c>
      <c r="X329" s="46">
        <v>6</v>
      </c>
      <c r="Y329" s="46" t="b">
        <v>1</v>
      </c>
      <c r="Z329" s="46" t="s">
        <v>675</v>
      </c>
      <c r="AA329" s="46" t="s">
        <v>676</v>
      </c>
      <c r="AB329" s="46" t="s">
        <v>677</v>
      </c>
      <c r="AC329" s="46">
        <v>0</v>
      </c>
      <c r="AD329" s="46" t="s">
        <v>678</v>
      </c>
      <c r="AE329" s="46">
        <v>8</v>
      </c>
      <c r="AF329" s="46" t="s">
        <v>679</v>
      </c>
      <c r="AG329" s="46">
        <v>13638.697</v>
      </c>
      <c r="AH329" s="46" t="b">
        <v>1</v>
      </c>
      <c r="AI329" s="46">
        <v>-1</v>
      </c>
      <c r="AJ329" s="46" t="s">
        <v>680</v>
      </c>
      <c r="AK329" s="46">
        <v>0</v>
      </c>
      <c r="AL329" s="46" t="b">
        <v>0</v>
      </c>
      <c r="AM329" s="46">
        <v>13638.697</v>
      </c>
      <c r="AN329" s="46" t="b">
        <v>1</v>
      </c>
      <c r="AO329" s="46">
        <v>0</v>
      </c>
      <c r="AP329" s="46" t="b">
        <v>0</v>
      </c>
      <c r="AQ329" s="46">
        <v>64360.002</v>
      </c>
      <c r="AS329" s="46">
        <v>64360.002</v>
      </c>
      <c r="AT329" s="46">
        <v>6</v>
      </c>
      <c r="AU329" s="46" t="b">
        <v>1</v>
      </c>
      <c r="AV329" s="46" t="b">
        <v>0</v>
      </c>
    </row>
    <row r="330" spans="2:48">
      <c r="B330" s="46" t="s">
        <v>665</v>
      </c>
      <c r="C330" s="46" t="s">
        <v>666</v>
      </c>
      <c r="D330" s="46">
        <v>20231201</v>
      </c>
      <c r="E330" s="46">
        <v>2023</v>
      </c>
      <c r="F330" s="46">
        <v>12</v>
      </c>
      <c r="G330" s="46" t="s">
        <v>726</v>
      </c>
      <c r="H330" s="46">
        <v>818</v>
      </c>
      <c r="I330" s="46" t="s">
        <v>668</v>
      </c>
      <c r="J330" s="46" t="s">
        <v>57</v>
      </c>
      <c r="K330" s="46" t="s">
        <v>666</v>
      </c>
      <c r="L330" s="46" t="s">
        <v>669</v>
      </c>
      <c r="M330" s="46">
        <v>642</v>
      </c>
      <c r="N330" s="46" t="s">
        <v>1010</v>
      </c>
      <c r="O330" s="46" t="s">
        <v>79</v>
      </c>
      <c r="P330" s="46">
        <v>0</v>
      </c>
      <c r="Q330" s="46" t="s">
        <v>670</v>
      </c>
      <c r="R330" s="46" t="s">
        <v>23</v>
      </c>
      <c r="S330" s="46" t="s">
        <v>671</v>
      </c>
      <c r="T330" s="46" t="s">
        <v>672</v>
      </c>
      <c r="U330" s="46" t="b">
        <v>1</v>
      </c>
      <c r="V330" s="46" t="s">
        <v>985</v>
      </c>
      <c r="W330" s="46" t="s">
        <v>984</v>
      </c>
      <c r="X330" s="46">
        <v>6</v>
      </c>
      <c r="Y330" s="46" t="b">
        <v>1</v>
      </c>
      <c r="Z330" s="46" t="s">
        <v>675</v>
      </c>
      <c r="AA330" s="46" t="s">
        <v>676</v>
      </c>
      <c r="AB330" s="46" t="s">
        <v>677</v>
      </c>
      <c r="AC330" s="46">
        <v>0</v>
      </c>
      <c r="AD330" s="46" t="s">
        <v>678</v>
      </c>
      <c r="AE330" s="46">
        <v>8</v>
      </c>
      <c r="AF330" s="46" t="s">
        <v>679</v>
      </c>
      <c r="AG330" s="46">
        <v>4800.7449999999999</v>
      </c>
      <c r="AH330" s="46" t="b">
        <v>1</v>
      </c>
      <c r="AI330" s="46">
        <v>-1</v>
      </c>
      <c r="AJ330" s="46" t="s">
        <v>680</v>
      </c>
      <c r="AK330" s="46">
        <v>0</v>
      </c>
      <c r="AL330" s="46" t="b">
        <v>0</v>
      </c>
      <c r="AM330" s="46">
        <v>4800.7449999999999</v>
      </c>
      <c r="AN330" s="46" t="b">
        <v>1</v>
      </c>
      <c r="AO330" s="46">
        <v>0</v>
      </c>
      <c r="AP330" s="46" t="b">
        <v>0</v>
      </c>
      <c r="AQ330" s="46">
        <v>22654.362000000001</v>
      </c>
      <c r="AS330" s="46">
        <v>22654.362000000001</v>
      </c>
      <c r="AT330" s="46">
        <v>6</v>
      </c>
      <c r="AU330" s="46" t="b">
        <v>1</v>
      </c>
      <c r="AV330" s="46" t="b">
        <v>0</v>
      </c>
    </row>
    <row r="331" spans="2:48">
      <c r="B331" s="46" t="s">
        <v>665</v>
      </c>
      <c r="C331" s="46" t="s">
        <v>666</v>
      </c>
      <c r="D331" s="46">
        <v>20231201</v>
      </c>
      <c r="E331" s="46">
        <v>2023</v>
      </c>
      <c r="F331" s="46">
        <v>12</v>
      </c>
      <c r="G331" s="46" t="s">
        <v>726</v>
      </c>
      <c r="H331" s="46">
        <v>818</v>
      </c>
      <c r="I331" s="46" t="s">
        <v>668</v>
      </c>
      <c r="J331" s="46" t="s">
        <v>57</v>
      </c>
      <c r="K331" s="46" t="s">
        <v>666</v>
      </c>
      <c r="L331" s="46" t="s">
        <v>669</v>
      </c>
      <c r="M331" s="46">
        <v>643</v>
      </c>
      <c r="N331" s="46" t="s">
        <v>761</v>
      </c>
      <c r="O331" s="46" t="s">
        <v>38</v>
      </c>
      <c r="P331" s="46">
        <v>0</v>
      </c>
      <c r="Q331" s="46" t="s">
        <v>670</v>
      </c>
      <c r="R331" s="46" t="s">
        <v>23</v>
      </c>
      <c r="S331" s="46" t="s">
        <v>671</v>
      </c>
      <c r="T331" s="46" t="s">
        <v>672</v>
      </c>
      <c r="U331" s="46" t="b">
        <v>1</v>
      </c>
      <c r="V331" s="46" t="s">
        <v>985</v>
      </c>
      <c r="W331" s="46" t="s">
        <v>984</v>
      </c>
      <c r="X331" s="46">
        <v>6</v>
      </c>
      <c r="Y331" s="46" t="b">
        <v>1</v>
      </c>
      <c r="Z331" s="46" t="s">
        <v>675</v>
      </c>
      <c r="AA331" s="46" t="s">
        <v>676</v>
      </c>
      <c r="AB331" s="46" t="s">
        <v>677</v>
      </c>
      <c r="AC331" s="46">
        <v>0</v>
      </c>
      <c r="AD331" s="46" t="s">
        <v>678</v>
      </c>
      <c r="AE331" s="46">
        <v>8</v>
      </c>
      <c r="AF331" s="46" t="s">
        <v>679</v>
      </c>
      <c r="AG331" s="46">
        <v>12015.446</v>
      </c>
      <c r="AH331" s="46" t="b">
        <v>1</v>
      </c>
      <c r="AI331" s="46">
        <v>-1</v>
      </c>
      <c r="AJ331" s="46" t="s">
        <v>680</v>
      </c>
      <c r="AK331" s="46">
        <v>0</v>
      </c>
      <c r="AL331" s="46" t="b">
        <v>0</v>
      </c>
      <c r="AM331" s="46">
        <v>12015.446</v>
      </c>
      <c r="AN331" s="46" t="b">
        <v>1</v>
      </c>
      <c r="AO331" s="46">
        <v>0</v>
      </c>
      <c r="AP331" s="46" t="b">
        <v>0</v>
      </c>
      <c r="AQ331" s="46">
        <v>56700</v>
      </c>
      <c r="AS331" s="46">
        <v>56700</v>
      </c>
      <c r="AT331" s="46">
        <v>6</v>
      </c>
      <c r="AU331" s="46" t="b">
        <v>1</v>
      </c>
      <c r="AV331" s="46" t="b">
        <v>0</v>
      </c>
    </row>
    <row r="332" spans="2:48">
      <c r="B332" s="46" t="s">
        <v>665</v>
      </c>
      <c r="C332" s="46" t="s">
        <v>666</v>
      </c>
      <c r="D332" s="46">
        <v>20231201</v>
      </c>
      <c r="E332" s="46">
        <v>2023</v>
      </c>
      <c r="F332" s="46">
        <v>12</v>
      </c>
      <c r="G332" s="46" t="s">
        <v>726</v>
      </c>
      <c r="H332" s="46">
        <v>818</v>
      </c>
      <c r="I332" s="46" t="s">
        <v>668</v>
      </c>
      <c r="J332" s="46" t="s">
        <v>57</v>
      </c>
      <c r="K332" s="46" t="s">
        <v>666</v>
      </c>
      <c r="L332" s="46" t="s">
        <v>669</v>
      </c>
      <c r="M332" s="46">
        <v>682</v>
      </c>
      <c r="N332" s="46" t="s">
        <v>758</v>
      </c>
      <c r="O332" s="46" t="s">
        <v>39</v>
      </c>
      <c r="P332" s="46">
        <v>0</v>
      </c>
      <c r="Q332" s="46" t="s">
        <v>670</v>
      </c>
      <c r="R332" s="46" t="s">
        <v>23</v>
      </c>
      <c r="S332" s="46" t="s">
        <v>671</v>
      </c>
      <c r="T332" s="46" t="s">
        <v>672</v>
      </c>
      <c r="U332" s="46" t="b">
        <v>1</v>
      </c>
      <c r="V332" s="46" t="s">
        <v>985</v>
      </c>
      <c r="W332" s="46" t="s">
        <v>984</v>
      </c>
      <c r="X332" s="46">
        <v>6</v>
      </c>
      <c r="Y332" s="46" t="b">
        <v>1</v>
      </c>
      <c r="Z332" s="46" t="s">
        <v>675</v>
      </c>
      <c r="AA332" s="46" t="s">
        <v>676</v>
      </c>
      <c r="AB332" s="46" t="s">
        <v>677</v>
      </c>
      <c r="AC332" s="46">
        <v>0</v>
      </c>
      <c r="AD332" s="46" t="s">
        <v>678</v>
      </c>
      <c r="AE332" s="46">
        <v>8</v>
      </c>
      <c r="AF332" s="46" t="s">
        <v>679</v>
      </c>
      <c r="AG332" s="46">
        <v>14848.844999999999</v>
      </c>
      <c r="AH332" s="46" t="b">
        <v>1</v>
      </c>
      <c r="AI332" s="46">
        <v>-1</v>
      </c>
      <c r="AJ332" s="46" t="s">
        <v>680</v>
      </c>
      <c r="AK332" s="46">
        <v>0</v>
      </c>
      <c r="AL332" s="46" t="b">
        <v>0</v>
      </c>
      <c r="AM332" s="46">
        <v>14848.844999999999</v>
      </c>
      <c r="AN332" s="46" t="b">
        <v>1</v>
      </c>
      <c r="AO332" s="46">
        <v>0</v>
      </c>
      <c r="AP332" s="46" t="b">
        <v>0</v>
      </c>
      <c r="AQ332" s="46">
        <v>70070.600000000006</v>
      </c>
      <c r="AS332" s="46">
        <v>70070.600000000006</v>
      </c>
      <c r="AT332" s="46">
        <v>6</v>
      </c>
      <c r="AU332" s="46" t="b">
        <v>1</v>
      </c>
      <c r="AV332" s="46" t="b">
        <v>0</v>
      </c>
    </row>
    <row r="333" spans="2:48">
      <c r="B333" s="46" t="s">
        <v>665</v>
      </c>
      <c r="C333" s="46" t="s">
        <v>666</v>
      </c>
      <c r="D333" s="46">
        <v>20231201</v>
      </c>
      <c r="E333" s="46">
        <v>2023</v>
      </c>
      <c r="F333" s="46">
        <v>12</v>
      </c>
      <c r="G333" s="46" t="s">
        <v>726</v>
      </c>
      <c r="H333" s="46">
        <v>818</v>
      </c>
      <c r="I333" s="46" t="s">
        <v>668</v>
      </c>
      <c r="J333" s="46" t="s">
        <v>57</v>
      </c>
      <c r="K333" s="46" t="s">
        <v>666</v>
      </c>
      <c r="L333" s="46" t="s">
        <v>669</v>
      </c>
      <c r="M333" s="46">
        <v>699</v>
      </c>
      <c r="N333" s="46" t="s">
        <v>748</v>
      </c>
      <c r="O333" s="46" t="s">
        <v>0</v>
      </c>
      <c r="P333" s="46">
        <v>0</v>
      </c>
      <c r="Q333" s="46" t="s">
        <v>670</v>
      </c>
      <c r="R333" s="46" t="s">
        <v>23</v>
      </c>
      <c r="S333" s="46" t="s">
        <v>671</v>
      </c>
      <c r="T333" s="46" t="s">
        <v>672</v>
      </c>
      <c r="U333" s="46" t="b">
        <v>1</v>
      </c>
      <c r="V333" s="46" t="s">
        <v>985</v>
      </c>
      <c r="W333" s="46" t="s">
        <v>984</v>
      </c>
      <c r="X333" s="46">
        <v>6</v>
      </c>
      <c r="Y333" s="46" t="b">
        <v>1</v>
      </c>
      <c r="Z333" s="46" t="s">
        <v>675</v>
      </c>
      <c r="AA333" s="46" t="s">
        <v>676</v>
      </c>
      <c r="AB333" s="46" t="s">
        <v>677</v>
      </c>
      <c r="AC333" s="46">
        <v>0</v>
      </c>
      <c r="AD333" s="46" t="s">
        <v>678</v>
      </c>
      <c r="AE333" s="46">
        <v>8</v>
      </c>
      <c r="AF333" s="46" t="s">
        <v>679</v>
      </c>
      <c r="AG333" s="46">
        <v>180504.64499999999</v>
      </c>
      <c r="AH333" s="46" t="b">
        <v>1</v>
      </c>
      <c r="AI333" s="46">
        <v>-1</v>
      </c>
      <c r="AJ333" s="46" t="s">
        <v>680</v>
      </c>
      <c r="AK333" s="46">
        <v>0</v>
      </c>
      <c r="AL333" s="46" t="b">
        <v>0</v>
      </c>
      <c r="AM333" s="46">
        <v>180504.64499999999</v>
      </c>
      <c r="AN333" s="46" t="b">
        <v>1</v>
      </c>
      <c r="AO333" s="46">
        <v>0</v>
      </c>
      <c r="AP333" s="46" t="b">
        <v>0</v>
      </c>
      <c r="AQ333" s="46">
        <v>851788.07799999998</v>
      </c>
      <c r="AS333" s="46">
        <v>851788.07799999998</v>
      </c>
      <c r="AT333" s="46">
        <v>6</v>
      </c>
      <c r="AU333" s="46" t="b">
        <v>1</v>
      </c>
      <c r="AV333" s="46" t="b">
        <v>0</v>
      </c>
    </row>
    <row r="334" spans="2:48">
      <c r="B334" s="46" t="s">
        <v>665</v>
      </c>
      <c r="C334" s="46" t="s">
        <v>666</v>
      </c>
      <c r="D334" s="46">
        <v>20231201</v>
      </c>
      <c r="E334" s="46">
        <v>2023</v>
      </c>
      <c r="F334" s="46">
        <v>12</v>
      </c>
      <c r="G334" s="46" t="s">
        <v>726</v>
      </c>
      <c r="H334" s="46">
        <v>818</v>
      </c>
      <c r="I334" s="46" t="s">
        <v>668</v>
      </c>
      <c r="J334" s="46" t="s">
        <v>57</v>
      </c>
      <c r="K334" s="46" t="s">
        <v>666</v>
      </c>
      <c r="L334" s="46" t="s">
        <v>669</v>
      </c>
      <c r="M334" s="46">
        <v>702</v>
      </c>
      <c r="N334" s="46" t="s">
        <v>994</v>
      </c>
      <c r="O334" s="46" t="s">
        <v>28</v>
      </c>
      <c r="P334" s="46">
        <v>0</v>
      </c>
      <c r="Q334" s="46" t="s">
        <v>670</v>
      </c>
      <c r="R334" s="46" t="s">
        <v>23</v>
      </c>
      <c r="S334" s="46" t="s">
        <v>671</v>
      </c>
      <c r="T334" s="46" t="s">
        <v>672</v>
      </c>
      <c r="U334" s="46" t="b">
        <v>1</v>
      </c>
      <c r="V334" s="46" t="s">
        <v>985</v>
      </c>
      <c r="W334" s="46" t="s">
        <v>984</v>
      </c>
      <c r="X334" s="46">
        <v>6</v>
      </c>
      <c r="Y334" s="46" t="b">
        <v>1</v>
      </c>
      <c r="Z334" s="46" t="s">
        <v>675</v>
      </c>
      <c r="AA334" s="46" t="s">
        <v>676</v>
      </c>
      <c r="AB334" s="46" t="s">
        <v>677</v>
      </c>
      <c r="AC334" s="46">
        <v>0</v>
      </c>
      <c r="AD334" s="46" t="s">
        <v>678</v>
      </c>
      <c r="AE334" s="46">
        <v>8</v>
      </c>
      <c r="AF334" s="46" t="s">
        <v>679</v>
      </c>
      <c r="AG334" s="46">
        <v>5183.9129999999996</v>
      </c>
      <c r="AH334" s="46" t="b">
        <v>1</v>
      </c>
      <c r="AI334" s="46">
        <v>-1</v>
      </c>
      <c r="AJ334" s="46" t="s">
        <v>680</v>
      </c>
      <c r="AK334" s="46">
        <v>0</v>
      </c>
      <c r="AL334" s="46" t="b">
        <v>0</v>
      </c>
      <c r="AM334" s="46">
        <v>5183.9129999999996</v>
      </c>
      <c r="AN334" s="46" t="b">
        <v>1</v>
      </c>
      <c r="AO334" s="46">
        <v>0</v>
      </c>
      <c r="AP334" s="46" t="b">
        <v>0</v>
      </c>
      <c r="AQ334" s="46">
        <v>24462.5</v>
      </c>
      <c r="AS334" s="46">
        <v>24462.5</v>
      </c>
      <c r="AT334" s="46">
        <v>6</v>
      </c>
      <c r="AU334" s="46" t="b">
        <v>1</v>
      </c>
      <c r="AV334" s="46" t="b">
        <v>0</v>
      </c>
    </row>
    <row r="335" spans="2:48">
      <c r="B335" s="46" t="s">
        <v>665</v>
      </c>
      <c r="C335" s="46" t="s">
        <v>666</v>
      </c>
      <c r="D335" s="46">
        <v>20231201</v>
      </c>
      <c r="E335" s="46">
        <v>2023</v>
      </c>
      <c r="F335" s="46">
        <v>12</v>
      </c>
      <c r="G335" s="46" t="s">
        <v>726</v>
      </c>
      <c r="H335" s="46">
        <v>818</v>
      </c>
      <c r="I335" s="46" t="s">
        <v>668</v>
      </c>
      <c r="J335" s="46" t="s">
        <v>57</v>
      </c>
      <c r="K335" s="46" t="s">
        <v>666</v>
      </c>
      <c r="L335" s="46" t="s">
        <v>669</v>
      </c>
      <c r="M335" s="46">
        <v>705</v>
      </c>
      <c r="N335" s="46" t="s">
        <v>1004</v>
      </c>
      <c r="O335" s="46" t="s">
        <v>201</v>
      </c>
      <c r="P335" s="46">
        <v>0</v>
      </c>
      <c r="Q335" s="46" t="s">
        <v>670</v>
      </c>
      <c r="R335" s="46" t="s">
        <v>23</v>
      </c>
      <c r="S335" s="46" t="s">
        <v>671</v>
      </c>
      <c r="T335" s="46" t="s">
        <v>672</v>
      </c>
      <c r="U335" s="46" t="b">
        <v>1</v>
      </c>
      <c r="V335" s="46" t="s">
        <v>985</v>
      </c>
      <c r="W335" s="46" t="s">
        <v>984</v>
      </c>
      <c r="X335" s="46">
        <v>6</v>
      </c>
      <c r="Y335" s="46" t="b">
        <v>1</v>
      </c>
      <c r="Z335" s="46" t="s">
        <v>675</v>
      </c>
      <c r="AA335" s="46" t="s">
        <v>676</v>
      </c>
      <c r="AB335" s="46" t="s">
        <v>677</v>
      </c>
      <c r="AC335" s="46">
        <v>0</v>
      </c>
      <c r="AD335" s="46" t="s">
        <v>678</v>
      </c>
      <c r="AE335" s="46">
        <v>8</v>
      </c>
      <c r="AF335" s="46" t="s">
        <v>679</v>
      </c>
      <c r="AG335" s="46">
        <v>1007.81</v>
      </c>
      <c r="AH335" s="46" t="b">
        <v>1</v>
      </c>
      <c r="AI335" s="46">
        <v>-1</v>
      </c>
      <c r="AJ335" s="46" t="s">
        <v>680</v>
      </c>
      <c r="AK335" s="46">
        <v>0</v>
      </c>
      <c r="AL335" s="46" t="b">
        <v>0</v>
      </c>
      <c r="AM335" s="46">
        <v>1007.81</v>
      </c>
      <c r="AN335" s="46" t="b">
        <v>1</v>
      </c>
      <c r="AO335" s="46">
        <v>0</v>
      </c>
      <c r="AP335" s="46" t="b">
        <v>0</v>
      </c>
      <c r="AQ335" s="46">
        <v>4755.7830000000004</v>
      </c>
      <c r="AS335" s="46">
        <v>4755.7830000000004</v>
      </c>
      <c r="AT335" s="46">
        <v>6</v>
      </c>
      <c r="AU335" s="46" t="b">
        <v>1</v>
      </c>
      <c r="AV335" s="46" t="b">
        <v>0</v>
      </c>
    </row>
    <row r="336" spans="2:48">
      <c r="B336" s="46" t="s">
        <v>665</v>
      </c>
      <c r="C336" s="46" t="s">
        <v>666</v>
      </c>
      <c r="D336" s="46">
        <v>20231201</v>
      </c>
      <c r="E336" s="46">
        <v>2023</v>
      </c>
      <c r="F336" s="46">
        <v>12</v>
      </c>
      <c r="G336" s="46" t="s">
        <v>726</v>
      </c>
      <c r="H336" s="46">
        <v>818</v>
      </c>
      <c r="I336" s="46" t="s">
        <v>668</v>
      </c>
      <c r="J336" s="46" t="s">
        <v>57</v>
      </c>
      <c r="K336" s="46" t="s">
        <v>666</v>
      </c>
      <c r="L336" s="46" t="s">
        <v>669</v>
      </c>
      <c r="M336" s="46">
        <v>724</v>
      </c>
      <c r="N336" s="46" t="s">
        <v>684</v>
      </c>
      <c r="O336" s="46" t="s">
        <v>51</v>
      </c>
      <c r="P336" s="46">
        <v>0</v>
      </c>
      <c r="Q336" s="46" t="s">
        <v>670</v>
      </c>
      <c r="R336" s="46" t="s">
        <v>23</v>
      </c>
      <c r="S336" s="46" t="s">
        <v>671</v>
      </c>
      <c r="T336" s="46" t="s">
        <v>672</v>
      </c>
      <c r="U336" s="46" t="b">
        <v>1</v>
      </c>
      <c r="V336" s="46" t="s">
        <v>985</v>
      </c>
      <c r="W336" s="46" t="s">
        <v>984</v>
      </c>
      <c r="X336" s="46">
        <v>6</v>
      </c>
      <c r="Y336" s="46" t="b">
        <v>1</v>
      </c>
      <c r="Z336" s="46" t="s">
        <v>675</v>
      </c>
      <c r="AA336" s="46" t="s">
        <v>676</v>
      </c>
      <c r="AB336" s="46" t="s">
        <v>677</v>
      </c>
      <c r="AC336" s="46">
        <v>0</v>
      </c>
      <c r="AD336" s="46" t="s">
        <v>678</v>
      </c>
      <c r="AE336" s="46">
        <v>8</v>
      </c>
      <c r="AF336" s="46" t="s">
        <v>679</v>
      </c>
      <c r="AG336" s="46">
        <v>185778.22500000001</v>
      </c>
      <c r="AH336" s="46" t="b">
        <v>1</v>
      </c>
      <c r="AI336" s="46">
        <v>-1</v>
      </c>
      <c r="AJ336" s="46" t="s">
        <v>680</v>
      </c>
      <c r="AK336" s="46">
        <v>0</v>
      </c>
      <c r="AL336" s="46" t="b">
        <v>0</v>
      </c>
      <c r="AM336" s="46">
        <v>185778.22500000001</v>
      </c>
      <c r="AN336" s="46" t="b">
        <v>1</v>
      </c>
      <c r="AO336" s="46">
        <v>0</v>
      </c>
      <c r="AP336" s="46" t="b">
        <v>0</v>
      </c>
      <c r="AQ336" s="46">
        <v>876673.71299999999</v>
      </c>
      <c r="AS336" s="46">
        <v>876673.71299999999</v>
      </c>
      <c r="AT336" s="46">
        <v>6</v>
      </c>
      <c r="AU336" s="46" t="b">
        <v>1</v>
      </c>
      <c r="AV336" s="46" t="b">
        <v>0</v>
      </c>
    </row>
    <row r="337" spans="2:48">
      <c r="B337" s="46" t="s">
        <v>665</v>
      </c>
      <c r="C337" s="46" t="s">
        <v>666</v>
      </c>
      <c r="D337" s="46">
        <v>20231201</v>
      </c>
      <c r="E337" s="46">
        <v>2023</v>
      </c>
      <c r="F337" s="46">
        <v>12</v>
      </c>
      <c r="G337" s="46" t="s">
        <v>726</v>
      </c>
      <c r="H337" s="46">
        <v>818</v>
      </c>
      <c r="I337" s="46" t="s">
        <v>668</v>
      </c>
      <c r="J337" s="46" t="s">
        <v>57</v>
      </c>
      <c r="K337" s="46" t="s">
        <v>666</v>
      </c>
      <c r="L337" s="46" t="s">
        <v>669</v>
      </c>
      <c r="M337" s="46">
        <v>752</v>
      </c>
      <c r="N337" s="46" t="s">
        <v>1001</v>
      </c>
      <c r="O337" s="46" t="s">
        <v>68</v>
      </c>
      <c r="P337" s="46">
        <v>0</v>
      </c>
      <c r="Q337" s="46" t="s">
        <v>670</v>
      </c>
      <c r="R337" s="46" t="s">
        <v>23</v>
      </c>
      <c r="S337" s="46" t="s">
        <v>671</v>
      </c>
      <c r="T337" s="46" t="s">
        <v>672</v>
      </c>
      <c r="U337" s="46" t="b">
        <v>1</v>
      </c>
      <c r="V337" s="46" t="s">
        <v>985</v>
      </c>
      <c r="W337" s="46" t="s">
        <v>984</v>
      </c>
      <c r="X337" s="46">
        <v>6</v>
      </c>
      <c r="Y337" s="46" t="b">
        <v>1</v>
      </c>
      <c r="Z337" s="46" t="s">
        <v>675</v>
      </c>
      <c r="AA337" s="46" t="s">
        <v>676</v>
      </c>
      <c r="AB337" s="46" t="s">
        <v>677</v>
      </c>
      <c r="AC337" s="46">
        <v>0</v>
      </c>
      <c r="AD337" s="46" t="s">
        <v>678</v>
      </c>
      <c r="AE337" s="46">
        <v>8</v>
      </c>
      <c r="AF337" s="46" t="s">
        <v>679</v>
      </c>
      <c r="AG337" s="46">
        <v>1313.482</v>
      </c>
      <c r="AH337" s="46" t="b">
        <v>1</v>
      </c>
      <c r="AI337" s="46">
        <v>-1</v>
      </c>
      <c r="AJ337" s="46" t="s">
        <v>680</v>
      </c>
      <c r="AK337" s="46">
        <v>0</v>
      </c>
      <c r="AL337" s="46" t="b">
        <v>0</v>
      </c>
      <c r="AM337" s="46">
        <v>1313.482</v>
      </c>
      <c r="AN337" s="46" t="b">
        <v>1</v>
      </c>
      <c r="AO337" s="46">
        <v>0</v>
      </c>
      <c r="AP337" s="46" t="b">
        <v>0</v>
      </c>
      <c r="AQ337" s="46">
        <v>6198.2269999999999</v>
      </c>
      <c r="AS337" s="46">
        <v>6198.2269999999999</v>
      </c>
      <c r="AT337" s="46">
        <v>6</v>
      </c>
      <c r="AU337" s="46" t="b">
        <v>1</v>
      </c>
      <c r="AV337" s="46" t="b">
        <v>0</v>
      </c>
    </row>
    <row r="338" spans="2:48">
      <c r="B338" s="46" t="s">
        <v>665</v>
      </c>
      <c r="C338" s="46" t="s">
        <v>666</v>
      </c>
      <c r="D338" s="46">
        <v>20231201</v>
      </c>
      <c r="E338" s="46">
        <v>2023</v>
      </c>
      <c r="F338" s="46">
        <v>12</v>
      </c>
      <c r="G338" s="46" t="s">
        <v>726</v>
      </c>
      <c r="H338" s="46">
        <v>818</v>
      </c>
      <c r="I338" s="46" t="s">
        <v>668</v>
      </c>
      <c r="J338" s="46" t="s">
        <v>57</v>
      </c>
      <c r="K338" s="46" t="s">
        <v>666</v>
      </c>
      <c r="L338" s="46" t="s">
        <v>669</v>
      </c>
      <c r="M338" s="46">
        <v>764</v>
      </c>
      <c r="N338" s="46" t="s">
        <v>749</v>
      </c>
      <c r="O338" s="46" t="s">
        <v>55</v>
      </c>
      <c r="P338" s="46">
        <v>0</v>
      </c>
      <c r="Q338" s="46" t="s">
        <v>670</v>
      </c>
      <c r="R338" s="46" t="s">
        <v>23</v>
      </c>
      <c r="S338" s="46" t="s">
        <v>671</v>
      </c>
      <c r="T338" s="46" t="s">
        <v>672</v>
      </c>
      <c r="U338" s="46" t="b">
        <v>1</v>
      </c>
      <c r="V338" s="46" t="s">
        <v>985</v>
      </c>
      <c r="W338" s="46" t="s">
        <v>984</v>
      </c>
      <c r="X338" s="46">
        <v>6</v>
      </c>
      <c r="Y338" s="46" t="b">
        <v>1</v>
      </c>
      <c r="Z338" s="46" t="s">
        <v>675</v>
      </c>
      <c r="AA338" s="46" t="s">
        <v>676</v>
      </c>
      <c r="AB338" s="46" t="s">
        <v>677</v>
      </c>
      <c r="AC338" s="46">
        <v>0</v>
      </c>
      <c r="AD338" s="46" t="s">
        <v>678</v>
      </c>
      <c r="AE338" s="46">
        <v>8</v>
      </c>
      <c r="AF338" s="46" t="s">
        <v>679</v>
      </c>
      <c r="AG338" s="46">
        <v>1849.68</v>
      </c>
      <c r="AH338" s="46" t="b">
        <v>1</v>
      </c>
      <c r="AI338" s="46">
        <v>-1</v>
      </c>
      <c r="AJ338" s="46" t="s">
        <v>680</v>
      </c>
      <c r="AK338" s="46">
        <v>0</v>
      </c>
      <c r="AL338" s="46" t="b">
        <v>0</v>
      </c>
      <c r="AM338" s="46">
        <v>1849.68</v>
      </c>
      <c r="AN338" s="46" t="b">
        <v>1</v>
      </c>
      <c r="AO338" s="46">
        <v>0</v>
      </c>
      <c r="AP338" s="46" t="b">
        <v>0</v>
      </c>
      <c r="AQ338" s="46">
        <v>8728.5030000000006</v>
      </c>
      <c r="AS338" s="46">
        <v>8728.5030000000006</v>
      </c>
      <c r="AT338" s="46">
        <v>6</v>
      </c>
      <c r="AU338" s="46" t="b">
        <v>1</v>
      </c>
      <c r="AV338" s="46" t="b">
        <v>0</v>
      </c>
    </row>
    <row r="339" spans="2:48">
      <c r="B339" s="46" t="s">
        <v>665</v>
      </c>
      <c r="C339" s="46" t="s">
        <v>666</v>
      </c>
      <c r="D339" s="46">
        <v>20231201</v>
      </c>
      <c r="E339" s="46">
        <v>2023</v>
      </c>
      <c r="F339" s="46">
        <v>12</v>
      </c>
      <c r="G339" s="46" t="s">
        <v>726</v>
      </c>
      <c r="H339" s="46">
        <v>818</v>
      </c>
      <c r="I339" s="46" t="s">
        <v>668</v>
      </c>
      <c r="J339" s="46" t="s">
        <v>57</v>
      </c>
      <c r="K339" s="46" t="s">
        <v>666</v>
      </c>
      <c r="L339" s="46" t="s">
        <v>669</v>
      </c>
      <c r="M339" s="46">
        <v>784</v>
      </c>
      <c r="N339" s="46" t="s">
        <v>694</v>
      </c>
      <c r="O339" s="46" t="s">
        <v>25</v>
      </c>
      <c r="P339" s="46">
        <v>0</v>
      </c>
      <c r="Q339" s="46" t="s">
        <v>670</v>
      </c>
      <c r="R339" s="46" t="s">
        <v>23</v>
      </c>
      <c r="S339" s="46" t="s">
        <v>671</v>
      </c>
      <c r="T339" s="46" t="s">
        <v>672</v>
      </c>
      <c r="U339" s="46" t="b">
        <v>1</v>
      </c>
      <c r="V339" s="46" t="s">
        <v>985</v>
      </c>
      <c r="W339" s="46" t="s">
        <v>984</v>
      </c>
      <c r="X339" s="46">
        <v>6</v>
      </c>
      <c r="Y339" s="46" t="b">
        <v>1</v>
      </c>
      <c r="Z339" s="46" t="s">
        <v>675</v>
      </c>
      <c r="AA339" s="46" t="s">
        <v>676</v>
      </c>
      <c r="AB339" s="46" t="s">
        <v>677</v>
      </c>
      <c r="AC339" s="46">
        <v>0</v>
      </c>
      <c r="AD339" s="46" t="s">
        <v>678</v>
      </c>
      <c r="AE339" s="46">
        <v>8</v>
      </c>
      <c r="AF339" s="46" t="s">
        <v>679</v>
      </c>
      <c r="AG339" s="46">
        <v>63631.866000000002</v>
      </c>
      <c r="AH339" s="46" t="b">
        <v>1</v>
      </c>
      <c r="AI339" s="46">
        <v>-1</v>
      </c>
      <c r="AJ339" s="46" t="s">
        <v>680</v>
      </c>
      <c r="AK339" s="46">
        <v>0</v>
      </c>
      <c r="AL339" s="46" t="b">
        <v>0</v>
      </c>
      <c r="AM339" s="46">
        <v>63631.866000000002</v>
      </c>
      <c r="AN339" s="46" t="b">
        <v>1</v>
      </c>
      <c r="AO339" s="46">
        <v>0</v>
      </c>
      <c r="AP339" s="46" t="b">
        <v>0</v>
      </c>
      <c r="AQ339" s="46">
        <v>300274.07400000002</v>
      </c>
      <c r="AS339" s="46">
        <v>300274.07400000002</v>
      </c>
      <c r="AT339" s="46">
        <v>6</v>
      </c>
      <c r="AU339" s="46" t="b">
        <v>1</v>
      </c>
      <c r="AV339" s="46" t="b">
        <v>0</v>
      </c>
    </row>
    <row r="340" spans="2:48">
      <c r="B340" s="46" t="s">
        <v>665</v>
      </c>
      <c r="C340" s="46" t="s">
        <v>666</v>
      </c>
      <c r="D340" s="46">
        <v>20231201</v>
      </c>
      <c r="E340" s="46">
        <v>2023</v>
      </c>
      <c r="F340" s="46">
        <v>12</v>
      </c>
      <c r="G340" s="46" t="s">
        <v>726</v>
      </c>
      <c r="H340" s="46">
        <v>818</v>
      </c>
      <c r="I340" s="46" t="s">
        <v>668</v>
      </c>
      <c r="J340" s="46" t="s">
        <v>57</v>
      </c>
      <c r="K340" s="46" t="s">
        <v>666</v>
      </c>
      <c r="L340" s="46" t="s">
        <v>669</v>
      </c>
      <c r="M340" s="46">
        <v>792</v>
      </c>
      <c r="N340" s="46" t="s">
        <v>691</v>
      </c>
      <c r="O340" s="46" t="s">
        <v>63</v>
      </c>
      <c r="P340" s="46">
        <v>0</v>
      </c>
      <c r="Q340" s="46" t="s">
        <v>670</v>
      </c>
      <c r="R340" s="46" t="s">
        <v>23</v>
      </c>
      <c r="S340" s="46" t="s">
        <v>671</v>
      </c>
      <c r="T340" s="46" t="s">
        <v>672</v>
      </c>
      <c r="U340" s="46" t="b">
        <v>1</v>
      </c>
      <c r="V340" s="46" t="s">
        <v>985</v>
      </c>
      <c r="W340" s="46" t="s">
        <v>984</v>
      </c>
      <c r="X340" s="46">
        <v>6</v>
      </c>
      <c r="Y340" s="46" t="b">
        <v>1</v>
      </c>
      <c r="Z340" s="46" t="s">
        <v>675</v>
      </c>
      <c r="AA340" s="46" t="s">
        <v>676</v>
      </c>
      <c r="AB340" s="46" t="s">
        <v>677</v>
      </c>
      <c r="AC340" s="46">
        <v>0</v>
      </c>
      <c r="AD340" s="46" t="s">
        <v>678</v>
      </c>
      <c r="AE340" s="46">
        <v>8</v>
      </c>
      <c r="AF340" s="46" t="s">
        <v>679</v>
      </c>
      <c r="AG340" s="46">
        <v>177095.59099999999</v>
      </c>
      <c r="AH340" s="46" t="b">
        <v>1</v>
      </c>
      <c r="AI340" s="46">
        <v>-1</v>
      </c>
      <c r="AJ340" s="46" t="s">
        <v>680</v>
      </c>
      <c r="AK340" s="46">
        <v>0</v>
      </c>
      <c r="AL340" s="46" t="b">
        <v>0</v>
      </c>
      <c r="AM340" s="46">
        <v>177095.59099999999</v>
      </c>
      <c r="AN340" s="46" t="b">
        <v>1</v>
      </c>
      <c r="AO340" s="46">
        <v>0</v>
      </c>
      <c r="AP340" s="46" t="b">
        <v>0</v>
      </c>
      <c r="AQ340" s="46">
        <v>835701.00300000003</v>
      </c>
      <c r="AS340" s="46">
        <v>835701.00300000003</v>
      </c>
      <c r="AT340" s="46">
        <v>6</v>
      </c>
      <c r="AU340" s="46" t="b">
        <v>1</v>
      </c>
      <c r="AV340" s="46" t="b">
        <v>0</v>
      </c>
    </row>
    <row r="341" spans="2:48">
      <c r="B341" s="46" t="s">
        <v>665</v>
      </c>
      <c r="C341" s="46" t="s">
        <v>666</v>
      </c>
      <c r="D341" s="46">
        <v>20231201</v>
      </c>
      <c r="E341" s="46">
        <v>2023</v>
      </c>
      <c r="F341" s="46">
        <v>12</v>
      </c>
      <c r="G341" s="46" t="s">
        <v>726</v>
      </c>
      <c r="H341" s="46">
        <v>818</v>
      </c>
      <c r="I341" s="46" t="s">
        <v>668</v>
      </c>
      <c r="J341" s="46" t="s">
        <v>57</v>
      </c>
      <c r="K341" s="46" t="s">
        <v>666</v>
      </c>
      <c r="L341" s="46" t="s">
        <v>669</v>
      </c>
      <c r="M341" s="46">
        <v>804</v>
      </c>
      <c r="N341" s="46" t="s">
        <v>1005</v>
      </c>
      <c r="O341" s="46" t="s">
        <v>110</v>
      </c>
      <c r="P341" s="46">
        <v>0</v>
      </c>
      <c r="Q341" s="46" t="s">
        <v>670</v>
      </c>
      <c r="R341" s="46" t="s">
        <v>23</v>
      </c>
      <c r="S341" s="46" t="s">
        <v>671</v>
      </c>
      <c r="T341" s="46" t="s">
        <v>672</v>
      </c>
      <c r="U341" s="46" t="b">
        <v>1</v>
      </c>
      <c r="V341" s="46" t="s">
        <v>985</v>
      </c>
      <c r="W341" s="46" t="s">
        <v>984</v>
      </c>
      <c r="X341" s="46">
        <v>6</v>
      </c>
      <c r="Y341" s="46" t="b">
        <v>1</v>
      </c>
      <c r="Z341" s="46" t="s">
        <v>675</v>
      </c>
      <c r="AA341" s="46" t="s">
        <v>676</v>
      </c>
      <c r="AB341" s="46" t="s">
        <v>677</v>
      </c>
      <c r="AC341" s="46">
        <v>0</v>
      </c>
      <c r="AD341" s="46" t="s">
        <v>678</v>
      </c>
      <c r="AE341" s="46">
        <v>8</v>
      </c>
      <c r="AF341" s="46" t="s">
        <v>679</v>
      </c>
      <c r="AG341" s="46">
        <v>18317.728999999999</v>
      </c>
      <c r="AH341" s="46" t="b">
        <v>1</v>
      </c>
      <c r="AI341" s="46">
        <v>-1</v>
      </c>
      <c r="AJ341" s="46" t="s">
        <v>680</v>
      </c>
      <c r="AK341" s="46">
        <v>0</v>
      </c>
      <c r="AL341" s="46" t="b">
        <v>0</v>
      </c>
      <c r="AM341" s="46">
        <v>18317.728999999999</v>
      </c>
      <c r="AN341" s="46" t="b">
        <v>1</v>
      </c>
      <c r="AO341" s="46">
        <v>0</v>
      </c>
      <c r="AP341" s="46" t="b">
        <v>0</v>
      </c>
      <c r="AQ341" s="46">
        <v>86440.008000000002</v>
      </c>
      <c r="AS341" s="46">
        <v>86440.008000000002</v>
      </c>
      <c r="AT341" s="46">
        <v>6</v>
      </c>
      <c r="AU341" s="46" t="b">
        <v>1</v>
      </c>
      <c r="AV341" s="46" t="b">
        <v>0</v>
      </c>
    </row>
    <row r="342" spans="2:48">
      <c r="B342" s="46" t="s">
        <v>665</v>
      </c>
      <c r="C342" s="46" t="s">
        <v>666</v>
      </c>
      <c r="D342" s="46">
        <v>20231201</v>
      </c>
      <c r="E342" s="46">
        <v>2023</v>
      </c>
      <c r="F342" s="46">
        <v>12</v>
      </c>
      <c r="G342" s="46" t="s">
        <v>726</v>
      </c>
      <c r="H342" s="46">
        <v>818</v>
      </c>
      <c r="I342" s="46" t="s">
        <v>668</v>
      </c>
      <c r="J342" s="46" t="s">
        <v>57</v>
      </c>
      <c r="K342" s="46" t="s">
        <v>666</v>
      </c>
      <c r="L342" s="46" t="s">
        <v>669</v>
      </c>
      <c r="M342" s="46">
        <v>826</v>
      </c>
      <c r="N342" s="46" t="s">
        <v>685</v>
      </c>
      <c r="O342" s="46" t="s">
        <v>64</v>
      </c>
      <c r="P342" s="46">
        <v>0</v>
      </c>
      <c r="Q342" s="46" t="s">
        <v>670</v>
      </c>
      <c r="R342" s="46" t="s">
        <v>23</v>
      </c>
      <c r="S342" s="46" t="s">
        <v>671</v>
      </c>
      <c r="T342" s="46" t="s">
        <v>672</v>
      </c>
      <c r="U342" s="46" t="b">
        <v>1</v>
      </c>
      <c r="V342" s="46" t="s">
        <v>985</v>
      </c>
      <c r="W342" s="46" t="s">
        <v>984</v>
      </c>
      <c r="X342" s="46">
        <v>6</v>
      </c>
      <c r="Y342" s="46" t="b">
        <v>1</v>
      </c>
      <c r="Z342" s="46" t="s">
        <v>675</v>
      </c>
      <c r="AA342" s="46" t="s">
        <v>676</v>
      </c>
      <c r="AB342" s="46" t="s">
        <v>677</v>
      </c>
      <c r="AC342" s="46">
        <v>0</v>
      </c>
      <c r="AD342" s="46" t="s">
        <v>678</v>
      </c>
      <c r="AE342" s="46">
        <v>8</v>
      </c>
      <c r="AF342" s="46" t="s">
        <v>679</v>
      </c>
      <c r="AG342" s="46">
        <v>29096.240000000002</v>
      </c>
      <c r="AH342" s="46" t="b">
        <v>1</v>
      </c>
      <c r="AI342" s="46">
        <v>-1</v>
      </c>
      <c r="AJ342" s="46" t="s">
        <v>680</v>
      </c>
      <c r="AK342" s="46">
        <v>0</v>
      </c>
      <c r="AL342" s="46" t="b">
        <v>0</v>
      </c>
      <c r="AM342" s="46">
        <v>29096.240000000002</v>
      </c>
      <c r="AN342" s="46" t="b">
        <v>1</v>
      </c>
      <c r="AO342" s="46">
        <v>0</v>
      </c>
      <c r="AP342" s="46" t="b">
        <v>0</v>
      </c>
      <c r="AQ342" s="46">
        <v>137303.00700000001</v>
      </c>
      <c r="AS342" s="46">
        <v>137303.00700000001</v>
      </c>
      <c r="AT342" s="46">
        <v>6</v>
      </c>
      <c r="AU342" s="46" t="b">
        <v>1</v>
      </c>
      <c r="AV342" s="46" t="b">
        <v>0</v>
      </c>
    </row>
    <row r="343" spans="2:48">
      <c r="B343" s="46" t="s">
        <v>665</v>
      </c>
      <c r="C343" s="46" t="s">
        <v>666</v>
      </c>
      <c r="D343" s="46">
        <v>20231201</v>
      </c>
      <c r="E343" s="46">
        <v>2023</v>
      </c>
      <c r="F343" s="46">
        <v>12</v>
      </c>
      <c r="G343" s="46" t="s">
        <v>726</v>
      </c>
      <c r="H343" s="46">
        <v>818</v>
      </c>
      <c r="I343" s="46" t="s">
        <v>668</v>
      </c>
      <c r="J343" s="46" t="s">
        <v>57</v>
      </c>
      <c r="K343" s="46" t="s">
        <v>666</v>
      </c>
      <c r="L343" s="46" t="s">
        <v>669</v>
      </c>
      <c r="M343" s="46">
        <v>842</v>
      </c>
      <c r="N343" s="46" t="s">
        <v>713</v>
      </c>
      <c r="O343" s="46" t="s">
        <v>713</v>
      </c>
      <c r="P343" s="46">
        <v>0</v>
      </c>
      <c r="Q343" s="46" t="s">
        <v>670</v>
      </c>
      <c r="R343" s="46" t="s">
        <v>23</v>
      </c>
      <c r="S343" s="46" t="s">
        <v>671</v>
      </c>
      <c r="T343" s="46" t="s">
        <v>672</v>
      </c>
      <c r="U343" s="46" t="b">
        <v>1</v>
      </c>
      <c r="V343" s="46" t="s">
        <v>985</v>
      </c>
      <c r="W343" s="46" t="s">
        <v>984</v>
      </c>
      <c r="X343" s="46">
        <v>6</v>
      </c>
      <c r="Y343" s="46" t="b">
        <v>1</v>
      </c>
      <c r="Z343" s="46" t="s">
        <v>675</v>
      </c>
      <c r="AA343" s="46" t="s">
        <v>676</v>
      </c>
      <c r="AB343" s="46" t="s">
        <v>677</v>
      </c>
      <c r="AC343" s="46">
        <v>0</v>
      </c>
      <c r="AD343" s="46" t="s">
        <v>678</v>
      </c>
      <c r="AE343" s="46">
        <v>8</v>
      </c>
      <c r="AF343" s="46" t="s">
        <v>679</v>
      </c>
      <c r="AG343" s="46">
        <v>303186.14600000001</v>
      </c>
      <c r="AH343" s="46" t="b">
        <v>1</v>
      </c>
      <c r="AI343" s="46">
        <v>-1</v>
      </c>
      <c r="AJ343" s="46" t="s">
        <v>680</v>
      </c>
      <c r="AK343" s="46">
        <v>0</v>
      </c>
      <c r="AL343" s="46" t="b">
        <v>0</v>
      </c>
      <c r="AM343" s="46">
        <v>303186.14600000001</v>
      </c>
      <c r="AN343" s="46" t="b">
        <v>1</v>
      </c>
      <c r="AO343" s="46">
        <v>0</v>
      </c>
      <c r="AP343" s="46" t="b">
        <v>0</v>
      </c>
      <c r="AQ343" s="46">
        <v>1430713.0120000001</v>
      </c>
      <c r="AS343" s="46">
        <v>1430713.0120000001</v>
      </c>
      <c r="AT343" s="46">
        <v>6</v>
      </c>
      <c r="AU343" s="46" t="b">
        <v>1</v>
      </c>
      <c r="AV343" s="46" t="b">
        <v>0</v>
      </c>
    </row>
    <row r="344" spans="2:48">
      <c r="B344" s="46" t="s">
        <v>665</v>
      </c>
      <c r="C344" s="46" t="s">
        <v>666</v>
      </c>
      <c r="D344" s="46">
        <v>20240601</v>
      </c>
      <c r="E344" s="46">
        <v>2024</v>
      </c>
      <c r="F344" s="46">
        <v>6</v>
      </c>
      <c r="G344" s="46" t="s">
        <v>700</v>
      </c>
      <c r="H344" s="46">
        <v>818</v>
      </c>
      <c r="I344" s="46" t="s">
        <v>668</v>
      </c>
      <c r="J344" s="46" t="s">
        <v>57</v>
      </c>
      <c r="K344" s="46" t="s">
        <v>666</v>
      </c>
      <c r="L344" s="46" t="s">
        <v>669</v>
      </c>
      <c r="M344" s="46">
        <v>0</v>
      </c>
      <c r="N344" s="46" t="s">
        <v>670</v>
      </c>
      <c r="O344" s="46" t="s">
        <v>23</v>
      </c>
      <c r="P344" s="46">
        <v>0</v>
      </c>
      <c r="Q344" s="46" t="s">
        <v>670</v>
      </c>
      <c r="R344" s="46" t="s">
        <v>23</v>
      </c>
      <c r="S344" s="46" t="s">
        <v>671</v>
      </c>
      <c r="T344" s="46" t="s">
        <v>672</v>
      </c>
      <c r="U344" s="46" t="b">
        <v>1</v>
      </c>
      <c r="V344" s="46" t="s">
        <v>985</v>
      </c>
      <c r="W344" s="46" t="s">
        <v>984</v>
      </c>
      <c r="X344" s="46">
        <v>6</v>
      </c>
      <c r="Y344" s="46" t="b">
        <v>1</v>
      </c>
      <c r="Z344" s="46" t="s">
        <v>675</v>
      </c>
      <c r="AA344" s="46" t="s">
        <v>676</v>
      </c>
      <c r="AB344" s="46" t="s">
        <v>677</v>
      </c>
      <c r="AC344" s="46">
        <v>0</v>
      </c>
      <c r="AD344" s="46" t="s">
        <v>678</v>
      </c>
      <c r="AE344" s="46">
        <v>8</v>
      </c>
      <c r="AF344" s="46" t="s">
        <v>679</v>
      </c>
      <c r="AG344" s="46">
        <v>3292348.682</v>
      </c>
      <c r="AH344" s="46" t="b">
        <v>1</v>
      </c>
      <c r="AI344" s="46">
        <v>-1</v>
      </c>
      <c r="AJ344" s="46" t="s">
        <v>680</v>
      </c>
      <c r="AK344" s="46">
        <v>0</v>
      </c>
      <c r="AL344" s="46" t="b">
        <v>0</v>
      </c>
      <c r="AM344" s="46">
        <v>3292348.682</v>
      </c>
      <c r="AN344" s="46" t="b">
        <v>1</v>
      </c>
      <c r="AO344" s="46">
        <v>0</v>
      </c>
      <c r="AP344" s="46" t="b">
        <v>0</v>
      </c>
      <c r="AQ344" s="46">
        <v>15536350.069</v>
      </c>
      <c r="AS344" s="46">
        <v>15536350.069</v>
      </c>
      <c r="AT344" s="46">
        <v>6</v>
      </c>
      <c r="AU344" s="46" t="b">
        <v>0</v>
      </c>
      <c r="AV344" s="46" t="b">
        <v>1</v>
      </c>
    </row>
    <row r="345" spans="2:48">
      <c r="B345" s="46" t="s">
        <v>665</v>
      </c>
      <c r="C345" s="46" t="s">
        <v>666</v>
      </c>
      <c r="D345" s="46">
        <v>20240301</v>
      </c>
      <c r="E345" s="46">
        <v>2024</v>
      </c>
      <c r="F345" s="46">
        <v>3</v>
      </c>
      <c r="G345" s="46" t="s">
        <v>692</v>
      </c>
      <c r="H345" s="46">
        <v>818</v>
      </c>
      <c r="I345" s="46" t="s">
        <v>668</v>
      </c>
      <c r="J345" s="46" t="s">
        <v>57</v>
      </c>
      <c r="K345" s="46" t="s">
        <v>666</v>
      </c>
      <c r="L345" s="46" t="s">
        <v>669</v>
      </c>
      <c r="M345" s="46">
        <v>36</v>
      </c>
      <c r="N345" s="46" t="s">
        <v>765</v>
      </c>
      <c r="O345" s="46" t="s">
        <v>24</v>
      </c>
      <c r="P345" s="46">
        <v>0</v>
      </c>
      <c r="Q345" s="46" t="s">
        <v>670</v>
      </c>
      <c r="R345" s="46" t="s">
        <v>23</v>
      </c>
      <c r="S345" s="46" t="s">
        <v>671</v>
      </c>
      <c r="T345" s="46" t="s">
        <v>672</v>
      </c>
      <c r="U345" s="46" t="b">
        <v>1</v>
      </c>
      <c r="V345" s="46" t="s">
        <v>985</v>
      </c>
      <c r="W345" s="46" t="s">
        <v>984</v>
      </c>
      <c r="X345" s="46">
        <v>6</v>
      </c>
      <c r="Y345" s="46" t="b">
        <v>1</v>
      </c>
      <c r="Z345" s="46" t="s">
        <v>675</v>
      </c>
      <c r="AA345" s="46" t="s">
        <v>676</v>
      </c>
      <c r="AB345" s="46" t="s">
        <v>677</v>
      </c>
      <c r="AC345" s="46">
        <v>0</v>
      </c>
      <c r="AD345" s="46" t="s">
        <v>678</v>
      </c>
      <c r="AE345" s="46">
        <v>8</v>
      </c>
      <c r="AF345" s="46" t="s">
        <v>679</v>
      </c>
      <c r="AG345" s="46">
        <v>1259.6389999999999</v>
      </c>
      <c r="AH345" s="46" t="b">
        <v>1</v>
      </c>
      <c r="AI345" s="46">
        <v>-1</v>
      </c>
      <c r="AJ345" s="46" t="s">
        <v>680</v>
      </c>
      <c r="AK345" s="46">
        <v>0</v>
      </c>
      <c r="AL345" s="46" t="b">
        <v>0</v>
      </c>
      <c r="AM345" s="46">
        <v>1259.6389999999999</v>
      </c>
      <c r="AN345" s="46" t="b">
        <v>1</v>
      </c>
      <c r="AO345" s="46">
        <v>0</v>
      </c>
      <c r="AP345" s="46" t="b">
        <v>0</v>
      </c>
      <c r="AQ345" s="46">
        <v>5944.1440000000002</v>
      </c>
      <c r="AS345" s="46">
        <v>5944.1440000000002</v>
      </c>
      <c r="AT345" s="46">
        <v>6</v>
      </c>
      <c r="AU345" s="46" t="b">
        <v>1</v>
      </c>
      <c r="AV345" s="46" t="b">
        <v>0</v>
      </c>
    </row>
    <row r="346" spans="2:48">
      <c r="B346" s="46" t="s">
        <v>665</v>
      </c>
      <c r="C346" s="46" t="s">
        <v>666</v>
      </c>
      <c r="D346" s="46">
        <v>20240601</v>
      </c>
      <c r="E346" s="46">
        <v>2024</v>
      </c>
      <c r="F346" s="46">
        <v>6</v>
      </c>
      <c r="G346" s="46" t="s">
        <v>700</v>
      </c>
      <c r="H346" s="46">
        <v>818</v>
      </c>
      <c r="I346" s="46" t="s">
        <v>668</v>
      </c>
      <c r="J346" s="46" t="s">
        <v>57</v>
      </c>
      <c r="K346" s="46" t="s">
        <v>666</v>
      </c>
      <c r="L346" s="46" t="s">
        <v>669</v>
      </c>
      <c r="M346" s="46">
        <v>40</v>
      </c>
      <c r="N346" s="46" t="s">
        <v>750</v>
      </c>
      <c r="O346" s="46" t="s">
        <v>43</v>
      </c>
      <c r="P346" s="46">
        <v>0</v>
      </c>
      <c r="Q346" s="46" t="s">
        <v>670</v>
      </c>
      <c r="R346" s="46" t="s">
        <v>23</v>
      </c>
      <c r="S346" s="46" t="s">
        <v>671</v>
      </c>
      <c r="T346" s="46" t="s">
        <v>672</v>
      </c>
      <c r="U346" s="46" t="b">
        <v>1</v>
      </c>
      <c r="V346" s="46" t="s">
        <v>985</v>
      </c>
      <c r="W346" s="46" t="s">
        <v>984</v>
      </c>
      <c r="X346" s="46">
        <v>6</v>
      </c>
      <c r="Y346" s="46" t="b">
        <v>1</v>
      </c>
      <c r="Z346" s="46" t="s">
        <v>675</v>
      </c>
      <c r="AA346" s="46" t="s">
        <v>676</v>
      </c>
      <c r="AB346" s="46" t="s">
        <v>677</v>
      </c>
      <c r="AC346" s="46">
        <v>0</v>
      </c>
      <c r="AD346" s="46" t="s">
        <v>678</v>
      </c>
      <c r="AE346" s="46">
        <v>8</v>
      </c>
      <c r="AF346" s="46" t="s">
        <v>679</v>
      </c>
      <c r="AG346" s="46">
        <v>4953.6769999999997</v>
      </c>
      <c r="AH346" s="46" t="b">
        <v>1</v>
      </c>
      <c r="AI346" s="46">
        <v>-1</v>
      </c>
      <c r="AJ346" s="46" t="s">
        <v>680</v>
      </c>
      <c r="AK346" s="46">
        <v>0</v>
      </c>
      <c r="AL346" s="46" t="b">
        <v>0</v>
      </c>
      <c r="AM346" s="46">
        <v>4953.6769999999997</v>
      </c>
      <c r="AN346" s="46" t="b">
        <v>1</v>
      </c>
      <c r="AO346" s="46">
        <v>0</v>
      </c>
      <c r="AP346" s="46" t="b">
        <v>0</v>
      </c>
      <c r="AQ346" s="46">
        <v>23376.034</v>
      </c>
      <c r="AS346" s="46">
        <v>23376.034</v>
      </c>
      <c r="AT346" s="46">
        <v>6</v>
      </c>
      <c r="AU346" s="46" t="b">
        <v>1</v>
      </c>
      <c r="AV346" s="46" t="b">
        <v>0</v>
      </c>
    </row>
    <row r="347" spans="2:48">
      <c r="B347" s="46" t="s">
        <v>665</v>
      </c>
      <c r="C347" s="46" t="s">
        <v>666</v>
      </c>
      <c r="D347" s="46">
        <v>20240101</v>
      </c>
      <c r="E347" s="46">
        <v>2024</v>
      </c>
      <c r="F347" s="46">
        <v>1</v>
      </c>
      <c r="G347" s="46" t="s">
        <v>667</v>
      </c>
      <c r="H347" s="46">
        <v>818</v>
      </c>
      <c r="I347" s="46" t="s">
        <v>668</v>
      </c>
      <c r="J347" s="46" t="s">
        <v>57</v>
      </c>
      <c r="K347" s="46" t="s">
        <v>666</v>
      </c>
      <c r="L347" s="46" t="s">
        <v>669</v>
      </c>
      <c r="M347" s="46">
        <v>56</v>
      </c>
      <c r="N347" s="46" t="s">
        <v>696</v>
      </c>
      <c r="O347" s="46" t="s">
        <v>74</v>
      </c>
      <c r="P347" s="46">
        <v>0</v>
      </c>
      <c r="Q347" s="46" t="s">
        <v>670</v>
      </c>
      <c r="R347" s="46" t="s">
        <v>23</v>
      </c>
      <c r="S347" s="46" t="s">
        <v>671</v>
      </c>
      <c r="T347" s="46" t="s">
        <v>672</v>
      </c>
      <c r="U347" s="46" t="b">
        <v>1</v>
      </c>
      <c r="V347" s="46" t="s">
        <v>985</v>
      </c>
      <c r="W347" s="46" t="s">
        <v>984</v>
      </c>
      <c r="X347" s="46">
        <v>6</v>
      </c>
      <c r="Y347" s="46" t="b">
        <v>1</v>
      </c>
      <c r="Z347" s="46" t="s">
        <v>675</v>
      </c>
      <c r="AA347" s="46" t="s">
        <v>676</v>
      </c>
      <c r="AB347" s="46" t="s">
        <v>677</v>
      </c>
      <c r="AC347" s="46">
        <v>0</v>
      </c>
      <c r="AD347" s="46" t="s">
        <v>678</v>
      </c>
      <c r="AE347" s="46">
        <v>8</v>
      </c>
      <c r="AF347" s="46" t="s">
        <v>679</v>
      </c>
      <c r="AG347" s="46">
        <v>57877.538</v>
      </c>
      <c r="AH347" s="46" t="b">
        <v>1</v>
      </c>
      <c r="AI347" s="46">
        <v>-1</v>
      </c>
      <c r="AJ347" s="46" t="s">
        <v>680</v>
      </c>
      <c r="AK347" s="46">
        <v>0</v>
      </c>
      <c r="AL347" s="46" t="b">
        <v>0</v>
      </c>
      <c r="AM347" s="46">
        <v>57877.538</v>
      </c>
      <c r="AN347" s="46" t="b">
        <v>1</v>
      </c>
      <c r="AO347" s="46">
        <v>0</v>
      </c>
      <c r="AP347" s="46" t="b">
        <v>0</v>
      </c>
      <c r="AQ347" s="46">
        <v>273119.82400000002</v>
      </c>
      <c r="AS347" s="46">
        <v>273119.82400000002</v>
      </c>
      <c r="AT347" s="46">
        <v>6</v>
      </c>
      <c r="AU347" s="46" t="b">
        <v>1</v>
      </c>
      <c r="AV347" s="46" t="b">
        <v>0</v>
      </c>
    </row>
    <row r="348" spans="2:48">
      <c r="B348" s="46" t="s">
        <v>665</v>
      </c>
      <c r="C348" s="46" t="s">
        <v>666</v>
      </c>
      <c r="D348" s="46">
        <v>20240201</v>
      </c>
      <c r="E348" s="46">
        <v>2024</v>
      </c>
      <c r="F348" s="46">
        <v>2</v>
      </c>
      <c r="G348" s="46" t="s">
        <v>687</v>
      </c>
      <c r="H348" s="46">
        <v>818</v>
      </c>
      <c r="I348" s="46" t="s">
        <v>668</v>
      </c>
      <c r="J348" s="46" t="s">
        <v>57</v>
      </c>
      <c r="K348" s="46" t="s">
        <v>666</v>
      </c>
      <c r="L348" s="46" t="s">
        <v>669</v>
      </c>
      <c r="M348" s="46">
        <v>76</v>
      </c>
      <c r="N348" s="46" t="s">
        <v>987</v>
      </c>
      <c r="O348" s="46" t="s">
        <v>66</v>
      </c>
      <c r="P348" s="46">
        <v>0</v>
      </c>
      <c r="Q348" s="46" t="s">
        <v>670</v>
      </c>
      <c r="R348" s="46" t="s">
        <v>23</v>
      </c>
      <c r="S348" s="46" t="s">
        <v>671</v>
      </c>
      <c r="T348" s="46" t="s">
        <v>672</v>
      </c>
      <c r="U348" s="46" t="b">
        <v>1</v>
      </c>
      <c r="V348" s="46" t="s">
        <v>985</v>
      </c>
      <c r="W348" s="46" t="s">
        <v>984</v>
      </c>
      <c r="X348" s="46">
        <v>6</v>
      </c>
      <c r="Y348" s="46" t="b">
        <v>1</v>
      </c>
      <c r="Z348" s="46" t="s">
        <v>675</v>
      </c>
      <c r="AA348" s="46" t="s">
        <v>676</v>
      </c>
      <c r="AB348" s="46" t="s">
        <v>677</v>
      </c>
      <c r="AC348" s="46">
        <v>0</v>
      </c>
      <c r="AD348" s="46" t="s">
        <v>678</v>
      </c>
      <c r="AE348" s="46">
        <v>8</v>
      </c>
      <c r="AF348" s="46" t="s">
        <v>679</v>
      </c>
      <c r="AG348" s="46">
        <v>26806.948</v>
      </c>
      <c r="AH348" s="46" t="b">
        <v>1</v>
      </c>
      <c r="AI348" s="46">
        <v>-1</v>
      </c>
      <c r="AJ348" s="46" t="s">
        <v>680</v>
      </c>
      <c r="AK348" s="46">
        <v>0</v>
      </c>
      <c r="AL348" s="46" t="b">
        <v>0</v>
      </c>
      <c r="AM348" s="46">
        <v>26806.948</v>
      </c>
      <c r="AN348" s="46" t="b">
        <v>1</v>
      </c>
      <c r="AO348" s="46">
        <v>0</v>
      </c>
      <c r="AP348" s="46" t="b">
        <v>0</v>
      </c>
      <c r="AQ348" s="46">
        <v>126500.008</v>
      </c>
      <c r="AS348" s="46">
        <v>126500.008</v>
      </c>
      <c r="AT348" s="46">
        <v>6</v>
      </c>
      <c r="AU348" s="46" t="b">
        <v>1</v>
      </c>
      <c r="AV348" s="46" t="b">
        <v>0</v>
      </c>
    </row>
    <row r="349" spans="2:48">
      <c r="B349" s="46" t="s">
        <v>665</v>
      </c>
      <c r="C349" s="46" t="s">
        <v>666</v>
      </c>
      <c r="D349" s="46">
        <v>20240401</v>
      </c>
      <c r="E349" s="46">
        <v>2024</v>
      </c>
      <c r="F349" s="46">
        <v>4</v>
      </c>
      <c r="G349" s="46" t="s">
        <v>695</v>
      </c>
      <c r="H349" s="46">
        <v>818</v>
      </c>
      <c r="I349" s="46" t="s">
        <v>668</v>
      </c>
      <c r="J349" s="46" t="s">
        <v>57</v>
      </c>
      <c r="K349" s="46" t="s">
        <v>666</v>
      </c>
      <c r="L349" s="46" t="s">
        <v>669</v>
      </c>
      <c r="M349" s="46">
        <v>100</v>
      </c>
      <c r="N349" s="46" t="s">
        <v>705</v>
      </c>
      <c r="O349" s="46" t="s">
        <v>81</v>
      </c>
      <c r="P349" s="46">
        <v>0</v>
      </c>
      <c r="Q349" s="46" t="s">
        <v>670</v>
      </c>
      <c r="R349" s="46" t="s">
        <v>23</v>
      </c>
      <c r="S349" s="46" t="s">
        <v>671</v>
      </c>
      <c r="T349" s="46" t="s">
        <v>672</v>
      </c>
      <c r="U349" s="46" t="b">
        <v>1</v>
      </c>
      <c r="V349" s="46" t="s">
        <v>985</v>
      </c>
      <c r="W349" s="46" t="s">
        <v>984</v>
      </c>
      <c r="X349" s="46">
        <v>6</v>
      </c>
      <c r="Y349" s="46" t="b">
        <v>1</v>
      </c>
      <c r="Z349" s="46" t="s">
        <v>675</v>
      </c>
      <c r="AA349" s="46" t="s">
        <v>676</v>
      </c>
      <c r="AB349" s="46" t="s">
        <v>677</v>
      </c>
      <c r="AC349" s="46">
        <v>0</v>
      </c>
      <c r="AD349" s="46" t="s">
        <v>678</v>
      </c>
      <c r="AE349" s="46">
        <v>8</v>
      </c>
      <c r="AF349" s="46" t="s">
        <v>679</v>
      </c>
      <c r="AG349" s="46">
        <v>2011.5930000000001</v>
      </c>
      <c r="AH349" s="46" t="b">
        <v>1</v>
      </c>
      <c r="AI349" s="46">
        <v>-1</v>
      </c>
      <c r="AJ349" s="46" t="s">
        <v>680</v>
      </c>
      <c r="AK349" s="46">
        <v>0</v>
      </c>
      <c r="AL349" s="46" t="b">
        <v>0</v>
      </c>
      <c r="AM349" s="46">
        <v>2011.5930000000001</v>
      </c>
      <c r="AN349" s="46" t="b">
        <v>1</v>
      </c>
      <c r="AO349" s="46">
        <v>0</v>
      </c>
      <c r="AP349" s="46" t="b">
        <v>0</v>
      </c>
      <c r="AQ349" s="46">
        <v>9492.5570000000007</v>
      </c>
      <c r="AS349" s="46">
        <v>9492.5570000000007</v>
      </c>
      <c r="AT349" s="46">
        <v>6</v>
      </c>
      <c r="AU349" s="46" t="b">
        <v>1</v>
      </c>
      <c r="AV349" s="46" t="b">
        <v>0</v>
      </c>
    </row>
    <row r="350" spans="2:48">
      <c r="B350" s="46" t="s">
        <v>665</v>
      </c>
      <c r="C350" s="46" t="s">
        <v>666</v>
      </c>
      <c r="D350" s="46">
        <v>20240201</v>
      </c>
      <c r="E350" s="46">
        <v>2024</v>
      </c>
      <c r="F350" s="46">
        <v>2</v>
      </c>
      <c r="G350" s="46" t="s">
        <v>687</v>
      </c>
      <c r="H350" s="46">
        <v>818</v>
      </c>
      <c r="I350" s="46" t="s">
        <v>668</v>
      </c>
      <c r="J350" s="46" t="s">
        <v>57</v>
      </c>
      <c r="K350" s="46" t="s">
        <v>666</v>
      </c>
      <c r="L350" s="46" t="s">
        <v>669</v>
      </c>
      <c r="M350" s="46">
        <v>124</v>
      </c>
      <c r="N350" s="46" t="s">
        <v>1008</v>
      </c>
      <c r="O350" s="46" t="s">
        <v>70</v>
      </c>
      <c r="P350" s="46">
        <v>0</v>
      </c>
      <c r="Q350" s="46" t="s">
        <v>670</v>
      </c>
      <c r="R350" s="46" t="s">
        <v>23</v>
      </c>
      <c r="S350" s="46" t="s">
        <v>671</v>
      </c>
      <c r="T350" s="46" t="s">
        <v>672</v>
      </c>
      <c r="U350" s="46" t="b">
        <v>1</v>
      </c>
      <c r="V350" s="46" t="s">
        <v>985</v>
      </c>
      <c r="W350" s="46" t="s">
        <v>984</v>
      </c>
      <c r="X350" s="46">
        <v>6</v>
      </c>
      <c r="Y350" s="46" t="b">
        <v>1</v>
      </c>
      <c r="Z350" s="46" t="s">
        <v>675</v>
      </c>
      <c r="AA350" s="46" t="s">
        <v>676</v>
      </c>
      <c r="AB350" s="46" t="s">
        <v>677</v>
      </c>
      <c r="AC350" s="46">
        <v>0</v>
      </c>
      <c r="AD350" s="46" t="s">
        <v>678</v>
      </c>
      <c r="AE350" s="46">
        <v>8</v>
      </c>
      <c r="AF350" s="46" t="s">
        <v>679</v>
      </c>
      <c r="AG350" s="46">
        <v>1216.73</v>
      </c>
      <c r="AH350" s="46" t="b">
        <v>1</v>
      </c>
      <c r="AI350" s="46">
        <v>-1</v>
      </c>
      <c r="AJ350" s="46" t="s">
        <v>680</v>
      </c>
      <c r="AK350" s="46">
        <v>0</v>
      </c>
      <c r="AL350" s="46" t="b">
        <v>0</v>
      </c>
      <c r="AM350" s="46">
        <v>1216.73</v>
      </c>
      <c r="AN350" s="46" t="b">
        <v>1</v>
      </c>
      <c r="AO350" s="46">
        <v>0</v>
      </c>
      <c r="AP350" s="46" t="b">
        <v>0</v>
      </c>
      <c r="AQ350" s="46">
        <v>5741.6580000000004</v>
      </c>
      <c r="AS350" s="46">
        <v>5741.6580000000004</v>
      </c>
      <c r="AT350" s="46">
        <v>6</v>
      </c>
      <c r="AU350" s="46" t="b">
        <v>1</v>
      </c>
      <c r="AV350" s="46" t="b">
        <v>0</v>
      </c>
    </row>
    <row r="351" spans="2:48">
      <c r="B351" s="46" t="s">
        <v>665</v>
      </c>
      <c r="C351" s="46" t="s">
        <v>666</v>
      </c>
      <c r="D351" s="46">
        <v>20240401</v>
      </c>
      <c r="E351" s="46">
        <v>2024</v>
      </c>
      <c r="F351" s="46">
        <v>4</v>
      </c>
      <c r="G351" s="46" t="s">
        <v>695</v>
      </c>
      <c r="H351" s="46">
        <v>818</v>
      </c>
      <c r="I351" s="46" t="s">
        <v>668</v>
      </c>
      <c r="J351" s="46" t="s">
        <v>57</v>
      </c>
      <c r="K351" s="46" t="s">
        <v>666</v>
      </c>
      <c r="L351" s="46" t="s">
        <v>669</v>
      </c>
      <c r="M351" s="46">
        <v>152</v>
      </c>
      <c r="N351" s="46" t="s">
        <v>1011</v>
      </c>
      <c r="O351" s="46" t="s">
        <v>101</v>
      </c>
      <c r="P351" s="46">
        <v>0</v>
      </c>
      <c r="Q351" s="46" t="s">
        <v>670</v>
      </c>
      <c r="R351" s="46" t="s">
        <v>23</v>
      </c>
      <c r="S351" s="46" t="s">
        <v>671</v>
      </c>
      <c r="T351" s="46" t="s">
        <v>672</v>
      </c>
      <c r="U351" s="46" t="b">
        <v>1</v>
      </c>
      <c r="V351" s="46" t="s">
        <v>985</v>
      </c>
      <c r="W351" s="46" t="s">
        <v>984</v>
      </c>
      <c r="X351" s="46">
        <v>6</v>
      </c>
      <c r="Y351" s="46" t="b">
        <v>1</v>
      </c>
      <c r="Z351" s="46" t="s">
        <v>675</v>
      </c>
      <c r="AA351" s="46" t="s">
        <v>676</v>
      </c>
      <c r="AB351" s="46" t="s">
        <v>677</v>
      </c>
      <c r="AC351" s="46">
        <v>0</v>
      </c>
      <c r="AD351" s="46" t="s">
        <v>678</v>
      </c>
      <c r="AE351" s="46">
        <v>8</v>
      </c>
      <c r="AF351" s="46" t="s">
        <v>679</v>
      </c>
      <c r="AG351" s="46">
        <v>10754.861999999999</v>
      </c>
      <c r="AH351" s="46" t="b">
        <v>1</v>
      </c>
      <c r="AI351" s="46">
        <v>-1</v>
      </c>
      <c r="AJ351" s="46" t="s">
        <v>680</v>
      </c>
      <c r="AK351" s="46">
        <v>0</v>
      </c>
      <c r="AL351" s="46" t="b">
        <v>0</v>
      </c>
      <c r="AM351" s="46">
        <v>10754.861999999999</v>
      </c>
      <c r="AN351" s="46" t="b">
        <v>1</v>
      </c>
      <c r="AO351" s="46">
        <v>0</v>
      </c>
      <c r="AP351" s="46" t="b">
        <v>0</v>
      </c>
      <c r="AQ351" s="46">
        <v>50751.398000000001</v>
      </c>
      <c r="AS351" s="46">
        <v>50751.398000000001</v>
      </c>
      <c r="AT351" s="46">
        <v>6</v>
      </c>
      <c r="AU351" s="46" t="b">
        <v>1</v>
      </c>
      <c r="AV351" s="46" t="b">
        <v>0</v>
      </c>
    </row>
    <row r="352" spans="2:48">
      <c r="B352" s="46" t="s">
        <v>665</v>
      </c>
      <c r="C352" s="46" t="s">
        <v>666</v>
      </c>
      <c r="D352" s="46">
        <v>20240101</v>
      </c>
      <c r="E352" s="46">
        <v>2024</v>
      </c>
      <c r="F352" s="46">
        <v>1</v>
      </c>
      <c r="G352" s="46" t="s">
        <v>667</v>
      </c>
      <c r="H352" s="46">
        <v>818</v>
      </c>
      <c r="I352" s="46" t="s">
        <v>668</v>
      </c>
      <c r="J352" s="46" t="s">
        <v>57</v>
      </c>
      <c r="K352" s="46" t="s">
        <v>666</v>
      </c>
      <c r="L352" s="46" t="s">
        <v>669</v>
      </c>
      <c r="M352" s="46">
        <v>156</v>
      </c>
      <c r="N352" s="46" t="s">
        <v>711</v>
      </c>
      <c r="O352" s="46" t="s">
        <v>29</v>
      </c>
      <c r="P352" s="46">
        <v>0</v>
      </c>
      <c r="Q352" s="46" t="s">
        <v>670</v>
      </c>
      <c r="R352" s="46" t="s">
        <v>23</v>
      </c>
      <c r="S352" s="46" t="s">
        <v>671</v>
      </c>
      <c r="T352" s="46" t="s">
        <v>672</v>
      </c>
      <c r="U352" s="46" t="b">
        <v>1</v>
      </c>
      <c r="V352" s="46" t="s">
        <v>985</v>
      </c>
      <c r="W352" s="46" t="s">
        <v>984</v>
      </c>
      <c r="X352" s="46">
        <v>6</v>
      </c>
      <c r="Y352" s="46" t="b">
        <v>1</v>
      </c>
      <c r="Z352" s="46" t="s">
        <v>675</v>
      </c>
      <c r="AA352" s="46" t="s">
        <v>676</v>
      </c>
      <c r="AB352" s="46" t="s">
        <v>677</v>
      </c>
      <c r="AC352" s="46">
        <v>0</v>
      </c>
      <c r="AD352" s="46" t="s">
        <v>678</v>
      </c>
      <c r="AE352" s="46">
        <v>8</v>
      </c>
      <c r="AF352" s="46" t="s">
        <v>679</v>
      </c>
      <c r="AG352" s="46">
        <v>724389.84</v>
      </c>
      <c r="AH352" s="46" t="b">
        <v>1</v>
      </c>
      <c r="AI352" s="46">
        <v>-1</v>
      </c>
      <c r="AJ352" s="46" t="s">
        <v>680</v>
      </c>
      <c r="AK352" s="46">
        <v>0</v>
      </c>
      <c r="AL352" s="46" t="b">
        <v>0</v>
      </c>
      <c r="AM352" s="46">
        <v>724389.84</v>
      </c>
      <c r="AN352" s="46" t="b">
        <v>1</v>
      </c>
      <c r="AO352" s="46">
        <v>0</v>
      </c>
      <c r="AP352" s="46" t="b">
        <v>0</v>
      </c>
      <c r="AQ352" s="46">
        <v>3418342.1090000002</v>
      </c>
      <c r="AS352" s="46">
        <v>3418342.1090000002</v>
      </c>
      <c r="AT352" s="46">
        <v>6</v>
      </c>
      <c r="AU352" s="46" t="b">
        <v>1</v>
      </c>
      <c r="AV352" s="46" t="b">
        <v>0</v>
      </c>
    </row>
    <row r="353" spans="2:48">
      <c r="B353" s="46" t="s">
        <v>665</v>
      </c>
      <c r="C353" s="46" t="s">
        <v>666</v>
      </c>
      <c r="D353" s="46">
        <v>20240501</v>
      </c>
      <c r="E353" s="46">
        <v>2024</v>
      </c>
      <c r="F353" s="46">
        <v>5</v>
      </c>
      <c r="G353" s="46" t="s">
        <v>699</v>
      </c>
      <c r="H353" s="46">
        <v>818</v>
      </c>
      <c r="I353" s="46" t="s">
        <v>668</v>
      </c>
      <c r="J353" s="46" t="s">
        <v>57</v>
      </c>
      <c r="K353" s="46" t="s">
        <v>666</v>
      </c>
      <c r="L353" s="46" t="s">
        <v>669</v>
      </c>
      <c r="M353" s="46">
        <v>203</v>
      </c>
      <c r="N353" s="46" t="s">
        <v>752</v>
      </c>
      <c r="O353" s="46" t="s">
        <v>753</v>
      </c>
      <c r="P353" s="46">
        <v>0</v>
      </c>
      <c r="Q353" s="46" t="s">
        <v>670</v>
      </c>
      <c r="R353" s="46" t="s">
        <v>23</v>
      </c>
      <c r="S353" s="46" t="s">
        <v>671</v>
      </c>
      <c r="T353" s="46" t="s">
        <v>672</v>
      </c>
      <c r="U353" s="46" t="b">
        <v>1</v>
      </c>
      <c r="V353" s="46" t="s">
        <v>985</v>
      </c>
      <c r="W353" s="46" t="s">
        <v>984</v>
      </c>
      <c r="X353" s="46">
        <v>6</v>
      </c>
      <c r="Y353" s="46" t="b">
        <v>1</v>
      </c>
      <c r="Z353" s="46" t="s">
        <v>675</v>
      </c>
      <c r="AA353" s="46" t="s">
        <v>676</v>
      </c>
      <c r="AB353" s="46" t="s">
        <v>677</v>
      </c>
      <c r="AC353" s="46">
        <v>0</v>
      </c>
      <c r="AD353" s="46" t="s">
        <v>678</v>
      </c>
      <c r="AE353" s="46">
        <v>8</v>
      </c>
      <c r="AF353" s="46" t="s">
        <v>679</v>
      </c>
      <c r="AG353" s="46">
        <v>4788.2669999999998</v>
      </c>
      <c r="AH353" s="46" t="b">
        <v>1</v>
      </c>
      <c r="AI353" s="46">
        <v>-1</v>
      </c>
      <c r="AJ353" s="46" t="s">
        <v>680</v>
      </c>
      <c r="AK353" s="46">
        <v>0</v>
      </c>
      <c r="AL353" s="46" t="b">
        <v>0</v>
      </c>
      <c r="AM353" s="46">
        <v>4788.2669999999998</v>
      </c>
      <c r="AN353" s="46" t="b">
        <v>1</v>
      </c>
      <c r="AO353" s="46">
        <v>0</v>
      </c>
      <c r="AP353" s="46" t="b">
        <v>0</v>
      </c>
      <c r="AQ353" s="46">
        <v>22595.478999999999</v>
      </c>
      <c r="AS353" s="46">
        <v>22595.478999999999</v>
      </c>
      <c r="AT353" s="46">
        <v>6</v>
      </c>
      <c r="AU353" s="46" t="b">
        <v>1</v>
      </c>
      <c r="AV353" s="46" t="b">
        <v>0</v>
      </c>
    </row>
    <row r="354" spans="2:48">
      <c r="B354" s="46" t="s">
        <v>665</v>
      </c>
      <c r="C354" s="46" t="s">
        <v>666</v>
      </c>
      <c r="D354" s="46">
        <v>20240201</v>
      </c>
      <c r="E354" s="46">
        <v>2024</v>
      </c>
      <c r="F354" s="46">
        <v>2</v>
      </c>
      <c r="G354" s="46" t="s">
        <v>687</v>
      </c>
      <c r="H354" s="46">
        <v>818</v>
      </c>
      <c r="I354" s="46" t="s">
        <v>668</v>
      </c>
      <c r="J354" s="46" t="s">
        <v>57</v>
      </c>
      <c r="K354" s="46" t="s">
        <v>666</v>
      </c>
      <c r="L354" s="46" t="s">
        <v>669</v>
      </c>
      <c r="M354" s="46">
        <v>208</v>
      </c>
      <c r="N354" s="46" t="s">
        <v>988</v>
      </c>
      <c r="O354" s="46" t="s">
        <v>72</v>
      </c>
      <c r="P354" s="46">
        <v>0</v>
      </c>
      <c r="Q354" s="46" t="s">
        <v>670</v>
      </c>
      <c r="R354" s="46" t="s">
        <v>23</v>
      </c>
      <c r="S354" s="46" t="s">
        <v>671</v>
      </c>
      <c r="T354" s="46" t="s">
        <v>672</v>
      </c>
      <c r="U354" s="46" t="b">
        <v>1</v>
      </c>
      <c r="V354" s="46" t="s">
        <v>985</v>
      </c>
      <c r="W354" s="46" t="s">
        <v>984</v>
      </c>
      <c r="X354" s="46">
        <v>6</v>
      </c>
      <c r="Y354" s="46" t="b">
        <v>1</v>
      </c>
      <c r="Z354" s="46" t="s">
        <v>675</v>
      </c>
      <c r="AA354" s="46" t="s">
        <v>676</v>
      </c>
      <c r="AB354" s="46" t="s">
        <v>677</v>
      </c>
      <c r="AC354" s="46">
        <v>0</v>
      </c>
      <c r="AD354" s="46" t="s">
        <v>678</v>
      </c>
      <c r="AE354" s="46">
        <v>8</v>
      </c>
      <c r="AF354" s="46" t="s">
        <v>679</v>
      </c>
      <c r="AG354" s="46">
        <v>60330.813000000002</v>
      </c>
      <c r="AH354" s="46" t="b">
        <v>1</v>
      </c>
      <c r="AI354" s="46">
        <v>-1</v>
      </c>
      <c r="AJ354" s="46" t="s">
        <v>680</v>
      </c>
      <c r="AK354" s="46">
        <v>0</v>
      </c>
      <c r="AL354" s="46" t="b">
        <v>0</v>
      </c>
      <c r="AM354" s="46">
        <v>60330.813000000002</v>
      </c>
      <c r="AN354" s="46" t="b">
        <v>1</v>
      </c>
      <c r="AO354" s="46">
        <v>0</v>
      </c>
      <c r="AP354" s="46" t="b">
        <v>0</v>
      </c>
      <c r="AQ354" s="46">
        <v>284696.64799999999</v>
      </c>
      <c r="AS354" s="46">
        <v>284696.64799999999</v>
      </c>
      <c r="AT354" s="46">
        <v>6</v>
      </c>
      <c r="AU354" s="46" t="b">
        <v>1</v>
      </c>
      <c r="AV354" s="46" t="b">
        <v>0</v>
      </c>
    </row>
    <row r="355" spans="2:48">
      <c r="B355" s="46" t="s">
        <v>665</v>
      </c>
      <c r="C355" s="46" t="s">
        <v>666</v>
      </c>
      <c r="D355" s="46">
        <v>20240301</v>
      </c>
      <c r="E355" s="46">
        <v>2024</v>
      </c>
      <c r="F355" s="46">
        <v>3</v>
      </c>
      <c r="G355" s="46" t="s">
        <v>692</v>
      </c>
      <c r="H355" s="46">
        <v>818</v>
      </c>
      <c r="I355" s="46" t="s">
        <v>668</v>
      </c>
      <c r="J355" s="46" t="s">
        <v>57</v>
      </c>
      <c r="K355" s="46" t="s">
        <v>666</v>
      </c>
      <c r="L355" s="46" t="s">
        <v>669</v>
      </c>
      <c r="M355" s="46">
        <v>246</v>
      </c>
      <c r="N355" s="46" t="s">
        <v>751</v>
      </c>
      <c r="O355" s="46" t="s">
        <v>73</v>
      </c>
      <c r="P355" s="46">
        <v>0</v>
      </c>
      <c r="Q355" s="46" t="s">
        <v>670</v>
      </c>
      <c r="R355" s="46" t="s">
        <v>23</v>
      </c>
      <c r="S355" s="46" t="s">
        <v>671</v>
      </c>
      <c r="T355" s="46" t="s">
        <v>672</v>
      </c>
      <c r="U355" s="46" t="b">
        <v>1</v>
      </c>
      <c r="V355" s="46" t="s">
        <v>985</v>
      </c>
      <c r="W355" s="46" t="s">
        <v>984</v>
      </c>
      <c r="X355" s="46">
        <v>6</v>
      </c>
      <c r="Y355" s="46" t="b">
        <v>1</v>
      </c>
      <c r="Z355" s="46" t="s">
        <v>675</v>
      </c>
      <c r="AA355" s="46" t="s">
        <v>676</v>
      </c>
      <c r="AB355" s="46" t="s">
        <v>677</v>
      </c>
      <c r="AC355" s="46">
        <v>0</v>
      </c>
      <c r="AD355" s="46" t="s">
        <v>678</v>
      </c>
      <c r="AE355" s="46">
        <v>8</v>
      </c>
      <c r="AF355" s="46" t="s">
        <v>679</v>
      </c>
      <c r="AG355" s="46">
        <v>1387.7260000000001</v>
      </c>
      <c r="AH355" s="46" t="b">
        <v>1</v>
      </c>
      <c r="AI355" s="46">
        <v>-1</v>
      </c>
      <c r="AJ355" s="46" t="s">
        <v>680</v>
      </c>
      <c r="AK355" s="46">
        <v>0</v>
      </c>
      <c r="AL355" s="46" t="b">
        <v>0</v>
      </c>
      <c r="AM355" s="46">
        <v>1387.7260000000001</v>
      </c>
      <c r="AN355" s="46" t="b">
        <v>1</v>
      </c>
      <c r="AO355" s="46">
        <v>0</v>
      </c>
      <c r="AP355" s="46" t="b">
        <v>0</v>
      </c>
      <c r="AQ355" s="46">
        <v>6548.5770000000002</v>
      </c>
      <c r="AS355" s="46">
        <v>6548.5770000000002</v>
      </c>
      <c r="AT355" s="46">
        <v>6</v>
      </c>
      <c r="AU355" s="46" t="b">
        <v>1</v>
      </c>
      <c r="AV355" s="46" t="b">
        <v>0</v>
      </c>
    </row>
    <row r="356" spans="2:48">
      <c r="B356" s="46" t="s">
        <v>665</v>
      </c>
      <c r="C356" s="46" t="s">
        <v>666</v>
      </c>
      <c r="D356" s="46">
        <v>20240201</v>
      </c>
      <c r="E356" s="46">
        <v>2024</v>
      </c>
      <c r="F356" s="46">
        <v>2</v>
      </c>
      <c r="G356" s="46" t="s">
        <v>687</v>
      </c>
      <c r="H356" s="46">
        <v>818</v>
      </c>
      <c r="I356" s="46" t="s">
        <v>668</v>
      </c>
      <c r="J356" s="46" t="s">
        <v>57</v>
      </c>
      <c r="K356" s="46" t="s">
        <v>666</v>
      </c>
      <c r="L356" s="46" t="s">
        <v>669</v>
      </c>
      <c r="M356" s="46">
        <v>251</v>
      </c>
      <c r="N356" s="46" t="s">
        <v>688</v>
      </c>
      <c r="O356" s="46" t="s">
        <v>69</v>
      </c>
      <c r="P356" s="46">
        <v>0</v>
      </c>
      <c r="Q356" s="46" t="s">
        <v>670</v>
      </c>
      <c r="R356" s="46" t="s">
        <v>23</v>
      </c>
      <c r="S356" s="46" t="s">
        <v>671</v>
      </c>
      <c r="T356" s="46" t="s">
        <v>672</v>
      </c>
      <c r="U356" s="46" t="b">
        <v>1</v>
      </c>
      <c r="V356" s="46" t="s">
        <v>985</v>
      </c>
      <c r="W356" s="46" t="s">
        <v>984</v>
      </c>
      <c r="X356" s="46">
        <v>6</v>
      </c>
      <c r="Y356" s="46" t="b">
        <v>1</v>
      </c>
      <c r="Z356" s="46" t="s">
        <v>675</v>
      </c>
      <c r="AA356" s="46" t="s">
        <v>676</v>
      </c>
      <c r="AB356" s="46" t="s">
        <v>677</v>
      </c>
      <c r="AC356" s="46">
        <v>0</v>
      </c>
      <c r="AD356" s="46" t="s">
        <v>678</v>
      </c>
      <c r="AE356" s="46">
        <v>8</v>
      </c>
      <c r="AF356" s="46" t="s">
        <v>679</v>
      </c>
      <c r="AG356" s="46">
        <v>110166.735</v>
      </c>
      <c r="AH356" s="46" t="b">
        <v>1</v>
      </c>
      <c r="AI356" s="46">
        <v>-1</v>
      </c>
      <c r="AJ356" s="46" t="s">
        <v>680</v>
      </c>
      <c r="AK356" s="46">
        <v>0</v>
      </c>
      <c r="AL356" s="46" t="b">
        <v>0</v>
      </c>
      <c r="AM356" s="46">
        <v>110166.735</v>
      </c>
      <c r="AN356" s="46" t="b">
        <v>1</v>
      </c>
      <c r="AO356" s="46">
        <v>0</v>
      </c>
      <c r="AP356" s="46" t="b">
        <v>0</v>
      </c>
      <c r="AQ356" s="46">
        <v>519868.68</v>
      </c>
      <c r="AS356" s="46">
        <v>519868.68</v>
      </c>
      <c r="AT356" s="46">
        <v>6</v>
      </c>
      <c r="AU356" s="46" t="b">
        <v>1</v>
      </c>
      <c r="AV356" s="46" t="b">
        <v>0</v>
      </c>
    </row>
    <row r="357" spans="2:48">
      <c r="B357" s="46" t="s">
        <v>665</v>
      </c>
      <c r="C357" s="46" t="s">
        <v>666</v>
      </c>
      <c r="D357" s="46">
        <v>20240501</v>
      </c>
      <c r="E357" s="46">
        <v>2024</v>
      </c>
      <c r="F357" s="46">
        <v>5</v>
      </c>
      <c r="G357" s="46" t="s">
        <v>699</v>
      </c>
      <c r="H357" s="46">
        <v>818</v>
      </c>
      <c r="I357" s="46" t="s">
        <v>668</v>
      </c>
      <c r="J357" s="46" t="s">
        <v>57</v>
      </c>
      <c r="K357" s="46" t="s">
        <v>666</v>
      </c>
      <c r="L357" s="46" t="s">
        <v>669</v>
      </c>
      <c r="M357" s="46">
        <v>268</v>
      </c>
      <c r="N357" s="46" t="s">
        <v>1009</v>
      </c>
      <c r="O357" s="46" t="s">
        <v>196</v>
      </c>
      <c r="P357" s="46">
        <v>0</v>
      </c>
      <c r="Q357" s="46" t="s">
        <v>670</v>
      </c>
      <c r="R357" s="46" t="s">
        <v>23</v>
      </c>
      <c r="S357" s="46" t="s">
        <v>671</v>
      </c>
      <c r="T357" s="46" t="s">
        <v>672</v>
      </c>
      <c r="U357" s="46" t="b">
        <v>1</v>
      </c>
      <c r="V357" s="46" t="s">
        <v>985</v>
      </c>
      <c r="W357" s="46" t="s">
        <v>984</v>
      </c>
      <c r="X357" s="46">
        <v>6</v>
      </c>
      <c r="Y357" s="46" t="b">
        <v>1</v>
      </c>
      <c r="Z357" s="46" t="s">
        <v>675</v>
      </c>
      <c r="AA357" s="46" t="s">
        <v>676</v>
      </c>
      <c r="AB357" s="46" t="s">
        <v>677</v>
      </c>
      <c r="AC357" s="46">
        <v>0</v>
      </c>
      <c r="AD357" s="46" t="s">
        <v>678</v>
      </c>
      <c r="AE357" s="46">
        <v>8</v>
      </c>
      <c r="AF357" s="46" t="s">
        <v>679</v>
      </c>
      <c r="AG357" s="46">
        <v>8739.2960000000003</v>
      </c>
      <c r="AH357" s="46" t="b">
        <v>1</v>
      </c>
      <c r="AI357" s="46">
        <v>-1</v>
      </c>
      <c r="AJ357" s="46" t="s">
        <v>680</v>
      </c>
      <c r="AK357" s="46">
        <v>0</v>
      </c>
      <c r="AL357" s="46" t="b">
        <v>0</v>
      </c>
      <c r="AM357" s="46">
        <v>8739.2960000000003</v>
      </c>
      <c r="AN357" s="46" t="b">
        <v>1</v>
      </c>
      <c r="AO357" s="46">
        <v>0</v>
      </c>
      <c r="AP357" s="46" t="b">
        <v>0</v>
      </c>
      <c r="AQ357" s="46">
        <v>41240.093999999997</v>
      </c>
      <c r="AS357" s="46">
        <v>41240.093999999997</v>
      </c>
      <c r="AT357" s="46">
        <v>6</v>
      </c>
      <c r="AU357" s="46" t="b">
        <v>1</v>
      </c>
      <c r="AV357" s="46" t="b">
        <v>0</v>
      </c>
    </row>
    <row r="358" spans="2:48">
      <c r="B358" s="46" t="s">
        <v>665</v>
      </c>
      <c r="C358" s="46" t="s">
        <v>666</v>
      </c>
      <c r="D358" s="46">
        <v>20240201</v>
      </c>
      <c r="E358" s="46">
        <v>2024</v>
      </c>
      <c r="F358" s="46">
        <v>2</v>
      </c>
      <c r="G358" s="46" t="s">
        <v>687</v>
      </c>
      <c r="H358" s="46">
        <v>818</v>
      </c>
      <c r="I358" s="46" t="s">
        <v>668</v>
      </c>
      <c r="J358" s="46" t="s">
        <v>57</v>
      </c>
      <c r="K358" s="46" t="s">
        <v>666</v>
      </c>
      <c r="L358" s="46" t="s">
        <v>669</v>
      </c>
      <c r="M358" s="46">
        <v>276</v>
      </c>
      <c r="N358" s="46" t="s">
        <v>681</v>
      </c>
      <c r="O358" s="46" t="s">
        <v>30</v>
      </c>
      <c r="P358" s="46">
        <v>0</v>
      </c>
      <c r="Q358" s="46" t="s">
        <v>670</v>
      </c>
      <c r="R358" s="46" t="s">
        <v>23</v>
      </c>
      <c r="S358" s="46" t="s">
        <v>671</v>
      </c>
      <c r="T358" s="46" t="s">
        <v>672</v>
      </c>
      <c r="U358" s="46" t="b">
        <v>1</v>
      </c>
      <c r="V358" s="46" t="s">
        <v>985</v>
      </c>
      <c r="W358" s="46" t="s">
        <v>984</v>
      </c>
      <c r="X358" s="46">
        <v>6</v>
      </c>
      <c r="Y358" s="46" t="b">
        <v>1</v>
      </c>
      <c r="Z358" s="46" t="s">
        <v>675</v>
      </c>
      <c r="AA358" s="46" t="s">
        <v>676</v>
      </c>
      <c r="AB358" s="46" t="s">
        <v>677</v>
      </c>
      <c r="AC358" s="46">
        <v>0</v>
      </c>
      <c r="AD358" s="46" t="s">
        <v>678</v>
      </c>
      <c r="AE358" s="46">
        <v>8</v>
      </c>
      <c r="AF358" s="46" t="s">
        <v>679</v>
      </c>
      <c r="AG358" s="46">
        <v>556079.31099999999</v>
      </c>
      <c r="AH358" s="46" t="b">
        <v>1</v>
      </c>
      <c r="AI358" s="46">
        <v>-1</v>
      </c>
      <c r="AJ358" s="46" t="s">
        <v>680</v>
      </c>
      <c r="AK358" s="46">
        <v>0</v>
      </c>
      <c r="AL358" s="46" t="b">
        <v>0</v>
      </c>
      <c r="AM358" s="46">
        <v>556079.31099999999</v>
      </c>
      <c r="AN358" s="46" t="b">
        <v>1</v>
      </c>
      <c r="AO358" s="46">
        <v>0</v>
      </c>
      <c r="AP358" s="46" t="b">
        <v>0</v>
      </c>
      <c r="AQ358" s="46">
        <v>2624097.1660000002</v>
      </c>
      <c r="AS358" s="46">
        <v>2624097.1660000002</v>
      </c>
      <c r="AT358" s="46">
        <v>6</v>
      </c>
      <c r="AU358" s="46" t="b">
        <v>1</v>
      </c>
      <c r="AV358" s="46" t="b">
        <v>0</v>
      </c>
    </row>
    <row r="359" spans="2:48">
      <c r="B359" s="46" t="s">
        <v>665</v>
      </c>
      <c r="C359" s="46" t="s">
        <v>666</v>
      </c>
      <c r="D359" s="46">
        <v>20240201</v>
      </c>
      <c r="E359" s="46">
        <v>2024</v>
      </c>
      <c r="F359" s="46">
        <v>2</v>
      </c>
      <c r="G359" s="46" t="s">
        <v>687</v>
      </c>
      <c r="H359" s="46">
        <v>818</v>
      </c>
      <c r="I359" s="46" t="s">
        <v>668</v>
      </c>
      <c r="J359" s="46" t="s">
        <v>57</v>
      </c>
      <c r="K359" s="46" t="s">
        <v>666</v>
      </c>
      <c r="L359" s="46" t="s">
        <v>669</v>
      </c>
      <c r="M359" s="46">
        <v>300</v>
      </c>
      <c r="N359" s="46" t="s">
        <v>719</v>
      </c>
      <c r="O359" s="46" t="s">
        <v>65</v>
      </c>
      <c r="P359" s="46">
        <v>0</v>
      </c>
      <c r="Q359" s="46" t="s">
        <v>670</v>
      </c>
      <c r="R359" s="46" t="s">
        <v>23</v>
      </c>
      <c r="S359" s="46" t="s">
        <v>671</v>
      </c>
      <c r="T359" s="46" t="s">
        <v>672</v>
      </c>
      <c r="U359" s="46" t="b">
        <v>1</v>
      </c>
      <c r="V359" s="46" t="s">
        <v>985</v>
      </c>
      <c r="W359" s="46" t="s">
        <v>984</v>
      </c>
      <c r="X359" s="46">
        <v>6</v>
      </c>
      <c r="Y359" s="46" t="b">
        <v>1</v>
      </c>
      <c r="Z359" s="46" t="s">
        <v>675</v>
      </c>
      <c r="AA359" s="46" t="s">
        <v>676</v>
      </c>
      <c r="AB359" s="46" t="s">
        <v>677</v>
      </c>
      <c r="AC359" s="46">
        <v>0</v>
      </c>
      <c r="AD359" s="46" t="s">
        <v>678</v>
      </c>
      <c r="AE359" s="46">
        <v>8</v>
      </c>
      <c r="AF359" s="46" t="s">
        <v>679</v>
      </c>
      <c r="AG359" s="46">
        <v>8003.5039999999999</v>
      </c>
      <c r="AH359" s="46" t="b">
        <v>1</v>
      </c>
      <c r="AI359" s="46">
        <v>-1</v>
      </c>
      <c r="AJ359" s="46" t="s">
        <v>680</v>
      </c>
      <c r="AK359" s="46">
        <v>0</v>
      </c>
      <c r="AL359" s="46" t="b">
        <v>0</v>
      </c>
      <c r="AM359" s="46">
        <v>8003.5039999999999</v>
      </c>
      <c r="AN359" s="46" t="b">
        <v>1</v>
      </c>
      <c r="AO359" s="46">
        <v>0</v>
      </c>
      <c r="AP359" s="46" t="b">
        <v>0</v>
      </c>
      <c r="AQ359" s="46">
        <v>37767.942999999999</v>
      </c>
      <c r="AS359" s="46">
        <v>37767.942999999999</v>
      </c>
      <c r="AT359" s="46">
        <v>6</v>
      </c>
      <c r="AU359" s="46" t="b">
        <v>1</v>
      </c>
      <c r="AV359" s="46" t="b">
        <v>0</v>
      </c>
    </row>
    <row r="360" spans="2:48">
      <c r="B360" s="46" t="s">
        <v>665</v>
      </c>
      <c r="C360" s="46" t="s">
        <v>666</v>
      </c>
      <c r="D360" s="46">
        <v>20240501</v>
      </c>
      <c r="E360" s="46">
        <v>2024</v>
      </c>
      <c r="F360" s="46">
        <v>5</v>
      </c>
      <c r="G360" s="46" t="s">
        <v>699</v>
      </c>
      <c r="H360" s="46">
        <v>818</v>
      </c>
      <c r="I360" s="46" t="s">
        <v>668</v>
      </c>
      <c r="J360" s="46" t="s">
        <v>57</v>
      </c>
      <c r="K360" s="46" t="s">
        <v>666</v>
      </c>
      <c r="L360" s="46" t="s">
        <v>669</v>
      </c>
      <c r="M360" s="46">
        <v>344</v>
      </c>
      <c r="N360" s="46" t="s">
        <v>989</v>
      </c>
      <c r="O360" s="46" t="s">
        <v>990</v>
      </c>
      <c r="P360" s="46">
        <v>0</v>
      </c>
      <c r="Q360" s="46" t="s">
        <v>670</v>
      </c>
      <c r="R360" s="46" t="s">
        <v>23</v>
      </c>
      <c r="S360" s="46" t="s">
        <v>671</v>
      </c>
      <c r="T360" s="46" t="s">
        <v>672</v>
      </c>
      <c r="U360" s="46" t="b">
        <v>1</v>
      </c>
      <c r="V360" s="46" t="s">
        <v>985</v>
      </c>
      <c r="W360" s="46" t="s">
        <v>984</v>
      </c>
      <c r="X360" s="46">
        <v>6</v>
      </c>
      <c r="Y360" s="46" t="b">
        <v>1</v>
      </c>
      <c r="Z360" s="46" t="s">
        <v>675</v>
      </c>
      <c r="AA360" s="46" t="s">
        <v>676</v>
      </c>
      <c r="AB360" s="46" t="s">
        <v>677</v>
      </c>
      <c r="AC360" s="46">
        <v>0</v>
      </c>
      <c r="AD360" s="46" t="s">
        <v>678</v>
      </c>
      <c r="AE360" s="46">
        <v>8</v>
      </c>
      <c r="AF360" s="46" t="s">
        <v>679</v>
      </c>
      <c r="AG360" s="46">
        <v>37126.203999999998</v>
      </c>
      <c r="AH360" s="46" t="b">
        <v>1</v>
      </c>
      <c r="AI360" s="46">
        <v>-1</v>
      </c>
      <c r="AJ360" s="46" t="s">
        <v>680</v>
      </c>
      <c r="AK360" s="46">
        <v>0</v>
      </c>
      <c r="AL360" s="46" t="b">
        <v>0</v>
      </c>
      <c r="AM360" s="46">
        <v>37126.203999999998</v>
      </c>
      <c r="AN360" s="46" t="b">
        <v>1</v>
      </c>
      <c r="AO360" s="46">
        <v>0</v>
      </c>
      <c r="AP360" s="46" t="b">
        <v>0</v>
      </c>
      <c r="AQ360" s="46">
        <v>175195.81299999999</v>
      </c>
      <c r="AS360" s="46">
        <v>175195.81299999999</v>
      </c>
      <c r="AT360" s="46">
        <v>6</v>
      </c>
      <c r="AU360" s="46" t="b">
        <v>1</v>
      </c>
      <c r="AV360" s="46" t="b">
        <v>0</v>
      </c>
    </row>
    <row r="361" spans="2:48">
      <c r="B361" s="46" t="s">
        <v>665</v>
      </c>
      <c r="C361" s="46" t="s">
        <v>666</v>
      </c>
      <c r="D361" s="46">
        <v>20240301</v>
      </c>
      <c r="E361" s="46">
        <v>2024</v>
      </c>
      <c r="F361" s="46">
        <v>3</v>
      </c>
      <c r="G361" s="46" t="s">
        <v>692</v>
      </c>
      <c r="H361" s="46">
        <v>818</v>
      </c>
      <c r="I361" s="46" t="s">
        <v>668</v>
      </c>
      <c r="J361" s="46" t="s">
        <v>57</v>
      </c>
      <c r="K361" s="46" t="s">
        <v>666</v>
      </c>
      <c r="L361" s="46" t="s">
        <v>669</v>
      </c>
      <c r="M361" s="46">
        <v>348</v>
      </c>
      <c r="N361" s="46" t="s">
        <v>757</v>
      </c>
      <c r="O361" s="46" t="s">
        <v>82</v>
      </c>
      <c r="P361" s="46">
        <v>0</v>
      </c>
      <c r="Q361" s="46" t="s">
        <v>670</v>
      </c>
      <c r="R361" s="46" t="s">
        <v>23</v>
      </c>
      <c r="S361" s="46" t="s">
        <v>671</v>
      </c>
      <c r="T361" s="46" t="s">
        <v>672</v>
      </c>
      <c r="U361" s="46" t="b">
        <v>1</v>
      </c>
      <c r="V361" s="46" t="s">
        <v>985</v>
      </c>
      <c r="W361" s="46" t="s">
        <v>984</v>
      </c>
      <c r="X361" s="46">
        <v>6</v>
      </c>
      <c r="Y361" s="46" t="b">
        <v>1</v>
      </c>
      <c r="Z361" s="46" t="s">
        <v>675</v>
      </c>
      <c r="AA361" s="46" t="s">
        <v>676</v>
      </c>
      <c r="AB361" s="46" t="s">
        <v>677</v>
      </c>
      <c r="AC361" s="46">
        <v>0</v>
      </c>
      <c r="AD361" s="46" t="s">
        <v>678</v>
      </c>
      <c r="AE361" s="46">
        <v>8</v>
      </c>
      <c r="AF361" s="46" t="s">
        <v>679</v>
      </c>
      <c r="AG361" s="46">
        <v>5846.4120000000003</v>
      </c>
      <c r="AH361" s="46" t="b">
        <v>1</v>
      </c>
      <c r="AI361" s="46">
        <v>-1</v>
      </c>
      <c r="AJ361" s="46" t="s">
        <v>680</v>
      </c>
      <c r="AK361" s="46">
        <v>0</v>
      </c>
      <c r="AL361" s="46" t="b">
        <v>0</v>
      </c>
      <c r="AM361" s="46">
        <v>5846.4120000000003</v>
      </c>
      <c r="AN361" s="46" t="b">
        <v>1</v>
      </c>
      <c r="AO361" s="46">
        <v>0</v>
      </c>
      <c r="AP361" s="46" t="b">
        <v>0</v>
      </c>
      <c r="AQ361" s="46">
        <v>27588.785</v>
      </c>
      <c r="AS361" s="46">
        <v>27588.785</v>
      </c>
      <c r="AT361" s="46">
        <v>6</v>
      </c>
      <c r="AU361" s="46" t="b">
        <v>1</v>
      </c>
      <c r="AV361" s="46" t="b">
        <v>0</v>
      </c>
    </row>
    <row r="362" spans="2:48">
      <c r="B362" s="46" t="s">
        <v>665</v>
      </c>
      <c r="C362" s="46" t="s">
        <v>666</v>
      </c>
      <c r="D362" s="46">
        <v>20240301</v>
      </c>
      <c r="E362" s="46">
        <v>2024</v>
      </c>
      <c r="F362" s="46">
        <v>3</v>
      </c>
      <c r="G362" s="46" t="s">
        <v>692</v>
      </c>
      <c r="H362" s="46">
        <v>818</v>
      </c>
      <c r="I362" s="46" t="s">
        <v>668</v>
      </c>
      <c r="J362" s="46" t="s">
        <v>57</v>
      </c>
      <c r="K362" s="46" t="s">
        <v>666</v>
      </c>
      <c r="L362" s="46" t="s">
        <v>669</v>
      </c>
      <c r="M362" s="46">
        <v>360</v>
      </c>
      <c r="N362" s="46" t="s">
        <v>1006</v>
      </c>
      <c r="O362" s="46" t="s">
        <v>44</v>
      </c>
      <c r="P362" s="46">
        <v>0</v>
      </c>
      <c r="Q362" s="46" t="s">
        <v>670</v>
      </c>
      <c r="R362" s="46" t="s">
        <v>23</v>
      </c>
      <c r="S362" s="46" t="s">
        <v>671</v>
      </c>
      <c r="T362" s="46" t="s">
        <v>672</v>
      </c>
      <c r="U362" s="46" t="b">
        <v>1</v>
      </c>
      <c r="V362" s="46" t="s">
        <v>985</v>
      </c>
      <c r="W362" s="46" t="s">
        <v>984</v>
      </c>
      <c r="X362" s="46">
        <v>6</v>
      </c>
      <c r="Y362" s="46" t="b">
        <v>1</v>
      </c>
      <c r="Z362" s="46" t="s">
        <v>675</v>
      </c>
      <c r="AA362" s="46" t="s">
        <v>676</v>
      </c>
      <c r="AB362" s="46" t="s">
        <v>677</v>
      </c>
      <c r="AC362" s="46">
        <v>0</v>
      </c>
      <c r="AD362" s="46" t="s">
        <v>678</v>
      </c>
      <c r="AE362" s="46">
        <v>8</v>
      </c>
      <c r="AF362" s="46" t="s">
        <v>679</v>
      </c>
      <c r="AG362" s="46">
        <v>37167.815000000002</v>
      </c>
      <c r="AH362" s="46" t="b">
        <v>1</v>
      </c>
      <c r="AI362" s="46">
        <v>-1</v>
      </c>
      <c r="AJ362" s="46" t="s">
        <v>680</v>
      </c>
      <c r="AK362" s="46">
        <v>0</v>
      </c>
      <c r="AL362" s="46" t="b">
        <v>0</v>
      </c>
      <c r="AM362" s="46">
        <v>37167.815000000002</v>
      </c>
      <c r="AN362" s="46" t="b">
        <v>1</v>
      </c>
      <c r="AO362" s="46">
        <v>0</v>
      </c>
      <c r="AP362" s="46" t="b">
        <v>0</v>
      </c>
      <c r="AQ362" s="46">
        <v>175392.17199999999</v>
      </c>
      <c r="AS362" s="46">
        <v>175392.17199999999</v>
      </c>
      <c r="AT362" s="46">
        <v>6</v>
      </c>
      <c r="AU362" s="46" t="b">
        <v>1</v>
      </c>
      <c r="AV362" s="46" t="b">
        <v>0</v>
      </c>
    </row>
    <row r="363" spans="2:48">
      <c r="B363" s="46" t="s">
        <v>665</v>
      </c>
      <c r="C363" s="46" t="s">
        <v>666</v>
      </c>
      <c r="D363" s="46">
        <v>20240301</v>
      </c>
      <c r="E363" s="46">
        <v>2024</v>
      </c>
      <c r="F363" s="46">
        <v>3</v>
      </c>
      <c r="G363" s="46" t="s">
        <v>692</v>
      </c>
      <c r="H363" s="46">
        <v>818</v>
      </c>
      <c r="I363" s="46" t="s">
        <v>668</v>
      </c>
      <c r="J363" s="46" t="s">
        <v>57</v>
      </c>
      <c r="K363" s="46" t="s">
        <v>666</v>
      </c>
      <c r="L363" s="46" t="s">
        <v>669</v>
      </c>
      <c r="M363" s="46">
        <v>372</v>
      </c>
      <c r="N363" s="46" t="s">
        <v>1002</v>
      </c>
      <c r="O363" s="46" t="s">
        <v>87</v>
      </c>
      <c r="P363" s="46">
        <v>0</v>
      </c>
      <c r="Q363" s="46" t="s">
        <v>670</v>
      </c>
      <c r="R363" s="46" t="s">
        <v>23</v>
      </c>
      <c r="S363" s="46" t="s">
        <v>671</v>
      </c>
      <c r="T363" s="46" t="s">
        <v>672</v>
      </c>
      <c r="U363" s="46" t="b">
        <v>1</v>
      </c>
      <c r="V363" s="46" t="s">
        <v>985</v>
      </c>
      <c r="W363" s="46" t="s">
        <v>984</v>
      </c>
      <c r="X363" s="46">
        <v>6</v>
      </c>
      <c r="Y363" s="46" t="b">
        <v>1</v>
      </c>
      <c r="Z363" s="46" t="s">
        <v>675</v>
      </c>
      <c r="AA363" s="46" t="s">
        <v>676</v>
      </c>
      <c r="AB363" s="46" t="s">
        <v>677</v>
      </c>
      <c r="AC363" s="46">
        <v>0</v>
      </c>
      <c r="AD363" s="46" t="s">
        <v>678</v>
      </c>
      <c r="AE363" s="46">
        <v>8</v>
      </c>
      <c r="AF363" s="46" t="s">
        <v>679</v>
      </c>
      <c r="AG363" s="46">
        <v>8190.29</v>
      </c>
      <c r="AH363" s="46" t="b">
        <v>1</v>
      </c>
      <c r="AI363" s="46">
        <v>-1</v>
      </c>
      <c r="AJ363" s="46" t="s">
        <v>680</v>
      </c>
      <c r="AK363" s="46">
        <v>0</v>
      </c>
      <c r="AL363" s="46" t="b">
        <v>0</v>
      </c>
      <c r="AM363" s="46">
        <v>8190.29</v>
      </c>
      <c r="AN363" s="46" t="b">
        <v>1</v>
      </c>
      <c r="AO363" s="46">
        <v>0</v>
      </c>
      <c r="AP363" s="46" t="b">
        <v>0</v>
      </c>
      <c r="AQ363" s="46">
        <v>38649.370999999999</v>
      </c>
      <c r="AS363" s="46">
        <v>38649.370999999999</v>
      </c>
      <c r="AT363" s="46">
        <v>6</v>
      </c>
      <c r="AU363" s="46" t="b">
        <v>1</v>
      </c>
      <c r="AV363" s="46" t="b">
        <v>0</v>
      </c>
    </row>
    <row r="364" spans="2:48">
      <c r="B364" s="46" t="s">
        <v>665</v>
      </c>
      <c r="C364" s="46" t="s">
        <v>666</v>
      </c>
      <c r="D364" s="46">
        <v>20240401</v>
      </c>
      <c r="E364" s="46">
        <v>2024</v>
      </c>
      <c r="F364" s="46">
        <v>4</v>
      </c>
      <c r="G364" s="46" t="s">
        <v>695</v>
      </c>
      <c r="H364" s="46">
        <v>818</v>
      </c>
      <c r="I364" s="46" t="s">
        <v>668</v>
      </c>
      <c r="J364" s="46" t="s">
        <v>57</v>
      </c>
      <c r="K364" s="46" t="s">
        <v>666</v>
      </c>
      <c r="L364" s="46" t="s">
        <v>669</v>
      </c>
      <c r="M364" s="46">
        <v>376</v>
      </c>
      <c r="N364" s="46" t="s">
        <v>991</v>
      </c>
      <c r="O364" s="46" t="s">
        <v>100</v>
      </c>
      <c r="P364" s="46">
        <v>0</v>
      </c>
      <c r="Q364" s="46" t="s">
        <v>670</v>
      </c>
      <c r="R364" s="46" t="s">
        <v>23</v>
      </c>
      <c r="S364" s="46" t="s">
        <v>671</v>
      </c>
      <c r="T364" s="46" t="s">
        <v>672</v>
      </c>
      <c r="U364" s="46" t="b">
        <v>1</v>
      </c>
      <c r="V364" s="46" t="s">
        <v>985</v>
      </c>
      <c r="W364" s="46" t="s">
        <v>984</v>
      </c>
      <c r="X364" s="46">
        <v>6</v>
      </c>
      <c r="Y364" s="46" t="b">
        <v>1</v>
      </c>
      <c r="Z364" s="46" t="s">
        <v>675</v>
      </c>
      <c r="AA364" s="46" t="s">
        <v>676</v>
      </c>
      <c r="AB364" s="46" t="s">
        <v>677</v>
      </c>
      <c r="AC364" s="46">
        <v>0</v>
      </c>
      <c r="AD364" s="46" t="s">
        <v>678</v>
      </c>
      <c r="AE364" s="46">
        <v>8</v>
      </c>
      <c r="AF364" s="46" t="s">
        <v>679</v>
      </c>
      <c r="AG364" s="46">
        <v>15472.124</v>
      </c>
      <c r="AH364" s="46" t="b">
        <v>1</v>
      </c>
      <c r="AI364" s="46">
        <v>-1</v>
      </c>
      <c r="AJ364" s="46" t="s">
        <v>680</v>
      </c>
      <c r="AK364" s="46">
        <v>0</v>
      </c>
      <c r="AL364" s="46" t="b">
        <v>0</v>
      </c>
      <c r="AM364" s="46">
        <v>15472.124</v>
      </c>
      <c r="AN364" s="46" t="b">
        <v>1</v>
      </c>
      <c r="AO364" s="46">
        <v>0</v>
      </c>
      <c r="AP364" s="46" t="b">
        <v>0</v>
      </c>
      <c r="AQ364" s="46">
        <v>73011.808999999994</v>
      </c>
      <c r="AS364" s="46">
        <v>73011.808999999994</v>
      </c>
      <c r="AT364" s="46">
        <v>6</v>
      </c>
      <c r="AU364" s="46" t="b">
        <v>1</v>
      </c>
      <c r="AV364" s="46" t="b">
        <v>0</v>
      </c>
    </row>
    <row r="365" spans="2:48">
      <c r="B365" s="46" t="s">
        <v>665</v>
      </c>
      <c r="C365" s="46" t="s">
        <v>666</v>
      </c>
      <c r="D365" s="46">
        <v>20240301</v>
      </c>
      <c r="E365" s="46">
        <v>2024</v>
      </c>
      <c r="F365" s="46">
        <v>3</v>
      </c>
      <c r="G365" s="46" t="s">
        <v>692</v>
      </c>
      <c r="H365" s="46">
        <v>818</v>
      </c>
      <c r="I365" s="46" t="s">
        <v>668</v>
      </c>
      <c r="J365" s="46" t="s">
        <v>57</v>
      </c>
      <c r="K365" s="46" t="s">
        <v>666</v>
      </c>
      <c r="L365" s="46" t="s">
        <v>669</v>
      </c>
      <c r="M365" s="46">
        <v>380</v>
      </c>
      <c r="N365" s="46" t="s">
        <v>689</v>
      </c>
      <c r="O365" s="46" t="s">
        <v>71</v>
      </c>
      <c r="P365" s="46">
        <v>0</v>
      </c>
      <c r="Q365" s="46" t="s">
        <v>670</v>
      </c>
      <c r="R365" s="46" t="s">
        <v>23</v>
      </c>
      <c r="S365" s="46" t="s">
        <v>671</v>
      </c>
      <c r="T365" s="46" t="s">
        <v>672</v>
      </c>
      <c r="U365" s="46" t="b">
        <v>1</v>
      </c>
      <c r="V365" s="46" t="s">
        <v>985</v>
      </c>
      <c r="W365" s="46" t="s">
        <v>984</v>
      </c>
      <c r="X365" s="46">
        <v>6</v>
      </c>
      <c r="Y365" s="46" t="b">
        <v>1</v>
      </c>
      <c r="Z365" s="46" t="s">
        <v>675</v>
      </c>
      <c r="AA365" s="46" t="s">
        <v>676</v>
      </c>
      <c r="AB365" s="46" t="s">
        <v>677</v>
      </c>
      <c r="AC365" s="46">
        <v>0</v>
      </c>
      <c r="AD365" s="46" t="s">
        <v>678</v>
      </c>
      <c r="AE365" s="46">
        <v>8</v>
      </c>
      <c r="AF365" s="46" t="s">
        <v>679</v>
      </c>
      <c r="AG365" s="46">
        <v>311125.59899999999</v>
      </c>
      <c r="AH365" s="46" t="b">
        <v>1</v>
      </c>
      <c r="AI365" s="46">
        <v>-1</v>
      </c>
      <c r="AJ365" s="46" t="s">
        <v>680</v>
      </c>
      <c r="AK365" s="46">
        <v>0</v>
      </c>
      <c r="AL365" s="46" t="b">
        <v>0</v>
      </c>
      <c r="AM365" s="46">
        <v>311125.59899999999</v>
      </c>
      <c r="AN365" s="46" t="b">
        <v>1</v>
      </c>
      <c r="AO365" s="46">
        <v>0</v>
      </c>
      <c r="AP365" s="46" t="b">
        <v>0</v>
      </c>
      <c r="AQ365" s="46">
        <v>1468178.703</v>
      </c>
      <c r="AS365" s="46">
        <v>1468178.703</v>
      </c>
      <c r="AT365" s="46">
        <v>6</v>
      </c>
      <c r="AU365" s="46" t="b">
        <v>1</v>
      </c>
      <c r="AV365" s="46" t="b">
        <v>0</v>
      </c>
    </row>
    <row r="366" spans="2:48">
      <c r="B366" s="46" t="s">
        <v>665</v>
      </c>
      <c r="C366" s="46" t="s">
        <v>666</v>
      </c>
      <c r="D366" s="46">
        <v>20240201</v>
      </c>
      <c r="E366" s="46">
        <v>2024</v>
      </c>
      <c r="F366" s="46">
        <v>2</v>
      </c>
      <c r="G366" s="46" t="s">
        <v>687</v>
      </c>
      <c r="H366" s="46">
        <v>818</v>
      </c>
      <c r="I366" s="46" t="s">
        <v>668</v>
      </c>
      <c r="J366" s="46" t="s">
        <v>57</v>
      </c>
      <c r="K366" s="46" t="s">
        <v>666</v>
      </c>
      <c r="L366" s="46" t="s">
        <v>669</v>
      </c>
      <c r="M366" s="46">
        <v>392</v>
      </c>
      <c r="N366" s="46" t="s">
        <v>747</v>
      </c>
      <c r="O366" s="46" t="s">
        <v>32</v>
      </c>
      <c r="P366" s="46">
        <v>0</v>
      </c>
      <c r="Q366" s="46" t="s">
        <v>670</v>
      </c>
      <c r="R366" s="46" t="s">
        <v>23</v>
      </c>
      <c r="S366" s="46" t="s">
        <v>671</v>
      </c>
      <c r="T366" s="46" t="s">
        <v>672</v>
      </c>
      <c r="U366" s="46" t="b">
        <v>1</v>
      </c>
      <c r="V366" s="46" t="s">
        <v>985</v>
      </c>
      <c r="W366" s="46" t="s">
        <v>984</v>
      </c>
      <c r="X366" s="46">
        <v>6</v>
      </c>
      <c r="Y366" s="46" t="b">
        <v>1</v>
      </c>
      <c r="Z366" s="46" t="s">
        <v>675</v>
      </c>
      <c r="AA366" s="46" t="s">
        <v>676</v>
      </c>
      <c r="AB366" s="46" t="s">
        <v>677</v>
      </c>
      <c r="AC366" s="46">
        <v>0</v>
      </c>
      <c r="AD366" s="46" t="s">
        <v>678</v>
      </c>
      <c r="AE366" s="46">
        <v>8</v>
      </c>
      <c r="AF366" s="46" t="s">
        <v>679</v>
      </c>
      <c r="AG366" s="46">
        <v>28370.048999999999</v>
      </c>
      <c r="AH366" s="46" t="b">
        <v>1</v>
      </c>
      <c r="AI366" s="46">
        <v>-1</v>
      </c>
      <c r="AJ366" s="46" t="s">
        <v>680</v>
      </c>
      <c r="AK366" s="46">
        <v>0</v>
      </c>
      <c r="AL366" s="46" t="b">
        <v>0</v>
      </c>
      <c r="AM366" s="46">
        <v>28370.048999999999</v>
      </c>
      <c r="AN366" s="46" t="b">
        <v>1</v>
      </c>
      <c r="AO366" s="46">
        <v>0</v>
      </c>
      <c r="AP366" s="46" t="b">
        <v>0</v>
      </c>
      <c r="AQ366" s="46">
        <v>133876.166</v>
      </c>
      <c r="AS366" s="46">
        <v>133876.166</v>
      </c>
      <c r="AT366" s="46">
        <v>6</v>
      </c>
      <c r="AU366" s="46" t="b">
        <v>1</v>
      </c>
      <c r="AV366" s="46" t="b">
        <v>0</v>
      </c>
    </row>
    <row r="367" spans="2:48">
      <c r="B367" s="46" t="s">
        <v>665</v>
      </c>
      <c r="C367" s="46" t="s">
        <v>666</v>
      </c>
      <c r="D367" s="46">
        <v>20240501</v>
      </c>
      <c r="E367" s="46">
        <v>2024</v>
      </c>
      <c r="F367" s="46">
        <v>5</v>
      </c>
      <c r="G367" s="46" t="s">
        <v>699</v>
      </c>
      <c r="H367" s="46">
        <v>818</v>
      </c>
      <c r="I367" s="46" t="s">
        <v>668</v>
      </c>
      <c r="J367" s="46" t="s">
        <v>57</v>
      </c>
      <c r="K367" s="46" t="s">
        <v>666</v>
      </c>
      <c r="L367" s="46" t="s">
        <v>669</v>
      </c>
      <c r="M367" s="46">
        <v>400</v>
      </c>
      <c r="N367" s="46" t="s">
        <v>1003</v>
      </c>
      <c r="O367" s="46" t="s">
        <v>214</v>
      </c>
      <c r="P367" s="46">
        <v>0</v>
      </c>
      <c r="Q367" s="46" t="s">
        <v>670</v>
      </c>
      <c r="R367" s="46" t="s">
        <v>23</v>
      </c>
      <c r="S367" s="46" t="s">
        <v>671</v>
      </c>
      <c r="T367" s="46" t="s">
        <v>672</v>
      </c>
      <c r="U367" s="46" t="b">
        <v>1</v>
      </c>
      <c r="V367" s="46" t="s">
        <v>985</v>
      </c>
      <c r="W367" s="46" t="s">
        <v>984</v>
      </c>
      <c r="X367" s="46">
        <v>6</v>
      </c>
      <c r="Y367" s="46" t="b">
        <v>1</v>
      </c>
      <c r="Z367" s="46" t="s">
        <v>675</v>
      </c>
      <c r="AA367" s="46" t="s">
        <v>676</v>
      </c>
      <c r="AB367" s="46" t="s">
        <v>677</v>
      </c>
      <c r="AC367" s="46">
        <v>0</v>
      </c>
      <c r="AD367" s="46" t="s">
        <v>678</v>
      </c>
      <c r="AE367" s="46">
        <v>8</v>
      </c>
      <c r="AF367" s="46" t="s">
        <v>679</v>
      </c>
      <c r="AG367" s="46">
        <v>1573.4559999999999</v>
      </c>
      <c r="AH367" s="46" t="b">
        <v>1</v>
      </c>
      <c r="AI367" s="46">
        <v>-1</v>
      </c>
      <c r="AJ367" s="46" t="s">
        <v>680</v>
      </c>
      <c r="AK367" s="46">
        <v>0</v>
      </c>
      <c r="AL367" s="46" t="b">
        <v>0</v>
      </c>
      <c r="AM367" s="46">
        <v>1573.4559999999999</v>
      </c>
      <c r="AN367" s="46" t="b">
        <v>1</v>
      </c>
      <c r="AO367" s="46">
        <v>0</v>
      </c>
      <c r="AP367" s="46" t="b">
        <v>0</v>
      </c>
      <c r="AQ367" s="46">
        <v>7425.0230000000001</v>
      </c>
      <c r="AS367" s="46">
        <v>7425.0230000000001</v>
      </c>
      <c r="AT367" s="46">
        <v>6</v>
      </c>
      <c r="AU367" s="46" t="b">
        <v>1</v>
      </c>
      <c r="AV367" s="46" t="b">
        <v>0</v>
      </c>
    </row>
    <row r="368" spans="2:48">
      <c r="B368" s="46" t="s">
        <v>665</v>
      </c>
      <c r="C368" s="46" t="s">
        <v>666</v>
      </c>
      <c r="D368" s="46">
        <v>20240301</v>
      </c>
      <c r="E368" s="46">
        <v>2024</v>
      </c>
      <c r="F368" s="46">
        <v>3</v>
      </c>
      <c r="G368" s="46" t="s">
        <v>692</v>
      </c>
      <c r="H368" s="46">
        <v>818</v>
      </c>
      <c r="I368" s="46" t="s">
        <v>668</v>
      </c>
      <c r="J368" s="46" t="s">
        <v>57</v>
      </c>
      <c r="K368" s="46" t="s">
        <v>666</v>
      </c>
      <c r="L368" s="46" t="s">
        <v>669</v>
      </c>
      <c r="M368" s="46">
        <v>410</v>
      </c>
      <c r="N368" s="46" t="s">
        <v>754</v>
      </c>
      <c r="O368" s="46" t="s">
        <v>755</v>
      </c>
      <c r="P368" s="46">
        <v>0</v>
      </c>
      <c r="Q368" s="46" t="s">
        <v>670</v>
      </c>
      <c r="R368" s="46" t="s">
        <v>23</v>
      </c>
      <c r="S368" s="46" t="s">
        <v>671</v>
      </c>
      <c r="T368" s="46" t="s">
        <v>672</v>
      </c>
      <c r="U368" s="46" t="b">
        <v>1</v>
      </c>
      <c r="V368" s="46" t="s">
        <v>985</v>
      </c>
      <c r="W368" s="46" t="s">
        <v>984</v>
      </c>
      <c r="X368" s="46">
        <v>6</v>
      </c>
      <c r="Y368" s="46" t="b">
        <v>1</v>
      </c>
      <c r="Z368" s="46" t="s">
        <v>675</v>
      </c>
      <c r="AA368" s="46" t="s">
        <v>676</v>
      </c>
      <c r="AB368" s="46" t="s">
        <v>677</v>
      </c>
      <c r="AC368" s="46">
        <v>0</v>
      </c>
      <c r="AD368" s="46" t="s">
        <v>678</v>
      </c>
      <c r="AE368" s="46">
        <v>8</v>
      </c>
      <c r="AF368" s="46" t="s">
        <v>679</v>
      </c>
      <c r="AG368" s="46">
        <v>22126.392</v>
      </c>
      <c r="AH368" s="46" t="b">
        <v>1</v>
      </c>
      <c r="AI368" s="46">
        <v>-1</v>
      </c>
      <c r="AJ368" s="46" t="s">
        <v>680</v>
      </c>
      <c r="AK368" s="46">
        <v>0</v>
      </c>
      <c r="AL368" s="46" t="b">
        <v>0</v>
      </c>
      <c r="AM368" s="46">
        <v>22126.392</v>
      </c>
      <c r="AN368" s="46" t="b">
        <v>1</v>
      </c>
      <c r="AO368" s="46">
        <v>0</v>
      </c>
      <c r="AP368" s="46" t="b">
        <v>0</v>
      </c>
      <c r="AQ368" s="46">
        <v>104412.806</v>
      </c>
      <c r="AS368" s="46">
        <v>104412.806</v>
      </c>
      <c r="AT368" s="46">
        <v>6</v>
      </c>
      <c r="AU368" s="46" t="b">
        <v>1</v>
      </c>
      <c r="AV368" s="46" t="b">
        <v>0</v>
      </c>
    </row>
    <row r="369" spans="2:48">
      <c r="B369" s="46" t="s">
        <v>665</v>
      </c>
      <c r="C369" s="46" t="s">
        <v>666</v>
      </c>
      <c r="D369" s="46">
        <v>20240501</v>
      </c>
      <c r="E369" s="46">
        <v>2024</v>
      </c>
      <c r="F369" s="46">
        <v>5</v>
      </c>
      <c r="G369" s="46" t="s">
        <v>699</v>
      </c>
      <c r="H369" s="46">
        <v>818</v>
      </c>
      <c r="I369" s="46" t="s">
        <v>668</v>
      </c>
      <c r="J369" s="46" t="s">
        <v>57</v>
      </c>
      <c r="K369" s="46" t="s">
        <v>666</v>
      </c>
      <c r="L369" s="46" t="s">
        <v>669</v>
      </c>
      <c r="M369" s="46">
        <v>440</v>
      </c>
      <c r="N369" s="46" t="s">
        <v>1012</v>
      </c>
      <c r="O369" s="46" t="s">
        <v>88</v>
      </c>
      <c r="P369" s="46">
        <v>0</v>
      </c>
      <c r="Q369" s="46" t="s">
        <v>670</v>
      </c>
      <c r="R369" s="46" t="s">
        <v>23</v>
      </c>
      <c r="S369" s="46" t="s">
        <v>671</v>
      </c>
      <c r="T369" s="46" t="s">
        <v>672</v>
      </c>
      <c r="U369" s="46" t="b">
        <v>1</v>
      </c>
      <c r="V369" s="46" t="s">
        <v>985</v>
      </c>
      <c r="W369" s="46" t="s">
        <v>984</v>
      </c>
      <c r="X369" s="46">
        <v>6</v>
      </c>
      <c r="Y369" s="46" t="b">
        <v>1</v>
      </c>
      <c r="Z369" s="46" t="s">
        <v>675</v>
      </c>
      <c r="AA369" s="46" t="s">
        <v>676</v>
      </c>
      <c r="AB369" s="46" t="s">
        <v>677</v>
      </c>
      <c r="AC369" s="46">
        <v>0</v>
      </c>
      <c r="AD369" s="46" t="s">
        <v>678</v>
      </c>
      <c r="AE369" s="46">
        <v>8</v>
      </c>
      <c r="AF369" s="46" t="s">
        <v>679</v>
      </c>
      <c r="AG369" s="46">
        <v>1323.7750000000001</v>
      </c>
      <c r="AH369" s="46" t="b">
        <v>1</v>
      </c>
      <c r="AI369" s="46">
        <v>-1</v>
      </c>
      <c r="AJ369" s="46" t="s">
        <v>680</v>
      </c>
      <c r="AK369" s="46">
        <v>0</v>
      </c>
      <c r="AL369" s="46" t="b">
        <v>0</v>
      </c>
      <c r="AM369" s="46">
        <v>1323.7750000000001</v>
      </c>
      <c r="AN369" s="46" t="b">
        <v>1</v>
      </c>
      <c r="AO369" s="46">
        <v>0</v>
      </c>
      <c r="AP369" s="46" t="b">
        <v>0</v>
      </c>
      <c r="AQ369" s="46">
        <v>6246.7979999999998</v>
      </c>
      <c r="AS369" s="46">
        <v>6246.7979999999998</v>
      </c>
      <c r="AT369" s="46">
        <v>6</v>
      </c>
      <c r="AU369" s="46" t="b">
        <v>1</v>
      </c>
      <c r="AV369" s="46" t="b">
        <v>0</v>
      </c>
    </row>
    <row r="370" spans="2:48">
      <c r="B370" s="46" t="s">
        <v>665</v>
      </c>
      <c r="C370" s="46" t="s">
        <v>666</v>
      </c>
      <c r="D370" s="46">
        <v>20240601</v>
      </c>
      <c r="E370" s="46">
        <v>2024</v>
      </c>
      <c r="F370" s="46">
        <v>6</v>
      </c>
      <c r="G370" s="46" t="s">
        <v>700</v>
      </c>
      <c r="H370" s="46">
        <v>818</v>
      </c>
      <c r="I370" s="46" t="s">
        <v>668</v>
      </c>
      <c r="J370" s="46" t="s">
        <v>57</v>
      </c>
      <c r="K370" s="46" t="s">
        <v>666</v>
      </c>
      <c r="L370" s="46" t="s">
        <v>669</v>
      </c>
      <c r="M370" s="46">
        <v>458</v>
      </c>
      <c r="N370" s="46" t="s">
        <v>722</v>
      </c>
      <c r="O370" s="46" t="s">
        <v>26</v>
      </c>
      <c r="P370" s="46">
        <v>0</v>
      </c>
      <c r="Q370" s="46" t="s">
        <v>670</v>
      </c>
      <c r="R370" s="46" t="s">
        <v>23</v>
      </c>
      <c r="S370" s="46" t="s">
        <v>671</v>
      </c>
      <c r="T370" s="46" t="s">
        <v>672</v>
      </c>
      <c r="U370" s="46" t="b">
        <v>1</v>
      </c>
      <c r="V370" s="46" t="s">
        <v>985</v>
      </c>
      <c r="W370" s="46" t="s">
        <v>984</v>
      </c>
      <c r="X370" s="46">
        <v>6</v>
      </c>
      <c r="Y370" s="46" t="b">
        <v>1</v>
      </c>
      <c r="Z370" s="46" t="s">
        <v>675</v>
      </c>
      <c r="AA370" s="46" t="s">
        <v>676</v>
      </c>
      <c r="AB370" s="46" t="s">
        <v>677</v>
      </c>
      <c r="AC370" s="46">
        <v>0</v>
      </c>
      <c r="AD370" s="46" t="s">
        <v>678</v>
      </c>
      <c r="AE370" s="46">
        <v>8</v>
      </c>
      <c r="AF370" s="46" t="s">
        <v>679</v>
      </c>
      <c r="AG370" s="46">
        <v>1275.3399999999999</v>
      </c>
      <c r="AH370" s="46" t="b">
        <v>1</v>
      </c>
      <c r="AI370" s="46">
        <v>-1</v>
      </c>
      <c r="AJ370" s="46" t="s">
        <v>680</v>
      </c>
      <c r="AK370" s="46">
        <v>0</v>
      </c>
      <c r="AL370" s="46" t="b">
        <v>0</v>
      </c>
      <c r="AM370" s="46">
        <v>1275.3399999999999</v>
      </c>
      <c r="AN370" s="46" t="b">
        <v>1</v>
      </c>
      <c r="AO370" s="46">
        <v>0</v>
      </c>
      <c r="AP370" s="46" t="b">
        <v>0</v>
      </c>
      <c r="AQ370" s="46">
        <v>6018.2359999999999</v>
      </c>
      <c r="AS370" s="46">
        <v>6018.2359999999999</v>
      </c>
      <c r="AT370" s="46">
        <v>6</v>
      </c>
      <c r="AU370" s="46" t="b">
        <v>1</v>
      </c>
      <c r="AV370" s="46" t="b">
        <v>0</v>
      </c>
    </row>
    <row r="371" spans="2:48">
      <c r="B371" s="46" t="s">
        <v>665</v>
      </c>
      <c r="C371" s="46" t="s">
        <v>666</v>
      </c>
      <c r="D371" s="46">
        <v>20240401</v>
      </c>
      <c r="E371" s="46">
        <v>2024</v>
      </c>
      <c r="F371" s="46">
        <v>4</v>
      </c>
      <c r="G371" s="46" t="s">
        <v>695</v>
      </c>
      <c r="H371" s="46">
        <v>818</v>
      </c>
      <c r="I371" s="46" t="s">
        <v>668</v>
      </c>
      <c r="J371" s="46" t="s">
        <v>57</v>
      </c>
      <c r="K371" s="46" t="s">
        <v>666</v>
      </c>
      <c r="L371" s="46" t="s">
        <v>669</v>
      </c>
      <c r="M371" s="46">
        <v>484</v>
      </c>
      <c r="N371" s="46" t="s">
        <v>998</v>
      </c>
      <c r="O371" s="46" t="s">
        <v>80</v>
      </c>
      <c r="P371" s="46">
        <v>0</v>
      </c>
      <c r="Q371" s="46" t="s">
        <v>670</v>
      </c>
      <c r="R371" s="46" t="s">
        <v>23</v>
      </c>
      <c r="S371" s="46" t="s">
        <v>671</v>
      </c>
      <c r="T371" s="46" t="s">
        <v>672</v>
      </c>
      <c r="U371" s="46" t="b">
        <v>1</v>
      </c>
      <c r="V371" s="46" t="s">
        <v>985</v>
      </c>
      <c r="W371" s="46" t="s">
        <v>984</v>
      </c>
      <c r="X371" s="46">
        <v>6</v>
      </c>
      <c r="Y371" s="46" t="b">
        <v>1</v>
      </c>
      <c r="Z371" s="46" t="s">
        <v>675</v>
      </c>
      <c r="AA371" s="46" t="s">
        <v>676</v>
      </c>
      <c r="AB371" s="46" t="s">
        <v>677</v>
      </c>
      <c r="AC371" s="46">
        <v>0</v>
      </c>
      <c r="AD371" s="46" t="s">
        <v>678</v>
      </c>
      <c r="AE371" s="46">
        <v>8</v>
      </c>
      <c r="AF371" s="46" t="s">
        <v>679</v>
      </c>
      <c r="AG371" s="46">
        <v>23855.207999999999</v>
      </c>
      <c r="AH371" s="46" t="b">
        <v>1</v>
      </c>
      <c r="AI371" s="46">
        <v>-1</v>
      </c>
      <c r="AJ371" s="46" t="s">
        <v>680</v>
      </c>
      <c r="AK371" s="46">
        <v>0</v>
      </c>
      <c r="AL371" s="46" t="b">
        <v>0</v>
      </c>
      <c r="AM371" s="46">
        <v>23855.207999999999</v>
      </c>
      <c r="AN371" s="46" t="b">
        <v>1</v>
      </c>
      <c r="AO371" s="46">
        <v>0</v>
      </c>
      <c r="AP371" s="46" t="b">
        <v>0</v>
      </c>
      <c r="AQ371" s="46">
        <v>112570.961</v>
      </c>
      <c r="AS371" s="46">
        <v>112570.961</v>
      </c>
      <c r="AT371" s="46">
        <v>6</v>
      </c>
      <c r="AU371" s="46" t="b">
        <v>1</v>
      </c>
      <c r="AV371" s="46" t="b">
        <v>0</v>
      </c>
    </row>
    <row r="372" spans="2:48">
      <c r="B372" s="46" t="s">
        <v>665</v>
      </c>
      <c r="C372" s="46" t="s">
        <v>666</v>
      </c>
      <c r="D372" s="46">
        <v>20240401</v>
      </c>
      <c r="E372" s="46">
        <v>2024</v>
      </c>
      <c r="F372" s="46">
        <v>4</v>
      </c>
      <c r="G372" s="46" t="s">
        <v>695</v>
      </c>
      <c r="H372" s="46">
        <v>818</v>
      </c>
      <c r="I372" s="46" t="s">
        <v>668</v>
      </c>
      <c r="J372" s="46" t="s">
        <v>57</v>
      </c>
      <c r="K372" s="46" t="s">
        <v>666</v>
      </c>
      <c r="L372" s="46" t="s">
        <v>669</v>
      </c>
      <c r="M372" s="46">
        <v>490</v>
      </c>
      <c r="N372" s="46" t="s">
        <v>762</v>
      </c>
      <c r="O372" s="46" t="s">
        <v>763</v>
      </c>
      <c r="P372" s="46">
        <v>0</v>
      </c>
      <c r="Q372" s="46" t="s">
        <v>670</v>
      </c>
      <c r="R372" s="46" t="s">
        <v>23</v>
      </c>
      <c r="S372" s="46" t="s">
        <v>671</v>
      </c>
      <c r="T372" s="46" t="s">
        <v>672</v>
      </c>
      <c r="U372" s="46" t="b">
        <v>1</v>
      </c>
      <c r="V372" s="46" t="s">
        <v>985</v>
      </c>
      <c r="W372" s="46" t="s">
        <v>984</v>
      </c>
      <c r="X372" s="46">
        <v>6</v>
      </c>
      <c r="Y372" s="46" t="b">
        <v>1</v>
      </c>
      <c r="Z372" s="46" t="s">
        <v>675</v>
      </c>
      <c r="AA372" s="46" t="s">
        <v>676</v>
      </c>
      <c r="AB372" s="46" t="s">
        <v>677</v>
      </c>
      <c r="AC372" s="46">
        <v>0</v>
      </c>
      <c r="AD372" s="46" t="s">
        <v>678</v>
      </c>
      <c r="AE372" s="46">
        <v>8</v>
      </c>
      <c r="AF372" s="46" t="s">
        <v>679</v>
      </c>
      <c r="AG372" s="46">
        <v>12736.986999999999</v>
      </c>
      <c r="AH372" s="46" t="b">
        <v>1</v>
      </c>
      <c r="AI372" s="46">
        <v>-1</v>
      </c>
      <c r="AJ372" s="46" t="s">
        <v>680</v>
      </c>
      <c r="AK372" s="46">
        <v>0</v>
      </c>
      <c r="AL372" s="46" t="b">
        <v>0</v>
      </c>
      <c r="AM372" s="46">
        <v>12736.986999999999</v>
      </c>
      <c r="AN372" s="46" t="b">
        <v>1</v>
      </c>
      <c r="AO372" s="46">
        <v>0</v>
      </c>
      <c r="AP372" s="46" t="b">
        <v>0</v>
      </c>
      <c r="AQ372" s="46">
        <v>60104.898000000001</v>
      </c>
      <c r="AS372" s="46">
        <v>60104.898000000001</v>
      </c>
      <c r="AT372" s="46">
        <v>6</v>
      </c>
      <c r="AU372" s="46" t="b">
        <v>1</v>
      </c>
      <c r="AV372" s="46" t="b">
        <v>0</v>
      </c>
    </row>
    <row r="373" spans="2:48">
      <c r="B373" s="46" t="s">
        <v>665</v>
      </c>
      <c r="C373" s="46" t="s">
        <v>666</v>
      </c>
      <c r="D373" s="46">
        <v>20240301</v>
      </c>
      <c r="E373" s="46">
        <v>2024</v>
      </c>
      <c r="F373" s="46">
        <v>3</v>
      </c>
      <c r="G373" s="46" t="s">
        <v>692</v>
      </c>
      <c r="H373" s="46">
        <v>818</v>
      </c>
      <c r="I373" s="46" t="s">
        <v>668</v>
      </c>
      <c r="J373" s="46" t="s">
        <v>57</v>
      </c>
      <c r="K373" s="46" t="s">
        <v>666</v>
      </c>
      <c r="L373" s="46" t="s">
        <v>669</v>
      </c>
      <c r="M373" s="46">
        <v>528</v>
      </c>
      <c r="N373" s="46" t="s">
        <v>698</v>
      </c>
      <c r="O373" s="46" t="s">
        <v>60</v>
      </c>
      <c r="P373" s="46">
        <v>0</v>
      </c>
      <c r="Q373" s="46" t="s">
        <v>670</v>
      </c>
      <c r="R373" s="46" t="s">
        <v>23</v>
      </c>
      <c r="S373" s="46" t="s">
        <v>671</v>
      </c>
      <c r="T373" s="46" t="s">
        <v>672</v>
      </c>
      <c r="U373" s="46" t="b">
        <v>1</v>
      </c>
      <c r="V373" s="46" t="s">
        <v>985</v>
      </c>
      <c r="W373" s="46" t="s">
        <v>984</v>
      </c>
      <c r="X373" s="46">
        <v>6</v>
      </c>
      <c r="Y373" s="46" t="b">
        <v>1</v>
      </c>
      <c r="Z373" s="46" t="s">
        <v>675</v>
      </c>
      <c r="AA373" s="46" t="s">
        <v>676</v>
      </c>
      <c r="AB373" s="46" t="s">
        <v>677</v>
      </c>
      <c r="AC373" s="46">
        <v>0</v>
      </c>
      <c r="AD373" s="46" t="s">
        <v>678</v>
      </c>
      <c r="AE373" s="46">
        <v>8</v>
      </c>
      <c r="AF373" s="46" t="s">
        <v>679</v>
      </c>
      <c r="AG373" s="46">
        <v>105768.519</v>
      </c>
      <c r="AH373" s="46" t="b">
        <v>1</v>
      </c>
      <c r="AI373" s="46">
        <v>-1</v>
      </c>
      <c r="AJ373" s="46" t="s">
        <v>680</v>
      </c>
      <c r="AK373" s="46">
        <v>0</v>
      </c>
      <c r="AL373" s="46" t="b">
        <v>0</v>
      </c>
      <c r="AM373" s="46">
        <v>105768.519</v>
      </c>
      <c r="AN373" s="46" t="b">
        <v>1</v>
      </c>
      <c r="AO373" s="46">
        <v>0</v>
      </c>
      <c r="AP373" s="46" t="b">
        <v>0</v>
      </c>
      <c r="AQ373" s="46">
        <v>499113.82400000002</v>
      </c>
      <c r="AS373" s="46">
        <v>499113.82400000002</v>
      </c>
      <c r="AT373" s="46">
        <v>6</v>
      </c>
      <c r="AU373" s="46" t="b">
        <v>1</v>
      </c>
      <c r="AV373" s="46" t="b">
        <v>0</v>
      </c>
    </row>
    <row r="374" spans="2:48">
      <c r="B374" s="46" t="s">
        <v>665</v>
      </c>
      <c r="C374" s="46" t="s">
        <v>666</v>
      </c>
      <c r="D374" s="46">
        <v>20240101</v>
      </c>
      <c r="E374" s="46">
        <v>2024</v>
      </c>
      <c r="F374" s="46">
        <v>1</v>
      </c>
      <c r="G374" s="46" t="s">
        <v>667</v>
      </c>
      <c r="H374" s="46">
        <v>818</v>
      </c>
      <c r="I374" s="46" t="s">
        <v>668</v>
      </c>
      <c r="J374" s="46" t="s">
        <v>57</v>
      </c>
      <c r="K374" s="46" t="s">
        <v>666</v>
      </c>
      <c r="L374" s="46" t="s">
        <v>669</v>
      </c>
      <c r="M374" s="46">
        <v>554</v>
      </c>
      <c r="N374" s="46" t="s">
        <v>1013</v>
      </c>
      <c r="O374" s="46" t="s">
        <v>36</v>
      </c>
      <c r="P374" s="46">
        <v>0</v>
      </c>
      <c r="Q374" s="46" t="s">
        <v>670</v>
      </c>
      <c r="R374" s="46" t="s">
        <v>23</v>
      </c>
      <c r="S374" s="46" t="s">
        <v>671</v>
      </c>
      <c r="T374" s="46" t="s">
        <v>672</v>
      </c>
      <c r="U374" s="46" t="b">
        <v>1</v>
      </c>
      <c r="V374" s="46" t="s">
        <v>985</v>
      </c>
      <c r="W374" s="46" t="s">
        <v>984</v>
      </c>
      <c r="X374" s="46">
        <v>6</v>
      </c>
      <c r="Y374" s="46" t="b">
        <v>1</v>
      </c>
      <c r="Z374" s="46" t="s">
        <v>675</v>
      </c>
      <c r="AA374" s="46" t="s">
        <v>676</v>
      </c>
      <c r="AB374" s="46" t="s">
        <v>677</v>
      </c>
      <c r="AC374" s="46">
        <v>0</v>
      </c>
      <c r="AD374" s="46" t="s">
        <v>678</v>
      </c>
      <c r="AE374" s="46">
        <v>8</v>
      </c>
      <c r="AF374" s="46" t="s">
        <v>679</v>
      </c>
      <c r="AG374" s="46">
        <v>13335.94</v>
      </c>
      <c r="AH374" s="46" t="b">
        <v>1</v>
      </c>
      <c r="AI374" s="46">
        <v>-1</v>
      </c>
      <c r="AJ374" s="46" t="s">
        <v>680</v>
      </c>
      <c r="AK374" s="46">
        <v>0</v>
      </c>
      <c r="AL374" s="46" t="b">
        <v>0</v>
      </c>
      <c r="AM374" s="46">
        <v>13335.94</v>
      </c>
      <c r="AN374" s="46" t="b">
        <v>1</v>
      </c>
      <c r="AO374" s="46">
        <v>0</v>
      </c>
      <c r="AP374" s="46" t="b">
        <v>0</v>
      </c>
      <c r="AQ374" s="46">
        <v>62931.315999999999</v>
      </c>
      <c r="AS374" s="46">
        <v>62931.315999999999</v>
      </c>
      <c r="AT374" s="46">
        <v>6</v>
      </c>
      <c r="AU374" s="46" t="b">
        <v>1</v>
      </c>
      <c r="AV374" s="46" t="b">
        <v>0</v>
      </c>
    </row>
    <row r="375" spans="2:48">
      <c r="B375" s="46" t="s">
        <v>665</v>
      </c>
      <c r="C375" s="46" t="s">
        <v>666</v>
      </c>
      <c r="D375" s="46">
        <v>20240301</v>
      </c>
      <c r="E375" s="46">
        <v>2024</v>
      </c>
      <c r="F375" s="46">
        <v>3</v>
      </c>
      <c r="G375" s="46" t="s">
        <v>692</v>
      </c>
      <c r="H375" s="46">
        <v>818</v>
      </c>
      <c r="I375" s="46" t="s">
        <v>668</v>
      </c>
      <c r="J375" s="46" t="s">
        <v>57</v>
      </c>
      <c r="K375" s="46" t="s">
        <v>666</v>
      </c>
      <c r="L375" s="46" t="s">
        <v>669</v>
      </c>
      <c r="M375" s="46">
        <v>568</v>
      </c>
      <c r="N375" s="46" t="s">
        <v>682</v>
      </c>
      <c r="O375" s="46" t="s">
        <v>683</v>
      </c>
      <c r="P375" s="46">
        <v>0</v>
      </c>
      <c r="Q375" s="46" t="s">
        <v>670</v>
      </c>
      <c r="R375" s="46" t="s">
        <v>23</v>
      </c>
      <c r="S375" s="46" t="s">
        <v>671</v>
      </c>
      <c r="T375" s="46" t="s">
        <v>672</v>
      </c>
      <c r="U375" s="46" t="b">
        <v>1</v>
      </c>
      <c r="V375" s="46" t="s">
        <v>985</v>
      </c>
      <c r="W375" s="46" t="s">
        <v>984</v>
      </c>
      <c r="X375" s="46">
        <v>6</v>
      </c>
      <c r="Y375" s="46" t="b">
        <v>1</v>
      </c>
      <c r="Z375" s="46" t="s">
        <v>675</v>
      </c>
      <c r="AA375" s="46" t="s">
        <v>676</v>
      </c>
      <c r="AB375" s="46" t="s">
        <v>677</v>
      </c>
      <c r="AC375" s="46">
        <v>0</v>
      </c>
      <c r="AD375" s="46" t="s">
        <v>678</v>
      </c>
      <c r="AE375" s="46">
        <v>8</v>
      </c>
      <c r="AF375" s="46" t="s">
        <v>679</v>
      </c>
      <c r="AG375" s="46">
        <v>17567.868999999999</v>
      </c>
      <c r="AH375" s="46" t="b">
        <v>1</v>
      </c>
      <c r="AI375" s="46">
        <v>-1</v>
      </c>
      <c r="AJ375" s="46" t="s">
        <v>680</v>
      </c>
      <c r="AK375" s="46">
        <v>0</v>
      </c>
      <c r="AL375" s="46" t="b">
        <v>0</v>
      </c>
      <c r="AM375" s="46">
        <v>17567.868999999999</v>
      </c>
      <c r="AN375" s="46" t="b">
        <v>1</v>
      </c>
      <c r="AO375" s="46">
        <v>0</v>
      </c>
      <c r="AP375" s="46" t="b">
        <v>0</v>
      </c>
      <c r="AQ375" s="46">
        <v>82901.476999999999</v>
      </c>
      <c r="AS375" s="46">
        <v>82901.476999999999</v>
      </c>
      <c r="AT375" s="46">
        <v>6</v>
      </c>
      <c r="AU375" s="46" t="b">
        <v>1</v>
      </c>
      <c r="AV375" s="46" t="b">
        <v>0</v>
      </c>
    </row>
    <row r="376" spans="2:48">
      <c r="B376" s="46" t="s">
        <v>665</v>
      </c>
      <c r="C376" s="46" t="s">
        <v>666</v>
      </c>
      <c r="D376" s="46">
        <v>20240601</v>
      </c>
      <c r="E376" s="46">
        <v>2024</v>
      </c>
      <c r="F376" s="46">
        <v>6</v>
      </c>
      <c r="G376" s="46" t="s">
        <v>700</v>
      </c>
      <c r="H376" s="46">
        <v>818</v>
      </c>
      <c r="I376" s="46" t="s">
        <v>668</v>
      </c>
      <c r="J376" s="46" t="s">
        <v>57</v>
      </c>
      <c r="K376" s="46" t="s">
        <v>666</v>
      </c>
      <c r="L376" s="46" t="s">
        <v>669</v>
      </c>
      <c r="M376" s="46">
        <v>579</v>
      </c>
      <c r="N376" s="46" t="s">
        <v>992</v>
      </c>
      <c r="O376" s="46" t="s">
        <v>61</v>
      </c>
      <c r="P376" s="46">
        <v>0</v>
      </c>
      <c r="Q376" s="46" t="s">
        <v>670</v>
      </c>
      <c r="R376" s="46" t="s">
        <v>23</v>
      </c>
      <c r="S376" s="46" t="s">
        <v>671</v>
      </c>
      <c r="T376" s="46" t="s">
        <v>672</v>
      </c>
      <c r="U376" s="46" t="b">
        <v>1</v>
      </c>
      <c r="V376" s="46" t="s">
        <v>985</v>
      </c>
      <c r="W376" s="46" t="s">
        <v>984</v>
      </c>
      <c r="X376" s="46">
        <v>6</v>
      </c>
      <c r="Y376" s="46" t="b">
        <v>1</v>
      </c>
      <c r="Z376" s="46" t="s">
        <v>675</v>
      </c>
      <c r="AA376" s="46" t="s">
        <v>676</v>
      </c>
      <c r="AB376" s="46" t="s">
        <v>677</v>
      </c>
      <c r="AC376" s="46">
        <v>0</v>
      </c>
      <c r="AD376" s="46" t="s">
        <v>678</v>
      </c>
      <c r="AE376" s="46">
        <v>8</v>
      </c>
      <c r="AF376" s="46" t="s">
        <v>679</v>
      </c>
      <c r="AG376" s="46">
        <v>99.039000000000001</v>
      </c>
      <c r="AH376" s="46" t="b">
        <v>1</v>
      </c>
      <c r="AI376" s="46">
        <v>-1</v>
      </c>
      <c r="AJ376" s="46" t="s">
        <v>680</v>
      </c>
      <c r="AK376" s="46">
        <v>0</v>
      </c>
      <c r="AL376" s="46" t="b">
        <v>0</v>
      </c>
      <c r="AM376" s="46">
        <v>99.039000000000001</v>
      </c>
      <c r="AN376" s="46" t="b">
        <v>1</v>
      </c>
      <c r="AO376" s="46">
        <v>0</v>
      </c>
      <c r="AP376" s="46" t="b">
        <v>0</v>
      </c>
      <c r="AQ376" s="46">
        <v>467.36</v>
      </c>
      <c r="AS376" s="46">
        <v>467.36</v>
      </c>
      <c r="AT376" s="46">
        <v>6</v>
      </c>
      <c r="AU376" s="46" t="b">
        <v>1</v>
      </c>
      <c r="AV376" s="46" t="b">
        <v>0</v>
      </c>
    </row>
    <row r="377" spans="2:48">
      <c r="B377" s="46" t="s">
        <v>665</v>
      </c>
      <c r="C377" s="46" t="s">
        <v>666</v>
      </c>
      <c r="D377" s="46">
        <v>20240201</v>
      </c>
      <c r="E377" s="46">
        <v>2024</v>
      </c>
      <c r="F377" s="46">
        <v>2</v>
      </c>
      <c r="G377" s="46" t="s">
        <v>687</v>
      </c>
      <c r="H377" s="46">
        <v>818</v>
      </c>
      <c r="I377" s="46" t="s">
        <v>668</v>
      </c>
      <c r="J377" s="46" t="s">
        <v>57</v>
      </c>
      <c r="K377" s="46" t="s">
        <v>666</v>
      </c>
      <c r="L377" s="46" t="s">
        <v>669</v>
      </c>
      <c r="M377" s="46">
        <v>616</v>
      </c>
      <c r="N377" s="46" t="s">
        <v>999</v>
      </c>
      <c r="O377" s="46" t="s">
        <v>84</v>
      </c>
      <c r="P377" s="46">
        <v>0</v>
      </c>
      <c r="Q377" s="46" t="s">
        <v>670</v>
      </c>
      <c r="R377" s="46" t="s">
        <v>23</v>
      </c>
      <c r="S377" s="46" t="s">
        <v>671</v>
      </c>
      <c r="T377" s="46" t="s">
        <v>672</v>
      </c>
      <c r="U377" s="46" t="b">
        <v>1</v>
      </c>
      <c r="V377" s="46" t="s">
        <v>985</v>
      </c>
      <c r="W377" s="46" t="s">
        <v>984</v>
      </c>
      <c r="X377" s="46">
        <v>6</v>
      </c>
      <c r="Y377" s="46" t="b">
        <v>1</v>
      </c>
      <c r="Z377" s="46" t="s">
        <v>675</v>
      </c>
      <c r="AA377" s="46" t="s">
        <v>676</v>
      </c>
      <c r="AB377" s="46" t="s">
        <v>677</v>
      </c>
      <c r="AC377" s="46">
        <v>0</v>
      </c>
      <c r="AD377" s="46" t="s">
        <v>678</v>
      </c>
      <c r="AE377" s="46">
        <v>8</v>
      </c>
      <c r="AF377" s="46" t="s">
        <v>679</v>
      </c>
      <c r="AG377" s="46">
        <v>12287.046</v>
      </c>
      <c r="AH377" s="46" t="b">
        <v>1</v>
      </c>
      <c r="AI377" s="46">
        <v>-1</v>
      </c>
      <c r="AJ377" s="46" t="s">
        <v>680</v>
      </c>
      <c r="AK377" s="46">
        <v>0</v>
      </c>
      <c r="AL377" s="46" t="b">
        <v>0</v>
      </c>
      <c r="AM377" s="46">
        <v>12287.046</v>
      </c>
      <c r="AN377" s="46" t="b">
        <v>1</v>
      </c>
      <c r="AO377" s="46">
        <v>0</v>
      </c>
      <c r="AP377" s="46" t="b">
        <v>0</v>
      </c>
      <c r="AQ377" s="46">
        <v>57981.66</v>
      </c>
      <c r="AS377" s="46">
        <v>57981.66</v>
      </c>
      <c r="AT377" s="46">
        <v>6</v>
      </c>
      <c r="AU377" s="46" t="b">
        <v>1</v>
      </c>
      <c r="AV377" s="46" t="b">
        <v>0</v>
      </c>
    </row>
    <row r="378" spans="2:48">
      <c r="B378" s="46" t="s">
        <v>665</v>
      </c>
      <c r="C378" s="46" t="s">
        <v>666</v>
      </c>
      <c r="D378" s="46">
        <v>20240101</v>
      </c>
      <c r="E378" s="46">
        <v>2024</v>
      </c>
      <c r="F378" s="46">
        <v>1</v>
      </c>
      <c r="G378" s="46" t="s">
        <v>667</v>
      </c>
      <c r="H378" s="46">
        <v>818</v>
      </c>
      <c r="I378" s="46" t="s">
        <v>668</v>
      </c>
      <c r="J378" s="46" t="s">
        <v>57</v>
      </c>
      <c r="K378" s="46" t="s">
        <v>666</v>
      </c>
      <c r="L378" s="46" t="s">
        <v>669</v>
      </c>
      <c r="M378" s="46">
        <v>620</v>
      </c>
      <c r="N378" s="46" t="s">
        <v>693</v>
      </c>
      <c r="O378" s="46" t="s">
        <v>85</v>
      </c>
      <c r="P378" s="46">
        <v>0</v>
      </c>
      <c r="Q378" s="46" t="s">
        <v>670</v>
      </c>
      <c r="R378" s="46" t="s">
        <v>23</v>
      </c>
      <c r="S378" s="46" t="s">
        <v>671</v>
      </c>
      <c r="T378" s="46" t="s">
        <v>672</v>
      </c>
      <c r="U378" s="46" t="b">
        <v>1</v>
      </c>
      <c r="V378" s="46" t="s">
        <v>985</v>
      </c>
      <c r="W378" s="46" t="s">
        <v>984</v>
      </c>
      <c r="X378" s="46">
        <v>6</v>
      </c>
      <c r="Y378" s="46" t="b">
        <v>1</v>
      </c>
      <c r="Z378" s="46" t="s">
        <v>675</v>
      </c>
      <c r="AA378" s="46" t="s">
        <v>676</v>
      </c>
      <c r="AB378" s="46" t="s">
        <v>677</v>
      </c>
      <c r="AC378" s="46">
        <v>0</v>
      </c>
      <c r="AD378" s="46" t="s">
        <v>678</v>
      </c>
      <c r="AE378" s="46">
        <v>8</v>
      </c>
      <c r="AF378" s="46" t="s">
        <v>679</v>
      </c>
      <c r="AG378" s="46">
        <v>10346.679</v>
      </c>
      <c r="AH378" s="46" t="b">
        <v>1</v>
      </c>
      <c r="AI378" s="46">
        <v>-1</v>
      </c>
      <c r="AJ378" s="46" t="s">
        <v>680</v>
      </c>
      <c r="AK378" s="46">
        <v>0</v>
      </c>
      <c r="AL378" s="46" t="b">
        <v>0</v>
      </c>
      <c r="AM378" s="46">
        <v>10346.679</v>
      </c>
      <c r="AN378" s="46" t="b">
        <v>1</v>
      </c>
      <c r="AO378" s="46">
        <v>0</v>
      </c>
      <c r="AP378" s="46" t="b">
        <v>0</v>
      </c>
      <c r="AQ378" s="46">
        <v>48825.214999999997</v>
      </c>
      <c r="AS378" s="46">
        <v>48825.214999999997</v>
      </c>
      <c r="AT378" s="46">
        <v>6</v>
      </c>
      <c r="AU378" s="46" t="b">
        <v>1</v>
      </c>
      <c r="AV378" s="46" t="b">
        <v>0</v>
      </c>
    </row>
    <row r="379" spans="2:48">
      <c r="B379" s="46" t="s">
        <v>665</v>
      </c>
      <c r="C379" s="46" t="s">
        <v>666</v>
      </c>
      <c r="D379" s="46">
        <v>20240301</v>
      </c>
      <c r="E379" s="46">
        <v>2024</v>
      </c>
      <c r="F379" s="46">
        <v>3</v>
      </c>
      <c r="G379" s="46" t="s">
        <v>692</v>
      </c>
      <c r="H379" s="46">
        <v>818</v>
      </c>
      <c r="I379" s="46" t="s">
        <v>668</v>
      </c>
      <c r="J379" s="46" t="s">
        <v>57</v>
      </c>
      <c r="K379" s="46" t="s">
        <v>666</v>
      </c>
      <c r="L379" s="46" t="s">
        <v>669</v>
      </c>
      <c r="M379" s="46">
        <v>634</v>
      </c>
      <c r="N379" s="46" t="s">
        <v>993</v>
      </c>
      <c r="O379" s="46" t="s">
        <v>37</v>
      </c>
      <c r="P379" s="46">
        <v>0</v>
      </c>
      <c r="Q379" s="46" t="s">
        <v>670</v>
      </c>
      <c r="R379" s="46" t="s">
        <v>23</v>
      </c>
      <c r="S379" s="46" t="s">
        <v>671</v>
      </c>
      <c r="T379" s="46" t="s">
        <v>672</v>
      </c>
      <c r="U379" s="46" t="b">
        <v>1</v>
      </c>
      <c r="V379" s="46" t="s">
        <v>985</v>
      </c>
      <c r="W379" s="46" t="s">
        <v>984</v>
      </c>
      <c r="X379" s="46">
        <v>6</v>
      </c>
      <c r="Y379" s="46" t="b">
        <v>1</v>
      </c>
      <c r="Z379" s="46" t="s">
        <v>675</v>
      </c>
      <c r="AA379" s="46" t="s">
        <v>676</v>
      </c>
      <c r="AB379" s="46" t="s">
        <v>677</v>
      </c>
      <c r="AC379" s="46">
        <v>0</v>
      </c>
      <c r="AD379" s="46" t="s">
        <v>678</v>
      </c>
      <c r="AE379" s="46">
        <v>8</v>
      </c>
      <c r="AF379" s="46" t="s">
        <v>679</v>
      </c>
      <c r="AG379" s="46">
        <v>17232.734</v>
      </c>
      <c r="AH379" s="46" t="b">
        <v>1</v>
      </c>
      <c r="AI379" s="46">
        <v>-1</v>
      </c>
      <c r="AJ379" s="46" t="s">
        <v>680</v>
      </c>
      <c r="AK379" s="46">
        <v>0</v>
      </c>
      <c r="AL379" s="46" t="b">
        <v>0</v>
      </c>
      <c r="AM379" s="46">
        <v>17232.734</v>
      </c>
      <c r="AN379" s="46" t="b">
        <v>1</v>
      </c>
      <c r="AO379" s="46">
        <v>0</v>
      </c>
      <c r="AP379" s="46" t="b">
        <v>0</v>
      </c>
      <c r="AQ379" s="46">
        <v>81320</v>
      </c>
      <c r="AS379" s="46">
        <v>81320</v>
      </c>
      <c r="AT379" s="46">
        <v>6</v>
      </c>
      <c r="AU379" s="46" t="b">
        <v>1</v>
      </c>
      <c r="AV379" s="46" t="b">
        <v>0</v>
      </c>
    </row>
    <row r="380" spans="2:48">
      <c r="B380" s="46" t="s">
        <v>665</v>
      </c>
      <c r="C380" s="46" t="s">
        <v>666</v>
      </c>
      <c r="D380" s="46">
        <v>20240601</v>
      </c>
      <c r="E380" s="46">
        <v>2024</v>
      </c>
      <c r="F380" s="46">
        <v>6</v>
      </c>
      <c r="G380" s="46" t="s">
        <v>700</v>
      </c>
      <c r="H380" s="46">
        <v>818</v>
      </c>
      <c r="I380" s="46" t="s">
        <v>668</v>
      </c>
      <c r="J380" s="46" t="s">
        <v>57</v>
      </c>
      <c r="K380" s="46" t="s">
        <v>666</v>
      </c>
      <c r="L380" s="46" t="s">
        <v>669</v>
      </c>
      <c r="M380" s="46">
        <v>643</v>
      </c>
      <c r="N380" s="46" t="s">
        <v>761</v>
      </c>
      <c r="O380" s="46" t="s">
        <v>38</v>
      </c>
      <c r="P380" s="46">
        <v>0</v>
      </c>
      <c r="Q380" s="46" t="s">
        <v>670</v>
      </c>
      <c r="R380" s="46" t="s">
        <v>23</v>
      </c>
      <c r="S380" s="46" t="s">
        <v>671</v>
      </c>
      <c r="T380" s="46" t="s">
        <v>672</v>
      </c>
      <c r="U380" s="46" t="b">
        <v>1</v>
      </c>
      <c r="V380" s="46" t="s">
        <v>985</v>
      </c>
      <c r="W380" s="46" t="s">
        <v>984</v>
      </c>
      <c r="X380" s="46">
        <v>6</v>
      </c>
      <c r="Y380" s="46" t="b">
        <v>1</v>
      </c>
      <c r="Z380" s="46" t="s">
        <v>675</v>
      </c>
      <c r="AA380" s="46" t="s">
        <v>676</v>
      </c>
      <c r="AB380" s="46" t="s">
        <v>677</v>
      </c>
      <c r="AC380" s="46">
        <v>0</v>
      </c>
      <c r="AD380" s="46" t="s">
        <v>678</v>
      </c>
      <c r="AE380" s="46">
        <v>8</v>
      </c>
      <c r="AF380" s="46" t="s">
        <v>679</v>
      </c>
      <c r="AG380" s="46">
        <v>57.69</v>
      </c>
      <c r="AH380" s="46" t="b">
        <v>1</v>
      </c>
      <c r="AI380" s="46">
        <v>-1</v>
      </c>
      <c r="AJ380" s="46" t="s">
        <v>680</v>
      </c>
      <c r="AK380" s="46">
        <v>0</v>
      </c>
      <c r="AL380" s="46" t="b">
        <v>0</v>
      </c>
      <c r="AM380" s="46">
        <v>57.69</v>
      </c>
      <c r="AN380" s="46" t="b">
        <v>1</v>
      </c>
      <c r="AO380" s="46">
        <v>0</v>
      </c>
      <c r="AP380" s="46" t="b">
        <v>0</v>
      </c>
      <c r="AQ380" s="46">
        <v>272.233</v>
      </c>
      <c r="AS380" s="46">
        <v>272.233</v>
      </c>
      <c r="AT380" s="46">
        <v>6</v>
      </c>
      <c r="AU380" s="46" t="b">
        <v>1</v>
      </c>
      <c r="AV380" s="46" t="b">
        <v>0</v>
      </c>
    </row>
    <row r="381" spans="2:48">
      <c r="B381" s="46" t="s">
        <v>665</v>
      </c>
      <c r="C381" s="46" t="s">
        <v>666</v>
      </c>
      <c r="D381" s="46">
        <v>20240301</v>
      </c>
      <c r="E381" s="46">
        <v>2024</v>
      </c>
      <c r="F381" s="46">
        <v>3</v>
      </c>
      <c r="G381" s="46" t="s">
        <v>692</v>
      </c>
      <c r="H381" s="46">
        <v>818</v>
      </c>
      <c r="I381" s="46" t="s">
        <v>668</v>
      </c>
      <c r="J381" s="46" t="s">
        <v>57</v>
      </c>
      <c r="K381" s="46" t="s">
        <v>666</v>
      </c>
      <c r="L381" s="46" t="s">
        <v>669</v>
      </c>
      <c r="M381" s="46">
        <v>682</v>
      </c>
      <c r="N381" s="46" t="s">
        <v>758</v>
      </c>
      <c r="O381" s="46" t="s">
        <v>39</v>
      </c>
      <c r="P381" s="46">
        <v>0</v>
      </c>
      <c r="Q381" s="46" t="s">
        <v>670</v>
      </c>
      <c r="R381" s="46" t="s">
        <v>23</v>
      </c>
      <c r="S381" s="46" t="s">
        <v>671</v>
      </c>
      <c r="T381" s="46" t="s">
        <v>672</v>
      </c>
      <c r="U381" s="46" t="b">
        <v>1</v>
      </c>
      <c r="V381" s="46" t="s">
        <v>985</v>
      </c>
      <c r="W381" s="46" t="s">
        <v>984</v>
      </c>
      <c r="X381" s="46">
        <v>6</v>
      </c>
      <c r="Y381" s="46" t="b">
        <v>1</v>
      </c>
      <c r="Z381" s="46" t="s">
        <v>675</v>
      </c>
      <c r="AA381" s="46" t="s">
        <v>676</v>
      </c>
      <c r="AB381" s="46" t="s">
        <v>677</v>
      </c>
      <c r="AC381" s="46">
        <v>0</v>
      </c>
      <c r="AD381" s="46" t="s">
        <v>678</v>
      </c>
      <c r="AE381" s="46">
        <v>8</v>
      </c>
      <c r="AF381" s="46" t="s">
        <v>679</v>
      </c>
      <c r="AG381" s="46">
        <v>42688.832000000002</v>
      </c>
      <c r="AH381" s="46" t="b">
        <v>1</v>
      </c>
      <c r="AI381" s="46">
        <v>-1</v>
      </c>
      <c r="AJ381" s="46" t="s">
        <v>680</v>
      </c>
      <c r="AK381" s="46">
        <v>0</v>
      </c>
      <c r="AL381" s="46" t="b">
        <v>0</v>
      </c>
      <c r="AM381" s="46">
        <v>42688.832000000002</v>
      </c>
      <c r="AN381" s="46" t="b">
        <v>1</v>
      </c>
      <c r="AO381" s="46">
        <v>0</v>
      </c>
      <c r="AP381" s="46" t="b">
        <v>0</v>
      </c>
      <c r="AQ381" s="46">
        <v>201445.443</v>
      </c>
      <c r="AS381" s="46">
        <v>201445.443</v>
      </c>
      <c r="AT381" s="46">
        <v>6</v>
      </c>
      <c r="AU381" s="46" t="b">
        <v>1</v>
      </c>
      <c r="AV381" s="46" t="b">
        <v>0</v>
      </c>
    </row>
    <row r="382" spans="2:48">
      <c r="B382" s="46" t="s">
        <v>665</v>
      </c>
      <c r="C382" s="46" t="s">
        <v>666</v>
      </c>
      <c r="D382" s="46">
        <v>20240601</v>
      </c>
      <c r="E382" s="46">
        <v>2024</v>
      </c>
      <c r="F382" s="46">
        <v>6</v>
      </c>
      <c r="G382" s="46" t="s">
        <v>700</v>
      </c>
      <c r="H382" s="46">
        <v>818</v>
      </c>
      <c r="I382" s="46" t="s">
        <v>668</v>
      </c>
      <c r="J382" s="46" t="s">
        <v>57</v>
      </c>
      <c r="K382" s="46" t="s">
        <v>666</v>
      </c>
      <c r="L382" s="46" t="s">
        <v>669</v>
      </c>
      <c r="M382" s="46">
        <v>688</v>
      </c>
      <c r="N382" s="46" t="s">
        <v>1014</v>
      </c>
      <c r="O382" s="46" t="s">
        <v>280</v>
      </c>
      <c r="P382" s="46">
        <v>0</v>
      </c>
      <c r="Q382" s="46" t="s">
        <v>670</v>
      </c>
      <c r="R382" s="46" t="s">
        <v>23</v>
      </c>
      <c r="S382" s="46" t="s">
        <v>671</v>
      </c>
      <c r="T382" s="46" t="s">
        <v>672</v>
      </c>
      <c r="U382" s="46" t="b">
        <v>1</v>
      </c>
      <c r="V382" s="46" t="s">
        <v>985</v>
      </c>
      <c r="W382" s="46" t="s">
        <v>984</v>
      </c>
      <c r="X382" s="46">
        <v>6</v>
      </c>
      <c r="Y382" s="46" t="b">
        <v>1</v>
      </c>
      <c r="Z382" s="46" t="s">
        <v>675</v>
      </c>
      <c r="AA382" s="46" t="s">
        <v>676</v>
      </c>
      <c r="AB382" s="46" t="s">
        <v>677</v>
      </c>
      <c r="AC382" s="46">
        <v>0</v>
      </c>
      <c r="AD382" s="46" t="s">
        <v>678</v>
      </c>
      <c r="AE382" s="46">
        <v>8</v>
      </c>
      <c r="AF382" s="46" t="s">
        <v>679</v>
      </c>
      <c r="AG382" s="46">
        <v>8494.8670000000002</v>
      </c>
      <c r="AH382" s="46" t="b">
        <v>1</v>
      </c>
      <c r="AI382" s="46">
        <v>-1</v>
      </c>
      <c r="AJ382" s="46" t="s">
        <v>680</v>
      </c>
      <c r="AK382" s="46">
        <v>0</v>
      </c>
      <c r="AL382" s="46" t="b">
        <v>0</v>
      </c>
      <c r="AM382" s="46">
        <v>8494.8670000000002</v>
      </c>
      <c r="AN382" s="46" t="b">
        <v>1</v>
      </c>
      <c r="AO382" s="46">
        <v>0</v>
      </c>
      <c r="AP382" s="46" t="b">
        <v>0</v>
      </c>
      <c r="AQ382" s="46">
        <v>40086.650999999998</v>
      </c>
      <c r="AS382" s="46">
        <v>40086.650999999998</v>
      </c>
      <c r="AT382" s="46">
        <v>6</v>
      </c>
      <c r="AU382" s="46" t="b">
        <v>1</v>
      </c>
      <c r="AV382" s="46" t="b">
        <v>0</v>
      </c>
    </row>
    <row r="383" spans="2:48">
      <c r="B383" s="46" t="s">
        <v>665</v>
      </c>
      <c r="C383" s="46" t="s">
        <v>666</v>
      </c>
      <c r="D383" s="46">
        <v>20240301</v>
      </c>
      <c r="E383" s="46">
        <v>2024</v>
      </c>
      <c r="F383" s="46">
        <v>3</v>
      </c>
      <c r="G383" s="46" t="s">
        <v>692</v>
      </c>
      <c r="H383" s="46">
        <v>818</v>
      </c>
      <c r="I383" s="46" t="s">
        <v>668</v>
      </c>
      <c r="J383" s="46" t="s">
        <v>57</v>
      </c>
      <c r="K383" s="46" t="s">
        <v>666</v>
      </c>
      <c r="L383" s="46" t="s">
        <v>669</v>
      </c>
      <c r="M383" s="46">
        <v>699</v>
      </c>
      <c r="N383" s="46" t="s">
        <v>748</v>
      </c>
      <c r="O383" s="46" t="s">
        <v>0</v>
      </c>
      <c r="P383" s="46">
        <v>0</v>
      </c>
      <c r="Q383" s="46" t="s">
        <v>670</v>
      </c>
      <c r="R383" s="46" t="s">
        <v>23</v>
      </c>
      <c r="S383" s="46" t="s">
        <v>671</v>
      </c>
      <c r="T383" s="46" t="s">
        <v>672</v>
      </c>
      <c r="U383" s="46" t="b">
        <v>1</v>
      </c>
      <c r="V383" s="46" t="s">
        <v>985</v>
      </c>
      <c r="W383" s="46" t="s">
        <v>984</v>
      </c>
      <c r="X383" s="46">
        <v>6</v>
      </c>
      <c r="Y383" s="46" t="b">
        <v>1</v>
      </c>
      <c r="Z383" s="46" t="s">
        <v>675</v>
      </c>
      <c r="AA383" s="46" t="s">
        <v>676</v>
      </c>
      <c r="AB383" s="46" t="s">
        <v>677</v>
      </c>
      <c r="AC383" s="46">
        <v>0</v>
      </c>
      <c r="AD383" s="46" t="s">
        <v>678</v>
      </c>
      <c r="AE383" s="46">
        <v>8</v>
      </c>
      <c r="AF383" s="46" t="s">
        <v>679</v>
      </c>
      <c r="AG383" s="46">
        <v>158973.54500000001</v>
      </c>
      <c r="AH383" s="46" t="b">
        <v>1</v>
      </c>
      <c r="AI383" s="46">
        <v>-1</v>
      </c>
      <c r="AJ383" s="46" t="s">
        <v>680</v>
      </c>
      <c r="AK383" s="46">
        <v>0</v>
      </c>
      <c r="AL383" s="46" t="b">
        <v>0</v>
      </c>
      <c r="AM383" s="46">
        <v>158973.54500000001</v>
      </c>
      <c r="AN383" s="46" t="b">
        <v>1</v>
      </c>
      <c r="AO383" s="46">
        <v>0</v>
      </c>
      <c r="AP383" s="46" t="b">
        <v>0</v>
      </c>
      <c r="AQ383" s="46">
        <v>750184.40899999999</v>
      </c>
      <c r="AS383" s="46">
        <v>750184.40899999999</v>
      </c>
      <c r="AT383" s="46">
        <v>6</v>
      </c>
      <c r="AU383" s="46" t="b">
        <v>1</v>
      </c>
      <c r="AV383" s="46" t="b">
        <v>0</v>
      </c>
    </row>
    <row r="384" spans="2:48">
      <c r="B384" s="46" t="s">
        <v>665</v>
      </c>
      <c r="C384" s="46" t="s">
        <v>666</v>
      </c>
      <c r="D384" s="46">
        <v>20240501</v>
      </c>
      <c r="E384" s="46">
        <v>2024</v>
      </c>
      <c r="F384" s="46">
        <v>5</v>
      </c>
      <c r="G384" s="46" t="s">
        <v>699</v>
      </c>
      <c r="H384" s="46">
        <v>818</v>
      </c>
      <c r="I384" s="46" t="s">
        <v>668</v>
      </c>
      <c r="J384" s="46" t="s">
        <v>57</v>
      </c>
      <c r="K384" s="46" t="s">
        <v>666</v>
      </c>
      <c r="L384" s="46" t="s">
        <v>669</v>
      </c>
      <c r="M384" s="46">
        <v>702</v>
      </c>
      <c r="N384" s="46" t="s">
        <v>994</v>
      </c>
      <c r="O384" s="46" t="s">
        <v>28</v>
      </c>
      <c r="P384" s="46">
        <v>0</v>
      </c>
      <c r="Q384" s="46" t="s">
        <v>670</v>
      </c>
      <c r="R384" s="46" t="s">
        <v>23</v>
      </c>
      <c r="S384" s="46" t="s">
        <v>671</v>
      </c>
      <c r="T384" s="46" t="s">
        <v>672</v>
      </c>
      <c r="U384" s="46" t="b">
        <v>1</v>
      </c>
      <c r="V384" s="46" t="s">
        <v>985</v>
      </c>
      <c r="W384" s="46" t="s">
        <v>984</v>
      </c>
      <c r="X384" s="46">
        <v>6</v>
      </c>
      <c r="Y384" s="46" t="b">
        <v>1</v>
      </c>
      <c r="Z384" s="46" t="s">
        <v>675</v>
      </c>
      <c r="AA384" s="46" t="s">
        <v>676</v>
      </c>
      <c r="AB384" s="46" t="s">
        <v>677</v>
      </c>
      <c r="AC384" s="46">
        <v>0</v>
      </c>
      <c r="AD384" s="46" t="s">
        <v>678</v>
      </c>
      <c r="AE384" s="46">
        <v>8</v>
      </c>
      <c r="AF384" s="46" t="s">
        <v>679</v>
      </c>
      <c r="AG384" s="46">
        <v>53379.069000000003</v>
      </c>
      <c r="AH384" s="46" t="b">
        <v>1</v>
      </c>
      <c r="AI384" s="46">
        <v>-1</v>
      </c>
      <c r="AJ384" s="46" t="s">
        <v>680</v>
      </c>
      <c r="AK384" s="46">
        <v>0</v>
      </c>
      <c r="AL384" s="46" t="b">
        <v>0</v>
      </c>
      <c r="AM384" s="46">
        <v>53379.069000000003</v>
      </c>
      <c r="AN384" s="46" t="b">
        <v>1</v>
      </c>
      <c r="AO384" s="46">
        <v>0</v>
      </c>
      <c r="AP384" s="46" t="b">
        <v>0</v>
      </c>
      <c r="AQ384" s="46">
        <v>251891.883</v>
      </c>
      <c r="AS384" s="46">
        <v>251891.883</v>
      </c>
      <c r="AT384" s="46">
        <v>6</v>
      </c>
      <c r="AU384" s="46" t="b">
        <v>1</v>
      </c>
      <c r="AV384" s="46" t="b">
        <v>0</v>
      </c>
    </row>
    <row r="385" spans="2:48">
      <c r="B385" s="46" t="s">
        <v>665</v>
      </c>
      <c r="C385" s="46" t="s">
        <v>666</v>
      </c>
      <c r="D385" s="46">
        <v>20240201</v>
      </c>
      <c r="E385" s="46">
        <v>2024</v>
      </c>
      <c r="F385" s="46">
        <v>2</v>
      </c>
      <c r="G385" s="46" t="s">
        <v>687</v>
      </c>
      <c r="H385" s="46">
        <v>818</v>
      </c>
      <c r="I385" s="46" t="s">
        <v>668</v>
      </c>
      <c r="J385" s="46" t="s">
        <v>57</v>
      </c>
      <c r="K385" s="46" t="s">
        <v>666</v>
      </c>
      <c r="L385" s="46" t="s">
        <v>669</v>
      </c>
      <c r="M385" s="46">
        <v>704</v>
      </c>
      <c r="N385" s="46" t="s">
        <v>756</v>
      </c>
      <c r="O385" s="46" t="s">
        <v>59</v>
      </c>
      <c r="P385" s="46">
        <v>0</v>
      </c>
      <c r="Q385" s="46" t="s">
        <v>670</v>
      </c>
      <c r="R385" s="46" t="s">
        <v>23</v>
      </c>
      <c r="S385" s="46" t="s">
        <v>671</v>
      </c>
      <c r="T385" s="46" t="s">
        <v>672</v>
      </c>
      <c r="U385" s="46" t="b">
        <v>1</v>
      </c>
      <c r="V385" s="46" t="s">
        <v>985</v>
      </c>
      <c r="W385" s="46" t="s">
        <v>984</v>
      </c>
      <c r="X385" s="46">
        <v>6</v>
      </c>
      <c r="Y385" s="46" t="b">
        <v>1</v>
      </c>
      <c r="Z385" s="46" t="s">
        <v>675</v>
      </c>
      <c r="AA385" s="46" t="s">
        <v>676</v>
      </c>
      <c r="AB385" s="46" t="s">
        <v>677</v>
      </c>
      <c r="AC385" s="46">
        <v>0</v>
      </c>
      <c r="AD385" s="46" t="s">
        <v>678</v>
      </c>
      <c r="AE385" s="46">
        <v>8</v>
      </c>
      <c r="AF385" s="46" t="s">
        <v>679</v>
      </c>
      <c r="AG385" s="46">
        <v>134319.36900000001</v>
      </c>
      <c r="AH385" s="46" t="b">
        <v>1</v>
      </c>
      <c r="AI385" s="46">
        <v>-1</v>
      </c>
      <c r="AJ385" s="46" t="s">
        <v>680</v>
      </c>
      <c r="AK385" s="46">
        <v>0</v>
      </c>
      <c r="AL385" s="46" t="b">
        <v>0</v>
      </c>
      <c r="AM385" s="46">
        <v>134319.36900000001</v>
      </c>
      <c r="AN385" s="46" t="b">
        <v>1</v>
      </c>
      <c r="AO385" s="46">
        <v>0</v>
      </c>
      <c r="AP385" s="46" t="b">
        <v>0</v>
      </c>
      <c r="AQ385" s="46">
        <v>633843.17200000002</v>
      </c>
      <c r="AS385" s="46">
        <v>633843.17200000002</v>
      </c>
      <c r="AT385" s="46">
        <v>6</v>
      </c>
      <c r="AU385" s="46" t="b">
        <v>1</v>
      </c>
      <c r="AV385" s="46" t="b">
        <v>0</v>
      </c>
    </row>
    <row r="386" spans="2:48">
      <c r="B386" s="46" t="s">
        <v>665</v>
      </c>
      <c r="C386" s="46" t="s">
        <v>666</v>
      </c>
      <c r="D386" s="46">
        <v>20240601</v>
      </c>
      <c r="E386" s="46">
        <v>2024</v>
      </c>
      <c r="F386" s="46">
        <v>6</v>
      </c>
      <c r="G386" s="46" t="s">
        <v>700</v>
      </c>
      <c r="H386" s="46">
        <v>818</v>
      </c>
      <c r="I386" s="46" t="s">
        <v>668</v>
      </c>
      <c r="J386" s="46" t="s">
        <v>57</v>
      </c>
      <c r="K386" s="46" t="s">
        <v>666</v>
      </c>
      <c r="L386" s="46" t="s">
        <v>669</v>
      </c>
      <c r="M386" s="46">
        <v>710</v>
      </c>
      <c r="N386" s="46" t="s">
        <v>995</v>
      </c>
      <c r="O386" s="46" t="s">
        <v>40</v>
      </c>
      <c r="P386" s="46">
        <v>0</v>
      </c>
      <c r="Q386" s="46" t="s">
        <v>670</v>
      </c>
      <c r="R386" s="46" t="s">
        <v>23</v>
      </c>
      <c r="S386" s="46" t="s">
        <v>671</v>
      </c>
      <c r="T386" s="46" t="s">
        <v>672</v>
      </c>
      <c r="U386" s="46" t="b">
        <v>1</v>
      </c>
      <c r="V386" s="46" t="s">
        <v>985</v>
      </c>
      <c r="W386" s="46" t="s">
        <v>984</v>
      </c>
      <c r="X386" s="46">
        <v>6</v>
      </c>
      <c r="Y386" s="46" t="b">
        <v>1</v>
      </c>
      <c r="Z386" s="46" t="s">
        <v>675</v>
      </c>
      <c r="AA386" s="46" t="s">
        <v>676</v>
      </c>
      <c r="AB386" s="46" t="s">
        <v>677</v>
      </c>
      <c r="AC386" s="46">
        <v>0</v>
      </c>
      <c r="AD386" s="46" t="s">
        <v>678</v>
      </c>
      <c r="AE386" s="46">
        <v>8</v>
      </c>
      <c r="AF386" s="46" t="s">
        <v>679</v>
      </c>
      <c r="AG386" s="46">
        <v>8873.7379999999994</v>
      </c>
      <c r="AH386" s="46" t="b">
        <v>1</v>
      </c>
      <c r="AI386" s="46">
        <v>-1</v>
      </c>
      <c r="AJ386" s="46" t="s">
        <v>680</v>
      </c>
      <c r="AK386" s="46">
        <v>0</v>
      </c>
      <c r="AL386" s="46" t="b">
        <v>0</v>
      </c>
      <c r="AM386" s="46">
        <v>8873.7379999999994</v>
      </c>
      <c r="AN386" s="46" t="b">
        <v>1</v>
      </c>
      <c r="AO386" s="46">
        <v>0</v>
      </c>
      <c r="AP386" s="46" t="b">
        <v>0</v>
      </c>
      <c r="AQ386" s="46">
        <v>41874.514000000003</v>
      </c>
      <c r="AS386" s="46">
        <v>41874.514000000003</v>
      </c>
      <c r="AT386" s="46">
        <v>6</v>
      </c>
      <c r="AU386" s="46" t="b">
        <v>1</v>
      </c>
      <c r="AV386" s="46" t="b">
        <v>0</v>
      </c>
    </row>
    <row r="387" spans="2:48">
      <c r="B387" s="46" t="s">
        <v>665</v>
      </c>
      <c r="C387" s="46" t="s">
        <v>666</v>
      </c>
      <c r="D387" s="46">
        <v>20240301</v>
      </c>
      <c r="E387" s="46">
        <v>2024</v>
      </c>
      <c r="F387" s="46">
        <v>3</v>
      </c>
      <c r="G387" s="46" t="s">
        <v>692</v>
      </c>
      <c r="H387" s="46">
        <v>818</v>
      </c>
      <c r="I387" s="46" t="s">
        <v>668</v>
      </c>
      <c r="J387" s="46" t="s">
        <v>57</v>
      </c>
      <c r="K387" s="46" t="s">
        <v>666</v>
      </c>
      <c r="L387" s="46" t="s">
        <v>669</v>
      </c>
      <c r="M387" s="46">
        <v>724</v>
      </c>
      <c r="N387" s="46" t="s">
        <v>684</v>
      </c>
      <c r="O387" s="46" t="s">
        <v>51</v>
      </c>
      <c r="P387" s="46">
        <v>0</v>
      </c>
      <c r="Q387" s="46" t="s">
        <v>670</v>
      </c>
      <c r="R387" s="46" t="s">
        <v>23</v>
      </c>
      <c r="S387" s="46" t="s">
        <v>671</v>
      </c>
      <c r="T387" s="46" t="s">
        <v>672</v>
      </c>
      <c r="U387" s="46" t="b">
        <v>1</v>
      </c>
      <c r="V387" s="46" t="s">
        <v>985</v>
      </c>
      <c r="W387" s="46" t="s">
        <v>984</v>
      </c>
      <c r="X387" s="46">
        <v>6</v>
      </c>
      <c r="Y387" s="46" t="b">
        <v>1</v>
      </c>
      <c r="Z387" s="46" t="s">
        <v>675</v>
      </c>
      <c r="AA387" s="46" t="s">
        <v>676</v>
      </c>
      <c r="AB387" s="46" t="s">
        <v>677</v>
      </c>
      <c r="AC387" s="46">
        <v>0</v>
      </c>
      <c r="AD387" s="46" t="s">
        <v>678</v>
      </c>
      <c r="AE387" s="46">
        <v>8</v>
      </c>
      <c r="AF387" s="46" t="s">
        <v>679</v>
      </c>
      <c r="AG387" s="46">
        <v>336436.46399999998</v>
      </c>
      <c r="AH387" s="46" t="b">
        <v>1</v>
      </c>
      <c r="AI387" s="46">
        <v>-1</v>
      </c>
      <c r="AJ387" s="46" t="s">
        <v>680</v>
      </c>
      <c r="AK387" s="46">
        <v>0</v>
      </c>
      <c r="AL387" s="46" t="b">
        <v>0</v>
      </c>
      <c r="AM387" s="46">
        <v>336436.46399999998</v>
      </c>
      <c r="AN387" s="46" t="b">
        <v>1</v>
      </c>
      <c r="AO387" s="46">
        <v>0</v>
      </c>
      <c r="AP387" s="46" t="b">
        <v>0</v>
      </c>
      <c r="AQ387" s="46">
        <v>1587618.804</v>
      </c>
      <c r="AS387" s="46">
        <v>1587618.804</v>
      </c>
      <c r="AT387" s="46">
        <v>6</v>
      </c>
      <c r="AU387" s="46" t="b">
        <v>1</v>
      </c>
      <c r="AV387" s="46" t="b">
        <v>0</v>
      </c>
    </row>
    <row r="388" spans="2:48">
      <c r="B388" s="46" t="s">
        <v>665</v>
      </c>
      <c r="C388" s="46" t="s">
        <v>666</v>
      </c>
      <c r="D388" s="46">
        <v>20240101</v>
      </c>
      <c r="E388" s="46">
        <v>2024</v>
      </c>
      <c r="F388" s="46">
        <v>1</v>
      </c>
      <c r="G388" s="46" t="s">
        <v>667</v>
      </c>
      <c r="H388" s="46">
        <v>818</v>
      </c>
      <c r="I388" s="46" t="s">
        <v>668</v>
      </c>
      <c r="J388" s="46" t="s">
        <v>57</v>
      </c>
      <c r="K388" s="46" t="s">
        <v>666</v>
      </c>
      <c r="L388" s="46" t="s">
        <v>669</v>
      </c>
      <c r="M388" s="46">
        <v>752</v>
      </c>
      <c r="N388" s="46" t="s">
        <v>1001</v>
      </c>
      <c r="O388" s="46" t="s">
        <v>68</v>
      </c>
      <c r="P388" s="46">
        <v>0</v>
      </c>
      <c r="Q388" s="46" t="s">
        <v>670</v>
      </c>
      <c r="R388" s="46" t="s">
        <v>23</v>
      </c>
      <c r="S388" s="46" t="s">
        <v>671</v>
      </c>
      <c r="T388" s="46" t="s">
        <v>672</v>
      </c>
      <c r="U388" s="46" t="b">
        <v>1</v>
      </c>
      <c r="V388" s="46" t="s">
        <v>985</v>
      </c>
      <c r="W388" s="46" t="s">
        <v>984</v>
      </c>
      <c r="X388" s="46">
        <v>6</v>
      </c>
      <c r="Y388" s="46" t="b">
        <v>1</v>
      </c>
      <c r="Z388" s="46" t="s">
        <v>675</v>
      </c>
      <c r="AA388" s="46" t="s">
        <v>676</v>
      </c>
      <c r="AB388" s="46" t="s">
        <v>677</v>
      </c>
      <c r="AC388" s="46">
        <v>0</v>
      </c>
      <c r="AD388" s="46" t="s">
        <v>678</v>
      </c>
      <c r="AE388" s="46">
        <v>8</v>
      </c>
      <c r="AF388" s="46" t="s">
        <v>679</v>
      </c>
      <c r="AG388" s="46">
        <v>479.14499999999998</v>
      </c>
      <c r="AH388" s="46" t="b">
        <v>1</v>
      </c>
      <c r="AI388" s="46">
        <v>-1</v>
      </c>
      <c r="AJ388" s="46" t="s">
        <v>680</v>
      </c>
      <c r="AK388" s="46">
        <v>0</v>
      </c>
      <c r="AL388" s="46" t="b">
        <v>0</v>
      </c>
      <c r="AM388" s="46">
        <v>479.14499999999998</v>
      </c>
      <c r="AN388" s="46" t="b">
        <v>1</v>
      </c>
      <c r="AO388" s="46">
        <v>0</v>
      </c>
      <c r="AP388" s="46" t="b">
        <v>0</v>
      </c>
      <c r="AQ388" s="46">
        <v>2261.0520000000001</v>
      </c>
      <c r="AS388" s="46">
        <v>2261.0520000000001</v>
      </c>
      <c r="AT388" s="46">
        <v>6</v>
      </c>
      <c r="AU388" s="46" t="b">
        <v>1</v>
      </c>
      <c r="AV388" s="46" t="b">
        <v>0</v>
      </c>
    </row>
    <row r="389" spans="2:48">
      <c r="B389" s="46" t="s">
        <v>665</v>
      </c>
      <c r="C389" s="46" t="s">
        <v>666</v>
      </c>
      <c r="D389" s="46">
        <v>20240201</v>
      </c>
      <c r="E389" s="46">
        <v>2024</v>
      </c>
      <c r="F389" s="46">
        <v>2</v>
      </c>
      <c r="G389" s="46" t="s">
        <v>687</v>
      </c>
      <c r="H389" s="46">
        <v>818</v>
      </c>
      <c r="I389" s="46" t="s">
        <v>668</v>
      </c>
      <c r="J389" s="46" t="s">
        <v>57</v>
      </c>
      <c r="K389" s="46" t="s">
        <v>666</v>
      </c>
      <c r="L389" s="46" t="s">
        <v>669</v>
      </c>
      <c r="M389" s="46">
        <v>757</v>
      </c>
      <c r="N389" s="46" t="s">
        <v>996</v>
      </c>
      <c r="O389" s="46" t="s">
        <v>41</v>
      </c>
      <c r="P389" s="46">
        <v>0</v>
      </c>
      <c r="Q389" s="46" t="s">
        <v>670</v>
      </c>
      <c r="R389" s="46" t="s">
        <v>23</v>
      </c>
      <c r="S389" s="46" t="s">
        <v>671</v>
      </c>
      <c r="T389" s="46" t="s">
        <v>672</v>
      </c>
      <c r="U389" s="46" t="b">
        <v>1</v>
      </c>
      <c r="V389" s="46" t="s">
        <v>985</v>
      </c>
      <c r="W389" s="46" t="s">
        <v>984</v>
      </c>
      <c r="X389" s="46">
        <v>6</v>
      </c>
      <c r="Y389" s="46" t="b">
        <v>1</v>
      </c>
      <c r="Z389" s="46" t="s">
        <v>675</v>
      </c>
      <c r="AA389" s="46" t="s">
        <v>676</v>
      </c>
      <c r="AB389" s="46" t="s">
        <v>677</v>
      </c>
      <c r="AC389" s="46">
        <v>0</v>
      </c>
      <c r="AD389" s="46" t="s">
        <v>678</v>
      </c>
      <c r="AE389" s="46">
        <v>8</v>
      </c>
      <c r="AF389" s="46" t="s">
        <v>679</v>
      </c>
      <c r="AG389" s="46">
        <v>9285.0370000000003</v>
      </c>
      <c r="AH389" s="46" t="b">
        <v>1</v>
      </c>
      <c r="AI389" s="46">
        <v>-1</v>
      </c>
      <c r="AJ389" s="46" t="s">
        <v>680</v>
      </c>
      <c r="AK389" s="46">
        <v>0</v>
      </c>
      <c r="AL389" s="46" t="b">
        <v>0</v>
      </c>
      <c r="AM389" s="46">
        <v>9285.0370000000003</v>
      </c>
      <c r="AN389" s="46" t="b">
        <v>1</v>
      </c>
      <c r="AO389" s="46">
        <v>0</v>
      </c>
      <c r="AP389" s="46" t="b">
        <v>0</v>
      </c>
      <c r="AQ389" s="46">
        <v>43815.402000000002</v>
      </c>
      <c r="AS389" s="46">
        <v>43815.402000000002</v>
      </c>
      <c r="AT389" s="46">
        <v>6</v>
      </c>
      <c r="AU389" s="46" t="b">
        <v>1</v>
      </c>
      <c r="AV389" s="46" t="b">
        <v>0</v>
      </c>
    </row>
    <row r="390" spans="2:48">
      <c r="B390" s="46" t="s">
        <v>665</v>
      </c>
      <c r="C390" s="46" t="s">
        <v>666</v>
      </c>
      <c r="D390" s="46">
        <v>20240201</v>
      </c>
      <c r="E390" s="46">
        <v>2024</v>
      </c>
      <c r="F390" s="46">
        <v>2</v>
      </c>
      <c r="G390" s="46" t="s">
        <v>687</v>
      </c>
      <c r="H390" s="46">
        <v>818</v>
      </c>
      <c r="I390" s="46" t="s">
        <v>668</v>
      </c>
      <c r="J390" s="46" t="s">
        <v>57</v>
      </c>
      <c r="K390" s="46" t="s">
        <v>666</v>
      </c>
      <c r="L390" s="46" t="s">
        <v>669</v>
      </c>
      <c r="M390" s="46">
        <v>764</v>
      </c>
      <c r="N390" s="46" t="s">
        <v>749</v>
      </c>
      <c r="O390" s="46" t="s">
        <v>55</v>
      </c>
      <c r="P390" s="46">
        <v>0</v>
      </c>
      <c r="Q390" s="46" t="s">
        <v>670</v>
      </c>
      <c r="R390" s="46" t="s">
        <v>23</v>
      </c>
      <c r="S390" s="46" t="s">
        <v>671</v>
      </c>
      <c r="T390" s="46" t="s">
        <v>672</v>
      </c>
      <c r="U390" s="46" t="b">
        <v>1</v>
      </c>
      <c r="V390" s="46" t="s">
        <v>985</v>
      </c>
      <c r="W390" s="46" t="s">
        <v>984</v>
      </c>
      <c r="X390" s="46">
        <v>6</v>
      </c>
      <c r="Y390" s="46" t="b">
        <v>1</v>
      </c>
      <c r="Z390" s="46" t="s">
        <v>675</v>
      </c>
      <c r="AA390" s="46" t="s">
        <v>676</v>
      </c>
      <c r="AB390" s="46" t="s">
        <v>677</v>
      </c>
      <c r="AC390" s="46">
        <v>0</v>
      </c>
      <c r="AD390" s="46" t="s">
        <v>678</v>
      </c>
      <c r="AE390" s="46">
        <v>8</v>
      </c>
      <c r="AF390" s="46" t="s">
        <v>679</v>
      </c>
      <c r="AG390" s="46">
        <v>14662.135</v>
      </c>
      <c r="AH390" s="46" t="b">
        <v>1</v>
      </c>
      <c r="AI390" s="46">
        <v>-1</v>
      </c>
      <c r="AJ390" s="46" t="s">
        <v>680</v>
      </c>
      <c r="AK390" s="46">
        <v>0</v>
      </c>
      <c r="AL390" s="46" t="b">
        <v>0</v>
      </c>
      <c r="AM390" s="46">
        <v>14662.135</v>
      </c>
      <c r="AN390" s="46" t="b">
        <v>1</v>
      </c>
      <c r="AO390" s="46">
        <v>0</v>
      </c>
      <c r="AP390" s="46" t="b">
        <v>0</v>
      </c>
      <c r="AQ390" s="46">
        <v>69189.528999999995</v>
      </c>
      <c r="AS390" s="46">
        <v>69189.528999999995</v>
      </c>
      <c r="AT390" s="46">
        <v>6</v>
      </c>
      <c r="AU390" s="46" t="b">
        <v>1</v>
      </c>
      <c r="AV390" s="46" t="b">
        <v>0</v>
      </c>
    </row>
    <row r="391" spans="2:48">
      <c r="B391" s="46" t="s">
        <v>665</v>
      </c>
      <c r="C391" s="46" t="s">
        <v>666</v>
      </c>
      <c r="D391" s="46">
        <v>20240301</v>
      </c>
      <c r="E391" s="46">
        <v>2024</v>
      </c>
      <c r="F391" s="46">
        <v>3</v>
      </c>
      <c r="G391" s="46" t="s">
        <v>692</v>
      </c>
      <c r="H391" s="46">
        <v>818</v>
      </c>
      <c r="I391" s="46" t="s">
        <v>668</v>
      </c>
      <c r="J391" s="46" t="s">
        <v>57</v>
      </c>
      <c r="K391" s="46" t="s">
        <v>666</v>
      </c>
      <c r="L391" s="46" t="s">
        <v>669</v>
      </c>
      <c r="M391" s="46">
        <v>784</v>
      </c>
      <c r="N391" s="46" t="s">
        <v>694</v>
      </c>
      <c r="O391" s="46" t="s">
        <v>25</v>
      </c>
      <c r="P391" s="46">
        <v>0</v>
      </c>
      <c r="Q391" s="46" t="s">
        <v>670</v>
      </c>
      <c r="R391" s="46" t="s">
        <v>23</v>
      </c>
      <c r="S391" s="46" t="s">
        <v>671</v>
      </c>
      <c r="T391" s="46" t="s">
        <v>672</v>
      </c>
      <c r="U391" s="46" t="b">
        <v>1</v>
      </c>
      <c r="V391" s="46" t="s">
        <v>985</v>
      </c>
      <c r="W391" s="46" t="s">
        <v>984</v>
      </c>
      <c r="X391" s="46">
        <v>6</v>
      </c>
      <c r="Y391" s="46" t="b">
        <v>1</v>
      </c>
      <c r="Z391" s="46" t="s">
        <v>675</v>
      </c>
      <c r="AA391" s="46" t="s">
        <v>676</v>
      </c>
      <c r="AB391" s="46" t="s">
        <v>677</v>
      </c>
      <c r="AC391" s="46">
        <v>0</v>
      </c>
      <c r="AD391" s="46" t="s">
        <v>678</v>
      </c>
      <c r="AE391" s="46">
        <v>8</v>
      </c>
      <c r="AF391" s="46" t="s">
        <v>679</v>
      </c>
      <c r="AG391" s="46">
        <v>58137.012000000002</v>
      </c>
      <c r="AH391" s="46" t="b">
        <v>1</v>
      </c>
      <c r="AI391" s="46">
        <v>-1</v>
      </c>
      <c r="AJ391" s="46" t="s">
        <v>680</v>
      </c>
      <c r="AK391" s="46">
        <v>0</v>
      </c>
      <c r="AL391" s="46" t="b">
        <v>0</v>
      </c>
      <c r="AM391" s="46">
        <v>58137.012000000002</v>
      </c>
      <c r="AN391" s="46" t="b">
        <v>1</v>
      </c>
      <c r="AO391" s="46">
        <v>0</v>
      </c>
      <c r="AP391" s="46" t="b">
        <v>0</v>
      </c>
      <c r="AQ391" s="46">
        <v>274344.26400000002</v>
      </c>
      <c r="AS391" s="46">
        <v>274344.26400000002</v>
      </c>
      <c r="AT391" s="46">
        <v>6</v>
      </c>
      <c r="AU391" s="46" t="b">
        <v>1</v>
      </c>
      <c r="AV391" s="46" t="b">
        <v>0</v>
      </c>
    </row>
    <row r="392" spans="2:48">
      <c r="B392" s="46" t="s">
        <v>665</v>
      </c>
      <c r="C392" s="46" t="s">
        <v>666</v>
      </c>
      <c r="D392" s="46">
        <v>20240301</v>
      </c>
      <c r="E392" s="46">
        <v>2024</v>
      </c>
      <c r="F392" s="46">
        <v>3</v>
      </c>
      <c r="G392" s="46" t="s">
        <v>692</v>
      </c>
      <c r="H392" s="46">
        <v>818</v>
      </c>
      <c r="I392" s="46" t="s">
        <v>668</v>
      </c>
      <c r="J392" s="46" t="s">
        <v>57</v>
      </c>
      <c r="K392" s="46" t="s">
        <v>666</v>
      </c>
      <c r="L392" s="46" t="s">
        <v>669</v>
      </c>
      <c r="M392" s="46">
        <v>792</v>
      </c>
      <c r="N392" s="46" t="s">
        <v>691</v>
      </c>
      <c r="O392" s="46" t="s">
        <v>63</v>
      </c>
      <c r="P392" s="46">
        <v>0</v>
      </c>
      <c r="Q392" s="46" t="s">
        <v>670</v>
      </c>
      <c r="R392" s="46" t="s">
        <v>23</v>
      </c>
      <c r="S392" s="46" t="s">
        <v>671</v>
      </c>
      <c r="T392" s="46" t="s">
        <v>672</v>
      </c>
      <c r="U392" s="46" t="b">
        <v>1</v>
      </c>
      <c r="V392" s="46" t="s">
        <v>985</v>
      </c>
      <c r="W392" s="46" t="s">
        <v>984</v>
      </c>
      <c r="X392" s="46">
        <v>6</v>
      </c>
      <c r="Y392" s="46" t="b">
        <v>1</v>
      </c>
      <c r="Z392" s="46" t="s">
        <v>675</v>
      </c>
      <c r="AA392" s="46" t="s">
        <v>676</v>
      </c>
      <c r="AB392" s="46" t="s">
        <v>677</v>
      </c>
      <c r="AC392" s="46">
        <v>0</v>
      </c>
      <c r="AD392" s="46" t="s">
        <v>678</v>
      </c>
      <c r="AE392" s="46">
        <v>8</v>
      </c>
      <c r="AF392" s="46" t="s">
        <v>679</v>
      </c>
      <c r="AG392" s="46">
        <v>109141.193</v>
      </c>
      <c r="AH392" s="46" t="b">
        <v>1</v>
      </c>
      <c r="AI392" s="46">
        <v>-1</v>
      </c>
      <c r="AJ392" s="46" t="s">
        <v>680</v>
      </c>
      <c r="AK392" s="46">
        <v>0</v>
      </c>
      <c r="AL392" s="46" t="b">
        <v>0</v>
      </c>
      <c r="AM392" s="46">
        <v>109141.193</v>
      </c>
      <c r="AN392" s="46" t="b">
        <v>1</v>
      </c>
      <c r="AO392" s="46">
        <v>0</v>
      </c>
      <c r="AP392" s="46" t="b">
        <v>0</v>
      </c>
      <c r="AQ392" s="46">
        <v>515029.22200000001</v>
      </c>
      <c r="AS392" s="46">
        <v>515029.22200000001</v>
      </c>
      <c r="AT392" s="46">
        <v>6</v>
      </c>
      <c r="AU392" s="46" t="b">
        <v>1</v>
      </c>
      <c r="AV392" s="46" t="b">
        <v>0</v>
      </c>
    </row>
    <row r="393" spans="2:48">
      <c r="B393" s="46" t="s">
        <v>665</v>
      </c>
      <c r="C393" s="46" t="s">
        <v>666</v>
      </c>
      <c r="D393" s="46">
        <v>20240301</v>
      </c>
      <c r="E393" s="46">
        <v>2024</v>
      </c>
      <c r="F393" s="46">
        <v>3</v>
      </c>
      <c r="G393" s="46" t="s">
        <v>692</v>
      </c>
      <c r="H393" s="46">
        <v>818</v>
      </c>
      <c r="I393" s="46" t="s">
        <v>668</v>
      </c>
      <c r="J393" s="46" t="s">
        <v>57</v>
      </c>
      <c r="K393" s="46" t="s">
        <v>666</v>
      </c>
      <c r="L393" s="46" t="s">
        <v>669</v>
      </c>
      <c r="M393" s="46">
        <v>804</v>
      </c>
      <c r="N393" s="46" t="s">
        <v>1005</v>
      </c>
      <c r="O393" s="46" t="s">
        <v>110</v>
      </c>
      <c r="P393" s="46">
        <v>0</v>
      </c>
      <c r="Q393" s="46" t="s">
        <v>670</v>
      </c>
      <c r="R393" s="46" t="s">
        <v>23</v>
      </c>
      <c r="S393" s="46" t="s">
        <v>671</v>
      </c>
      <c r="T393" s="46" t="s">
        <v>672</v>
      </c>
      <c r="U393" s="46" t="b">
        <v>1</v>
      </c>
      <c r="V393" s="46" t="s">
        <v>985</v>
      </c>
      <c r="W393" s="46" t="s">
        <v>984</v>
      </c>
      <c r="X393" s="46">
        <v>6</v>
      </c>
      <c r="Y393" s="46" t="b">
        <v>1</v>
      </c>
      <c r="Z393" s="46" t="s">
        <v>675</v>
      </c>
      <c r="AA393" s="46" t="s">
        <v>676</v>
      </c>
      <c r="AB393" s="46" t="s">
        <v>677</v>
      </c>
      <c r="AC393" s="46">
        <v>0</v>
      </c>
      <c r="AD393" s="46" t="s">
        <v>678</v>
      </c>
      <c r="AE393" s="46">
        <v>8</v>
      </c>
      <c r="AF393" s="46" t="s">
        <v>679</v>
      </c>
      <c r="AG393" s="46">
        <v>15239.971</v>
      </c>
      <c r="AH393" s="46" t="b">
        <v>1</v>
      </c>
      <c r="AI393" s="46">
        <v>-1</v>
      </c>
      <c r="AJ393" s="46" t="s">
        <v>680</v>
      </c>
      <c r="AK393" s="46">
        <v>0</v>
      </c>
      <c r="AL393" s="46" t="b">
        <v>0</v>
      </c>
      <c r="AM393" s="46">
        <v>15239.971</v>
      </c>
      <c r="AN393" s="46" t="b">
        <v>1</v>
      </c>
      <c r="AO393" s="46">
        <v>0</v>
      </c>
      <c r="AP393" s="46" t="b">
        <v>0</v>
      </c>
      <c r="AQ393" s="46">
        <v>71916.297000000006</v>
      </c>
      <c r="AS393" s="46">
        <v>71916.297000000006</v>
      </c>
      <c r="AT393" s="46">
        <v>6</v>
      </c>
      <c r="AU393" s="46" t="b">
        <v>1</v>
      </c>
      <c r="AV393" s="46" t="b">
        <v>0</v>
      </c>
    </row>
    <row r="394" spans="2:48">
      <c r="B394" s="46" t="s">
        <v>665</v>
      </c>
      <c r="C394" s="46" t="s">
        <v>666</v>
      </c>
      <c r="D394" s="46">
        <v>20240301</v>
      </c>
      <c r="E394" s="46">
        <v>2024</v>
      </c>
      <c r="F394" s="46">
        <v>3</v>
      </c>
      <c r="G394" s="46" t="s">
        <v>692</v>
      </c>
      <c r="H394" s="46">
        <v>818</v>
      </c>
      <c r="I394" s="46" t="s">
        <v>668</v>
      </c>
      <c r="J394" s="46" t="s">
        <v>57</v>
      </c>
      <c r="K394" s="46" t="s">
        <v>666</v>
      </c>
      <c r="L394" s="46" t="s">
        <v>669</v>
      </c>
      <c r="M394" s="46">
        <v>826</v>
      </c>
      <c r="N394" s="46" t="s">
        <v>685</v>
      </c>
      <c r="O394" s="46" t="s">
        <v>64</v>
      </c>
      <c r="P394" s="46">
        <v>0</v>
      </c>
      <c r="Q394" s="46" t="s">
        <v>670</v>
      </c>
      <c r="R394" s="46" t="s">
        <v>23</v>
      </c>
      <c r="S394" s="46" t="s">
        <v>671</v>
      </c>
      <c r="T394" s="46" t="s">
        <v>672</v>
      </c>
      <c r="U394" s="46" t="b">
        <v>1</v>
      </c>
      <c r="V394" s="46" t="s">
        <v>985</v>
      </c>
      <c r="W394" s="46" t="s">
        <v>984</v>
      </c>
      <c r="X394" s="46">
        <v>6</v>
      </c>
      <c r="Y394" s="46" t="b">
        <v>1</v>
      </c>
      <c r="Z394" s="46" t="s">
        <v>675</v>
      </c>
      <c r="AA394" s="46" t="s">
        <v>676</v>
      </c>
      <c r="AB394" s="46" t="s">
        <v>677</v>
      </c>
      <c r="AC394" s="46">
        <v>0</v>
      </c>
      <c r="AD394" s="46" t="s">
        <v>678</v>
      </c>
      <c r="AE394" s="46">
        <v>8</v>
      </c>
      <c r="AF394" s="46" t="s">
        <v>679</v>
      </c>
      <c r="AG394" s="46">
        <v>11284841.174000001</v>
      </c>
      <c r="AH394" s="46" t="b">
        <v>1</v>
      </c>
      <c r="AI394" s="46">
        <v>-1</v>
      </c>
      <c r="AJ394" s="46" t="s">
        <v>680</v>
      </c>
      <c r="AK394" s="46">
        <v>0</v>
      </c>
      <c r="AL394" s="46" t="b">
        <v>0</v>
      </c>
      <c r="AM394" s="46">
        <v>11284841.174000001</v>
      </c>
      <c r="AN394" s="46" t="b">
        <v>1</v>
      </c>
      <c r="AO394" s="46">
        <v>0</v>
      </c>
      <c r="AP394" s="46" t="b">
        <v>0</v>
      </c>
      <c r="AQ394" s="46">
        <v>53252331.365000002</v>
      </c>
      <c r="AS394" s="46">
        <v>53252331.365000002</v>
      </c>
      <c r="AT394" s="46">
        <v>6</v>
      </c>
      <c r="AU394" s="46" t="b">
        <v>1</v>
      </c>
      <c r="AV394" s="46" t="b">
        <v>0</v>
      </c>
    </row>
    <row r="395" spans="2:48">
      <c r="B395" s="46" t="s">
        <v>665</v>
      </c>
      <c r="C395" s="46" t="s">
        <v>666</v>
      </c>
      <c r="D395" s="46">
        <v>20240301</v>
      </c>
      <c r="E395" s="46">
        <v>2024</v>
      </c>
      <c r="F395" s="46">
        <v>3</v>
      </c>
      <c r="G395" s="46" t="s">
        <v>692</v>
      </c>
      <c r="H395" s="46">
        <v>818</v>
      </c>
      <c r="I395" s="46" t="s">
        <v>668</v>
      </c>
      <c r="J395" s="46" t="s">
        <v>57</v>
      </c>
      <c r="K395" s="46" t="s">
        <v>666</v>
      </c>
      <c r="L395" s="46" t="s">
        <v>669</v>
      </c>
      <c r="M395" s="46">
        <v>842</v>
      </c>
      <c r="N395" s="46" t="s">
        <v>713</v>
      </c>
      <c r="O395" s="46" t="s">
        <v>713</v>
      </c>
      <c r="P395" s="46">
        <v>0</v>
      </c>
      <c r="Q395" s="46" t="s">
        <v>670</v>
      </c>
      <c r="R395" s="46" t="s">
        <v>23</v>
      </c>
      <c r="S395" s="46" t="s">
        <v>671</v>
      </c>
      <c r="T395" s="46" t="s">
        <v>672</v>
      </c>
      <c r="U395" s="46" t="b">
        <v>1</v>
      </c>
      <c r="V395" s="46" t="s">
        <v>985</v>
      </c>
      <c r="W395" s="46" t="s">
        <v>984</v>
      </c>
      <c r="X395" s="46">
        <v>6</v>
      </c>
      <c r="Y395" s="46" t="b">
        <v>1</v>
      </c>
      <c r="Z395" s="46" t="s">
        <v>675</v>
      </c>
      <c r="AA395" s="46" t="s">
        <v>676</v>
      </c>
      <c r="AB395" s="46" t="s">
        <v>677</v>
      </c>
      <c r="AC395" s="46">
        <v>0</v>
      </c>
      <c r="AD395" s="46" t="s">
        <v>678</v>
      </c>
      <c r="AE395" s="46">
        <v>8</v>
      </c>
      <c r="AF395" s="46" t="s">
        <v>679</v>
      </c>
      <c r="AG395" s="46">
        <v>9097106.8289999999</v>
      </c>
      <c r="AH395" s="46" t="b">
        <v>1</v>
      </c>
      <c r="AI395" s="46">
        <v>-1</v>
      </c>
      <c r="AJ395" s="46" t="s">
        <v>680</v>
      </c>
      <c r="AK395" s="46">
        <v>0</v>
      </c>
      <c r="AL395" s="46" t="b">
        <v>0</v>
      </c>
      <c r="AM395" s="46">
        <v>9097106.8289999999</v>
      </c>
      <c r="AN395" s="46" t="b">
        <v>1</v>
      </c>
      <c r="AO395" s="46">
        <v>0</v>
      </c>
      <c r="AP395" s="46" t="b">
        <v>0</v>
      </c>
      <c r="AQ395" s="46">
        <v>42928574.699000001</v>
      </c>
      <c r="AS395" s="46">
        <v>42928574.699000001</v>
      </c>
      <c r="AT395" s="46">
        <v>6</v>
      </c>
      <c r="AU395" s="46" t="b">
        <v>1</v>
      </c>
      <c r="AV395" s="46" t="b">
        <v>0</v>
      </c>
    </row>
    <row r="396" spans="2:48">
      <c r="B396" s="46" t="s">
        <v>665</v>
      </c>
      <c r="C396" s="46" t="s">
        <v>666</v>
      </c>
      <c r="D396" s="46">
        <v>20240401</v>
      </c>
      <c r="E396" s="46">
        <v>2024</v>
      </c>
      <c r="F396" s="46">
        <v>4</v>
      </c>
      <c r="G396" s="46" t="s">
        <v>695</v>
      </c>
      <c r="H396" s="46">
        <v>818</v>
      </c>
      <c r="I396" s="46" t="s">
        <v>668</v>
      </c>
      <c r="J396" s="46" t="s">
        <v>57</v>
      </c>
      <c r="K396" s="46" t="s">
        <v>666</v>
      </c>
      <c r="L396" s="46" t="s">
        <v>669</v>
      </c>
      <c r="M396" s="46">
        <v>0</v>
      </c>
      <c r="N396" s="46" t="s">
        <v>670</v>
      </c>
      <c r="O396" s="46" t="s">
        <v>23</v>
      </c>
      <c r="P396" s="46">
        <v>0</v>
      </c>
      <c r="Q396" s="46" t="s">
        <v>670</v>
      </c>
      <c r="R396" s="46" t="s">
        <v>23</v>
      </c>
      <c r="S396" s="46" t="s">
        <v>671</v>
      </c>
      <c r="T396" s="46" t="s">
        <v>672</v>
      </c>
      <c r="U396" s="46" t="b">
        <v>1</v>
      </c>
      <c r="V396" s="46" t="s">
        <v>985</v>
      </c>
      <c r="W396" s="46" t="s">
        <v>984</v>
      </c>
      <c r="X396" s="46">
        <v>6</v>
      </c>
      <c r="Y396" s="46" t="b">
        <v>1</v>
      </c>
      <c r="Z396" s="46" t="s">
        <v>675</v>
      </c>
      <c r="AA396" s="46" t="s">
        <v>676</v>
      </c>
      <c r="AB396" s="46" t="s">
        <v>677</v>
      </c>
      <c r="AC396" s="46">
        <v>0</v>
      </c>
      <c r="AD396" s="46" t="s">
        <v>678</v>
      </c>
      <c r="AE396" s="46">
        <v>8</v>
      </c>
      <c r="AF396" s="46" t="s">
        <v>679</v>
      </c>
      <c r="AG396" s="46">
        <v>8853987.4130000006</v>
      </c>
      <c r="AH396" s="46" t="b">
        <v>1</v>
      </c>
      <c r="AI396" s="46">
        <v>-1</v>
      </c>
      <c r="AJ396" s="46" t="s">
        <v>680</v>
      </c>
      <c r="AK396" s="46">
        <v>0</v>
      </c>
      <c r="AL396" s="46" t="b">
        <v>0</v>
      </c>
      <c r="AM396" s="46">
        <v>8853987.4130000006</v>
      </c>
      <c r="AN396" s="46" t="b">
        <v>1</v>
      </c>
      <c r="AO396" s="46">
        <v>0</v>
      </c>
      <c r="AP396" s="46" t="b">
        <v>0</v>
      </c>
      <c r="AQ396" s="46">
        <v>41781312.148000002</v>
      </c>
      <c r="AS396" s="46">
        <v>41781312.148000002</v>
      </c>
      <c r="AT396" s="46">
        <v>6</v>
      </c>
      <c r="AU396" s="46" t="b">
        <v>0</v>
      </c>
      <c r="AV396" s="46" t="b">
        <v>1</v>
      </c>
    </row>
    <row r="397" spans="2:48">
      <c r="B397" s="46" t="s">
        <v>665</v>
      </c>
      <c r="C397" s="46" t="s">
        <v>666</v>
      </c>
      <c r="D397" s="46">
        <v>20240501</v>
      </c>
      <c r="E397" s="46">
        <v>2024</v>
      </c>
      <c r="F397" s="46">
        <v>5</v>
      </c>
      <c r="G397" s="46" t="s">
        <v>699</v>
      </c>
      <c r="H397" s="46">
        <v>818</v>
      </c>
      <c r="I397" s="46" t="s">
        <v>668</v>
      </c>
      <c r="J397" s="46" t="s">
        <v>57</v>
      </c>
      <c r="K397" s="46" t="s">
        <v>666</v>
      </c>
      <c r="L397" s="46" t="s">
        <v>669</v>
      </c>
      <c r="M397" s="46">
        <v>0</v>
      </c>
      <c r="N397" s="46" t="s">
        <v>670</v>
      </c>
      <c r="O397" s="46" t="s">
        <v>23</v>
      </c>
      <c r="P397" s="46">
        <v>0</v>
      </c>
      <c r="Q397" s="46" t="s">
        <v>670</v>
      </c>
      <c r="R397" s="46" t="s">
        <v>23</v>
      </c>
      <c r="S397" s="46" t="s">
        <v>671</v>
      </c>
      <c r="T397" s="46" t="s">
        <v>672</v>
      </c>
      <c r="U397" s="46" t="b">
        <v>1</v>
      </c>
      <c r="V397" s="46" t="s">
        <v>985</v>
      </c>
      <c r="W397" s="46" t="s">
        <v>984</v>
      </c>
      <c r="X397" s="46">
        <v>6</v>
      </c>
      <c r="Y397" s="46" t="b">
        <v>1</v>
      </c>
      <c r="Z397" s="46" t="s">
        <v>675</v>
      </c>
      <c r="AA397" s="46" t="s">
        <v>676</v>
      </c>
      <c r="AB397" s="46" t="s">
        <v>677</v>
      </c>
      <c r="AC397" s="46">
        <v>0</v>
      </c>
      <c r="AD397" s="46" t="s">
        <v>678</v>
      </c>
      <c r="AE397" s="46">
        <v>8</v>
      </c>
      <c r="AF397" s="46" t="s">
        <v>679</v>
      </c>
      <c r="AG397" s="46">
        <v>5062405.5140000004</v>
      </c>
      <c r="AH397" s="46" t="b">
        <v>1</v>
      </c>
      <c r="AI397" s="46">
        <v>-1</v>
      </c>
      <c r="AJ397" s="46" t="s">
        <v>680</v>
      </c>
      <c r="AK397" s="46">
        <v>0</v>
      </c>
      <c r="AL397" s="46" t="b">
        <v>0</v>
      </c>
      <c r="AM397" s="46">
        <v>5062405.5140000004</v>
      </c>
      <c r="AN397" s="46" t="b">
        <v>1</v>
      </c>
      <c r="AO397" s="46">
        <v>0</v>
      </c>
      <c r="AP397" s="46" t="b">
        <v>0</v>
      </c>
      <c r="AQ397" s="46">
        <v>23889117.427000001</v>
      </c>
      <c r="AS397" s="46">
        <v>23889117.427000001</v>
      </c>
      <c r="AT397" s="46">
        <v>6</v>
      </c>
      <c r="AU397" s="46" t="b">
        <v>0</v>
      </c>
      <c r="AV397" s="46" t="b">
        <v>1</v>
      </c>
    </row>
    <row r="398" spans="2:48">
      <c r="B398" s="46" t="s">
        <v>665</v>
      </c>
      <c r="C398" s="46" t="s">
        <v>666</v>
      </c>
      <c r="D398" s="46">
        <v>20240301</v>
      </c>
      <c r="E398" s="46">
        <v>2024</v>
      </c>
      <c r="F398" s="46">
        <v>3</v>
      </c>
      <c r="G398" s="46" t="s">
        <v>692</v>
      </c>
      <c r="H398" s="46">
        <v>818</v>
      </c>
      <c r="I398" s="46" t="s">
        <v>668</v>
      </c>
      <c r="J398" s="46" t="s">
        <v>57</v>
      </c>
      <c r="K398" s="46" t="s">
        <v>666</v>
      </c>
      <c r="L398" s="46" t="s">
        <v>669</v>
      </c>
      <c r="M398" s="46">
        <v>0</v>
      </c>
      <c r="N398" s="46" t="s">
        <v>670</v>
      </c>
      <c r="O398" s="46" t="s">
        <v>23</v>
      </c>
      <c r="P398" s="46">
        <v>0</v>
      </c>
      <c r="Q398" s="46" t="s">
        <v>670</v>
      </c>
      <c r="R398" s="46" t="s">
        <v>23</v>
      </c>
      <c r="S398" s="46" t="s">
        <v>671</v>
      </c>
      <c r="T398" s="46" t="s">
        <v>672</v>
      </c>
      <c r="U398" s="46" t="b">
        <v>1</v>
      </c>
      <c r="V398" s="46" t="s">
        <v>985</v>
      </c>
      <c r="W398" s="46" t="s">
        <v>984</v>
      </c>
      <c r="X398" s="46">
        <v>6</v>
      </c>
      <c r="Y398" s="46" t="b">
        <v>1</v>
      </c>
      <c r="Z398" s="46" t="s">
        <v>675</v>
      </c>
      <c r="AA398" s="46" t="s">
        <v>676</v>
      </c>
      <c r="AB398" s="46" t="s">
        <v>677</v>
      </c>
      <c r="AC398" s="46">
        <v>0</v>
      </c>
      <c r="AD398" s="46" t="s">
        <v>678</v>
      </c>
      <c r="AE398" s="46">
        <v>8</v>
      </c>
      <c r="AF398" s="46" t="s">
        <v>679</v>
      </c>
      <c r="AG398" s="46">
        <v>23209335.420000002</v>
      </c>
      <c r="AH398" s="46" t="b">
        <v>1</v>
      </c>
      <c r="AI398" s="46">
        <v>-1</v>
      </c>
      <c r="AJ398" s="46" t="s">
        <v>680</v>
      </c>
      <c r="AK398" s="46">
        <v>0</v>
      </c>
      <c r="AL398" s="46" t="b">
        <v>0</v>
      </c>
      <c r="AM398" s="46">
        <v>23209335.420000002</v>
      </c>
      <c r="AN398" s="46" t="b">
        <v>1</v>
      </c>
      <c r="AO398" s="46">
        <v>0</v>
      </c>
      <c r="AP398" s="46" t="b">
        <v>0</v>
      </c>
      <c r="AQ398" s="46">
        <v>109523138.295</v>
      </c>
      <c r="AS398" s="46">
        <v>109523138.295</v>
      </c>
      <c r="AT398" s="46">
        <v>6</v>
      </c>
      <c r="AU398" s="46" t="b">
        <v>0</v>
      </c>
      <c r="AV398" s="46" t="b">
        <v>1</v>
      </c>
    </row>
    <row r="399" spans="2:48">
      <c r="B399" s="46" t="s">
        <v>665</v>
      </c>
      <c r="C399" s="46" t="s">
        <v>666</v>
      </c>
      <c r="D399" s="46">
        <v>20240201</v>
      </c>
      <c r="E399" s="46">
        <v>2024</v>
      </c>
      <c r="F399" s="46">
        <v>2</v>
      </c>
      <c r="G399" s="46" t="s">
        <v>687</v>
      </c>
      <c r="H399" s="46">
        <v>818</v>
      </c>
      <c r="I399" s="46" t="s">
        <v>668</v>
      </c>
      <c r="J399" s="46" t="s">
        <v>57</v>
      </c>
      <c r="K399" s="46" t="s">
        <v>666</v>
      </c>
      <c r="L399" s="46" t="s">
        <v>669</v>
      </c>
      <c r="M399" s="46">
        <v>0</v>
      </c>
      <c r="N399" s="46" t="s">
        <v>670</v>
      </c>
      <c r="O399" s="46" t="s">
        <v>23</v>
      </c>
      <c r="P399" s="46">
        <v>0</v>
      </c>
      <c r="Q399" s="46" t="s">
        <v>670</v>
      </c>
      <c r="R399" s="46" t="s">
        <v>23</v>
      </c>
      <c r="S399" s="46" t="s">
        <v>671</v>
      </c>
      <c r="T399" s="46" t="s">
        <v>672</v>
      </c>
      <c r="U399" s="46" t="b">
        <v>1</v>
      </c>
      <c r="V399" s="46" t="s">
        <v>985</v>
      </c>
      <c r="W399" s="46" t="s">
        <v>984</v>
      </c>
      <c r="X399" s="46">
        <v>6</v>
      </c>
      <c r="Y399" s="46" t="b">
        <v>1</v>
      </c>
      <c r="Z399" s="46" t="s">
        <v>675</v>
      </c>
      <c r="AA399" s="46" t="s">
        <v>676</v>
      </c>
      <c r="AB399" s="46" t="s">
        <v>677</v>
      </c>
      <c r="AC399" s="46">
        <v>0</v>
      </c>
      <c r="AD399" s="46" t="s">
        <v>678</v>
      </c>
      <c r="AE399" s="46">
        <v>8</v>
      </c>
      <c r="AF399" s="46" t="s">
        <v>679</v>
      </c>
      <c r="AG399" s="46">
        <v>3438611.8470000001</v>
      </c>
      <c r="AH399" s="46" t="b">
        <v>1</v>
      </c>
      <c r="AI399" s="46">
        <v>-1</v>
      </c>
      <c r="AJ399" s="46" t="s">
        <v>680</v>
      </c>
      <c r="AK399" s="46">
        <v>0</v>
      </c>
      <c r="AL399" s="46" t="b">
        <v>0</v>
      </c>
      <c r="AM399" s="46">
        <v>3438611.8470000001</v>
      </c>
      <c r="AN399" s="46" t="b">
        <v>1</v>
      </c>
      <c r="AO399" s="46">
        <v>0</v>
      </c>
      <c r="AP399" s="46" t="b">
        <v>0</v>
      </c>
      <c r="AQ399" s="46">
        <v>16226555.136</v>
      </c>
      <c r="AS399" s="46">
        <v>16226555.136</v>
      </c>
      <c r="AT399" s="46">
        <v>6</v>
      </c>
      <c r="AU399" s="46" t="b">
        <v>0</v>
      </c>
      <c r="AV399" s="46" t="b">
        <v>1</v>
      </c>
    </row>
    <row r="400" spans="2:48">
      <c r="B400" s="46" t="s">
        <v>665</v>
      </c>
      <c r="C400" s="46" t="s">
        <v>666</v>
      </c>
      <c r="D400" s="46">
        <v>20240101</v>
      </c>
      <c r="E400" s="46">
        <v>2024</v>
      </c>
      <c r="F400" s="46">
        <v>1</v>
      </c>
      <c r="G400" s="46" t="s">
        <v>667</v>
      </c>
      <c r="H400" s="46">
        <v>818</v>
      </c>
      <c r="I400" s="46" t="s">
        <v>668</v>
      </c>
      <c r="J400" s="46" t="s">
        <v>57</v>
      </c>
      <c r="K400" s="46" t="s">
        <v>666</v>
      </c>
      <c r="L400" s="46" t="s">
        <v>669</v>
      </c>
      <c r="M400" s="46">
        <v>0</v>
      </c>
      <c r="N400" s="46" t="s">
        <v>670</v>
      </c>
      <c r="O400" s="46" t="s">
        <v>23</v>
      </c>
      <c r="P400" s="46">
        <v>0</v>
      </c>
      <c r="Q400" s="46" t="s">
        <v>670</v>
      </c>
      <c r="R400" s="46" t="s">
        <v>23</v>
      </c>
      <c r="S400" s="46" t="s">
        <v>671</v>
      </c>
      <c r="T400" s="46" t="s">
        <v>672</v>
      </c>
      <c r="U400" s="46" t="b">
        <v>1</v>
      </c>
      <c r="V400" s="46" t="s">
        <v>985</v>
      </c>
      <c r="W400" s="46" t="s">
        <v>984</v>
      </c>
      <c r="X400" s="46">
        <v>6</v>
      </c>
      <c r="Y400" s="46" t="b">
        <v>1</v>
      </c>
      <c r="Z400" s="46" t="s">
        <v>675</v>
      </c>
      <c r="AA400" s="46" t="s">
        <v>676</v>
      </c>
      <c r="AB400" s="46" t="s">
        <v>677</v>
      </c>
      <c r="AC400" s="46">
        <v>0</v>
      </c>
      <c r="AD400" s="46" t="s">
        <v>678</v>
      </c>
      <c r="AE400" s="46">
        <v>8</v>
      </c>
      <c r="AF400" s="46" t="s">
        <v>679</v>
      </c>
      <c r="AG400" s="46">
        <v>3553764.0989999999</v>
      </c>
      <c r="AH400" s="46" t="b">
        <v>1</v>
      </c>
      <c r="AI400" s="46">
        <v>-1</v>
      </c>
      <c r="AJ400" s="46" t="s">
        <v>680</v>
      </c>
      <c r="AK400" s="46">
        <v>0</v>
      </c>
      <c r="AL400" s="46" t="b">
        <v>0</v>
      </c>
      <c r="AM400" s="46">
        <v>3553764.0989999999</v>
      </c>
      <c r="AN400" s="46" t="b">
        <v>1</v>
      </c>
      <c r="AO400" s="46">
        <v>0</v>
      </c>
      <c r="AP400" s="46" t="b">
        <v>0</v>
      </c>
      <c r="AQ400" s="46">
        <v>16769950.098999999</v>
      </c>
      <c r="AS400" s="46">
        <v>16769950.098999999</v>
      </c>
      <c r="AT400" s="46">
        <v>6</v>
      </c>
      <c r="AU400" s="46" t="b">
        <v>0</v>
      </c>
      <c r="AV400" s="46" t="b">
        <v>1</v>
      </c>
    </row>
    <row r="401" spans="2:48">
      <c r="B401" s="46" t="s">
        <v>665</v>
      </c>
      <c r="C401" s="46" t="s">
        <v>666</v>
      </c>
      <c r="D401" s="46">
        <v>20240201</v>
      </c>
      <c r="E401" s="46">
        <v>2024</v>
      </c>
      <c r="F401" s="46">
        <v>2</v>
      </c>
      <c r="G401" s="46" t="s">
        <v>687</v>
      </c>
      <c r="H401" s="46">
        <v>818</v>
      </c>
      <c r="I401" s="46" t="s">
        <v>668</v>
      </c>
      <c r="J401" s="46" t="s">
        <v>57</v>
      </c>
      <c r="K401" s="46" t="s">
        <v>666</v>
      </c>
      <c r="L401" s="46" t="s">
        <v>669</v>
      </c>
      <c r="M401" s="46">
        <v>36</v>
      </c>
      <c r="N401" s="46" t="s">
        <v>765</v>
      </c>
      <c r="O401" s="46" t="s">
        <v>24</v>
      </c>
      <c r="P401" s="46">
        <v>0</v>
      </c>
      <c r="Q401" s="46" t="s">
        <v>670</v>
      </c>
      <c r="R401" s="46" t="s">
        <v>23</v>
      </c>
      <c r="S401" s="46" t="s">
        <v>671</v>
      </c>
      <c r="T401" s="46" t="s">
        <v>672</v>
      </c>
      <c r="U401" s="46" t="b">
        <v>1</v>
      </c>
      <c r="V401" s="46" t="s">
        <v>985</v>
      </c>
      <c r="W401" s="46" t="s">
        <v>984</v>
      </c>
      <c r="X401" s="46">
        <v>6</v>
      </c>
      <c r="Y401" s="46" t="b">
        <v>1</v>
      </c>
      <c r="Z401" s="46" t="s">
        <v>675</v>
      </c>
      <c r="AA401" s="46" t="s">
        <v>676</v>
      </c>
      <c r="AB401" s="46" t="s">
        <v>677</v>
      </c>
      <c r="AC401" s="46">
        <v>0</v>
      </c>
      <c r="AD401" s="46" t="s">
        <v>678</v>
      </c>
      <c r="AE401" s="46">
        <v>8</v>
      </c>
      <c r="AF401" s="46" t="s">
        <v>679</v>
      </c>
      <c r="AG401" s="46">
        <v>1706.9480000000001</v>
      </c>
      <c r="AH401" s="46" t="b">
        <v>1</v>
      </c>
      <c r="AI401" s="46">
        <v>-1</v>
      </c>
      <c r="AJ401" s="46" t="s">
        <v>680</v>
      </c>
      <c r="AK401" s="46">
        <v>0</v>
      </c>
      <c r="AL401" s="46" t="b">
        <v>0</v>
      </c>
      <c r="AM401" s="46">
        <v>1706.9480000000001</v>
      </c>
      <c r="AN401" s="46" t="b">
        <v>1</v>
      </c>
      <c r="AO401" s="46">
        <v>0</v>
      </c>
      <c r="AP401" s="46" t="b">
        <v>0</v>
      </c>
      <c r="AQ401" s="46">
        <v>8054.9620000000004</v>
      </c>
      <c r="AS401" s="46">
        <v>8054.9620000000004</v>
      </c>
      <c r="AT401" s="46">
        <v>6</v>
      </c>
      <c r="AU401" s="46" t="b">
        <v>1</v>
      </c>
      <c r="AV401" s="46" t="b">
        <v>0</v>
      </c>
    </row>
    <row r="402" spans="2:48">
      <c r="B402" s="46" t="s">
        <v>665</v>
      </c>
      <c r="C402" s="46" t="s">
        <v>666</v>
      </c>
      <c r="D402" s="46">
        <v>20240101</v>
      </c>
      <c r="E402" s="46">
        <v>2024</v>
      </c>
      <c r="F402" s="46">
        <v>1</v>
      </c>
      <c r="G402" s="46" t="s">
        <v>667</v>
      </c>
      <c r="H402" s="46">
        <v>818</v>
      </c>
      <c r="I402" s="46" t="s">
        <v>668</v>
      </c>
      <c r="J402" s="46" t="s">
        <v>57</v>
      </c>
      <c r="K402" s="46" t="s">
        <v>666</v>
      </c>
      <c r="L402" s="46" t="s">
        <v>669</v>
      </c>
      <c r="M402" s="46">
        <v>36</v>
      </c>
      <c r="N402" s="46" t="s">
        <v>765</v>
      </c>
      <c r="O402" s="46" t="s">
        <v>24</v>
      </c>
      <c r="P402" s="46">
        <v>0</v>
      </c>
      <c r="Q402" s="46" t="s">
        <v>670</v>
      </c>
      <c r="R402" s="46" t="s">
        <v>23</v>
      </c>
      <c r="S402" s="46" t="s">
        <v>671</v>
      </c>
      <c r="T402" s="46" t="s">
        <v>672</v>
      </c>
      <c r="U402" s="46" t="b">
        <v>1</v>
      </c>
      <c r="V402" s="46" t="s">
        <v>985</v>
      </c>
      <c r="W402" s="46" t="s">
        <v>984</v>
      </c>
      <c r="X402" s="46">
        <v>6</v>
      </c>
      <c r="Y402" s="46" t="b">
        <v>1</v>
      </c>
      <c r="Z402" s="46" t="s">
        <v>675</v>
      </c>
      <c r="AA402" s="46" t="s">
        <v>676</v>
      </c>
      <c r="AB402" s="46" t="s">
        <v>677</v>
      </c>
      <c r="AC402" s="46">
        <v>0</v>
      </c>
      <c r="AD402" s="46" t="s">
        <v>678</v>
      </c>
      <c r="AE402" s="46">
        <v>8</v>
      </c>
      <c r="AF402" s="46" t="s">
        <v>679</v>
      </c>
      <c r="AG402" s="46">
        <v>1176.741</v>
      </c>
      <c r="AH402" s="46" t="b">
        <v>1</v>
      </c>
      <c r="AI402" s="46">
        <v>-1</v>
      </c>
      <c r="AJ402" s="46" t="s">
        <v>680</v>
      </c>
      <c r="AK402" s="46">
        <v>0</v>
      </c>
      <c r="AL402" s="46" t="b">
        <v>0</v>
      </c>
      <c r="AM402" s="46">
        <v>1176.741</v>
      </c>
      <c r="AN402" s="46" t="b">
        <v>1</v>
      </c>
      <c r="AO402" s="46">
        <v>0</v>
      </c>
      <c r="AP402" s="46" t="b">
        <v>0</v>
      </c>
      <c r="AQ402" s="46">
        <v>5552.9520000000002</v>
      </c>
      <c r="AS402" s="46">
        <v>5552.9520000000002</v>
      </c>
      <c r="AT402" s="46">
        <v>6</v>
      </c>
      <c r="AU402" s="46" t="b">
        <v>1</v>
      </c>
      <c r="AV402" s="46" t="b">
        <v>0</v>
      </c>
    </row>
    <row r="403" spans="2:48">
      <c r="B403" s="46" t="s">
        <v>665</v>
      </c>
      <c r="C403" s="46" t="s">
        <v>666</v>
      </c>
      <c r="D403" s="46">
        <v>20240601</v>
      </c>
      <c r="E403" s="46">
        <v>2024</v>
      </c>
      <c r="F403" s="46">
        <v>6</v>
      </c>
      <c r="G403" s="46" t="s">
        <v>700</v>
      </c>
      <c r="H403" s="46">
        <v>818</v>
      </c>
      <c r="I403" s="46" t="s">
        <v>668</v>
      </c>
      <c r="J403" s="46" t="s">
        <v>57</v>
      </c>
      <c r="K403" s="46" t="s">
        <v>666</v>
      </c>
      <c r="L403" s="46" t="s">
        <v>669</v>
      </c>
      <c r="M403" s="46">
        <v>36</v>
      </c>
      <c r="N403" s="46" t="s">
        <v>765</v>
      </c>
      <c r="O403" s="46" t="s">
        <v>24</v>
      </c>
      <c r="P403" s="46">
        <v>0</v>
      </c>
      <c r="Q403" s="46" t="s">
        <v>670</v>
      </c>
      <c r="R403" s="46" t="s">
        <v>23</v>
      </c>
      <c r="S403" s="46" t="s">
        <v>671</v>
      </c>
      <c r="T403" s="46" t="s">
        <v>672</v>
      </c>
      <c r="U403" s="46" t="b">
        <v>1</v>
      </c>
      <c r="V403" s="46" t="s">
        <v>985</v>
      </c>
      <c r="W403" s="46" t="s">
        <v>984</v>
      </c>
      <c r="X403" s="46">
        <v>6</v>
      </c>
      <c r="Y403" s="46" t="b">
        <v>1</v>
      </c>
      <c r="Z403" s="46" t="s">
        <v>675</v>
      </c>
      <c r="AA403" s="46" t="s">
        <v>676</v>
      </c>
      <c r="AB403" s="46" t="s">
        <v>677</v>
      </c>
      <c r="AC403" s="46">
        <v>0</v>
      </c>
      <c r="AD403" s="46" t="s">
        <v>678</v>
      </c>
      <c r="AE403" s="46">
        <v>8</v>
      </c>
      <c r="AF403" s="46" t="s">
        <v>679</v>
      </c>
      <c r="AG403" s="46">
        <v>6939.8680000000004</v>
      </c>
      <c r="AH403" s="46" t="b">
        <v>1</v>
      </c>
      <c r="AI403" s="46">
        <v>-1</v>
      </c>
      <c r="AJ403" s="46" t="s">
        <v>680</v>
      </c>
      <c r="AK403" s="46">
        <v>0</v>
      </c>
      <c r="AL403" s="46" t="b">
        <v>0</v>
      </c>
      <c r="AM403" s="46">
        <v>6939.8680000000004</v>
      </c>
      <c r="AN403" s="46" t="b">
        <v>1</v>
      </c>
      <c r="AO403" s="46">
        <v>0</v>
      </c>
      <c r="AP403" s="46" t="b">
        <v>0</v>
      </c>
      <c r="AQ403" s="46">
        <v>32748.723999999998</v>
      </c>
      <c r="AS403" s="46">
        <v>32748.723999999998</v>
      </c>
      <c r="AT403" s="46">
        <v>6</v>
      </c>
      <c r="AU403" s="46" t="b">
        <v>1</v>
      </c>
      <c r="AV403" s="46" t="b">
        <v>0</v>
      </c>
    </row>
    <row r="404" spans="2:48">
      <c r="B404" s="46" t="s">
        <v>665</v>
      </c>
      <c r="C404" s="46" t="s">
        <v>666</v>
      </c>
      <c r="D404" s="46">
        <v>20240501</v>
      </c>
      <c r="E404" s="46">
        <v>2024</v>
      </c>
      <c r="F404" s="46">
        <v>5</v>
      </c>
      <c r="G404" s="46" t="s">
        <v>699</v>
      </c>
      <c r="H404" s="46">
        <v>818</v>
      </c>
      <c r="I404" s="46" t="s">
        <v>668</v>
      </c>
      <c r="J404" s="46" t="s">
        <v>57</v>
      </c>
      <c r="K404" s="46" t="s">
        <v>666</v>
      </c>
      <c r="L404" s="46" t="s">
        <v>669</v>
      </c>
      <c r="M404" s="46">
        <v>36</v>
      </c>
      <c r="N404" s="46" t="s">
        <v>765</v>
      </c>
      <c r="O404" s="46" t="s">
        <v>24</v>
      </c>
      <c r="P404" s="46">
        <v>0</v>
      </c>
      <c r="Q404" s="46" t="s">
        <v>670</v>
      </c>
      <c r="R404" s="46" t="s">
        <v>23</v>
      </c>
      <c r="S404" s="46" t="s">
        <v>671</v>
      </c>
      <c r="T404" s="46" t="s">
        <v>672</v>
      </c>
      <c r="U404" s="46" t="b">
        <v>1</v>
      </c>
      <c r="V404" s="46" t="s">
        <v>985</v>
      </c>
      <c r="W404" s="46" t="s">
        <v>984</v>
      </c>
      <c r="X404" s="46">
        <v>6</v>
      </c>
      <c r="Y404" s="46" t="b">
        <v>1</v>
      </c>
      <c r="Z404" s="46" t="s">
        <v>675</v>
      </c>
      <c r="AA404" s="46" t="s">
        <v>676</v>
      </c>
      <c r="AB404" s="46" t="s">
        <v>677</v>
      </c>
      <c r="AC404" s="46">
        <v>0</v>
      </c>
      <c r="AD404" s="46" t="s">
        <v>678</v>
      </c>
      <c r="AE404" s="46">
        <v>8</v>
      </c>
      <c r="AF404" s="46" t="s">
        <v>679</v>
      </c>
      <c r="AG404" s="46">
        <v>34501.866000000002</v>
      </c>
      <c r="AH404" s="46" t="b">
        <v>1</v>
      </c>
      <c r="AI404" s="46">
        <v>-1</v>
      </c>
      <c r="AJ404" s="46" t="s">
        <v>680</v>
      </c>
      <c r="AK404" s="46">
        <v>0</v>
      </c>
      <c r="AL404" s="46" t="b">
        <v>0</v>
      </c>
      <c r="AM404" s="46">
        <v>34501.866000000002</v>
      </c>
      <c r="AN404" s="46" t="b">
        <v>1</v>
      </c>
      <c r="AO404" s="46">
        <v>0</v>
      </c>
      <c r="AP404" s="46" t="b">
        <v>0</v>
      </c>
      <c r="AQ404" s="46">
        <v>162811.755</v>
      </c>
      <c r="AS404" s="46">
        <v>162811.755</v>
      </c>
      <c r="AT404" s="46">
        <v>6</v>
      </c>
      <c r="AU404" s="46" t="b">
        <v>1</v>
      </c>
      <c r="AV404" s="46" t="b">
        <v>0</v>
      </c>
    </row>
    <row r="405" spans="2:48">
      <c r="B405" s="46" t="s">
        <v>665</v>
      </c>
      <c r="C405" s="46" t="s">
        <v>666</v>
      </c>
      <c r="D405" s="46">
        <v>20240301</v>
      </c>
      <c r="E405" s="46">
        <v>2024</v>
      </c>
      <c r="F405" s="46">
        <v>3</v>
      </c>
      <c r="G405" s="46" t="s">
        <v>692</v>
      </c>
      <c r="H405" s="46">
        <v>818</v>
      </c>
      <c r="I405" s="46" t="s">
        <v>668</v>
      </c>
      <c r="J405" s="46" t="s">
        <v>57</v>
      </c>
      <c r="K405" s="46" t="s">
        <v>666</v>
      </c>
      <c r="L405" s="46" t="s">
        <v>669</v>
      </c>
      <c r="M405" s="46">
        <v>40</v>
      </c>
      <c r="N405" s="46" t="s">
        <v>750</v>
      </c>
      <c r="O405" s="46" t="s">
        <v>43</v>
      </c>
      <c r="P405" s="46">
        <v>0</v>
      </c>
      <c r="Q405" s="46" t="s">
        <v>670</v>
      </c>
      <c r="R405" s="46" t="s">
        <v>23</v>
      </c>
      <c r="S405" s="46" t="s">
        <v>671</v>
      </c>
      <c r="T405" s="46" t="s">
        <v>672</v>
      </c>
      <c r="U405" s="46" t="b">
        <v>1</v>
      </c>
      <c r="V405" s="46" t="s">
        <v>985</v>
      </c>
      <c r="W405" s="46" t="s">
        <v>984</v>
      </c>
      <c r="X405" s="46">
        <v>6</v>
      </c>
      <c r="Y405" s="46" t="b">
        <v>1</v>
      </c>
      <c r="Z405" s="46" t="s">
        <v>675</v>
      </c>
      <c r="AA405" s="46" t="s">
        <v>676</v>
      </c>
      <c r="AB405" s="46" t="s">
        <v>677</v>
      </c>
      <c r="AC405" s="46">
        <v>0</v>
      </c>
      <c r="AD405" s="46" t="s">
        <v>678</v>
      </c>
      <c r="AE405" s="46">
        <v>8</v>
      </c>
      <c r="AF405" s="46" t="s">
        <v>679</v>
      </c>
      <c r="AG405" s="46">
        <v>2486.3130000000001</v>
      </c>
      <c r="AH405" s="46" t="b">
        <v>1</v>
      </c>
      <c r="AI405" s="46">
        <v>-1</v>
      </c>
      <c r="AJ405" s="46" t="s">
        <v>680</v>
      </c>
      <c r="AK405" s="46">
        <v>0</v>
      </c>
      <c r="AL405" s="46" t="b">
        <v>0</v>
      </c>
      <c r="AM405" s="46">
        <v>2486.3130000000001</v>
      </c>
      <c r="AN405" s="46" t="b">
        <v>1</v>
      </c>
      <c r="AO405" s="46">
        <v>0</v>
      </c>
      <c r="AP405" s="46" t="b">
        <v>0</v>
      </c>
      <c r="AQ405" s="46">
        <v>11732.727999999999</v>
      </c>
      <c r="AS405" s="46">
        <v>11732.727999999999</v>
      </c>
      <c r="AT405" s="46">
        <v>6</v>
      </c>
      <c r="AU405" s="46" t="b">
        <v>1</v>
      </c>
      <c r="AV405" s="46" t="b">
        <v>0</v>
      </c>
    </row>
    <row r="406" spans="2:48">
      <c r="B406" s="46" t="s">
        <v>665</v>
      </c>
      <c r="C406" s="46" t="s">
        <v>666</v>
      </c>
      <c r="D406" s="46">
        <v>20240401</v>
      </c>
      <c r="E406" s="46">
        <v>2024</v>
      </c>
      <c r="F406" s="46">
        <v>4</v>
      </c>
      <c r="G406" s="46" t="s">
        <v>695</v>
      </c>
      <c r="H406" s="46">
        <v>818</v>
      </c>
      <c r="I406" s="46" t="s">
        <v>668</v>
      </c>
      <c r="J406" s="46" t="s">
        <v>57</v>
      </c>
      <c r="K406" s="46" t="s">
        <v>666</v>
      </c>
      <c r="L406" s="46" t="s">
        <v>669</v>
      </c>
      <c r="M406" s="46">
        <v>40</v>
      </c>
      <c r="N406" s="46" t="s">
        <v>750</v>
      </c>
      <c r="O406" s="46" t="s">
        <v>43</v>
      </c>
      <c r="P406" s="46">
        <v>0</v>
      </c>
      <c r="Q406" s="46" t="s">
        <v>670</v>
      </c>
      <c r="R406" s="46" t="s">
        <v>23</v>
      </c>
      <c r="S406" s="46" t="s">
        <v>671</v>
      </c>
      <c r="T406" s="46" t="s">
        <v>672</v>
      </c>
      <c r="U406" s="46" t="b">
        <v>1</v>
      </c>
      <c r="V406" s="46" t="s">
        <v>985</v>
      </c>
      <c r="W406" s="46" t="s">
        <v>984</v>
      </c>
      <c r="X406" s="46">
        <v>6</v>
      </c>
      <c r="Y406" s="46" t="b">
        <v>1</v>
      </c>
      <c r="Z406" s="46" t="s">
        <v>675</v>
      </c>
      <c r="AA406" s="46" t="s">
        <v>676</v>
      </c>
      <c r="AB406" s="46" t="s">
        <v>677</v>
      </c>
      <c r="AC406" s="46">
        <v>0</v>
      </c>
      <c r="AD406" s="46" t="s">
        <v>678</v>
      </c>
      <c r="AE406" s="46">
        <v>8</v>
      </c>
      <c r="AF406" s="46" t="s">
        <v>679</v>
      </c>
      <c r="AG406" s="46">
        <v>22757.107</v>
      </c>
      <c r="AH406" s="46" t="b">
        <v>1</v>
      </c>
      <c r="AI406" s="46">
        <v>-1</v>
      </c>
      <c r="AJ406" s="46" t="s">
        <v>680</v>
      </c>
      <c r="AK406" s="46">
        <v>0</v>
      </c>
      <c r="AL406" s="46" t="b">
        <v>0</v>
      </c>
      <c r="AM406" s="46">
        <v>22757.107</v>
      </c>
      <c r="AN406" s="46" t="b">
        <v>1</v>
      </c>
      <c r="AO406" s="46">
        <v>0</v>
      </c>
      <c r="AP406" s="46" t="b">
        <v>0</v>
      </c>
      <c r="AQ406" s="46">
        <v>107389.103</v>
      </c>
      <c r="AS406" s="46">
        <v>107389.103</v>
      </c>
      <c r="AT406" s="46">
        <v>6</v>
      </c>
      <c r="AU406" s="46" t="b">
        <v>1</v>
      </c>
      <c r="AV406" s="46" t="b">
        <v>0</v>
      </c>
    </row>
    <row r="407" spans="2:48">
      <c r="B407" s="46" t="s">
        <v>665</v>
      </c>
      <c r="C407" s="46" t="s">
        <v>666</v>
      </c>
      <c r="D407" s="46">
        <v>20240201</v>
      </c>
      <c r="E407" s="46">
        <v>2024</v>
      </c>
      <c r="F407" s="46">
        <v>2</v>
      </c>
      <c r="G407" s="46" t="s">
        <v>687</v>
      </c>
      <c r="H407" s="46">
        <v>818</v>
      </c>
      <c r="I407" s="46" t="s">
        <v>668</v>
      </c>
      <c r="J407" s="46" t="s">
        <v>57</v>
      </c>
      <c r="K407" s="46" t="s">
        <v>666</v>
      </c>
      <c r="L407" s="46" t="s">
        <v>669</v>
      </c>
      <c r="M407" s="46">
        <v>56</v>
      </c>
      <c r="N407" s="46" t="s">
        <v>696</v>
      </c>
      <c r="O407" s="46" t="s">
        <v>74</v>
      </c>
      <c r="P407" s="46">
        <v>0</v>
      </c>
      <c r="Q407" s="46" t="s">
        <v>670</v>
      </c>
      <c r="R407" s="46" t="s">
        <v>23</v>
      </c>
      <c r="S407" s="46" t="s">
        <v>671</v>
      </c>
      <c r="T407" s="46" t="s">
        <v>672</v>
      </c>
      <c r="U407" s="46" t="b">
        <v>1</v>
      </c>
      <c r="V407" s="46" t="s">
        <v>985</v>
      </c>
      <c r="W407" s="46" t="s">
        <v>984</v>
      </c>
      <c r="X407" s="46">
        <v>6</v>
      </c>
      <c r="Y407" s="46" t="b">
        <v>1</v>
      </c>
      <c r="Z407" s="46" t="s">
        <v>675</v>
      </c>
      <c r="AA407" s="46" t="s">
        <v>676</v>
      </c>
      <c r="AB407" s="46" t="s">
        <v>677</v>
      </c>
      <c r="AC407" s="46">
        <v>0</v>
      </c>
      <c r="AD407" s="46" t="s">
        <v>678</v>
      </c>
      <c r="AE407" s="46">
        <v>8</v>
      </c>
      <c r="AF407" s="46" t="s">
        <v>679</v>
      </c>
      <c r="AG407" s="46">
        <v>76003.048999999999</v>
      </c>
      <c r="AH407" s="46" t="b">
        <v>1</v>
      </c>
      <c r="AI407" s="46">
        <v>-1</v>
      </c>
      <c r="AJ407" s="46" t="s">
        <v>680</v>
      </c>
      <c r="AK407" s="46">
        <v>0</v>
      </c>
      <c r="AL407" s="46" t="b">
        <v>0</v>
      </c>
      <c r="AM407" s="46">
        <v>76003.048999999999</v>
      </c>
      <c r="AN407" s="46" t="b">
        <v>1</v>
      </c>
      <c r="AO407" s="46">
        <v>0</v>
      </c>
      <c r="AP407" s="46" t="b">
        <v>0</v>
      </c>
      <c r="AQ407" s="46">
        <v>358652.76899999997</v>
      </c>
      <c r="AS407" s="46">
        <v>358652.76899999997</v>
      </c>
      <c r="AT407" s="46">
        <v>6</v>
      </c>
      <c r="AU407" s="46" t="b">
        <v>1</v>
      </c>
      <c r="AV407" s="46" t="b">
        <v>0</v>
      </c>
    </row>
    <row r="408" spans="2:48">
      <c r="B408" s="46" t="s">
        <v>665</v>
      </c>
      <c r="C408" s="46" t="s">
        <v>666</v>
      </c>
      <c r="D408" s="46">
        <v>20240601</v>
      </c>
      <c r="E408" s="46">
        <v>2024</v>
      </c>
      <c r="F408" s="46">
        <v>6</v>
      </c>
      <c r="G408" s="46" t="s">
        <v>700</v>
      </c>
      <c r="H408" s="46">
        <v>818</v>
      </c>
      <c r="I408" s="46" t="s">
        <v>668</v>
      </c>
      <c r="J408" s="46" t="s">
        <v>57</v>
      </c>
      <c r="K408" s="46" t="s">
        <v>666</v>
      </c>
      <c r="L408" s="46" t="s">
        <v>669</v>
      </c>
      <c r="M408" s="46">
        <v>56</v>
      </c>
      <c r="N408" s="46" t="s">
        <v>696</v>
      </c>
      <c r="O408" s="46" t="s">
        <v>74</v>
      </c>
      <c r="P408" s="46">
        <v>0</v>
      </c>
      <c r="Q408" s="46" t="s">
        <v>670</v>
      </c>
      <c r="R408" s="46" t="s">
        <v>23</v>
      </c>
      <c r="S408" s="46" t="s">
        <v>671</v>
      </c>
      <c r="T408" s="46" t="s">
        <v>672</v>
      </c>
      <c r="U408" s="46" t="b">
        <v>1</v>
      </c>
      <c r="V408" s="46" t="s">
        <v>985</v>
      </c>
      <c r="W408" s="46" t="s">
        <v>984</v>
      </c>
      <c r="X408" s="46">
        <v>6</v>
      </c>
      <c r="Y408" s="46" t="b">
        <v>1</v>
      </c>
      <c r="Z408" s="46" t="s">
        <v>675</v>
      </c>
      <c r="AA408" s="46" t="s">
        <v>676</v>
      </c>
      <c r="AB408" s="46" t="s">
        <v>677</v>
      </c>
      <c r="AC408" s="46">
        <v>0</v>
      </c>
      <c r="AD408" s="46" t="s">
        <v>678</v>
      </c>
      <c r="AE408" s="46">
        <v>8</v>
      </c>
      <c r="AF408" s="46" t="s">
        <v>679</v>
      </c>
      <c r="AG408" s="46">
        <v>6555.8919999999998</v>
      </c>
      <c r="AH408" s="46" t="b">
        <v>1</v>
      </c>
      <c r="AI408" s="46">
        <v>-1</v>
      </c>
      <c r="AJ408" s="46" t="s">
        <v>680</v>
      </c>
      <c r="AK408" s="46">
        <v>0</v>
      </c>
      <c r="AL408" s="46" t="b">
        <v>0</v>
      </c>
      <c r="AM408" s="46">
        <v>6555.8919999999998</v>
      </c>
      <c r="AN408" s="46" t="b">
        <v>1</v>
      </c>
      <c r="AO408" s="46">
        <v>0</v>
      </c>
      <c r="AP408" s="46" t="b">
        <v>0</v>
      </c>
      <c r="AQ408" s="46">
        <v>30936.769</v>
      </c>
      <c r="AS408" s="46">
        <v>30936.769</v>
      </c>
      <c r="AT408" s="46">
        <v>6</v>
      </c>
      <c r="AU408" s="46" t="b">
        <v>1</v>
      </c>
      <c r="AV408" s="46" t="b">
        <v>0</v>
      </c>
    </row>
    <row r="409" spans="2:48">
      <c r="B409" s="46" t="s">
        <v>665</v>
      </c>
      <c r="C409" s="46" t="s">
        <v>666</v>
      </c>
      <c r="D409" s="46">
        <v>20240301</v>
      </c>
      <c r="E409" s="46">
        <v>2024</v>
      </c>
      <c r="F409" s="46">
        <v>3</v>
      </c>
      <c r="G409" s="46" t="s">
        <v>692</v>
      </c>
      <c r="H409" s="46">
        <v>818</v>
      </c>
      <c r="I409" s="46" t="s">
        <v>668</v>
      </c>
      <c r="J409" s="46" t="s">
        <v>57</v>
      </c>
      <c r="K409" s="46" t="s">
        <v>666</v>
      </c>
      <c r="L409" s="46" t="s">
        <v>669</v>
      </c>
      <c r="M409" s="46">
        <v>56</v>
      </c>
      <c r="N409" s="46" t="s">
        <v>696</v>
      </c>
      <c r="O409" s="46" t="s">
        <v>74</v>
      </c>
      <c r="P409" s="46">
        <v>0</v>
      </c>
      <c r="Q409" s="46" t="s">
        <v>670</v>
      </c>
      <c r="R409" s="46" t="s">
        <v>23</v>
      </c>
      <c r="S409" s="46" t="s">
        <v>671</v>
      </c>
      <c r="T409" s="46" t="s">
        <v>672</v>
      </c>
      <c r="U409" s="46" t="b">
        <v>1</v>
      </c>
      <c r="V409" s="46" t="s">
        <v>985</v>
      </c>
      <c r="W409" s="46" t="s">
        <v>984</v>
      </c>
      <c r="X409" s="46">
        <v>6</v>
      </c>
      <c r="Y409" s="46" t="b">
        <v>1</v>
      </c>
      <c r="Z409" s="46" t="s">
        <v>675</v>
      </c>
      <c r="AA409" s="46" t="s">
        <v>676</v>
      </c>
      <c r="AB409" s="46" t="s">
        <v>677</v>
      </c>
      <c r="AC409" s="46">
        <v>0</v>
      </c>
      <c r="AD409" s="46" t="s">
        <v>678</v>
      </c>
      <c r="AE409" s="46">
        <v>8</v>
      </c>
      <c r="AF409" s="46" t="s">
        <v>679</v>
      </c>
      <c r="AG409" s="46">
        <v>42985.737999999998</v>
      </c>
      <c r="AH409" s="46" t="b">
        <v>1</v>
      </c>
      <c r="AI409" s="46">
        <v>-1</v>
      </c>
      <c r="AJ409" s="46" t="s">
        <v>680</v>
      </c>
      <c r="AK409" s="46">
        <v>0</v>
      </c>
      <c r="AL409" s="46" t="b">
        <v>0</v>
      </c>
      <c r="AM409" s="46">
        <v>42985.737999999998</v>
      </c>
      <c r="AN409" s="46" t="b">
        <v>1</v>
      </c>
      <c r="AO409" s="46">
        <v>0</v>
      </c>
      <c r="AP409" s="46" t="b">
        <v>0</v>
      </c>
      <c r="AQ409" s="46">
        <v>202846.51800000001</v>
      </c>
      <c r="AS409" s="46">
        <v>202846.51800000001</v>
      </c>
      <c r="AT409" s="46">
        <v>6</v>
      </c>
      <c r="AU409" s="46" t="b">
        <v>1</v>
      </c>
      <c r="AV409" s="46" t="b">
        <v>0</v>
      </c>
    </row>
    <row r="410" spans="2:48">
      <c r="B410" s="46" t="s">
        <v>665</v>
      </c>
      <c r="C410" s="46" t="s">
        <v>666</v>
      </c>
      <c r="D410" s="46">
        <v>20240401</v>
      </c>
      <c r="E410" s="46">
        <v>2024</v>
      </c>
      <c r="F410" s="46">
        <v>4</v>
      </c>
      <c r="G410" s="46" t="s">
        <v>695</v>
      </c>
      <c r="H410" s="46">
        <v>818</v>
      </c>
      <c r="I410" s="46" t="s">
        <v>668</v>
      </c>
      <c r="J410" s="46" t="s">
        <v>57</v>
      </c>
      <c r="K410" s="46" t="s">
        <v>666</v>
      </c>
      <c r="L410" s="46" t="s">
        <v>669</v>
      </c>
      <c r="M410" s="46">
        <v>56</v>
      </c>
      <c r="N410" s="46" t="s">
        <v>696</v>
      </c>
      <c r="O410" s="46" t="s">
        <v>74</v>
      </c>
      <c r="P410" s="46">
        <v>0</v>
      </c>
      <c r="Q410" s="46" t="s">
        <v>670</v>
      </c>
      <c r="R410" s="46" t="s">
        <v>23</v>
      </c>
      <c r="S410" s="46" t="s">
        <v>671</v>
      </c>
      <c r="T410" s="46" t="s">
        <v>672</v>
      </c>
      <c r="U410" s="46" t="b">
        <v>1</v>
      </c>
      <c r="V410" s="46" t="s">
        <v>985</v>
      </c>
      <c r="W410" s="46" t="s">
        <v>984</v>
      </c>
      <c r="X410" s="46">
        <v>6</v>
      </c>
      <c r="Y410" s="46" t="b">
        <v>1</v>
      </c>
      <c r="Z410" s="46" t="s">
        <v>675</v>
      </c>
      <c r="AA410" s="46" t="s">
        <v>676</v>
      </c>
      <c r="AB410" s="46" t="s">
        <v>677</v>
      </c>
      <c r="AC410" s="46">
        <v>0</v>
      </c>
      <c r="AD410" s="46" t="s">
        <v>678</v>
      </c>
      <c r="AE410" s="46">
        <v>8</v>
      </c>
      <c r="AF410" s="46" t="s">
        <v>679</v>
      </c>
      <c r="AG410" s="46">
        <v>171650.815</v>
      </c>
      <c r="AH410" s="46" t="b">
        <v>1</v>
      </c>
      <c r="AI410" s="46">
        <v>-1</v>
      </c>
      <c r="AJ410" s="46" t="s">
        <v>680</v>
      </c>
      <c r="AK410" s="46">
        <v>0</v>
      </c>
      <c r="AL410" s="46" t="b">
        <v>0</v>
      </c>
      <c r="AM410" s="46">
        <v>171650.815</v>
      </c>
      <c r="AN410" s="46" t="b">
        <v>1</v>
      </c>
      <c r="AO410" s="46">
        <v>0</v>
      </c>
      <c r="AP410" s="46" t="b">
        <v>0</v>
      </c>
      <c r="AQ410" s="46">
        <v>810007.51</v>
      </c>
      <c r="AS410" s="46">
        <v>810007.51</v>
      </c>
      <c r="AT410" s="46">
        <v>6</v>
      </c>
      <c r="AU410" s="46" t="b">
        <v>1</v>
      </c>
      <c r="AV410" s="46" t="b">
        <v>0</v>
      </c>
    </row>
    <row r="411" spans="2:48">
      <c r="B411" s="46" t="s">
        <v>665</v>
      </c>
      <c r="C411" s="46" t="s">
        <v>666</v>
      </c>
      <c r="D411" s="46">
        <v>20240501</v>
      </c>
      <c r="E411" s="46">
        <v>2024</v>
      </c>
      <c r="F411" s="46">
        <v>5</v>
      </c>
      <c r="G411" s="46" t="s">
        <v>699</v>
      </c>
      <c r="H411" s="46">
        <v>818</v>
      </c>
      <c r="I411" s="46" t="s">
        <v>668</v>
      </c>
      <c r="J411" s="46" t="s">
        <v>57</v>
      </c>
      <c r="K411" s="46" t="s">
        <v>666</v>
      </c>
      <c r="L411" s="46" t="s">
        <v>669</v>
      </c>
      <c r="M411" s="46">
        <v>56</v>
      </c>
      <c r="N411" s="46" t="s">
        <v>696</v>
      </c>
      <c r="O411" s="46" t="s">
        <v>74</v>
      </c>
      <c r="P411" s="46">
        <v>0</v>
      </c>
      <c r="Q411" s="46" t="s">
        <v>670</v>
      </c>
      <c r="R411" s="46" t="s">
        <v>23</v>
      </c>
      <c r="S411" s="46" t="s">
        <v>671</v>
      </c>
      <c r="T411" s="46" t="s">
        <v>672</v>
      </c>
      <c r="U411" s="46" t="b">
        <v>1</v>
      </c>
      <c r="V411" s="46" t="s">
        <v>985</v>
      </c>
      <c r="W411" s="46" t="s">
        <v>984</v>
      </c>
      <c r="X411" s="46">
        <v>6</v>
      </c>
      <c r="Y411" s="46" t="b">
        <v>1</v>
      </c>
      <c r="Z411" s="46" t="s">
        <v>675</v>
      </c>
      <c r="AA411" s="46" t="s">
        <v>676</v>
      </c>
      <c r="AB411" s="46" t="s">
        <v>677</v>
      </c>
      <c r="AC411" s="46">
        <v>0</v>
      </c>
      <c r="AD411" s="46" t="s">
        <v>678</v>
      </c>
      <c r="AE411" s="46">
        <v>8</v>
      </c>
      <c r="AF411" s="46" t="s">
        <v>679</v>
      </c>
      <c r="AG411" s="46">
        <v>101528.02499999999</v>
      </c>
      <c r="AH411" s="46" t="b">
        <v>1</v>
      </c>
      <c r="AI411" s="46">
        <v>-1</v>
      </c>
      <c r="AJ411" s="46" t="s">
        <v>680</v>
      </c>
      <c r="AK411" s="46">
        <v>0</v>
      </c>
      <c r="AL411" s="46" t="b">
        <v>0</v>
      </c>
      <c r="AM411" s="46">
        <v>101528.02499999999</v>
      </c>
      <c r="AN411" s="46" t="b">
        <v>1</v>
      </c>
      <c r="AO411" s="46">
        <v>0</v>
      </c>
      <c r="AP411" s="46" t="b">
        <v>0</v>
      </c>
      <c r="AQ411" s="46">
        <v>479103.24300000002</v>
      </c>
      <c r="AS411" s="46">
        <v>479103.24300000002</v>
      </c>
      <c r="AT411" s="46">
        <v>6</v>
      </c>
      <c r="AU411" s="46" t="b">
        <v>1</v>
      </c>
      <c r="AV411" s="46" t="b">
        <v>0</v>
      </c>
    </row>
    <row r="412" spans="2:48">
      <c r="B412" s="46" t="s">
        <v>665</v>
      </c>
      <c r="C412" s="46" t="s">
        <v>666</v>
      </c>
      <c r="D412" s="46">
        <v>20240501</v>
      </c>
      <c r="E412" s="46">
        <v>2024</v>
      </c>
      <c r="F412" s="46">
        <v>5</v>
      </c>
      <c r="G412" s="46" t="s">
        <v>699</v>
      </c>
      <c r="H412" s="46">
        <v>818</v>
      </c>
      <c r="I412" s="46" t="s">
        <v>668</v>
      </c>
      <c r="J412" s="46" t="s">
        <v>57</v>
      </c>
      <c r="K412" s="46" t="s">
        <v>666</v>
      </c>
      <c r="L412" s="46" t="s">
        <v>669</v>
      </c>
      <c r="M412" s="46">
        <v>76</v>
      </c>
      <c r="N412" s="46" t="s">
        <v>987</v>
      </c>
      <c r="O412" s="46" t="s">
        <v>66</v>
      </c>
      <c r="P412" s="46">
        <v>0</v>
      </c>
      <c r="Q412" s="46" t="s">
        <v>670</v>
      </c>
      <c r="R412" s="46" t="s">
        <v>23</v>
      </c>
      <c r="S412" s="46" t="s">
        <v>671</v>
      </c>
      <c r="T412" s="46" t="s">
        <v>672</v>
      </c>
      <c r="U412" s="46" t="b">
        <v>1</v>
      </c>
      <c r="V412" s="46" t="s">
        <v>985</v>
      </c>
      <c r="W412" s="46" t="s">
        <v>984</v>
      </c>
      <c r="X412" s="46">
        <v>6</v>
      </c>
      <c r="Y412" s="46" t="b">
        <v>1</v>
      </c>
      <c r="Z412" s="46" t="s">
        <v>675</v>
      </c>
      <c r="AA412" s="46" t="s">
        <v>676</v>
      </c>
      <c r="AB412" s="46" t="s">
        <v>677</v>
      </c>
      <c r="AC412" s="46">
        <v>0</v>
      </c>
      <c r="AD412" s="46" t="s">
        <v>678</v>
      </c>
      <c r="AE412" s="46">
        <v>8</v>
      </c>
      <c r="AF412" s="46" t="s">
        <v>679</v>
      </c>
      <c r="AG412" s="46">
        <v>15075.089</v>
      </c>
      <c r="AH412" s="46" t="b">
        <v>1</v>
      </c>
      <c r="AI412" s="46">
        <v>-1</v>
      </c>
      <c r="AJ412" s="46" t="s">
        <v>680</v>
      </c>
      <c r="AK412" s="46">
        <v>0</v>
      </c>
      <c r="AL412" s="46" t="b">
        <v>0</v>
      </c>
      <c r="AM412" s="46">
        <v>15075.089</v>
      </c>
      <c r="AN412" s="46" t="b">
        <v>1</v>
      </c>
      <c r="AO412" s="46">
        <v>0</v>
      </c>
      <c r="AP412" s="46" t="b">
        <v>0</v>
      </c>
      <c r="AQ412" s="46">
        <v>71138.228000000003</v>
      </c>
      <c r="AS412" s="46">
        <v>71138.228000000003</v>
      </c>
      <c r="AT412" s="46">
        <v>6</v>
      </c>
      <c r="AU412" s="46" t="b">
        <v>1</v>
      </c>
      <c r="AV412" s="46" t="b">
        <v>0</v>
      </c>
    </row>
    <row r="413" spans="2:48">
      <c r="B413" s="46" t="s">
        <v>665</v>
      </c>
      <c r="C413" s="46" t="s">
        <v>666</v>
      </c>
      <c r="D413" s="46">
        <v>20240601</v>
      </c>
      <c r="E413" s="46">
        <v>2024</v>
      </c>
      <c r="F413" s="46">
        <v>6</v>
      </c>
      <c r="G413" s="46" t="s">
        <v>700</v>
      </c>
      <c r="H413" s="46">
        <v>818</v>
      </c>
      <c r="I413" s="46" t="s">
        <v>668</v>
      </c>
      <c r="J413" s="46" t="s">
        <v>57</v>
      </c>
      <c r="K413" s="46" t="s">
        <v>666</v>
      </c>
      <c r="L413" s="46" t="s">
        <v>669</v>
      </c>
      <c r="M413" s="46">
        <v>76</v>
      </c>
      <c r="N413" s="46" t="s">
        <v>987</v>
      </c>
      <c r="O413" s="46" t="s">
        <v>66</v>
      </c>
      <c r="P413" s="46">
        <v>0</v>
      </c>
      <c r="Q413" s="46" t="s">
        <v>670</v>
      </c>
      <c r="R413" s="46" t="s">
        <v>23</v>
      </c>
      <c r="S413" s="46" t="s">
        <v>671</v>
      </c>
      <c r="T413" s="46" t="s">
        <v>672</v>
      </c>
      <c r="U413" s="46" t="b">
        <v>1</v>
      </c>
      <c r="V413" s="46" t="s">
        <v>985</v>
      </c>
      <c r="W413" s="46" t="s">
        <v>984</v>
      </c>
      <c r="X413" s="46">
        <v>6</v>
      </c>
      <c r="Y413" s="46" t="b">
        <v>1</v>
      </c>
      <c r="Z413" s="46" t="s">
        <v>675</v>
      </c>
      <c r="AA413" s="46" t="s">
        <v>676</v>
      </c>
      <c r="AB413" s="46" t="s">
        <v>677</v>
      </c>
      <c r="AC413" s="46">
        <v>0</v>
      </c>
      <c r="AD413" s="46" t="s">
        <v>678</v>
      </c>
      <c r="AE413" s="46">
        <v>8</v>
      </c>
      <c r="AF413" s="46" t="s">
        <v>679</v>
      </c>
      <c r="AG413" s="46">
        <v>2190.4540000000002</v>
      </c>
      <c r="AH413" s="46" t="b">
        <v>1</v>
      </c>
      <c r="AI413" s="46">
        <v>-1</v>
      </c>
      <c r="AJ413" s="46" t="s">
        <v>680</v>
      </c>
      <c r="AK413" s="46">
        <v>0</v>
      </c>
      <c r="AL413" s="46" t="b">
        <v>0</v>
      </c>
      <c r="AM413" s="46">
        <v>2190.4540000000002</v>
      </c>
      <c r="AN413" s="46" t="b">
        <v>1</v>
      </c>
      <c r="AO413" s="46">
        <v>0</v>
      </c>
      <c r="AP413" s="46" t="b">
        <v>0</v>
      </c>
      <c r="AQ413" s="46">
        <v>10336.59</v>
      </c>
      <c r="AS413" s="46">
        <v>10336.59</v>
      </c>
      <c r="AT413" s="46">
        <v>6</v>
      </c>
      <c r="AU413" s="46" t="b">
        <v>1</v>
      </c>
      <c r="AV413" s="46" t="b">
        <v>0</v>
      </c>
    </row>
    <row r="414" spans="2:48">
      <c r="B414" s="46" t="s">
        <v>665</v>
      </c>
      <c r="C414" s="46" t="s">
        <v>666</v>
      </c>
      <c r="D414" s="46">
        <v>20240301</v>
      </c>
      <c r="E414" s="46">
        <v>2024</v>
      </c>
      <c r="F414" s="46">
        <v>3</v>
      </c>
      <c r="G414" s="46" t="s">
        <v>692</v>
      </c>
      <c r="H414" s="46">
        <v>818</v>
      </c>
      <c r="I414" s="46" t="s">
        <v>668</v>
      </c>
      <c r="J414" s="46" t="s">
        <v>57</v>
      </c>
      <c r="K414" s="46" t="s">
        <v>666</v>
      </c>
      <c r="L414" s="46" t="s">
        <v>669</v>
      </c>
      <c r="M414" s="46">
        <v>76</v>
      </c>
      <c r="N414" s="46" t="s">
        <v>987</v>
      </c>
      <c r="O414" s="46" t="s">
        <v>66</v>
      </c>
      <c r="P414" s="46">
        <v>0</v>
      </c>
      <c r="Q414" s="46" t="s">
        <v>670</v>
      </c>
      <c r="R414" s="46" t="s">
        <v>23</v>
      </c>
      <c r="S414" s="46" t="s">
        <v>671</v>
      </c>
      <c r="T414" s="46" t="s">
        <v>672</v>
      </c>
      <c r="U414" s="46" t="b">
        <v>1</v>
      </c>
      <c r="V414" s="46" t="s">
        <v>985</v>
      </c>
      <c r="W414" s="46" t="s">
        <v>984</v>
      </c>
      <c r="X414" s="46">
        <v>6</v>
      </c>
      <c r="Y414" s="46" t="b">
        <v>1</v>
      </c>
      <c r="Z414" s="46" t="s">
        <v>675</v>
      </c>
      <c r="AA414" s="46" t="s">
        <v>676</v>
      </c>
      <c r="AB414" s="46" t="s">
        <v>677</v>
      </c>
      <c r="AC414" s="46">
        <v>0</v>
      </c>
      <c r="AD414" s="46" t="s">
        <v>678</v>
      </c>
      <c r="AE414" s="46">
        <v>8</v>
      </c>
      <c r="AF414" s="46" t="s">
        <v>679</v>
      </c>
      <c r="AG414" s="46">
        <v>34779.576000000001</v>
      </c>
      <c r="AH414" s="46" t="b">
        <v>1</v>
      </c>
      <c r="AI414" s="46">
        <v>-1</v>
      </c>
      <c r="AJ414" s="46" t="s">
        <v>680</v>
      </c>
      <c r="AK414" s="46">
        <v>0</v>
      </c>
      <c r="AL414" s="46" t="b">
        <v>0</v>
      </c>
      <c r="AM414" s="46">
        <v>34779.576000000001</v>
      </c>
      <c r="AN414" s="46" t="b">
        <v>1</v>
      </c>
      <c r="AO414" s="46">
        <v>0</v>
      </c>
      <c r="AP414" s="46" t="b">
        <v>0</v>
      </c>
      <c r="AQ414" s="46">
        <v>164122.24600000001</v>
      </c>
      <c r="AS414" s="46">
        <v>164122.24600000001</v>
      </c>
      <c r="AT414" s="46">
        <v>6</v>
      </c>
      <c r="AU414" s="46" t="b">
        <v>1</v>
      </c>
      <c r="AV414" s="46" t="b">
        <v>0</v>
      </c>
    </row>
    <row r="415" spans="2:48">
      <c r="B415" s="46" t="s">
        <v>665</v>
      </c>
      <c r="C415" s="46" t="s">
        <v>666</v>
      </c>
      <c r="D415" s="46">
        <v>20240401</v>
      </c>
      <c r="E415" s="46">
        <v>2024</v>
      </c>
      <c r="F415" s="46">
        <v>4</v>
      </c>
      <c r="G415" s="46" t="s">
        <v>695</v>
      </c>
      <c r="H415" s="46">
        <v>818</v>
      </c>
      <c r="I415" s="46" t="s">
        <v>668</v>
      </c>
      <c r="J415" s="46" t="s">
        <v>57</v>
      </c>
      <c r="K415" s="46" t="s">
        <v>666</v>
      </c>
      <c r="L415" s="46" t="s">
        <v>669</v>
      </c>
      <c r="M415" s="46">
        <v>76</v>
      </c>
      <c r="N415" s="46" t="s">
        <v>987</v>
      </c>
      <c r="O415" s="46" t="s">
        <v>66</v>
      </c>
      <c r="P415" s="46">
        <v>0</v>
      </c>
      <c r="Q415" s="46" t="s">
        <v>670</v>
      </c>
      <c r="R415" s="46" t="s">
        <v>23</v>
      </c>
      <c r="S415" s="46" t="s">
        <v>671</v>
      </c>
      <c r="T415" s="46" t="s">
        <v>672</v>
      </c>
      <c r="U415" s="46" t="b">
        <v>1</v>
      </c>
      <c r="V415" s="46" t="s">
        <v>985</v>
      </c>
      <c r="W415" s="46" t="s">
        <v>984</v>
      </c>
      <c r="X415" s="46">
        <v>6</v>
      </c>
      <c r="Y415" s="46" t="b">
        <v>1</v>
      </c>
      <c r="Z415" s="46" t="s">
        <v>675</v>
      </c>
      <c r="AA415" s="46" t="s">
        <v>676</v>
      </c>
      <c r="AB415" s="46" t="s">
        <v>677</v>
      </c>
      <c r="AC415" s="46">
        <v>0</v>
      </c>
      <c r="AD415" s="46" t="s">
        <v>678</v>
      </c>
      <c r="AE415" s="46">
        <v>8</v>
      </c>
      <c r="AF415" s="46" t="s">
        <v>679</v>
      </c>
      <c r="AG415" s="46">
        <v>9117.2379999999994</v>
      </c>
      <c r="AH415" s="46" t="b">
        <v>1</v>
      </c>
      <c r="AI415" s="46">
        <v>-1</v>
      </c>
      <c r="AJ415" s="46" t="s">
        <v>680</v>
      </c>
      <c r="AK415" s="46">
        <v>0</v>
      </c>
      <c r="AL415" s="46" t="b">
        <v>0</v>
      </c>
      <c r="AM415" s="46">
        <v>9117.2379999999994</v>
      </c>
      <c r="AN415" s="46" t="b">
        <v>1</v>
      </c>
      <c r="AO415" s="46">
        <v>0</v>
      </c>
      <c r="AP415" s="46" t="b">
        <v>0</v>
      </c>
      <c r="AQ415" s="46">
        <v>43023.57</v>
      </c>
      <c r="AS415" s="46">
        <v>43023.57</v>
      </c>
      <c r="AT415" s="46">
        <v>6</v>
      </c>
      <c r="AU415" s="46" t="b">
        <v>1</v>
      </c>
      <c r="AV415" s="46" t="b">
        <v>0</v>
      </c>
    </row>
    <row r="416" spans="2:48">
      <c r="B416" s="46" t="s">
        <v>665</v>
      </c>
      <c r="C416" s="46" t="s">
        <v>666</v>
      </c>
      <c r="D416" s="46">
        <v>20240101</v>
      </c>
      <c r="E416" s="46">
        <v>2024</v>
      </c>
      <c r="F416" s="46">
        <v>1</v>
      </c>
      <c r="G416" s="46" t="s">
        <v>667</v>
      </c>
      <c r="H416" s="46">
        <v>818</v>
      </c>
      <c r="I416" s="46" t="s">
        <v>668</v>
      </c>
      <c r="J416" s="46" t="s">
        <v>57</v>
      </c>
      <c r="K416" s="46" t="s">
        <v>666</v>
      </c>
      <c r="L416" s="46" t="s">
        <v>669</v>
      </c>
      <c r="M416" s="46">
        <v>76</v>
      </c>
      <c r="N416" s="46" t="s">
        <v>987</v>
      </c>
      <c r="O416" s="46" t="s">
        <v>66</v>
      </c>
      <c r="P416" s="46">
        <v>0</v>
      </c>
      <c r="Q416" s="46" t="s">
        <v>670</v>
      </c>
      <c r="R416" s="46" t="s">
        <v>23</v>
      </c>
      <c r="S416" s="46" t="s">
        <v>671</v>
      </c>
      <c r="T416" s="46" t="s">
        <v>672</v>
      </c>
      <c r="U416" s="46" t="b">
        <v>1</v>
      </c>
      <c r="V416" s="46" t="s">
        <v>985</v>
      </c>
      <c r="W416" s="46" t="s">
        <v>984</v>
      </c>
      <c r="X416" s="46">
        <v>6</v>
      </c>
      <c r="Y416" s="46" t="b">
        <v>1</v>
      </c>
      <c r="Z416" s="46" t="s">
        <v>675</v>
      </c>
      <c r="AA416" s="46" t="s">
        <v>676</v>
      </c>
      <c r="AB416" s="46" t="s">
        <v>677</v>
      </c>
      <c r="AC416" s="46">
        <v>0</v>
      </c>
      <c r="AD416" s="46" t="s">
        <v>678</v>
      </c>
      <c r="AE416" s="46">
        <v>8</v>
      </c>
      <c r="AF416" s="46" t="s">
        <v>679</v>
      </c>
      <c r="AG416" s="46">
        <v>3801.9360000000001</v>
      </c>
      <c r="AH416" s="46" t="b">
        <v>1</v>
      </c>
      <c r="AI416" s="46">
        <v>-1</v>
      </c>
      <c r="AJ416" s="46" t="s">
        <v>680</v>
      </c>
      <c r="AK416" s="46">
        <v>0</v>
      </c>
      <c r="AL416" s="46" t="b">
        <v>0</v>
      </c>
      <c r="AM416" s="46">
        <v>3801.9360000000001</v>
      </c>
      <c r="AN416" s="46" t="b">
        <v>1</v>
      </c>
      <c r="AO416" s="46">
        <v>0</v>
      </c>
      <c r="AP416" s="46" t="b">
        <v>0</v>
      </c>
      <c r="AQ416" s="46">
        <v>17941.057000000001</v>
      </c>
      <c r="AS416" s="46">
        <v>17941.057000000001</v>
      </c>
      <c r="AT416" s="46">
        <v>6</v>
      </c>
      <c r="AU416" s="46" t="b">
        <v>1</v>
      </c>
      <c r="AV416" s="46" t="b">
        <v>0</v>
      </c>
    </row>
    <row r="417" spans="2:48">
      <c r="B417" s="46" t="s">
        <v>665</v>
      </c>
      <c r="C417" s="46" t="s">
        <v>666</v>
      </c>
      <c r="D417" s="46">
        <v>20240101</v>
      </c>
      <c r="E417" s="46">
        <v>2024</v>
      </c>
      <c r="F417" s="46">
        <v>1</v>
      </c>
      <c r="G417" s="46" t="s">
        <v>667</v>
      </c>
      <c r="H417" s="46">
        <v>818</v>
      </c>
      <c r="I417" s="46" t="s">
        <v>668</v>
      </c>
      <c r="J417" s="46" t="s">
        <v>57</v>
      </c>
      <c r="K417" s="46" t="s">
        <v>666</v>
      </c>
      <c r="L417" s="46" t="s">
        <v>669</v>
      </c>
      <c r="M417" s="46">
        <v>124</v>
      </c>
      <c r="N417" s="46" t="s">
        <v>1008</v>
      </c>
      <c r="O417" s="46" t="s">
        <v>70</v>
      </c>
      <c r="P417" s="46">
        <v>0</v>
      </c>
      <c r="Q417" s="46" t="s">
        <v>670</v>
      </c>
      <c r="R417" s="46" t="s">
        <v>23</v>
      </c>
      <c r="S417" s="46" t="s">
        <v>671</v>
      </c>
      <c r="T417" s="46" t="s">
        <v>672</v>
      </c>
      <c r="U417" s="46" t="b">
        <v>1</v>
      </c>
      <c r="V417" s="46" t="s">
        <v>985</v>
      </c>
      <c r="W417" s="46" t="s">
        <v>984</v>
      </c>
      <c r="X417" s="46">
        <v>6</v>
      </c>
      <c r="Y417" s="46" t="b">
        <v>1</v>
      </c>
      <c r="Z417" s="46" t="s">
        <v>675</v>
      </c>
      <c r="AA417" s="46" t="s">
        <v>676</v>
      </c>
      <c r="AB417" s="46" t="s">
        <v>677</v>
      </c>
      <c r="AC417" s="46">
        <v>0</v>
      </c>
      <c r="AD417" s="46" t="s">
        <v>678</v>
      </c>
      <c r="AE417" s="46">
        <v>8</v>
      </c>
      <c r="AF417" s="46" t="s">
        <v>679</v>
      </c>
      <c r="AG417" s="46">
        <v>39724.084000000003</v>
      </c>
      <c r="AH417" s="46" t="b">
        <v>1</v>
      </c>
      <c r="AI417" s="46">
        <v>-1</v>
      </c>
      <c r="AJ417" s="46" t="s">
        <v>680</v>
      </c>
      <c r="AK417" s="46">
        <v>0</v>
      </c>
      <c r="AL417" s="46" t="b">
        <v>0</v>
      </c>
      <c r="AM417" s="46">
        <v>39724.084000000003</v>
      </c>
      <c r="AN417" s="46" t="b">
        <v>1</v>
      </c>
      <c r="AO417" s="46">
        <v>0</v>
      </c>
      <c r="AP417" s="46" t="b">
        <v>0</v>
      </c>
      <c r="AQ417" s="46">
        <v>187455.016</v>
      </c>
      <c r="AS417" s="46">
        <v>187455.016</v>
      </c>
      <c r="AT417" s="46">
        <v>6</v>
      </c>
      <c r="AU417" s="46" t="b">
        <v>1</v>
      </c>
      <c r="AV417" s="46" t="b">
        <v>0</v>
      </c>
    </row>
    <row r="418" spans="2:48">
      <c r="B418" s="46" t="s">
        <v>665</v>
      </c>
      <c r="C418" s="46" t="s">
        <v>666</v>
      </c>
      <c r="D418" s="46">
        <v>20240601</v>
      </c>
      <c r="E418" s="46">
        <v>2024</v>
      </c>
      <c r="F418" s="46">
        <v>6</v>
      </c>
      <c r="G418" s="46" t="s">
        <v>700</v>
      </c>
      <c r="H418" s="46">
        <v>818</v>
      </c>
      <c r="I418" s="46" t="s">
        <v>668</v>
      </c>
      <c r="J418" s="46" t="s">
        <v>57</v>
      </c>
      <c r="K418" s="46" t="s">
        <v>666</v>
      </c>
      <c r="L418" s="46" t="s">
        <v>669</v>
      </c>
      <c r="M418" s="46">
        <v>124</v>
      </c>
      <c r="N418" s="46" t="s">
        <v>1008</v>
      </c>
      <c r="O418" s="46" t="s">
        <v>70</v>
      </c>
      <c r="P418" s="46">
        <v>0</v>
      </c>
      <c r="Q418" s="46" t="s">
        <v>670</v>
      </c>
      <c r="R418" s="46" t="s">
        <v>23</v>
      </c>
      <c r="S418" s="46" t="s">
        <v>671</v>
      </c>
      <c r="T418" s="46" t="s">
        <v>672</v>
      </c>
      <c r="U418" s="46" t="b">
        <v>1</v>
      </c>
      <c r="V418" s="46" t="s">
        <v>985</v>
      </c>
      <c r="W418" s="46" t="s">
        <v>984</v>
      </c>
      <c r="X418" s="46">
        <v>6</v>
      </c>
      <c r="Y418" s="46" t="b">
        <v>1</v>
      </c>
      <c r="Z418" s="46" t="s">
        <v>675</v>
      </c>
      <c r="AA418" s="46" t="s">
        <v>676</v>
      </c>
      <c r="AB418" s="46" t="s">
        <v>677</v>
      </c>
      <c r="AC418" s="46">
        <v>0</v>
      </c>
      <c r="AD418" s="46" t="s">
        <v>678</v>
      </c>
      <c r="AE418" s="46">
        <v>8</v>
      </c>
      <c r="AF418" s="46" t="s">
        <v>679</v>
      </c>
      <c r="AG418" s="46">
        <v>1870.5740000000001</v>
      </c>
      <c r="AH418" s="46" t="b">
        <v>1</v>
      </c>
      <c r="AI418" s="46">
        <v>-1</v>
      </c>
      <c r="AJ418" s="46" t="s">
        <v>680</v>
      </c>
      <c r="AK418" s="46">
        <v>0</v>
      </c>
      <c r="AL418" s="46" t="b">
        <v>0</v>
      </c>
      <c r="AM418" s="46">
        <v>1870.5740000000001</v>
      </c>
      <c r="AN418" s="46" t="b">
        <v>1</v>
      </c>
      <c r="AO418" s="46">
        <v>0</v>
      </c>
      <c r="AP418" s="46" t="b">
        <v>0</v>
      </c>
      <c r="AQ418" s="46">
        <v>8827.1029999999992</v>
      </c>
      <c r="AS418" s="46">
        <v>8827.1029999999992</v>
      </c>
      <c r="AT418" s="46">
        <v>6</v>
      </c>
      <c r="AU418" s="46" t="b">
        <v>1</v>
      </c>
      <c r="AV418" s="46" t="b">
        <v>0</v>
      </c>
    </row>
    <row r="419" spans="2:48">
      <c r="B419" s="46" t="s">
        <v>665</v>
      </c>
      <c r="C419" s="46" t="s">
        <v>666</v>
      </c>
      <c r="D419" s="46">
        <v>20240301</v>
      </c>
      <c r="E419" s="46">
        <v>2024</v>
      </c>
      <c r="F419" s="46">
        <v>3</v>
      </c>
      <c r="G419" s="46" t="s">
        <v>692</v>
      </c>
      <c r="H419" s="46">
        <v>818</v>
      </c>
      <c r="I419" s="46" t="s">
        <v>668</v>
      </c>
      <c r="J419" s="46" t="s">
        <v>57</v>
      </c>
      <c r="K419" s="46" t="s">
        <v>666</v>
      </c>
      <c r="L419" s="46" t="s">
        <v>669</v>
      </c>
      <c r="M419" s="46">
        <v>124</v>
      </c>
      <c r="N419" s="46" t="s">
        <v>1008</v>
      </c>
      <c r="O419" s="46" t="s">
        <v>70</v>
      </c>
      <c r="P419" s="46">
        <v>0</v>
      </c>
      <c r="Q419" s="46" t="s">
        <v>670</v>
      </c>
      <c r="R419" s="46" t="s">
        <v>23</v>
      </c>
      <c r="S419" s="46" t="s">
        <v>671</v>
      </c>
      <c r="T419" s="46" t="s">
        <v>672</v>
      </c>
      <c r="U419" s="46" t="b">
        <v>1</v>
      </c>
      <c r="V419" s="46" t="s">
        <v>985</v>
      </c>
      <c r="W419" s="46" t="s">
        <v>984</v>
      </c>
      <c r="X419" s="46">
        <v>6</v>
      </c>
      <c r="Y419" s="46" t="b">
        <v>1</v>
      </c>
      <c r="Z419" s="46" t="s">
        <v>675</v>
      </c>
      <c r="AA419" s="46" t="s">
        <v>676</v>
      </c>
      <c r="AB419" s="46" t="s">
        <v>677</v>
      </c>
      <c r="AC419" s="46">
        <v>0</v>
      </c>
      <c r="AD419" s="46" t="s">
        <v>678</v>
      </c>
      <c r="AE419" s="46">
        <v>8</v>
      </c>
      <c r="AF419" s="46" t="s">
        <v>679</v>
      </c>
      <c r="AG419" s="46">
        <v>275.92200000000003</v>
      </c>
      <c r="AH419" s="46" t="b">
        <v>1</v>
      </c>
      <c r="AI419" s="46">
        <v>-1</v>
      </c>
      <c r="AJ419" s="46" t="s">
        <v>680</v>
      </c>
      <c r="AK419" s="46">
        <v>0</v>
      </c>
      <c r="AL419" s="46" t="b">
        <v>0</v>
      </c>
      <c r="AM419" s="46">
        <v>275.92200000000003</v>
      </c>
      <c r="AN419" s="46" t="b">
        <v>1</v>
      </c>
      <c r="AO419" s="46">
        <v>0</v>
      </c>
      <c r="AP419" s="46" t="b">
        <v>0</v>
      </c>
      <c r="AQ419" s="46">
        <v>1302.0530000000001</v>
      </c>
      <c r="AS419" s="46">
        <v>1302.0530000000001</v>
      </c>
      <c r="AT419" s="46">
        <v>6</v>
      </c>
      <c r="AU419" s="46" t="b">
        <v>1</v>
      </c>
      <c r="AV419" s="46" t="b">
        <v>0</v>
      </c>
    </row>
    <row r="420" spans="2:48">
      <c r="B420" s="46" t="s">
        <v>665</v>
      </c>
      <c r="C420" s="46" t="s">
        <v>666</v>
      </c>
      <c r="D420" s="46">
        <v>20240401</v>
      </c>
      <c r="E420" s="46">
        <v>2024</v>
      </c>
      <c r="F420" s="46">
        <v>4</v>
      </c>
      <c r="G420" s="46" t="s">
        <v>695</v>
      </c>
      <c r="H420" s="46">
        <v>818</v>
      </c>
      <c r="I420" s="46" t="s">
        <v>668</v>
      </c>
      <c r="J420" s="46" t="s">
        <v>57</v>
      </c>
      <c r="K420" s="46" t="s">
        <v>666</v>
      </c>
      <c r="L420" s="46" t="s">
        <v>669</v>
      </c>
      <c r="M420" s="46">
        <v>124</v>
      </c>
      <c r="N420" s="46" t="s">
        <v>1008</v>
      </c>
      <c r="O420" s="46" t="s">
        <v>70</v>
      </c>
      <c r="P420" s="46">
        <v>0</v>
      </c>
      <c r="Q420" s="46" t="s">
        <v>670</v>
      </c>
      <c r="R420" s="46" t="s">
        <v>23</v>
      </c>
      <c r="S420" s="46" t="s">
        <v>671</v>
      </c>
      <c r="T420" s="46" t="s">
        <v>672</v>
      </c>
      <c r="U420" s="46" t="b">
        <v>1</v>
      </c>
      <c r="V420" s="46" t="s">
        <v>985</v>
      </c>
      <c r="W420" s="46" t="s">
        <v>984</v>
      </c>
      <c r="X420" s="46">
        <v>6</v>
      </c>
      <c r="Y420" s="46" t="b">
        <v>1</v>
      </c>
      <c r="Z420" s="46" t="s">
        <v>675</v>
      </c>
      <c r="AA420" s="46" t="s">
        <v>676</v>
      </c>
      <c r="AB420" s="46" t="s">
        <v>677</v>
      </c>
      <c r="AC420" s="46">
        <v>0</v>
      </c>
      <c r="AD420" s="46" t="s">
        <v>678</v>
      </c>
      <c r="AE420" s="46">
        <v>8</v>
      </c>
      <c r="AF420" s="46" t="s">
        <v>679</v>
      </c>
      <c r="AG420" s="46">
        <v>2924.498</v>
      </c>
      <c r="AH420" s="46" t="b">
        <v>1</v>
      </c>
      <c r="AI420" s="46">
        <v>-1</v>
      </c>
      <c r="AJ420" s="46" t="s">
        <v>680</v>
      </c>
      <c r="AK420" s="46">
        <v>0</v>
      </c>
      <c r="AL420" s="46" t="b">
        <v>0</v>
      </c>
      <c r="AM420" s="46">
        <v>2924.498</v>
      </c>
      <c r="AN420" s="46" t="b">
        <v>1</v>
      </c>
      <c r="AO420" s="46">
        <v>0</v>
      </c>
      <c r="AP420" s="46" t="b">
        <v>0</v>
      </c>
      <c r="AQ420" s="46">
        <v>13800.487999999999</v>
      </c>
      <c r="AS420" s="46">
        <v>13800.487999999999</v>
      </c>
      <c r="AT420" s="46">
        <v>6</v>
      </c>
      <c r="AU420" s="46" t="b">
        <v>1</v>
      </c>
      <c r="AV420" s="46" t="b">
        <v>0</v>
      </c>
    </row>
    <row r="421" spans="2:48">
      <c r="B421" s="46" t="s">
        <v>665</v>
      </c>
      <c r="C421" s="46" t="s">
        <v>666</v>
      </c>
      <c r="D421" s="46">
        <v>20240501</v>
      </c>
      <c r="E421" s="46">
        <v>2024</v>
      </c>
      <c r="F421" s="46">
        <v>5</v>
      </c>
      <c r="G421" s="46" t="s">
        <v>699</v>
      </c>
      <c r="H421" s="46">
        <v>818</v>
      </c>
      <c r="I421" s="46" t="s">
        <v>668</v>
      </c>
      <c r="J421" s="46" t="s">
        <v>57</v>
      </c>
      <c r="K421" s="46" t="s">
        <v>666</v>
      </c>
      <c r="L421" s="46" t="s">
        <v>669</v>
      </c>
      <c r="M421" s="46">
        <v>124</v>
      </c>
      <c r="N421" s="46" t="s">
        <v>1008</v>
      </c>
      <c r="O421" s="46" t="s">
        <v>70</v>
      </c>
      <c r="P421" s="46">
        <v>0</v>
      </c>
      <c r="Q421" s="46" t="s">
        <v>670</v>
      </c>
      <c r="R421" s="46" t="s">
        <v>23</v>
      </c>
      <c r="S421" s="46" t="s">
        <v>671</v>
      </c>
      <c r="T421" s="46" t="s">
        <v>672</v>
      </c>
      <c r="U421" s="46" t="b">
        <v>1</v>
      </c>
      <c r="V421" s="46" t="s">
        <v>985</v>
      </c>
      <c r="W421" s="46" t="s">
        <v>984</v>
      </c>
      <c r="X421" s="46">
        <v>6</v>
      </c>
      <c r="Y421" s="46" t="b">
        <v>1</v>
      </c>
      <c r="Z421" s="46" t="s">
        <v>675</v>
      </c>
      <c r="AA421" s="46" t="s">
        <v>676</v>
      </c>
      <c r="AB421" s="46" t="s">
        <v>677</v>
      </c>
      <c r="AC421" s="46">
        <v>0</v>
      </c>
      <c r="AD421" s="46" t="s">
        <v>678</v>
      </c>
      <c r="AE421" s="46">
        <v>8</v>
      </c>
      <c r="AF421" s="46" t="s">
        <v>679</v>
      </c>
      <c r="AG421" s="46">
        <v>664.83399999999995</v>
      </c>
      <c r="AH421" s="46" t="b">
        <v>1</v>
      </c>
      <c r="AI421" s="46">
        <v>-1</v>
      </c>
      <c r="AJ421" s="46" t="s">
        <v>680</v>
      </c>
      <c r="AK421" s="46">
        <v>0</v>
      </c>
      <c r="AL421" s="46" t="b">
        <v>0</v>
      </c>
      <c r="AM421" s="46">
        <v>664.83399999999995</v>
      </c>
      <c r="AN421" s="46" t="b">
        <v>1</v>
      </c>
      <c r="AO421" s="46">
        <v>0</v>
      </c>
      <c r="AP421" s="46" t="b">
        <v>0</v>
      </c>
      <c r="AQ421" s="46">
        <v>3137.3040000000001</v>
      </c>
      <c r="AS421" s="46">
        <v>3137.3040000000001</v>
      </c>
      <c r="AT421" s="46">
        <v>6</v>
      </c>
      <c r="AU421" s="46" t="b">
        <v>1</v>
      </c>
      <c r="AV421" s="46" t="b">
        <v>0</v>
      </c>
    </row>
    <row r="422" spans="2:48">
      <c r="B422" s="46" t="s">
        <v>665</v>
      </c>
      <c r="C422" s="46" t="s">
        <v>666</v>
      </c>
      <c r="D422" s="46">
        <v>20240201</v>
      </c>
      <c r="E422" s="46">
        <v>2024</v>
      </c>
      <c r="F422" s="46">
        <v>2</v>
      </c>
      <c r="G422" s="46" t="s">
        <v>687</v>
      </c>
      <c r="H422" s="46">
        <v>818</v>
      </c>
      <c r="I422" s="46" t="s">
        <v>668</v>
      </c>
      <c r="J422" s="46" t="s">
        <v>57</v>
      </c>
      <c r="K422" s="46" t="s">
        <v>666</v>
      </c>
      <c r="L422" s="46" t="s">
        <v>669</v>
      </c>
      <c r="M422" s="46">
        <v>156</v>
      </c>
      <c r="N422" s="46" t="s">
        <v>711</v>
      </c>
      <c r="O422" s="46" t="s">
        <v>29</v>
      </c>
      <c r="P422" s="46">
        <v>0</v>
      </c>
      <c r="Q422" s="46" t="s">
        <v>670</v>
      </c>
      <c r="R422" s="46" t="s">
        <v>23</v>
      </c>
      <c r="S422" s="46" t="s">
        <v>671</v>
      </c>
      <c r="T422" s="46" t="s">
        <v>672</v>
      </c>
      <c r="U422" s="46" t="b">
        <v>1</v>
      </c>
      <c r="V422" s="46" t="s">
        <v>985</v>
      </c>
      <c r="W422" s="46" t="s">
        <v>984</v>
      </c>
      <c r="X422" s="46">
        <v>6</v>
      </c>
      <c r="Y422" s="46" t="b">
        <v>1</v>
      </c>
      <c r="Z422" s="46" t="s">
        <v>675</v>
      </c>
      <c r="AA422" s="46" t="s">
        <v>676</v>
      </c>
      <c r="AB422" s="46" t="s">
        <v>677</v>
      </c>
      <c r="AC422" s="46">
        <v>0</v>
      </c>
      <c r="AD422" s="46" t="s">
        <v>678</v>
      </c>
      <c r="AE422" s="46">
        <v>8</v>
      </c>
      <c r="AF422" s="46" t="s">
        <v>679</v>
      </c>
      <c r="AG422" s="46">
        <v>736605.57</v>
      </c>
      <c r="AH422" s="46" t="b">
        <v>1</v>
      </c>
      <c r="AI422" s="46">
        <v>-1</v>
      </c>
      <c r="AJ422" s="46" t="s">
        <v>680</v>
      </c>
      <c r="AK422" s="46">
        <v>0</v>
      </c>
      <c r="AL422" s="46" t="b">
        <v>0</v>
      </c>
      <c r="AM422" s="46">
        <v>736605.57</v>
      </c>
      <c r="AN422" s="46" t="b">
        <v>1</v>
      </c>
      <c r="AO422" s="46">
        <v>0</v>
      </c>
      <c r="AP422" s="46" t="b">
        <v>0</v>
      </c>
      <c r="AQ422" s="46">
        <v>3475987.2349999999</v>
      </c>
      <c r="AS422" s="46">
        <v>3475987.2349999999</v>
      </c>
      <c r="AT422" s="46">
        <v>6</v>
      </c>
      <c r="AU422" s="46" t="b">
        <v>1</v>
      </c>
      <c r="AV422" s="46" t="b">
        <v>0</v>
      </c>
    </row>
    <row r="423" spans="2:48">
      <c r="B423" s="46" t="s">
        <v>665</v>
      </c>
      <c r="C423" s="46" t="s">
        <v>666</v>
      </c>
      <c r="D423" s="46">
        <v>20240601</v>
      </c>
      <c r="E423" s="46">
        <v>2024</v>
      </c>
      <c r="F423" s="46">
        <v>6</v>
      </c>
      <c r="G423" s="46" t="s">
        <v>700</v>
      </c>
      <c r="H423" s="46">
        <v>818</v>
      </c>
      <c r="I423" s="46" t="s">
        <v>668</v>
      </c>
      <c r="J423" s="46" t="s">
        <v>57</v>
      </c>
      <c r="K423" s="46" t="s">
        <v>666</v>
      </c>
      <c r="L423" s="46" t="s">
        <v>669</v>
      </c>
      <c r="M423" s="46">
        <v>156</v>
      </c>
      <c r="N423" s="46" t="s">
        <v>711</v>
      </c>
      <c r="O423" s="46" t="s">
        <v>29</v>
      </c>
      <c r="P423" s="46">
        <v>0</v>
      </c>
      <c r="Q423" s="46" t="s">
        <v>670</v>
      </c>
      <c r="R423" s="46" t="s">
        <v>23</v>
      </c>
      <c r="S423" s="46" t="s">
        <v>671</v>
      </c>
      <c r="T423" s="46" t="s">
        <v>672</v>
      </c>
      <c r="U423" s="46" t="b">
        <v>1</v>
      </c>
      <c r="V423" s="46" t="s">
        <v>985</v>
      </c>
      <c r="W423" s="46" t="s">
        <v>984</v>
      </c>
      <c r="X423" s="46">
        <v>6</v>
      </c>
      <c r="Y423" s="46" t="b">
        <v>1</v>
      </c>
      <c r="Z423" s="46" t="s">
        <v>675</v>
      </c>
      <c r="AA423" s="46" t="s">
        <v>676</v>
      </c>
      <c r="AB423" s="46" t="s">
        <v>677</v>
      </c>
      <c r="AC423" s="46">
        <v>0</v>
      </c>
      <c r="AD423" s="46" t="s">
        <v>678</v>
      </c>
      <c r="AE423" s="46">
        <v>8</v>
      </c>
      <c r="AF423" s="46" t="s">
        <v>679</v>
      </c>
      <c r="AG423" s="46">
        <v>510083.64399999997</v>
      </c>
      <c r="AH423" s="46" t="b">
        <v>1</v>
      </c>
      <c r="AI423" s="46">
        <v>-1</v>
      </c>
      <c r="AJ423" s="46" t="s">
        <v>680</v>
      </c>
      <c r="AK423" s="46">
        <v>0</v>
      </c>
      <c r="AL423" s="46" t="b">
        <v>0</v>
      </c>
      <c r="AM423" s="46">
        <v>510083.64399999997</v>
      </c>
      <c r="AN423" s="46" t="b">
        <v>1</v>
      </c>
      <c r="AO423" s="46">
        <v>0</v>
      </c>
      <c r="AP423" s="46" t="b">
        <v>0</v>
      </c>
      <c r="AQ423" s="46">
        <v>2407047.0120000001</v>
      </c>
      <c r="AS423" s="46">
        <v>2407047.0120000001</v>
      </c>
      <c r="AT423" s="46">
        <v>6</v>
      </c>
      <c r="AU423" s="46" t="b">
        <v>1</v>
      </c>
      <c r="AV423" s="46" t="b">
        <v>0</v>
      </c>
    </row>
    <row r="424" spans="2:48">
      <c r="B424" s="46" t="s">
        <v>665</v>
      </c>
      <c r="C424" s="46" t="s">
        <v>666</v>
      </c>
      <c r="D424" s="46">
        <v>20240401</v>
      </c>
      <c r="E424" s="46">
        <v>2024</v>
      </c>
      <c r="F424" s="46">
        <v>4</v>
      </c>
      <c r="G424" s="46" t="s">
        <v>695</v>
      </c>
      <c r="H424" s="46">
        <v>818</v>
      </c>
      <c r="I424" s="46" t="s">
        <v>668</v>
      </c>
      <c r="J424" s="46" t="s">
        <v>57</v>
      </c>
      <c r="K424" s="46" t="s">
        <v>666</v>
      </c>
      <c r="L424" s="46" t="s">
        <v>669</v>
      </c>
      <c r="M424" s="46">
        <v>156</v>
      </c>
      <c r="N424" s="46" t="s">
        <v>711</v>
      </c>
      <c r="O424" s="46" t="s">
        <v>29</v>
      </c>
      <c r="P424" s="46">
        <v>0</v>
      </c>
      <c r="Q424" s="46" t="s">
        <v>670</v>
      </c>
      <c r="R424" s="46" t="s">
        <v>23</v>
      </c>
      <c r="S424" s="46" t="s">
        <v>671</v>
      </c>
      <c r="T424" s="46" t="s">
        <v>672</v>
      </c>
      <c r="U424" s="46" t="b">
        <v>1</v>
      </c>
      <c r="V424" s="46" t="s">
        <v>985</v>
      </c>
      <c r="W424" s="46" t="s">
        <v>984</v>
      </c>
      <c r="X424" s="46">
        <v>6</v>
      </c>
      <c r="Y424" s="46" t="b">
        <v>1</v>
      </c>
      <c r="Z424" s="46" t="s">
        <v>675</v>
      </c>
      <c r="AA424" s="46" t="s">
        <v>676</v>
      </c>
      <c r="AB424" s="46" t="s">
        <v>677</v>
      </c>
      <c r="AC424" s="46">
        <v>0</v>
      </c>
      <c r="AD424" s="46" t="s">
        <v>678</v>
      </c>
      <c r="AE424" s="46">
        <v>8</v>
      </c>
      <c r="AF424" s="46" t="s">
        <v>679</v>
      </c>
      <c r="AG424" s="46">
        <v>492741.04100000003</v>
      </c>
      <c r="AH424" s="46" t="b">
        <v>1</v>
      </c>
      <c r="AI424" s="46">
        <v>-1</v>
      </c>
      <c r="AJ424" s="46" t="s">
        <v>680</v>
      </c>
      <c r="AK424" s="46">
        <v>0</v>
      </c>
      <c r="AL424" s="46" t="b">
        <v>0</v>
      </c>
      <c r="AM424" s="46">
        <v>492741.04100000003</v>
      </c>
      <c r="AN424" s="46" t="b">
        <v>1</v>
      </c>
      <c r="AO424" s="46">
        <v>0</v>
      </c>
      <c r="AP424" s="46" t="b">
        <v>0</v>
      </c>
      <c r="AQ424" s="46">
        <v>2325208.5490000001</v>
      </c>
      <c r="AS424" s="46">
        <v>2325208.5490000001</v>
      </c>
      <c r="AT424" s="46">
        <v>6</v>
      </c>
      <c r="AU424" s="46" t="b">
        <v>1</v>
      </c>
      <c r="AV424" s="46" t="b">
        <v>0</v>
      </c>
    </row>
    <row r="425" spans="2:48">
      <c r="B425" s="46" t="s">
        <v>665</v>
      </c>
      <c r="C425" s="46" t="s">
        <v>666</v>
      </c>
      <c r="D425" s="46">
        <v>20240501</v>
      </c>
      <c r="E425" s="46">
        <v>2024</v>
      </c>
      <c r="F425" s="46">
        <v>5</v>
      </c>
      <c r="G425" s="46" t="s">
        <v>699</v>
      </c>
      <c r="H425" s="46">
        <v>818</v>
      </c>
      <c r="I425" s="46" t="s">
        <v>668</v>
      </c>
      <c r="J425" s="46" t="s">
        <v>57</v>
      </c>
      <c r="K425" s="46" t="s">
        <v>666</v>
      </c>
      <c r="L425" s="46" t="s">
        <v>669</v>
      </c>
      <c r="M425" s="46">
        <v>156</v>
      </c>
      <c r="N425" s="46" t="s">
        <v>711</v>
      </c>
      <c r="O425" s="46" t="s">
        <v>29</v>
      </c>
      <c r="P425" s="46">
        <v>0</v>
      </c>
      <c r="Q425" s="46" t="s">
        <v>670</v>
      </c>
      <c r="R425" s="46" t="s">
        <v>23</v>
      </c>
      <c r="S425" s="46" t="s">
        <v>671</v>
      </c>
      <c r="T425" s="46" t="s">
        <v>672</v>
      </c>
      <c r="U425" s="46" t="b">
        <v>1</v>
      </c>
      <c r="V425" s="46" t="s">
        <v>985</v>
      </c>
      <c r="W425" s="46" t="s">
        <v>984</v>
      </c>
      <c r="X425" s="46">
        <v>6</v>
      </c>
      <c r="Y425" s="46" t="b">
        <v>1</v>
      </c>
      <c r="Z425" s="46" t="s">
        <v>675</v>
      </c>
      <c r="AA425" s="46" t="s">
        <v>676</v>
      </c>
      <c r="AB425" s="46" t="s">
        <v>677</v>
      </c>
      <c r="AC425" s="46">
        <v>0</v>
      </c>
      <c r="AD425" s="46" t="s">
        <v>678</v>
      </c>
      <c r="AE425" s="46">
        <v>8</v>
      </c>
      <c r="AF425" s="46" t="s">
        <v>679</v>
      </c>
      <c r="AG425" s="46">
        <v>825500.47400000005</v>
      </c>
      <c r="AH425" s="46" t="b">
        <v>1</v>
      </c>
      <c r="AI425" s="46">
        <v>-1</v>
      </c>
      <c r="AJ425" s="46" t="s">
        <v>680</v>
      </c>
      <c r="AK425" s="46">
        <v>0</v>
      </c>
      <c r="AL425" s="46" t="b">
        <v>0</v>
      </c>
      <c r="AM425" s="46">
        <v>825500.47400000005</v>
      </c>
      <c r="AN425" s="46" t="b">
        <v>1</v>
      </c>
      <c r="AO425" s="46">
        <v>0</v>
      </c>
      <c r="AP425" s="46" t="b">
        <v>0</v>
      </c>
      <c r="AQ425" s="46">
        <v>3895475.72</v>
      </c>
      <c r="AS425" s="46">
        <v>3895475.72</v>
      </c>
      <c r="AT425" s="46">
        <v>6</v>
      </c>
      <c r="AU425" s="46" t="b">
        <v>1</v>
      </c>
      <c r="AV425" s="46" t="b">
        <v>0</v>
      </c>
    </row>
    <row r="426" spans="2:48">
      <c r="B426" s="46" t="s">
        <v>665</v>
      </c>
      <c r="C426" s="46" t="s">
        <v>666</v>
      </c>
      <c r="D426" s="46">
        <v>20240301</v>
      </c>
      <c r="E426" s="46">
        <v>2024</v>
      </c>
      <c r="F426" s="46">
        <v>3</v>
      </c>
      <c r="G426" s="46" t="s">
        <v>692</v>
      </c>
      <c r="H426" s="46">
        <v>818</v>
      </c>
      <c r="I426" s="46" t="s">
        <v>668</v>
      </c>
      <c r="J426" s="46" t="s">
        <v>57</v>
      </c>
      <c r="K426" s="46" t="s">
        <v>666</v>
      </c>
      <c r="L426" s="46" t="s">
        <v>669</v>
      </c>
      <c r="M426" s="46">
        <v>156</v>
      </c>
      <c r="N426" s="46" t="s">
        <v>711</v>
      </c>
      <c r="O426" s="46" t="s">
        <v>29</v>
      </c>
      <c r="P426" s="46">
        <v>0</v>
      </c>
      <c r="Q426" s="46" t="s">
        <v>670</v>
      </c>
      <c r="R426" s="46" t="s">
        <v>23</v>
      </c>
      <c r="S426" s="46" t="s">
        <v>671</v>
      </c>
      <c r="T426" s="46" t="s">
        <v>672</v>
      </c>
      <c r="U426" s="46" t="b">
        <v>1</v>
      </c>
      <c r="V426" s="46" t="s">
        <v>985</v>
      </c>
      <c r="W426" s="46" t="s">
        <v>984</v>
      </c>
      <c r="X426" s="46">
        <v>6</v>
      </c>
      <c r="Y426" s="46" t="b">
        <v>1</v>
      </c>
      <c r="Z426" s="46" t="s">
        <v>675</v>
      </c>
      <c r="AA426" s="46" t="s">
        <v>676</v>
      </c>
      <c r="AB426" s="46" t="s">
        <v>677</v>
      </c>
      <c r="AC426" s="46">
        <v>0</v>
      </c>
      <c r="AD426" s="46" t="s">
        <v>678</v>
      </c>
      <c r="AE426" s="46">
        <v>8</v>
      </c>
      <c r="AF426" s="46" t="s">
        <v>679</v>
      </c>
      <c r="AG426" s="46">
        <v>693586.95</v>
      </c>
      <c r="AH426" s="46" t="b">
        <v>1</v>
      </c>
      <c r="AI426" s="46">
        <v>-1</v>
      </c>
      <c r="AJ426" s="46" t="s">
        <v>680</v>
      </c>
      <c r="AK426" s="46">
        <v>0</v>
      </c>
      <c r="AL426" s="46" t="b">
        <v>0</v>
      </c>
      <c r="AM426" s="46">
        <v>693586.95</v>
      </c>
      <c r="AN426" s="46" t="b">
        <v>1</v>
      </c>
      <c r="AO426" s="46">
        <v>0</v>
      </c>
      <c r="AP426" s="46" t="b">
        <v>0</v>
      </c>
      <c r="AQ426" s="46">
        <v>3272985.551</v>
      </c>
      <c r="AS426" s="46">
        <v>3272985.551</v>
      </c>
      <c r="AT426" s="46">
        <v>6</v>
      </c>
      <c r="AU426" s="46" t="b">
        <v>1</v>
      </c>
      <c r="AV426" s="46" t="b">
        <v>0</v>
      </c>
    </row>
    <row r="427" spans="2:48">
      <c r="B427" s="46" t="s">
        <v>665</v>
      </c>
      <c r="C427" s="46" t="s">
        <v>666</v>
      </c>
      <c r="D427" s="46">
        <v>20240101</v>
      </c>
      <c r="E427" s="46">
        <v>2024</v>
      </c>
      <c r="F427" s="46">
        <v>1</v>
      </c>
      <c r="G427" s="46" t="s">
        <v>667</v>
      </c>
      <c r="H427" s="46">
        <v>818</v>
      </c>
      <c r="I427" s="46" t="s">
        <v>668</v>
      </c>
      <c r="J427" s="46" t="s">
        <v>57</v>
      </c>
      <c r="K427" s="46" t="s">
        <v>666</v>
      </c>
      <c r="L427" s="46" t="s">
        <v>669</v>
      </c>
      <c r="M427" s="46">
        <v>208</v>
      </c>
      <c r="N427" s="46" t="s">
        <v>988</v>
      </c>
      <c r="O427" s="46" t="s">
        <v>72</v>
      </c>
      <c r="P427" s="46">
        <v>0</v>
      </c>
      <c r="Q427" s="46" t="s">
        <v>670</v>
      </c>
      <c r="R427" s="46" t="s">
        <v>23</v>
      </c>
      <c r="S427" s="46" t="s">
        <v>671</v>
      </c>
      <c r="T427" s="46" t="s">
        <v>672</v>
      </c>
      <c r="U427" s="46" t="b">
        <v>1</v>
      </c>
      <c r="V427" s="46" t="s">
        <v>985</v>
      </c>
      <c r="W427" s="46" t="s">
        <v>984</v>
      </c>
      <c r="X427" s="46">
        <v>6</v>
      </c>
      <c r="Y427" s="46" t="b">
        <v>1</v>
      </c>
      <c r="Z427" s="46" t="s">
        <v>675</v>
      </c>
      <c r="AA427" s="46" t="s">
        <v>676</v>
      </c>
      <c r="AB427" s="46" t="s">
        <v>677</v>
      </c>
      <c r="AC427" s="46">
        <v>0</v>
      </c>
      <c r="AD427" s="46" t="s">
        <v>678</v>
      </c>
      <c r="AE427" s="46">
        <v>8</v>
      </c>
      <c r="AF427" s="46" t="s">
        <v>679</v>
      </c>
      <c r="AG427" s="46">
        <v>15727.673000000001</v>
      </c>
      <c r="AH427" s="46" t="b">
        <v>1</v>
      </c>
      <c r="AI427" s="46">
        <v>-1</v>
      </c>
      <c r="AJ427" s="46" t="s">
        <v>680</v>
      </c>
      <c r="AK427" s="46">
        <v>0</v>
      </c>
      <c r="AL427" s="46" t="b">
        <v>0</v>
      </c>
      <c r="AM427" s="46">
        <v>15727.673000000001</v>
      </c>
      <c r="AN427" s="46" t="b">
        <v>1</v>
      </c>
      <c r="AO427" s="46">
        <v>0</v>
      </c>
      <c r="AP427" s="46" t="b">
        <v>0</v>
      </c>
      <c r="AQ427" s="46">
        <v>74217.725999999995</v>
      </c>
      <c r="AS427" s="46">
        <v>74217.725999999995</v>
      </c>
      <c r="AT427" s="46">
        <v>6</v>
      </c>
      <c r="AU427" s="46" t="b">
        <v>1</v>
      </c>
      <c r="AV427" s="46" t="b">
        <v>0</v>
      </c>
    </row>
    <row r="428" spans="2:48">
      <c r="B428" s="46" t="s">
        <v>665</v>
      </c>
      <c r="C428" s="46" t="s">
        <v>666</v>
      </c>
      <c r="D428" s="46">
        <v>20240601</v>
      </c>
      <c r="E428" s="46">
        <v>2024</v>
      </c>
      <c r="F428" s="46">
        <v>6</v>
      </c>
      <c r="G428" s="46" t="s">
        <v>700</v>
      </c>
      <c r="H428" s="46">
        <v>818</v>
      </c>
      <c r="I428" s="46" t="s">
        <v>668</v>
      </c>
      <c r="J428" s="46" t="s">
        <v>57</v>
      </c>
      <c r="K428" s="46" t="s">
        <v>666</v>
      </c>
      <c r="L428" s="46" t="s">
        <v>669</v>
      </c>
      <c r="M428" s="46">
        <v>208</v>
      </c>
      <c r="N428" s="46" t="s">
        <v>988</v>
      </c>
      <c r="O428" s="46" t="s">
        <v>72</v>
      </c>
      <c r="P428" s="46">
        <v>0</v>
      </c>
      <c r="Q428" s="46" t="s">
        <v>670</v>
      </c>
      <c r="R428" s="46" t="s">
        <v>23</v>
      </c>
      <c r="S428" s="46" t="s">
        <v>671</v>
      </c>
      <c r="T428" s="46" t="s">
        <v>672</v>
      </c>
      <c r="U428" s="46" t="b">
        <v>1</v>
      </c>
      <c r="V428" s="46" t="s">
        <v>985</v>
      </c>
      <c r="W428" s="46" t="s">
        <v>984</v>
      </c>
      <c r="X428" s="46">
        <v>6</v>
      </c>
      <c r="Y428" s="46" t="b">
        <v>1</v>
      </c>
      <c r="Z428" s="46" t="s">
        <v>675</v>
      </c>
      <c r="AA428" s="46" t="s">
        <v>676</v>
      </c>
      <c r="AB428" s="46" t="s">
        <v>677</v>
      </c>
      <c r="AC428" s="46">
        <v>0</v>
      </c>
      <c r="AD428" s="46" t="s">
        <v>678</v>
      </c>
      <c r="AE428" s="46">
        <v>8</v>
      </c>
      <c r="AF428" s="46" t="s">
        <v>679</v>
      </c>
      <c r="AG428" s="46">
        <v>12456.296</v>
      </c>
      <c r="AH428" s="46" t="b">
        <v>1</v>
      </c>
      <c r="AI428" s="46">
        <v>-1</v>
      </c>
      <c r="AJ428" s="46" t="s">
        <v>680</v>
      </c>
      <c r="AK428" s="46">
        <v>0</v>
      </c>
      <c r="AL428" s="46" t="b">
        <v>0</v>
      </c>
      <c r="AM428" s="46">
        <v>12456.296</v>
      </c>
      <c r="AN428" s="46" t="b">
        <v>1</v>
      </c>
      <c r="AO428" s="46">
        <v>0</v>
      </c>
      <c r="AP428" s="46" t="b">
        <v>0</v>
      </c>
      <c r="AQ428" s="46">
        <v>58780.34</v>
      </c>
      <c r="AS428" s="46">
        <v>58780.34</v>
      </c>
      <c r="AT428" s="46">
        <v>6</v>
      </c>
      <c r="AU428" s="46" t="b">
        <v>1</v>
      </c>
      <c r="AV428" s="46" t="b">
        <v>0</v>
      </c>
    </row>
    <row r="429" spans="2:48">
      <c r="B429" s="46" t="s">
        <v>665</v>
      </c>
      <c r="C429" s="46" t="s">
        <v>666</v>
      </c>
      <c r="D429" s="46">
        <v>20240401</v>
      </c>
      <c r="E429" s="46">
        <v>2024</v>
      </c>
      <c r="F429" s="46">
        <v>4</v>
      </c>
      <c r="G429" s="46" t="s">
        <v>695</v>
      </c>
      <c r="H429" s="46">
        <v>818</v>
      </c>
      <c r="I429" s="46" t="s">
        <v>668</v>
      </c>
      <c r="J429" s="46" t="s">
        <v>57</v>
      </c>
      <c r="K429" s="46" t="s">
        <v>666</v>
      </c>
      <c r="L429" s="46" t="s">
        <v>669</v>
      </c>
      <c r="M429" s="46">
        <v>208</v>
      </c>
      <c r="N429" s="46" t="s">
        <v>988</v>
      </c>
      <c r="O429" s="46" t="s">
        <v>72</v>
      </c>
      <c r="P429" s="46">
        <v>0</v>
      </c>
      <c r="Q429" s="46" t="s">
        <v>670</v>
      </c>
      <c r="R429" s="46" t="s">
        <v>23</v>
      </c>
      <c r="S429" s="46" t="s">
        <v>671</v>
      </c>
      <c r="T429" s="46" t="s">
        <v>672</v>
      </c>
      <c r="U429" s="46" t="b">
        <v>1</v>
      </c>
      <c r="V429" s="46" t="s">
        <v>985</v>
      </c>
      <c r="W429" s="46" t="s">
        <v>984</v>
      </c>
      <c r="X429" s="46">
        <v>6</v>
      </c>
      <c r="Y429" s="46" t="b">
        <v>1</v>
      </c>
      <c r="Z429" s="46" t="s">
        <v>675</v>
      </c>
      <c r="AA429" s="46" t="s">
        <v>676</v>
      </c>
      <c r="AB429" s="46" t="s">
        <v>677</v>
      </c>
      <c r="AC429" s="46">
        <v>0</v>
      </c>
      <c r="AD429" s="46" t="s">
        <v>678</v>
      </c>
      <c r="AE429" s="46">
        <v>8</v>
      </c>
      <c r="AF429" s="46" t="s">
        <v>679</v>
      </c>
      <c r="AG429" s="46">
        <v>8072.2539999999999</v>
      </c>
      <c r="AH429" s="46" t="b">
        <v>1</v>
      </c>
      <c r="AI429" s="46">
        <v>-1</v>
      </c>
      <c r="AJ429" s="46" t="s">
        <v>680</v>
      </c>
      <c r="AK429" s="46">
        <v>0</v>
      </c>
      <c r="AL429" s="46" t="b">
        <v>0</v>
      </c>
      <c r="AM429" s="46">
        <v>8072.2539999999999</v>
      </c>
      <c r="AN429" s="46" t="b">
        <v>1</v>
      </c>
      <c r="AO429" s="46">
        <v>0</v>
      </c>
      <c r="AP429" s="46" t="b">
        <v>0</v>
      </c>
      <c r="AQ429" s="46">
        <v>38092.372000000003</v>
      </c>
      <c r="AS429" s="46">
        <v>38092.372000000003</v>
      </c>
      <c r="AT429" s="46">
        <v>6</v>
      </c>
      <c r="AU429" s="46" t="b">
        <v>1</v>
      </c>
      <c r="AV429" s="46" t="b">
        <v>0</v>
      </c>
    </row>
    <row r="430" spans="2:48">
      <c r="B430" s="46" t="s">
        <v>665</v>
      </c>
      <c r="C430" s="46" t="s">
        <v>666</v>
      </c>
      <c r="D430" s="46">
        <v>20240501</v>
      </c>
      <c r="E430" s="46">
        <v>2024</v>
      </c>
      <c r="F430" s="46">
        <v>5</v>
      </c>
      <c r="G430" s="46" t="s">
        <v>699</v>
      </c>
      <c r="H430" s="46">
        <v>818</v>
      </c>
      <c r="I430" s="46" t="s">
        <v>668</v>
      </c>
      <c r="J430" s="46" t="s">
        <v>57</v>
      </c>
      <c r="K430" s="46" t="s">
        <v>666</v>
      </c>
      <c r="L430" s="46" t="s">
        <v>669</v>
      </c>
      <c r="M430" s="46">
        <v>208</v>
      </c>
      <c r="N430" s="46" t="s">
        <v>988</v>
      </c>
      <c r="O430" s="46" t="s">
        <v>72</v>
      </c>
      <c r="P430" s="46">
        <v>0</v>
      </c>
      <c r="Q430" s="46" t="s">
        <v>670</v>
      </c>
      <c r="R430" s="46" t="s">
        <v>23</v>
      </c>
      <c r="S430" s="46" t="s">
        <v>671</v>
      </c>
      <c r="T430" s="46" t="s">
        <v>672</v>
      </c>
      <c r="U430" s="46" t="b">
        <v>1</v>
      </c>
      <c r="V430" s="46" t="s">
        <v>985</v>
      </c>
      <c r="W430" s="46" t="s">
        <v>984</v>
      </c>
      <c r="X430" s="46">
        <v>6</v>
      </c>
      <c r="Y430" s="46" t="b">
        <v>1</v>
      </c>
      <c r="Z430" s="46" t="s">
        <v>675</v>
      </c>
      <c r="AA430" s="46" t="s">
        <v>676</v>
      </c>
      <c r="AB430" s="46" t="s">
        <v>677</v>
      </c>
      <c r="AC430" s="46">
        <v>0</v>
      </c>
      <c r="AD430" s="46" t="s">
        <v>678</v>
      </c>
      <c r="AE430" s="46">
        <v>8</v>
      </c>
      <c r="AF430" s="46" t="s">
        <v>679</v>
      </c>
      <c r="AG430" s="46">
        <v>73304.349000000002</v>
      </c>
      <c r="AH430" s="46" t="b">
        <v>1</v>
      </c>
      <c r="AI430" s="46">
        <v>-1</v>
      </c>
      <c r="AJ430" s="46" t="s">
        <v>680</v>
      </c>
      <c r="AK430" s="46">
        <v>0</v>
      </c>
      <c r="AL430" s="46" t="b">
        <v>0</v>
      </c>
      <c r="AM430" s="46">
        <v>73304.349000000002</v>
      </c>
      <c r="AN430" s="46" t="b">
        <v>1</v>
      </c>
      <c r="AO430" s="46">
        <v>0</v>
      </c>
      <c r="AP430" s="46" t="b">
        <v>0</v>
      </c>
      <c r="AQ430" s="46">
        <v>345917.80200000003</v>
      </c>
      <c r="AS430" s="46">
        <v>345917.80200000003</v>
      </c>
      <c r="AT430" s="46">
        <v>6</v>
      </c>
      <c r="AU430" s="46" t="b">
        <v>1</v>
      </c>
      <c r="AV430" s="46" t="b">
        <v>0</v>
      </c>
    </row>
    <row r="431" spans="2:48">
      <c r="B431" s="46" t="s">
        <v>665</v>
      </c>
      <c r="C431" s="46" t="s">
        <v>666</v>
      </c>
      <c r="D431" s="46">
        <v>20240301</v>
      </c>
      <c r="E431" s="46">
        <v>2024</v>
      </c>
      <c r="F431" s="46">
        <v>3</v>
      </c>
      <c r="G431" s="46" t="s">
        <v>692</v>
      </c>
      <c r="H431" s="46">
        <v>818</v>
      </c>
      <c r="I431" s="46" t="s">
        <v>668</v>
      </c>
      <c r="J431" s="46" t="s">
        <v>57</v>
      </c>
      <c r="K431" s="46" t="s">
        <v>666</v>
      </c>
      <c r="L431" s="46" t="s">
        <v>669</v>
      </c>
      <c r="M431" s="46">
        <v>208</v>
      </c>
      <c r="N431" s="46" t="s">
        <v>988</v>
      </c>
      <c r="O431" s="46" t="s">
        <v>72</v>
      </c>
      <c r="P431" s="46">
        <v>0</v>
      </c>
      <c r="Q431" s="46" t="s">
        <v>670</v>
      </c>
      <c r="R431" s="46" t="s">
        <v>23</v>
      </c>
      <c r="S431" s="46" t="s">
        <v>671</v>
      </c>
      <c r="T431" s="46" t="s">
        <v>672</v>
      </c>
      <c r="U431" s="46" t="b">
        <v>1</v>
      </c>
      <c r="V431" s="46" t="s">
        <v>985</v>
      </c>
      <c r="W431" s="46" t="s">
        <v>984</v>
      </c>
      <c r="X431" s="46">
        <v>6</v>
      </c>
      <c r="Y431" s="46" t="b">
        <v>1</v>
      </c>
      <c r="Z431" s="46" t="s">
        <v>675</v>
      </c>
      <c r="AA431" s="46" t="s">
        <v>676</v>
      </c>
      <c r="AB431" s="46" t="s">
        <v>677</v>
      </c>
      <c r="AC431" s="46">
        <v>0</v>
      </c>
      <c r="AD431" s="46" t="s">
        <v>678</v>
      </c>
      <c r="AE431" s="46">
        <v>8</v>
      </c>
      <c r="AF431" s="46" t="s">
        <v>679</v>
      </c>
      <c r="AG431" s="46">
        <v>78587.716</v>
      </c>
      <c r="AH431" s="46" t="b">
        <v>1</v>
      </c>
      <c r="AI431" s="46">
        <v>-1</v>
      </c>
      <c r="AJ431" s="46" t="s">
        <v>680</v>
      </c>
      <c r="AK431" s="46">
        <v>0</v>
      </c>
      <c r="AL431" s="46" t="b">
        <v>0</v>
      </c>
      <c r="AM431" s="46">
        <v>78587.716</v>
      </c>
      <c r="AN431" s="46" t="b">
        <v>1</v>
      </c>
      <c r="AO431" s="46">
        <v>0</v>
      </c>
      <c r="AP431" s="46" t="b">
        <v>0</v>
      </c>
      <c r="AQ431" s="46">
        <v>370849.625</v>
      </c>
      <c r="AS431" s="46">
        <v>370849.625</v>
      </c>
      <c r="AT431" s="46">
        <v>6</v>
      </c>
      <c r="AU431" s="46" t="b">
        <v>1</v>
      </c>
      <c r="AV431" s="46" t="b">
        <v>0</v>
      </c>
    </row>
    <row r="432" spans="2:48">
      <c r="B432" s="46" t="s">
        <v>665</v>
      </c>
      <c r="C432" s="46" t="s">
        <v>666</v>
      </c>
      <c r="D432" s="46">
        <v>20240201</v>
      </c>
      <c r="E432" s="46">
        <v>2024</v>
      </c>
      <c r="F432" s="46">
        <v>2</v>
      </c>
      <c r="G432" s="46" t="s">
        <v>687</v>
      </c>
      <c r="H432" s="46">
        <v>818</v>
      </c>
      <c r="I432" s="46" t="s">
        <v>668</v>
      </c>
      <c r="J432" s="46" t="s">
        <v>57</v>
      </c>
      <c r="K432" s="46" t="s">
        <v>666</v>
      </c>
      <c r="L432" s="46" t="s">
        <v>669</v>
      </c>
      <c r="M432" s="46">
        <v>246</v>
      </c>
      <c r="N432" s="46" t="s">
        <v>751</v>
      </c>
      <c r="O432" s="46" t="s">
        <v>73</v>
      </c>
      <c r="P432" s="46">
        <v>0</v>
      </c>
      <c r="Q432" s="46" t="s">
        <v>670</v>
      </c>
      <c r="R432" s="46" t="s">
        <v>23</v>
      </c>
      <c r="S432" s="46" t="s">
        <v>671</v>
      </c>
      <c r="T432" s="46" t="s">
        <v>672</v>
      </c>
      <c r="U432" s="46" t="b">
        <v>1</v>
      </c>
      <c r="V432" s="46" t="s">
        <v>985</v>
      </c>
      <c r="W432" s="46" t="s">
        <v>984</v>
      </c>
      <c r="X432" s="46">
        <v>6</v>
      </c>
      <c r="Y432" s="46" t="b">
        <v>1</v>
      </c>
      <c r="Z432" s="46" t="s">
        <v>675</v>
      </c>
      <c r="AA432" s="46" t="s">
        <v>676</v>
      </c>
      <c r="AB432" s="46" t="s">
        <v>677</v>
      </c>
      <c r="AC432" s="46">
        <v>0</v>
      </c>
      <c r="AD432" s="46" t="s">
        <v>678</v>
      </c>
      <c r="AE432" s="46">
        <v>8</v>
      </c>
      <c r="AF432" s="46" t="s">
        <v>679</v>
      </c>
      <c r="AG432" s="46">
        <v>266.80700000000002</v>
      </c>
      <c r="AH432" s="46" t="b">
        <v>1</v>
      </c>
      <c r="AI432" s="46">
        <v>-1</v>
      </c>
      <c r="AJ432" s="46" t="s">
        <v>680</v>
      </c>
      <c r="AK432" s="46">
        <v>0</v>
      </c>
      <c r="AL432" s="46" t="b">
        <v>0</v>
      </c>
      <c r="AM432" s="46">
        <v>266.80700000000002</v>
      </c>
      <c r="AN432" s="46" t="b">
        <v>1</v>
      </c>
      <c r="AO432" s="46">
        <v>0</v>
      </c>
      <c r="AP432" s="46" t="b">
        <v>0</v>
      </c>
      <c r="AQ432" s="46">
        <v>1259.0419999999999</v>
      </c>
      <c r="AS432" s="46">
        <v>1259.0419999999999</v>
      </c>
      <c r="AT432" s="46">
        <v>6</v>
      </c>
      <c r="AU432" s="46" t="b">
        <v>1</v>
      </c>
      <c r="AV432" s="46" t="b">
        <v>0</v>
      </c>
    </row>
    <row r="433" spans="2:48">
      <c r="B433" s="46" t="s">
        <v>665</v>
      </c>
      <c r="C433" s="46" t="s">
        <v>666</v>
      </c>
      <c r="D433" s="46">
        <v>20240101</v>
      </c>
      <c r="E433" s="46">
        <v>2024</v>
      </c>
      <c r="F433" s="46">
        <v>1</v>
      </c>
      <c r="G433" s="46" t="s">
        <v>667</v>
      </c>
      <c r="H433" s="46">
        <v>818</v>
      </c>
      <c r="I433" s="46" t="s">
        <v>668</v>
      </c>
      <c r="J433" s="46" t="s">
        <v>57</v>
      </c>
      <c r="K433" s="46" t="s">
        <v>666</v>
      </c>
      <c r="L433" s="46" t="s">
        <v>669</v>
      </c>
      <c r="M433" s="46">
        <v>251</v>
      </c>
      <c r="N433" s="46" t="s">
        <v>688</v>
      </c>
      <c r="O433" s="46" t="s">
        <v>69</v>
      </c>
      <c r="P433" s="46">
        <v>0</v>
      </c>
      <c r="Q433" s="46" t="s">
        <v>670</v>
      </c>
      <c r="R433" s="46" t="s">
        <v>23</v>
      </c>
      <c r="S433" s="46" t="s">
        <v>671</v>
      </c>
      <c r="T433" s="46" t="s">
        <v>672</v>
      </c>
      <c r="U433" s="46" t="b">
        <v>1</v>
      </c>
      <c r="V433" s="46" t="s">
        <v>985</v>
      </c>
      <c r="W433" s="46" t="s">
        <v>984</v>
      </c>
      <c r="X433" s="46">
        <v>6</v>
      </c>
      <c r="Y433" s="46" t="b">
        <v>1</v>
      </c>
      <c r="Z433" s="46" t="s">
        <v>675</v>
      </c>
      <c r="AA433" s="46" t="s">
        <v>676</v>
      </c>
      <c r="AB433" s="46" t="s">
        <v>677</v>
      </c>
      <c r="AC433" s="46">
        <v>0</v>
      </c>
      <c r="AD433" s="46" t="s">
        <v>678</v>
      </c>
      <c r="AE433" s="46">
        <v>8</v>
      </c>
      <c r="AF433" s="46" t="s">
        <v>679</v>
      </c>
      <c r="AG433" s="46">
        <v>287877.54300000001</v>
      </c>
      <c r="AH433" s="46" t="b">
        <v>1</v>
      </c>
      <c r="AI433" s="46">
        <v>-1</v>
      </c>
      <c r="AJ433" s="46" t="s">
        <v>680</v>
      </c>
      <c r="AK433" s="46">
        <v>0</v>
      </c>
      <c r="AL433" s="46" t="b">
        <v>0</v>
      </c>
      <c r="AM433" s="46">
        <v>287877.54300000001</v>
      </c>
      <c r="AN433" s="46" t="b">
        <v>1</v>
      </c>
      <c r="AO433" s="46">
        <v>0</v>
      </c>
      <c r="AP433" s="46" t="b">
        <v>0</v>
      </c>
      <c r="AQ433" s="46">
        <v>1358472.8470000001</v>
      </c>
      <c r="AS433" s="46">
        <v>1358472.8470000001</v>
      </c>
      <c r="AT433" s="46">
        <v>6</v>
      </c>
      <c r="AU433" s="46" t="b">
        <v>1</v>
      </c>
      <c r="AV433" s="46" t="b">
        <v>0</v>
      </c>
    </row>
    <row r="434" spans="2:48">
      <c r="B434" s="46" t="s">
        <v>665</v>
      </c>
      <c r="C434" s="46" t="s">
        <v>666</v>
      </c>
      <c r="D434" s="46">
        <v>20240601</v>
      </c>
      <c r="E434" s="46">
        <v>2024</v>
      </c>
      <c r="F434" s="46">
        <v>6</v>
      </c>
      <c r="G434" s="46" t="s">
        <v>700</v>
      </c>
      <c r="H434" s="46">
        <v>818</v>
      </c>
      <c r="I434" s="46" t="s">
        <v>668</v>
      </c>
      <c r="J434" s="46" t="s">
        <v>57</v>
      </c>
      <c r="K434" s="46" t="s">
        <v>666</v>
      </c>
      <c r="L434" s="46" t="s">
        <v>669</v>
      </c>
      <c r="M434" s="46">
        <v>251</v>
      </c>
      <c r="N434" s="46" t="s">
        <v>688</v>
      </c>
      <c r="O434" s="46" t="s">
        <v>69</v>
      </c>
      <c r="P434" s="46">
        <v>0</v>
      </c>
      <c r="Q434" s="46" t="s">
        <v>670</v>
      </c>
      <c r="R434" s="46" t="s">
        <v>23</v>
      </c>
      <c r="S434" s="46" t="s">
        <v>671</v>
      </c>
      <c r="T434" s="46" t="s">
        <v>672</v>
      </c>
      <c r="U434" s="46" t="b">
        <v>1</v>
      </c>
      <c r="V434" s="46" t="s">
        <v>985</v>
      </c>
      <c r="W434" s="46" t="s">
        <v>984</v>
      </c>
      <c r="X434" s="46">
        <v>6</v>
      </c>
      <c r="Y434" s="46" t="b">
        <v>1</v>
      </c>
      <c r="Z434" s="46" t="s">
        <v>675</v>
      </c>
      <c r="AA434" s="46" t="s">
        <v>676</v>
      </c>
      <c r="AB434" s="46" t="s">
        <v>677</v>
      </c>
      <c r="AC434" s="46">
        <v>0</v>
      </c>
      <c r="AD434" s="46" t="s">
        <v>678</v>
      </c>
      <c r="AE434" s="46">
        <v>8</v>
      </c>
      <c r="AF434" s="46" t="s">
        <v>679</v>
      </c>
      <c r="AG434" s="46">
        <v>73513.37</v>
      </c>
      <c r="AH434" s="46" t="b">
        <v>1</v>
      </c>
      <c r="AI434" s="46">
        <v>-1</v>
      </c>
      <c r="AJ434" s="46" t="s">
        <v>680</v>
      </c>
      <c r="AK434" s="46">
        <v>0</v>
      </c>
      <c r="AL434" s="46" t="b">
        <v>0</v>
      </c>
      <c r="AM434" s="46">
        <v>73513.37</v>
      </c>
      <c r="AN434" s="46" t="b">
        <v>1</v>
      </c>
      <c r="AO434" s="46">
        <v>0</v>
      </c>
      <c r="AP434" s="46" t="b">
        <v>0</v>
      </c>
      <c r="AQ434" s="46">
        <v>346904.16</v>
      </c>
      <c r="AS434" s="46">
        <v>346904.16</v>
      </c>
      <c r="AT434" s="46">
        <v>6</v>
      </c>
      <c r="AU434" s="46" t="b">
        <v>1</v>
      </c>
      <c r="AV434" s="46" t="b">
        <v>0</v>
      </c>
    </row>
    <row r="435" spans="2:48">
      <c r="B435" s="46" t="s">
        <v>665</v>
      </c>
      <c r="C435" s="46" t="s">
        <v>666</v>
      </c>
      <c r="D435" s="46">
        <v>20240401</v>
      </c>
      <c r="E435" s="46">
        <v>2024</v>
      </c>
      <c r="F435" s="46">
        <v>4</v>
      </c>
      <c r="G435" s="46" t="s">
        <v>695</v>
      </c>
      <c r="H435" s="46">
        <v>818</v>
      </c>
      <c r="I435" s="46" t="s">
        <v>668</v>
      </c>
      <c r="J435" s="46" t="s">
        <v>57</v>
      </c>
      <c r="K435" s="46" t="s">
        <v>666</v>
      </c>
      <c r="L435" s="46" t="s">
        <v>669</v>
      </c>
      <c r="M435" s="46">
        <v>251</v>
      </c>
      <c r="N435" s="46" t="s">
        <v>688</v>
      </c>
      <c r="O435" s="46" t="s">
        <v>69</v>
      </c>
      <c r="P435" s="46">
        <v>0</v>
      </c>
      <c r="Q435" s="46" t="s">
        <v>670</v>
      </c>
      <c r="R435" s="46" t="s">
        <v>23</v>
      </c>
      <c r="S435" s="46" t="s">
        <v>671</v>
      </c>
      <c r="T435" s="46" t="s">
        <v>672</v>
      </c>
      <c r="U435" s="46" t="b">
        <v>1</v>
      </c>
      <c r="V435" s="46" t="s">
        <v>985</v>
      </c>
      <c r="W435" s="46" t="s">
        <v>984</v>
      </c>
      <c r="X435" s="46">
        <v>6</v>
      </c>
      <c r="Y435" s="46" t="b">
        <v>1</v>
      </c>
      <c r="Z435" s="46" t="s">
        <v>675</v>
      </c>
      <c r="AA435" s="46" t="s">
        <v>676</v>
      </c>
      <c r="AB435" s="46" t="s">
        <v>677</v>
      </c>
      <c r="AC435" s="46">
        <v>0</v>
      </c>
      <c r="AD435" s="46" t="s">
        <v>678</v>
      </c>
      <c r="AE435" s="46">
        <v>8</v>
      </c>
      <c r="AF435" s="46" t="s">
        <v>679</v>
      </c>
      <c r="AG435" s="46">
        <v>178257.57399999999</v>
      </c>
      <c r="AH435" s="46" t="b">
        <v>1</v>
      </c>
      <c r="AI435" s="46">
        <v>-1</v>
      </c>
      <c r="AJ435" s="46" t="s">
        <v>680</v>
      </c>
      <c r="AK435" s="46">
        <v>0</v>
      </c>
      <c r="AL435" s="46" t="b">
        <v>0</v>
      </c>
      <c r="AM435" s="46">
        <v>178257.57399999999</v>
      </c>
      <c r="AN435" s="46" t="b">
        <v>1</v>
      </c>
      <c r="AO435" s="46">
        <v>0</v>
      </c>
      <c r="AP435" s="46" t="b">
        <v>0</v>
      </c>
      <c r="AQ435" s="46">
        <v>841184.31400000001</v>
      </c>
      <c r="AS435" s="46">
        <v>841184.31400000001</v>
      </c>
      <c r="AT435" s="46">
        <v>6</v>
      </c>
      <c r="AU435" s="46" t="b">
        <v>1</v>
      </c>
      <c r="AV435" s="46" t="b">
        <v>0</v>
      </c>
    </row>
    <row r="436" spans="2:48">
      <c r="B436" s="46" t="s">
        <v>665</v>
      </c>
      <c r="C436" s="46" t="s">
        <v>666</v>
      </c>
      <c r="D436" s="46">
        <v>20240501</v>
      </c>
      <c r="E436" s="46">
        <v>2024</v>
      </c>
      <c r="F436" s="46">
        <v>5</v>
      </c>
      <c r="G436" s="46" t="s">
        <v>699</v>
      </c>
      <c r="H436" s="46">
        <v>818</v>
      </c>
      <c r="I436" s="46" t="s">
        <v>668</v>
      </c>
      <c r="J436" s="46" t="s">
        <v>57</v>
      </c>
      <c r="K436" s="46" t="s">
        <v>666</v>
      </c>
      <c r="L436" s="46" t="s">
        <v>669</v>
      </c>
      <c r="M436" s="46">
        <v>251</v>
      </c>
      <c r="N436" s="46" t="s">
        <v>688</v>
      </c>
      <c r="O436" s="46" t="s">
        <v>69</v>
      </c>
      <c r="P436" s="46">
        <v>0</v>
      </c>
      <c r="Q436" s="46" t="s">
        <v>670</v>
      </c>
      <c r="R436" s="46" t="s">
        <v>23</v>
      </c>
      <c r="S436" s="46" t="s">
        <v>671</v>
      </c>
      <c r="T436" s="46" t="s">
        <v>672</v>
      </c>
      <c r="U436" s="46" t="b">
        <v>1</v>
      </c>
      <c r="V436" s="46" t="s">
        <v>985</v>
      </c>
      <c r="W436" s="46" t="s">
        <v>984</v>
      </c>
      <c r="X436" s="46">
        <v>6</v>
      </c>
      <c r="Y436" s="46" t="b">
        <v>1</v>
      </c>
      <c r="Z436" s="46" t="s">
        <v>675</v>
      </c>
      <c r="AA436" s="46" t="s">
        <v>676</v>
      </c>
      <c r="AB436" s="46" t="s">
        <v>677</v>
      </c>
      <c r="AC436" s="46">
        <v>0</v>
      </c>
      <c r="AD436" s="46" t="s">
        <v>678</v>
      </c>
      <c r="AE436" s="46">
        <v>8</v>
      </c>
      <c r="AF436" s="46" t="s">
        <v>679</v>
      </c>
      <c r="AG436" s="46">
        <v>176224.40299999999</v>
      </c>
      <c r="AH436" s="46" t="b">
        <v>1</v>
      </c>
      <c r="AI436" s="46">
        <v>-1</v>
      </c>
      <c r="AJ436" s="46" t="s">
        <v>680</v>
      </c>
      <c r="AK436" s="46">
        <v>0</v>
      </c>
      <c r="AL436" s="46" t="b">
        <v>0</v>
      </c>
      <c r="AM436" s="46">
        <v>176224.40299999999</v>
      </c>
      <c r="AN436" s="46" t="b">
        <v>1</v>
      </c>
      <c r="AO436" s="46">
        <v>0</v>
      </c>
      <c r="AP436" s="46" t="b">
        <v>0</v>
      </c>
      <c r="AQ436" s="46">
        <v>831589.93400000001</v>
      </c>
      <c r="AS436" s="46">
        <v>831589.93400000001</v>
      </c>
      <c r="AT436" s="46">
        <v>6</v>
      </c>
      <c r="AU436" s="46" t="b">
        <v>1</v>
      </c>
      <c r="AV436" s="46" t="b">
        <v>0</v>
      </c>
    </row>
    <row r="437" spans="2:48">
      <c r="B437" s="46" t="s">
        <v>665</v>
      </c>
      <c r="C437" s="46" t="s">
        <v>666</v>
      </c>
      <c r="D437" s="46">
        <v>20240301</v>
      </c>
      <c r="E437" s="46">
        <v>2024</v>
      </c>
      <c r="F437" s="46">
        <v>3</v>
      </c>
      <c r="G437" s="46" t="s">
        <v>692</v>
      </c>
      <c r="H437" s="46">
        <v>818</v>
      </c>
      <c r="I437" s="46" t="s">
        <v>668</v>
      </c>
      <c r="J437" s="46" t="s">
        <v>57</v>
      </c>
      <c r="K437" s="46" t="s">
        <v>666</v>
      </c>
      <c r="L437" s="46" t="s">
        <v>669</v>
      </c>
      <c r="M437" s="46">
        <v>251</v>
      </c>
      <c r="N437" s="46" t="s">
        <v>688</v>
      </c>
      <c r="O437" s="46" t="s">
        <v>69</v>
      </c>
      <c r="P437" s="46">
        <v>0</v>
      </c>
      <c r="Q437" s="46" t="s">
        <v>670</v>
      </c>
      <c r="R437" s="46" t="s">
        <v>23</v>
      </c>
      <c r="S437" s="46" t="s">
        <v>671</v>
      </c>
      <c r="T437" s="46" t="s">
        <v>672</v>
      </c>
      <c r="U437" s="46" t="b">
        <v>1</v>
      </c>
      <c r="V437" s="46" t="s">
        <v>985</v>
      </c>
      <c r="W437" s="46" t="s">
        <v>984</v>
      </c>
      <c r="X437" s="46">
        <v>6</v>
      </c>
      <c r="Y437" s="46" t="b">
        <v>1</v>
      </c>
      <c r="Z437" s="46" t="s">
        <v>675</v>
      </c>
      <c r="AA437" s="46" t="s">
        <v>676</v>
      </c>
      <c r="AB437" s="46" t="s">
        <v>677</v>
      </c>
      <c r="AC437" s="46">
        <v>0</v>
      </c>
      <c r="AD437" s="46" t="s">
        <v>678</v>
      </c>
      <c r="AE437" s="46">
        <v>8</v>
      </c>
      <c r="AF437" s="46" t="s">
        <v>679</v>
      </c>
      <c r="AG437" s="46">
        <v>111585.20699999999</v>
      </c>
      <c r="AH437" s="46" t="b">
        <v>1</v>
      </c>
      <c r="AI437" s="46">
        <v>-1</v>
      </c>
      <c r="AJ437" s="46" t="s">
        <v>680</v>
      </c>
      <c r="AK437" s="46">
        <v>0</v>
      </c>
      <c r="AL437" s="46" t="b">
        <v>0</v>
      </c>
      <c r="AM437" s="46">
        <v>111585.20699999999</v>
      </c>
      <c r="AN437" s="46" t="b">
        <v>1</v>
      </c>
      <c r="AO437" s="46">
        <v>0</v>
      </c>
      <c r="AP437" s="46" t="b">
        <v>0</v>
      </c>
      <c r="AQ437" s="46">
        <v>526562.34600000002</v>
      </c>
      <c r="AS437" s="46">
        <v>526562.34600000002</v>
      </c>
      <c r="AT437" s="46">
        <v>6</v>
      </c>
      <c r="AU437" s="46" t="b">
        <v>1</v>
      </c>
      <c r="AV437" s="46" t="b">
        <v>0</v>
      </c>
    </row>
    <row r="438" spans="2:48">
      <c r="B438" s="46" t="s">
        <v>665</v>
      </c>
      <c r="C438" s="46" t="s">
        <v>666</v>
      </c>
      <c r="D438" s="46">
        <v>20240201</v>
      </c>
      <c r="E438" s="46">
        <v>2024</v>
      </c>
      <c r="F438" s="46">
        <v>2</v>
      </c>
      <c r="G438" s="46" t="s">
        <v>687</v>
      </c>
      <c r="H438" s="46">
        <v>818</v>
      </c>
      <c r="I438" s="46" t="s">
        <v>668</v>
      </c>
      <c r="J438" s="46" t="s">
        <v>57</v>
      </c>
      <c r="K438" s="46" t="s">
        <v>666</v>
      </c>
      <c r="L438" s="46" t="s">
        <v>669</v>
      </c>
      <c r="M438" s="46">
        <v>268</v>
      </c>
      <c r="N438" s="46" t="s">
        <v>1009</v>
      </c>
      <c r="O438" s="46" t="s">
        <v>196</v>
      </c>
      <c r="P438" s="46">
        <v>0</v>
      </c>
      <c r="Q438" s="46" t="s">
        <v>670</v>
      </c>
      <c r="R438" s="46" t="s">
        <v>23</v>
      </c>
      <c r="S438" s="46" t="s">
        <v>671</v>
      </c>
      <c r="T438" s="46" t="s">
        <v>672</v>
      </c>
      <c r="U438" s="46" t="b">
        <v>1</v>
      </c>
      <c r="V438" s="46" t="s">
        <v>985</v>
      </c>
      <c r="W438" s="46" t="s">
        <v>984</v>
      </c>
      <c r="X438" s="46">
        <v>6</v>
      </c>
      <c r="Y438" s="46" t="b">
        <v>1</v>
      </c>
      <c r="Z438" s="46" t="s">
        <v>675</v>
      </c>
      <c r="AA438" s="46" t="s">
        <v>676</v>
      </c>
      <c r="AB438" s="46" t="s">
        <v>677</v>
      </c>
      <c r="AC438" s="46">
        <v>0</v>
      </c>
      <c r="AD438" s="46" t="s">
        <v>678</v>
      </c>
      <c r="AE438" s="46">
        <v>8</v>
      </c>
      <c r="AF438" s="46" t="s">
        <v>679</v>
      </c>
      <c r="AG438" s="46">
        <v>4600.6490000000003</v>
      </c>
      <c r="AH438" s="46" t="b">
        <v>1</v>
      </c>
      <c r="AI438" s="46">
        <v>-1</v>
      </c>
      <c r="AJ438" s="46" t="s">
        <v>680</v>
      </c>
      <c r="AK438" s="46">
        <v>0</v>
      </c>
      <c r="AL438" s="46" t="b">
        <v>0</v>
      </c>
      <c r="AM438" s="46">
        <v>4600.6490000000003</v>
      </c>
      <c r="AN438" s="46" t="b">
        <v>1</v>
      </c>
      <c r="AO438" s="46">
        <v>0</v>
      </c>
      <c r="AP438" s="46" t="b">
        <v>0</v>
      </c>
      <c r="AQ438" s="46">
        <v>21710.123</v>
      </c>
      <c r="AS438" s="46">
        <v>21710.123</v>
      </c>
      <c r="AT438" s="46">
        <v>6</v>
      </c>
      <c r="AU438" s="46" t="b">
        <v>1</v>
      </c>
      <c r="AV438" s="46" t="b">
        <v>0</v>
      </c>
    </row>
    <row r="439" spans="2:48">
      <c r="B439" s="46" t="s">
        <v>665</v>
      </c>
      <c r="C439" s="46" t="s">
        <v>666</v>
      </c>
      <c r="D439" s="46">
        <v>20240101</v>
      </c>
      <c r="E439" s="46">
        <v>2024</v>
      </c>
      <c r="F439" s="46">
        <v>1</v>
      </c>
      <c r="G439" s="46" t="s">
        <v>667</v>
      </c>
      <c r="H439" s="46">
        <v>818</v>
      </c>
      <c r="I439" s="46" t="s">
        <v>668</v>
      </c>
      <c r="J439" s="46" t="s">
        <v>57</v>
      </c>
      <c r="K439" s="46" t="s">
        <v>666</v>
      </c>
      <c r="L439" s="46" t="s">
        <v>669</v>
      </c>
      <c r="M439" s="46">
        <v>276</v>
      </c>
      <c r="N439" s="46" t="s">
        <v>681</v>
      </c>
      <c r="O439" s="46" t="s">
        <v>30</v>
      </c>
      <c r="P439" s="46">
        <v>0</v>
      </c>
      <c r="Q439" s="46" t="s">
        <v>670</v>
      </c>
      <c r="R439" s="46" t="s">
        <v>23</v>
      </c>
      <c r="S439" s="46" t="s">
        <v>671</v>
      </c>
      <c r="T439" s="46" t="s">
        <v>672</v>
      </c>
      <c r="U439" s="46" t="b">
        <v>1</v>
      </c>
      <c r="V439" s="46" t="s">
        <v>985</v>
      </c>
      <c r="W439" s="46" t="s">
        <v>984</v>
      </c>
      <c r="X439" s="46">
        <v>6</v>
      </c>
      <c r="Y439" s="46" t="b">
        <v>1</v>
      </c>
      <c r="Z439" s="46" t="s">
        <v>675</v>
      </c>
      <c r="AA439" s="46" t="s">
        <v>676</v>
      </c>
      <c r="AB439" s="46" t="s">
        <v>677</v>
      </c>
      <c r="AC439" s="46">
        <v>0</v>
      </c>
      <c r="AD439" s="46" t="s">
        <v>678</v>
      </c>
      <c r="AE439" s="46">
        <v>8</v>
      </c>
      <c r="AF439" s="46" t="s">
        <v>679</v>
      </c>
      <c r="AG439" s="46">
        <v>445570.99599999998</v>
      </c>
      <c r="AH439" s="46" t="b">
        <v>1</v>
      </c>
      <c r="AI439" s="46">
        <v>-1</v>
      </c>
      <c r="AJ439" s="46" t="s">
        <v>680</v>
      </c>
      <c r="AK439" s="46">
        <v>0</v>
      </c>
      <c r="AL439" s="46" t="b">
        <v>0</v>
      </c>
      <c r="AM439" s="46">
        <v>445570.99599999998</v>
      </c>
      <c r="AN439" s="46" t="b">
        <v>1</v>
      </c>
      <c r="AO439" s="46">
        <v>0</v>
      </c>
      <c r="AP439" s="46" t="b">
        <v>0</v>
      </c>
      <c r="AQ439" s="46">
        <v>2102616.5950000002</v>
      </c>
      <c r="AS439" s="46">
        <v>2102616.5950000002</v>
      </c>
      <c r="AT439" s="46">
        <v>6</v>
      </c>
      <c r="AU439" s="46" t="b">
        <v>1</v>
      </c>
      <c r="AV439" s="46" t="b">
        <v>0</v>
      </c>
    </row>
    <row r="440" spans="2:48">
      <c r="B440" s="46" t="s">
        <v>665</v>
      </c>
      <c r="C440" s="46" t="s">
        <v>666</v>
      </c>
      <c r="D440" s="46">
        <v>20240601</v>
      </c>
      <c r="E440" s="46">
        <v>2024</v>
      </c>
      <c r="F440" s="46">
        <v>6</v>
      </c>
      <c r="G440" s="46" t="s">
        <v>700</v>
      </c>
      <c r="H440" s="46">
        <v>818</v>
      </c>
      <c r="I440" s="46" t="s">
        <v>668</v>
      </c>
      <c r="J440" s="46" t="s">
        <v>57</v>
      </c>
      <c r="K440" s="46" t="s">
        <v>666</v>
      </c>
      <c r="L440" s="46" t="s">
        <v>669</v>
      </c>
      <c r="M440" s="46">
        <v>276</v>
      </c>
      <c r="N440" s="46" t="s">
        <v>681</v>
      </c>
      <c r="O440" s="46" t="s">
        <v>30</v>
      </c>
      <c r="P440" s="46">
        <v>0</v>
      </c>
      <c r="Q440" s="46" t="s">
        <v>670</v>
      </c>
      <c r="R440" s="46" t="s">
        <v>23</v>
      </c>
      <c r="S440" s="46" t="s">
        <v>671</v>
      </c>
      <c r="T440" s="46" t="s">
        <v>672</v>
      </c>
      <c r="U440" s="46" t="b">
        <v>1</v>
      </c>
      <c r="V440" s="46" t="s">
        <v>985</v>
      </c>
      <c r="W440" s="46" t="s">
        <v>984</v>
      </c>
      <c r="X440" s="46">
        <v>6</v>
      </c>
      <c r="Y440" s="46" t="b">
        <v>1</v>
      </c>
      <c r="Z440" s="46" t="s">
        <v>675</v>
      </c>
      <c r="AA440" s="46" t="s">
        <v>676</v>
      </c>
      <c r="AB440" s="46" t="s">
        <v>677</v>
      </c>
      <c r="AC440" s="46">
        <v>0</v>
      </c>
      <c r="AD440" s="46" t="s">
        <v>678</v>
      </c>
      <c r="AE440" s="46">
        <v>8</v>
      </c>
      <c r="AF440" s="46" t="s">
        <v>679</v>
      </c>
      <c r="AG440" s="46">
        <v>343255.484</v>
      </c>
      <c r="AH440" s="46" t="b">
        <v>1</v>
      </c>
      <c r="AI440" s="46">
        <v>-1</v>
      </c>
      <c r="AJ440" s="46" t="s">
        <v>680</v>
      </c>
      <c r="AK440" s="46">
        <v>0</v>
      </c>
      <c r="AL440" s="46" t="b">
        <v>0</v>
      </c>
      <c r="AM440" s="46">
        <v>343255.484</v>
      </c>
      <c r="AN440" s="46" t="b">
        <v>1</v>
      </c>
      <c r="AO440" s="46">
        <v>0</v>
      </c>
      <c r="AP440" s="46" t="b">
        <v>0</v>
      </c>
      <c r="AQ440" s="46">
        <v>1619797.2549999999</v>
      </c>
      <c r="AS440" s="46">
        <v>1619797.2549999999</v>
      </c>
      <c r="AT440" s="46">
        <v>6</v>
      </c>
      <c r="AU440" s="46" t="b">
        <v>1</v>
      </c>
      <c r="AV440" s="46" t="b">
        <v>0</v>
      </c>
    </row>
    <row r="441" spans="2:48">
      <c r="B441" s="46" t="s">
        <v>665</v>
      </c>
      <c r="C441" s="46" t="s">
        <v>666</v>
      </c>
      <c r="D441" s="46">
        <v>20240401</v>
      </c>
      <c r="E441" s="46">
        <v>2024</v>
      </c>
      <c r="F441" s="46">
        <v>4</v>
      </c>
      <c r="G441" s="46" t="s">
        <v>695</v>
      </c>
      <c r="H441" s="46">
        <v>818</v>
      </c>
      <c r="I441" s="46" t="s">
        <v>668</v>
      </c>
      <c r="J441" s="46" t="s">
        <v>57</v>
      </c>
      <c r="K441" s="46" t="s">
        <v>666</v>
      </c>
      <c r="L441" s="46" t="s">
        <v>669</v>
      </c>
      <c r="M441" s="46">
        <v>276</v>
      </c>
      <c r="N441" s="46" t="s">
        <v>681</v>
      </c>
      <c r="O441" s="46" t="s">
        <v>30</v>
      </c>
      <c r="P441" s="46">
        <v>0</v>
      </c>
      <c r="Q441" s="46" t="s">
        <v>670</v>
      </c>
      <c r="R441" s="46" t="s">
        <v>23</v>
      </c>
      <c r="S441" s="46" t="s">
        <v>671</v>
      </c>
      <c r="T441" s="46" t="s">
        <v>672</v>
      </c>
      <c r="U441" s="46" t="b">
        <v>1</v>
      </c>
      <c r="V441" s="46" t="s">
        <v>985</v>
      </c>
      <c r="W441" s="46" t="s">
        <v>984</v>
      </c>
      <c r="X441" s="46">
        <v>6</v>
      </c>
      <c r="Y441" s="46" t="b">
        <v>1</v>
      </c>
      <c r="Z441" s="46" t="s">
        <v>675</v>
      </c>
      <c r="AA441" s="46" t="s">
        <v>676</v>
      </c>
      <c r="AB441" s="46" t="s">
        <v>677</v>
      </c>
      <c r="AC441" s="46">
        <v>0</v>
      </c>
      <c r="AD441" s="46" t="s">
        <v>678</v>
      </c>
      <c r="AE441" s="46">
        <v>8</v>
      </c>
      <c r="AF441" s="46" t="s">
        <v>679</v>
      </c>
      <c r="AG441" s="46">
        <v>468491.98300000001</v>
      </c>
      <c r="AH441" s="46" t="b">
        <v>1</v>
      </c>
      <c r="AI441" s="46">
        <v>-1</v>
      </c>
      <c r="AJ441" s="46" t="s">
        <v>680</v>
      </c>
      <c r="AK441" s="46">
        <v>0</v>
      </c>
      <c r="AL441" s="46" t="b">
        <v>0</v>
      </c>
      <c r="AM441" s="46">
        <v>468491.98300000001</v>
      </c>
      <c r="AN441" s="46" t="b">
        <v>1</v>
      </c>
      <c r="AO441" s="46">
        <v>0</v>
      </c>
      <c r="AP441" s="46" t="b">
        <v>0</v>
      </c>
      <c r="AQ441" s="46">
        <v>2210779.0359999998</v>
      </c>
      <c r="AS441" s="46">
        <v>2210779.0359999998</v>
      </c>
      <c r="AT441" s="46">
        <v>6</v>
      </c>
      <c r="AU441" s="46" t="b">
        <v>1</v>
      </c>
      <c r="AV441" s="46" t="b">
        <v>0</v>
      </c>
    </row>
    <row r="442" spans="2:48">
      <c r="B442" s="46" t="s">
        <v>665</v>
      </c>
      <c r="C442" s="46" t="s">
        <v>666</v>
      </c>
      <c r="D442" s="46">
        <v>20240501</v>
      </c>
      <c r="E442" s="46">
        <v>2024</v>
      </c>
      <c r="F442" s="46">
        <v>5</v>
      </c>
      <c r="G442" s="46" t="s">
        <v>699</v>
      </c>
      <c r="H442" s="46">
        <v>818</v>
      </c>
      <c r="I442" s="46" t="s">
        <v>668</v>
      </c>
      <c r="J442" s="46" t="s">
        <v>57</v>
      </c>
      <c r="K442" s="46" t="s">
        <v>666</v>
      </c>
      <c r="L442" s="46" t="s">
        <v>669</v>
      </c>
      <c r="M442" s="46">
        <v>276</v>
      </c>
      <c r="N442" s="46" t="s">
        <v>681</v>
      </c>
      <c r="O442" s="46" t="s">
        <v>30</v>
      </c>
      <c r="P442" s="46">
        <v>0</v>
      </c>
      <c r="Q442" s="46" t="s">
        <v>670</v>
      </c>
      <c r="R442" s="46" t="s">
        <v>23</v>
      </c>
      <c r="S442" s="46" t="s">
        <v>671</v>
      </c>
      <c r="T442" s="46" t="s">
        <v>672</v>
      </c>
      <c r="U442" s="46" t="b">
        <v>1</v>
      </c>
      <c r="V442" s="46" t="s">
        <v>985</v>
      </c>
      <c r="W442" s="46" t="s">
        <v>984</v>
      </c>
      <c r="X442" s="46">
        <v>6</v>
      </c>
      <c r="Y442" s="46" t="b">
        <v>1</v>
      </c>
      <c r="Z442" s="46" t="s">
        <v>675</v>
      </c>
      <c r="AA442" s="46" t="s">
        <v>676</v>
      </c>
      <c r="AB442" s="46" t="s">
        <v>677</v>
      </c>
      <c r="AC442" s="46">
        <v>0</v>
      </c>
      <c r="AD442" s="46" t="s">
        <v>678</v>
      </c>
      <c r="AE442" s="46">
        <v>8</v>
      </c>
      <c r="AF442" s="46" t="s">
        <v>679</v>
      </c>
      <c r="AG442" s="46">
        <v>549445.76399999997</v>
      </c>
      <c r="AH442" s="46" t="b">
        <v>1</v>
      </c>
      <c r="AI442" s="46">
        <v>-1</v>
      </c>
      <c r="AJ442" s="46" t="s">
        <v>680</v>
      </c>
      <c r="AK442" s="46">
        <v>0</v>
      </c>
      <c r="AL442" s="46" t="b">
        <v>0</v>
      </c>
      <c r="AM442" s="46">
        <v>549445.76399999997</v>
      </c>
      <c r="AN442" s="46" t="b">
        <v>1</v>
      </c>
      <c r="AO442" s="46">
        <v>0</v>
      </c>
      <c r="AP442" s="46" t="b">
        <v>0</v>
      </c>
      <c r="AQ442" s="46">
        <v>2592793.946</v>
      </c>
      <c r="AS442" s="46">
        <v>2592793.946</v>
      </c>
      <c r="AT442" s="46">
        <v>6</v>
      </c>
      <c r="AU442" s="46" t="b">
        <v>1</v>
      </c>
      <c r="AV442" s="46" t="b">
        <v>0</v>
      </c>
    </row>
    <row r="443" spans="2:48">
      <c r="B443" s="46" t="s">
        <v>665</v>
      </c>
      <c r="C443" s="46" t="s">
        <v>666</v>
      </c>
      <c r="D443" s="46">
        <v>20240301</v>
      </c>
      <c r="E443" s="46">
        <v>2024</v>
      </c>
      <c r="F443" s="46">
        <v>3</v>
      </c>
      <c r="G443" s="46" t="s">
        <v>692</v>
      </c>
      <c r="H443" s="46">
        <v>818</v>
      </c>
      <c r="I443" s="46" t="s">
        <v>668</v>
      </c>
      <c r="J443" s="46" t="s">
        <v>57</v>
      </c>
      <c r="K443" s="46" t="s">
        <v>666</v>
      </c>
      <c r="L443" s="46" t="s">
        <v>669</v>
      </c>
      <c r="M443" s="46">
        <v>276</v>
      </c>
      <c r="N443" s="46" t="s">
        <v>681</v>
      </c>
      <c r="O443" s="46" t="s">
        <v>30</v>
      </c>
      <c r="P443" s="46">
        <v>0</v>
      </c>
      <c r="Q443" s="46" t="s">
        <v>670</v>
      </c>
      <c r="R443" s="46" t="s">
        <v>23</v>
      </c>
      <c r="S443" s="46" t="s">
        <v>671</v>
      </c>
      <c r="T443" s="46" t="s">
        <v>672</v>
      </c>
      <c r="U443" s="46" t="b">
        <v>1</v>
      </c>
      <c r="V443" s="46" t="s">
        <v>985</v>
      </c>
      <c r="W443" s="46" t="s">
        <v>984</v>
      </c>
      <c r="X443" s="46">
        <v>6</v>
      </c>
      <c r="Y443" s="46" t="b">
        <v>1</v>
      </c>
      <c r="Z443" s="46" t="s">
        <v>675</v>
      </c>
      <c r="AA443" s="46" t="s">
        <v>676</v>
      </c>
      <c r="AB443" s="46" t="s">
        <v>677</v>
      </c>
      <c r="AC443" s="46">
        <v>0</v>
      </c>
      <c r="AD443" s="46" t="s">
        <v>678</v>
      </c>
      <c r="AE443" s="46">
        <v>8</v>
      </c>
      <c r="AF443" s="46" t="s">
        <v>679</v>
      </c>
      <c r="AG443" s="46">
        <v>358295.86200000002</v>
      </c>
      <c r="AH443" s="46" t="b">
        <v>1</v>
      </c>
      <c r="AI443" s="46">
        <v>-1</v>
      </c>
      <c r="AJ443" s="46" t="s">
        <v>680</v>
      </c>
      <c r="AK443" s="46">
        <v>0</v>
      </c>
      <c r="AL443" s="46" t="b">
        <v>0</v>
      </c>
      <c r="AM443" s="46">
        <v>358295.86200000002</v>
      </c>
      <c r="AN443" s="46" t="b">
        <v>1</v>
      </c>
      <c r="AO443" s="46">
        <v>0</v>
      </c>
      <c r="AP443" s="46" t="b">
        <v>0</v>
      </c>
      <c r="AQ443" s="46">
        <v>1690771.6910000001</v>
      </c>
      <c r="AS443" s="46">
        <v>1690771.6910000001</v>
      </c>
      <c r="AT443" s="46">
        <v>6</v>
      </c>
      <c r="AU443" s="46" t="b">
        <v>1</v>
      </c>
      <c r="AV443" s="46" t="b">
        <v>0</v>
      </c>
    </row>
    <row r="444" spans="2:48">
      <c r="B444" s="46" t="s">
        <v>665</v>
      </c>
      <c r="C444" s="46" t="s">
        <v>666</v>
      </c>
      <c r="D444" s="46">
        <v>20240301</v>
      </c>
      <c r="E444" s="46">
        <v>2024</v>
      </c>
      <c r="F444" s="46">
        <v>3</v>
      </c>
      <c r="G444" s="46" t="s">
        <v>692</v>
      </c>
      <c r="H444" s="46">
        <v>818</v>
      </c>
      <c r="I444" s="46" t="s">
        <v>668</v>
      </c>
      <c r="J444" s="46" t="s">
        <v>57</v>
      </c>
      <c r="K444" s="46" t="s">
        <v>666</v>
      </c>
      <c r="L444" s="46" t="s">
        <v>669</v>
      </c>
      <c r="M444" s="46">
        <v>300</v>
      </c>
      <c r="N444" s="46" t="s">
        <v>719</v>
      </c>
      <c r="O444" s="46" t="s">
        <v>65</v>
      </c>
      <c r="P444" s="46">
        <v>0</v>
      </c>
      <c r="Q444" s="46" t="s">
        <v>670</v>
      </c>
      <c r="R444" s="46" t="s">
        <v>23</v>
      </c>
      <c r="S444" s="46" t="s">
        <v>671</v>
      </c>
      <c r="T444" s="46" t="s">
        <v>672</v>
      </c>
      <c r="U444" s="46" t="b">
        <v>1</v>
      </c>
      <c r="V444" s="46" t="s">
        <v>985</v>
      </c>
      <c r="W444" s="46" t="s">
        <v>984</v>
      </c>
      <c r="X444" s="46">
        <v>6</v>
      </c>
      <c r="Y444" s="46" t="b">
        <v>1</v>
      </c>
      <c r="Z444" s="46" t="s">
        <v>675</v>
      </c>
      <c r="AA444" s="46" t="s">
        <v>676</v>
      </c>
      <c r="AB444" s="46" t="s">
        <v>677</v>
      </c>
      <c r="AC444" s="46">
        <v>0</v>
      </c>
      <c r="AD444" s="46" t="s">
        <v>678</v>
      </c>
      <c r="AE444" s="46">
        <v>8</v>
      </c>
      <c r="AF444" s="46" t="s">
        <v>679</v>
      </c>
      <c r="AG444" s="46">
        <v>854.83199999999999</v>
      </c>
      <c r="AH444" s="46" t="b">
        <v>1</v>
      </c>
      <c r="AI444" s="46">
        <v>-1</v>
      </c>
      <c r="AJ444" s="46" t="s">
        <v>680</v>
      </c>
      <c r="AK444" s="46">
        <v>0</v>
      </c>
      <c r="AL444" s="46" t="b">
        <v>0</v>
      </c>
      <c r="AM444" s="46">
        <v>854.83199999999999</v>
      </c>
      <c r="AN444" s="46" t="b">
        <v>1</v>
      </c>
      <c r="AO444" s="46">
        <v>0</v>
      </c>
      <c r="AP444" s="46" t="b">
        <v>0</v>
      </c>
      <c r="AQ444" s="46">
        <v>4033.8879999999999</v>
      </c>
      <c r="AS444" s="46">
        <v>4033.8879999999999</v>
      </c>
      <c r="AT444" s="46">
        <v>6</v>
      </c>
      <c r="AU444" s="46" t="b">
        <v>1</v>
      </c>
      <c r="AV444" s="46" t="b">
        <v>0</v>
      </c>
    </row>
    <row r="445" spans="2:48">
      <c r="B445" s="46" t="s">
        <v>665</v>
      </c>
      <c r="C445" s="46" t="s">
        <v>666</v>
      </c>
      <c r="D445" s="46">
        <v>20240101</v>
      </c>
      <c r="E445" s="46">
        <v>2024</v>
      </c>
      <c r="F445" s="46">
        <v>1</v>
      </c>
      <c r="G445" s="46" t="s">
        <v>667</v>
      </c>
      <c r="H445" s="46">
        <v>818</v>
      </c>
      <c r="I445" s="46" t="s">
        <v>668</v>
      </c>
      <c r="J445" s="46" t="s">
        <v>57</v>
      </c>
      <c r="K445" s="46" t="s">
        <v>666</v>
      </c>
      <c r="L445" s="46" t="s">
        <v>669</v>
      </c>
      <c r="M445" s="46">
        <v>300</v>
      </c>
      <c r="N445" s="46" t="s">
        <v>719</v>
      </c>
      <c r="O445" s="46" t="s">
        <v>65</v>
      </c>
      <c r="P445" s="46">
        <v>0</v>
      </c>
      <c r="Q445" s="46" t="s">
        <v>670</v>
      </c>
      <c r="R445" s="46" t="s">
        <v>23</v>
      </c>
      <c r="S445" s="46" t="s">
        <v>671</v>
      </c>
      <c r="T445" s="46" t="s">
        <v>672</v>
      </c>
      <c r="U445" s="46" t="b">
        <v>1</v>
      </c>
      <c r="V445" s="46" t="s">
        <v>985</v>
      </c>
      <c r="W445" s="46" t="s">
        <v>984</v>
      </c>
      <c r="X445" s="46">
        <v>6</v>
      </c>
      <c r="Y445" s="46" t="b">
        <v>1</v>
      </c>
      <c r="Z445" s="46" t="s">
        <v>675</v>
      </c>
      <c r="AA445" s="46" t="s">
        <v>676</v>
      </c>
      <c r="AB445" s="46" t="s">
        <v>677</v>
      </c>
      <c r="AC445" s="46">
        <v>0</v>
      </c>
      <c r="AD445" s="46" t="s">
        <v>678</v>
      </c>
      <c r="AE445" s="46">
        <v>8</v>
      </c>
      <c r="AF445" s="46" t="s">
        <v>679</v>
      </c>
      <c r="AG445" s="46">
        <v>139.60400000000001</v>
      </c>
      <c r="AH445" s="46" t="b">
        <v>1</v>
      </c>
      <c r="AI445" s="46">
        <v>-1</v>
      </c>
      <c r="AJ445" s="46" t="s">
        <v>680</v>
      </c>
      <c r="AK445" s="46">
        <v>0</v>
      </c>
      <c r="AL445" s="46" t="b">
        <v>0</v>
      </c>
      <c r="AM445" s="46">
        <v>139.60400000000001</v>
      </c>
      <c r="AN445" s="46" t="b">
        <v>1</v>
      </c>
      <c r="AO445" s="46">
        <v>0</v>
      </c>
      <c r="AP445" s="46" t="b">
        <v>0</v>
      </c>
      <c r="AQ445" s="46">
        <v>658.78099999999995</v>
      </c>
      <c r="AS445" s="46">
        <v>658.78099999999995</v>
      </c>
      <c r="AT445" s="46">
        <v>6</v>
      </c>
      <c r="AU445" s="46" t="b">
        <v>1</v>
      </c>
      <c r="AV445" s="46" t="b">
        <v>0</v>
      </c>
    </row>
    <row r="446" spans="2:48">
      <c r="B446" s="46" t="s">
        <v>665</v>
      </c>
      <c r="C446" s="46" t="s">
        <v>666</v>
      </c>
      <c r="D446" s="46">
        <v>20240201</v>
      </c>
      <c r="E446" s="46">
        <v>2024</v>
      </c>
      <c r="F446" s="46">
        <v>2</v>
      </c>
      <c r="G446" s="46" t="s">
        <v>687</v>
      </c>
      <c r="H446" s="46">
        <v>818</v>
      </c>
      <c r="I446" s="46" t="s">
        <v>668</v>
      </c>
      <c r="J446" s="46" t="s">
        <v>57</v>
      </c>
      <c r="K446" s="46" t="s">
        <v>666</v>
      </c>
      <c r="L446" s="46" t="s">
        <v>669</v>
      </c>
      <c r="M446" s="46">
        <v>344</v>
      </c>
      <c r="N446" s="46" t="s">
        <v>989</v>
      </c>
      <c r="O446" s="46" t="s">
        <v>990</v>
      </c>
      <c r="P446" s="46">
        <v>0</v>
      </c>
      <c r="Q446" s="46" t="s">
        <v>670</v>
      </c>
      <c r="R446" s="46" t="s">
        <v>23</v>
      </c>
      <c r="S446" s="46" t="s">
        <v>671</v>
      </c>
      <c r="T446" s="46" t="s">
        <v>672</v>
      </c>
      <c r="U446" s="46" t="b">
        <v>1</v>
      </c>
      <c r="V446" s="46" t="s">
        <v>985</v>
      </c>
      <c r="W446" s="46" t="s">
        <v>984</v>
      </c>
      <c r="X446" s="46">
        <v>6</v>
      </c>
      <c r="Y446" s="46" t="b">
        <v>1</v>
      </c>
      <c r="Z446" s="46" t="s">
        <v>675</v>
      </c>
      <c r="AA446" s="46" t="s">
        <v>676</v>
      </c>
      <c r="AB446" s="46" t="s">
        <v>677</v>
      </c>
      <c r="AC446" s="46">
        <v>0</v>
      </c>
      <c r="AD446" s="46" t="s">
        <v>678</v>
      </c>
      <c r="AE446" s="46">
        <v>8</v>
      </c>
      <c r="AF446" s="46" t="s">
        <v>679</v>
      </c>
      <c r="AG446" s="46">
        <v>2257.4810000000002</v>
      </c>
      <c r="AH446" s="46" t="b">
        <v>1</v>
      </c>
      <c r="AI446" s="46">
        <v>-1</v>
      </c>
      <c r="AJ446" s="46" t="s">
        <v>680</v>
      </c>
      <c r="AK446" s="46">
        <v>0</v>
      </c>
      <c r="AL446" s="46" t="b">
        <v>0</v>
      </c>
      <c r="AM446" s="46">
        <v>2257.4810000000002</v>
      </c>
      <c r="AN446" s="46" t="b">
        <v>1</v>
      </c>
      <c r="AO446" s="46">
        <v>0</v>
      </c>
      <c r="AP446" s="46" t="b">
        <v>0</v>
      </c>
      <c r="AQ446" s="46">
        <v>10652.885</v>
      </c>
      <c r="AS446" s="46">
        <v>10652.885</v>
      </c>
      <c r="AT446" s="46">
        <v>6</v>
      </c>
      <c r="AU446" s="46" t="b">
        <v>1</v>
      </c>
      <c r="AV446" s="46" t="b">
        <v>0</v>
      </c>
    </row>
    <row r="447" spans="2:48">
      <c r="B447" s="46" t="s">
        <v>665</v>
      </c>
      <c r="C447" s="46" t="s">
        <v>666</v>
      </c>
      <c r="D447" s="46">
        <v>20240101</v>
      </c>
      <c r="E447" s="46">
        <v>2024</v>
      </c>
      <c r="F447" s="46">
        <v>1</v>
      </c>
      <c r="G447" s="46" t="s">
        <v>667</v>
      </c>
      <c r="H447" s="46">
        <v>818</v>
      </c>
      <c r="I447" s="46" t="s">
        <v>668</v>
      </c>
      <c r="J447" s="46" t="s">
        <v>57</v>
      </c>
      <c r="K447" s="46" t="s">
        <v>666</v>
      </c>
      <c r="L447" s="46" t="s">
        <v>669</v>
      </c>
      <c r="M447" s="46">
        <v>360</v>
      </c>
      <c r="N447" s="46" t="s">
        <v>1006</v>
      </c>
      <c r="O447" s="46" t="s">
        <v>44</v>
      </c>
      <c r="P447" s="46">
        <v>0</v>
      </c>
      <c r="Q447" s="46" t="s">
        <v>670</v>
      </c>
      <c r="R447" s="46" t="s">
        <v>23</v>
      </c>
      <c r="S447" s="46" t="s">
        <v>671</v>
      </c>
      <c r="T447" s="46" t="s">
        <v>672</v>
      </c>
      <c r="U447" s="46" t="b">
        <v>1</v>
      </c>
      <c r="V447" s="46" t="s">
        <v>985</v>
      </c>
      <c r="W447" s="46" t="s">
        <v>984</v>
      </c>
      <c r="X447" s="46">
        <v>6</v>
      </c>
      <c r="Y447" s="46" t="b">
        <v>1</v>
      </c>
      <c r="Z447" s="46" t="s">
        <v>675</v>
      </c>
      <c r="AA447" s="46" t="s">
        <v>676</v>
      </c>
      <c r="AB447" s="46" t="s">
        <v>677</v>
      </c>
      <c r="AC447" s="46">
        <v>0</v>
      </c>
      <c r="AD447" s="46" t="s">
        <v>678</v>
      </c>
      <c r="AE447" s="46">
        <v>8</v>
      </c>
      <c r="AF447" s="46" t="s">
        <v>679</v>
      </c>
      <c r="AG447" s="46">
        <v>3.423</v>
      </c>
      <c r="AH447" s="46" t="b">
        <v>1</v>
      </c>
      <c r="AI447" s="46">
        <v>-1</v>
      </c>
      <c r="AJ447" s="46" t="s">
        <v>680</v>
      </c>
      <c r="AK447" s="46">
        <v>0</v>
      </c>
      <c r="AL447" s="46" t="b">
        <v>0</v>
      </c>
      <c r="AM447" s="46">
        <v>3.423</v>
      </c>
      <c r="AN447" s="46" t="b">
        <v>1</v>
      </c>
      <c r="AO447" s="46">
        <v>0</v>
      </c>
      <c r="AP447" s="46" t="b">
        <v>0</v>
      </c>
      <c r="AQ447" s="46">
        <v>16.151</v>
      </c>
      <c r="AS447" s="46">
        <v>16.151</v>
      </c>
      <c r="AT447" s="46">
        <v>6</v>
      </c>
      <c r="AU447" s="46" t="b">
        <v>1</v>
      </c>
      <c r="AV447" s="46" t="b">
        <v>0</v>
      </c>
    </row>
    <row r="448" spans="2:48">
      <c r="B448" s="46" t="s">
        <v>665</v>
      </c>
      <c r="C448" s="46" t="s">
        <v>666</v>
      </c>
      <c r="D448" s="46">
        <v>20240501</v>
      </c>
      <c r="E448" s="46">
        <v>2024</v>
      </c>
      <c r="F448" s="46">
        <v>5</v>
      </c>
      <c r="G448" s="46" t="s">
        <v>699</v>
      </c>
      <c r="H448" s="46">
        <v>818</v>
      </c>
      <c r="I448" s="46" t="s">
        <v>668</v>
      </c>
      <c r="J448" s="46" t="s">
        <v>57</v>
      </c>
      <c r="K448" s="46" t="s">
        <v>666</v>
      </c>
      <c r="L448" s="46" t="s">
        <v>669</v>
      </c>
      <c r="M448" s="46">
        <v>360</v>
      </c>
      <c r="N448" s="46" t="s">
        <v>1006</v>
      </c>
      <c r="O448" s="46" t="s">
        <v>44</v>
      </c>
      <c r="P448" s="46">
        <v>0</v>
      </c>
      <c r="Q448" s="46" t="s">
        <v>670</v>
      </c>
      <c r="R448" s="46" t="s">
        <v>23</v>
      </c>
      <c r="S448" s="46" t="s">
        <v>671</v>
      </c>
      <c r="T448" s="46" t="s">
        <v>672</v>
      </c>
      <c r="U448" s="46" t="b">
        <v>1</v>
      </c>
      <c r="V448" s="46" t="s">
        <v>985</v>
      </c>
      <c r="W448" s="46" t="s">
        <v>984</v>
      </c>
      <c r="X448" s="46">
        <v>6</v>
      </c>
      <c r="Y448" s="46" t="b">
        <v>1</v>
      </c>
      <c r="Z448" s="46" t="s">
        <v>675</v>
      </c>
      <c r="AA448" s="46" t="s">
        <v>676</v>
      </c>
      <c r="AB448" s="46" t="s">
        <v>677</v>
      </c>
      <c r="AC448" s="46">
        <v>0</v>
      </c>
      <c r="AD448" s="46" t="s">
        <v>678</v>
      </c>
      <c r="AE448" s="46">
        <v>8</v>
      </c>
      <c r="AF448" s="46" t="s">
        <v>679</v>
      </c>
      <c r="AG448" s="46">
        <v>5467.8509999999997</v>
      </c>
      <c r="AH448" s="46" t="b">
        <v>1</v>
      </c>
      <c r="AI448" s="46">
        <v>-1</v>
      </c>
      <c r="AJ448" s="46" t="s">
        <v>680</v>
      </c>
      <c r="AK448" s="46">
        <v>0</v>
      </c>
      <c r="AL448" s="46" t="b">
        <v>0</v>
      </c>
      <c r="AM448" s="46">
        <v>5467.8509999999997</v>
      </c>
      <c r="AN448" s="46" t="b">
        <v>1</v>
      </c>
      <c r="AO448" s="46">
        <v>0</v>
      </c>
      <c r="AP448" s="46" t="b">
        <v>0</v>
      </c>
      <c r="AQ448" s="46">
        <v>25802.384999999998</v>
      </c>
      <c r="AS448" s="46">
        <v>25802.384999999998</v>
      </c>
      <c r="AT448" s="46">
        <v>6</v>
      </c>
      <c r="AU448" s="46" t="b">
        <v>1</v>
      </c>
      <c r="AV448" s="46" t="b">
        <v>0</v>
      </c>
    </row>
    <row r="449" spans="2:48">
      <c r="B449" s="46" t="s">
        <v>665</v>
      </c>
      <c r="C449" s="46" t="s">
        <v>666</v>
      </c>
      <c r="D449" s="46">
        <v>20240601</v>
      </c>
      <c r="E449" s="46">
        <v>2024</v>
      </c>
      <c r="F449" s="46">
        <v>6</v>
      </c>
      <c r="G449" s="46" t="s">
        <v>700</v>
      </c>
      <c r="H449" s="46">
        <v>818</v>
      </c>
      <c r="I449" s="46" t="s">
        <v>668</v>
      </c>
      <c r="J449" s="46" t="s">
        <v>57</v>
      </c>
      <c r="K449" s="46" t="s">
        <v>666</v>
      </c>
      <c r="L449" s="46" t="s">
        <v>669</v>
      </c>
      <c r="M449" s="46">
        <v>360</v>
      </c>
      <c r="N449" s="46" t="s">
        <v>1006</v>
      </c>
      <c r="O449" s="46" t="s">
        <v>44</v>
      </c>
      <c r="P449" s="46">
        <v>0</v>
      </c>
      <c r="Q449" s="46" t="s">
        <v>670</v>
      </c>
      <c r="R449" s="46" t="s">
        <v>23</v>
      </c>
      <c r="S449" s="46" t="s">
        <v>671</v>
      </c>
      <c r="T449" s="46" t="s">
        <v>672</v>
      </c>
      <c r="U449" s="46" t="b">
        <v>1</v>
      </c>
      <c r="V449" s="46" t="s">
        <v>985</v>
      </c>
      <c r="W449" s="46" t="s">
        <v>984</v>
      </c>
      <c r="X449" s="46">
        <v>6</v>
      </c>
      <c r="Y449" s="46" t="b">
        <v>1</v>
      </c>
      <c r="Z449" s="46" t="s">
        <v>675</v>
      </c>
      <c r="AA449" s="46" t="s">
        <v>676</v>
      </c>
      <c r="AB449" s="46" t="s">
        <v>677</v>
      </c>
      <c r="AC449" s="46">
        <v>0</v>
      </c>
      <c r="AD449" s="46" t="s">
        <v>678</v>
      </c>
      <c r="AE449" s="46">
        <v>8</v>
      </c>
      <c r="AF449" s="46" t="s">
        <v>679</v>
      </c>
      <c r="AG449" s="46">
        <v>21969.620999999999</v>
      </c>
      <c r="AH449" s="46" t="b">
        <v>1</v>
      </c>
      <c r="AI449" s="46">
        <v>-1</v>
      </c>
      <c r="AJ449" s="46" t="s">
        <v>680</v>
      </c>
      <c r="AK449" s="46">
        <v>0</v>
      </c>
      <c r="AL449" s="46" t="b">
        <v>0</v>
      </c>
      <c r="AM449" s="46">
        <v>21969.620999999999</v>
      </c>
      <c r="AN449" s="46" t="b">
        <v>1</v>
      </c>
      <c r="AO449" s="46">
        <v>0</v>
      </c>
      <c r="AP449" s="46" t="b">
        <v>0</v>
      </c>
      <c r="AQ449" s="46">
        <v>103673.016</v>
      </c>
      <c r="AS449" s="46">
        <v>103673.016</v>
      </c>
      <c r="AT449" s="46">
        <v>6</v>
      </c>
      <c r="AU449" s="46" t="b">
        <v>1</v>
      </c>
      <c r="AV449" s="46" t="b">
        <v>0</v>
      </c>
    </row>
    <row r="450" spans="2:48">
      <c r="B450" s="46" t="s">
        <v>665</v>
      </c>
      <c r="C450" s="46" t="s">
        <v>666</v>
      </c>
      <c r="D450" s="46">
        <v>20240201</v>
      </c>
      <c r="E450" s="46">
        <v>2024</v>
      </c>
      <c r="F450" s="46">
        <v>2</v>
      </c>
      <c r="G450" s="46" t="s">
        <v>687</v>
      </c>
      <c r="H450" s="46">
        <v>818</v>
      </c>
      <c r="I450" s="46" t="s">
        <v>668</v>
      </c>
      <c r="J450" s="46" t="s">
        <v>57</v>
      </c>
      <c r="K450" s="46" t="s">
        <v>666</v>
      </c>
      <c r="L450" s="46" t="s">
        <v>669</v>
      </c>
      <c r="M450" s="46">
        <v>376</v>
      </c>
      <c r="N450" s="46" t="s">
        <v>991</v>
      </c>
      <c r="O450" s="46" t="s">
        <v>100</v>
      </c>
      <c r="P450" s="46">
        <v>0</v>
      </c>
      <c r="Q450" s="46" t="s">
        <v>670</v>
      </c>
      <c r="R450" s="46" t="s">
        <v>23</v>
      </c>
      <c r="S450" s="46" t="s">
        <v>671</v>
      </c>
      <c r="T450" s="46" t="s">
        <v>672</v>
      </c>
      <c r="U450" s="46" t="b">
        <v>1</v>
      </c>
      <c r="V450" s="46" t="s">
        <v>985</v>
      </c>
      <c r="W450" s="46" t="s">
        <v>984</v>
      </c>
      <c r="X450" s="46">
        <v>6</v>
      </c>
      <c r="Y450" s="46" t="b">
        <v>1</v>
      </c>
      <c r="Z450" s="46" t="s">
        <v>675</v>
      </c>
      <c r="AA450" s="46" t="s">
        <v>676</v>
      </c>
      <c r="AB450" s="46" t="s">
        <v>677</v>
      </c>
      <c r="AC450" s="46">
        <v>0</v>
      </c>
      <c r="AD450" s="46" t="s">
        <v>678</v>
      </c>
      <c r="AE450" s="46">
        <v>8</v>
      </c>
      <c r="AF450" s="46" t="s">
        <v>679</v>
      </c>
      <c r="AG450" s="46">
        <v>2101.1509999999998</v>
      </c>
      <c r="AH450" s="46" t="b">
        <v>1</v>
      </c>
      <c r="AI450" s="46">
        <v>-1</v>
      </c>
      <c r="AJ450" s="46" t="s">
        <v>680</v>
      </c>
      <c r="AK450" s="46">
        <v>0</v>
      </c>
      <c r="AL450" s="46" t="b">
        <v>0</v>
      </c>
      <c r="AM450" s="46">
        <v>2101.1509999999998</v>
      </c>
      <c r="AN450" s="46" t="b">
        <v>1</v>
      </c>
      <c r="AO450" s="46">
        <v>0</v>
      </c>
      <c r="AP450" s="46" t="b">
        <v>0</v>
      </c>
      <c r="AQ450" s="46">
        <v>9915.1769999999997</v>
      </c>
      <c r="AS450" s="46">
        <v>9915.1769999999997</v>
      </c>
      <c r="AT450" s="46">
        <v>6</v>
      </c>
      <c r="AU450" s="46" t="b">
        <v>1</v>
      </c>
      <c r="AV450" s="46" t="b">
        <v>0</v>
      </c>
    </row>
    <row r="451" spans="2:48">
      <c r="B451" s="46" t="s">
        <v>665</v>
      </c>
      <c r="C451" s="46" t="s">
        <v>666</v>
      </c>
      <c r="D451" s="46">
        <v>20240301</v>
      </c>
      <c r="E451" s="46">
        <v>2024</v>
      </c>
      <c r="F451" s="46">
        <v>3</v>
      </c>
      <c r="G451" s="46" t="s">
        <v>692</v>
      </c>
      <c r="H451" s="46">
        <v>818</v>
      </c>
      <c r="I451" s="46" t="s">
        <v>668</v>
      </c>
      <c r="J451" s="46" t="s">
        <v>57</v>
      </c>
      <c r="K451" s="46" t="s">
        <v>666</v>
      </c>
      <c r="L451" s="46" t="s">
        <v>669</v>
      </c>
      <c r="M451" s="46">
        <v>376</v>
      </c>
      <c r="N451" s="46" t="s">
        <v>991</v>
      </c>
      <c r="O451" s="46" t="s">
        <v>100</v>
      </c>
      <c r="P451" s="46">
        <v>0</v>
      </c>
      <c r="Q451" s="46" t="s">
        <v>670</v>
      </c>
      <c r="R451" s="46" t="s">
        <v>23</v>
      </c>
      <c r="S451" s="46" t="s">
        <v>671</v>
      </c>
      <c r="T451" s="46" t="s">
        <v>672</v>
      </c>
      <c r="U451" s="46" t="b">
        <v>1</v>
      </c>
      <c r="V451" s="46" t="s">
        <v>985</v>
      </c>
      <c r="W451" s="46" t="s">
        <v>984</v>
      </c>
      <c r="X451" s="46">
        <v>6</v>
      </c>
      <c r="Y451" s="46" t="b">
        <v>1</v>
      </c>
      <c r="Z451" s="46" t="s">
        <v>675</v>
      </c>
      <c r="AA451" s="46" t="s">
        <v>676</v>
      </c>
      <c r="AB451" s="46" t="s">
        <v>677</v>
      </c>
      <c r="AC451" s="46">
        <v>0</v>
      </c>
      <c r="AD451" s="46" t="s">
        <v>678</v>
      </c>
      <c r="AE451" s="46">
        <v>8</v>
      </c>
      <c r="AF451" s="46" t="s">
        <v>679</v>
      </c>
      <c r="AG451" s="46">
        <v>8180.6840000000002</v>
      </c>
      <c r="AH451" s="46" t="b">
        <v>1</v>
      </c>
      <c r="AI451" s="46">
        <v>-1</v>
      </c>
      <c r="AJ451" s="46" t="s">
        <v>680</v>
      </c>
      <c r="AK451" s="46">
        <v>0</v>
      </c>
      <c r="AL451" s="46" t="b">
        <v>0</v>
      </c>
      <c r="AM451" s="46">
        <v>8180.6840000000002</v>
      </c>
      <c r="AN451" s="46" t="b">
        <v>1</v>
      </c>
      <c r="AO451" s="46">
        <v>0</v>
      </c>
      <c r="AP451" s="46" t="b">
        <v>0</v>
      </c>
      <c r="AQ451" s="46">
        <v>38604.042999999998</v>
      </c>
      <c r="AS451" s="46">
        <v>38604.042999999998</v>
      </c>
      <c r="AT451" s="46">
        <v>6</v>
      </c>
      <c r="AU451" s="46" t="b">
        <v>1</v>
      </c>
      <c r="AV451" s="46" t="b">
        <v>0</v>
      </c>
    </row>
    <row r="452" spans="2:48">
      <c r="B452" s="46" t="s">
        <v>665</v>
      </c>
      <c r="C452" s="46" t="s">
        <v>666</v>
      </c>
      <c r="D452" s="46">
        <v>20240501</v>
      </c>
      <c r="E452" s="46">
        <v>2024</v>
      </c>
      <c r="F452" s="46">
        <v>5</v>
      </c>
      <c r="G452" s="46" t="s">
        <v>699</v>
      </c>
      <c r="H452" s="46">
        <v>818</v>
      </c>
      <c r="I452" s="46" t="s">
        <v>668</v>
      </c>
      <c r="J452" s="46" t="s">
        <v>57</v>
      </c>
      <c r="K452" s="46" t="s">
        <v>666</v>
      </c>
      <c r="L452" s="46" t="s">
        <v>669</v>
      </c>
      <c r="M452" s="46">
        <v>376</v>
      </c>
      <c r="N452" s="46" t="s">
        <v>991</v>
      </c>
      <c r="O452" s="46" t="s">
        <v>100</v>
      </c>
      <c r="P452" s="46">
        <v>0</v>
      </c>
      <c r="Q452" s="46" t="s">
        <v>670</v>
      </c>
      <c r="R452" s="46" t="s">
        <v>23</v>
      </c>
      <c r="S452" s="46" t="s">
        <v>671</v>
      </c>
      <c r="T452" s="46" t="s">
        <v>672</v>
      </c>
      <c r="U452" s="46" t="b">
        <v>1</v>
      </c>
      <c r="V452" s="46" t="s">
        <v>985</v>
      </c>
      <c r="W452" s="46" t="s">
        <v>984</v>
      </c>
      <c r="X452" s="46">
        <v>6</v>
      </c>
      <c r="Y452" s="46" t="b">
        <v>1</v>
      </c>
      <c r="Z452" s="46" t="s">
        <v>675</v>
      </c>
      <c r="AA452" s="46" t="s">
        <v>676</v>
      </c>
      <c r="AB452" s="46" t="s">
        <v>677</v>
      </c>
      <c r="AC452" s="46">
        <v>0</v>
      </c>
      <c r="AD452" s="46" t="s">
        <v>678</v>
      </c>
      <c r="AE452" s="46">
        <v>8</v>
      </c>
      <c r="AF452" s="46" t="s">
        <v>679</v>
      </c>
      <c r="AG452" s="46">
        <v>6365.8220000000001</v>
      </c>
      <c r="AH452" s="46" t="b">
        <v>1</v>
      </c>
      <c r="AI452" s="46">
        <v>-1</v>
      </c>
      <c r="AJ452" s="46" t="s">
        <v>680</v>
      </c>
      <c r="AK452" s="46">
        <v>0</v>
      </c>
      <c r="AL452" s="46" t="b">
        <v>0</v>
      </c>
      <c r="AM452" s="46">
        <v>6365.8220000000001</v>
      </c>
      <c r="AN452" s="46" t="b">
        <v>1</v>
      </c>
      <c r="AO452" s="46">
        <v>0</v>
      </c>
      <c r="AP452" s="46" t="b">
        <v>0</v>
      </c>
      <c r="AQ452" s="46">
        <v>30039.842000000001</v>
      </c>
      <c r="AS452" s="46">
        <v>30039.842000000001</v>
      </c>
      <c r="AT452" s="46">
        <v>6</v>
      </c>
      <c r="AU452" s="46" t="b">
        <v>1</v>
      </c>
      <c r="AV452" s="46" t="b">
        <v>0</v>
      </c>
    </row>
    <row r="453" spans="2:48">
      <c r="B453" s="46" t="s">
        <v>665</v>
      </c>
      <c r="C453" s="46" t="s">
        <v>666</v>
      </c>
      <c r="D453" s="46">
        <v>20240601</v>
      </c>
      <c r="E453" s="46">
        <v>2024</v>
      </c>
      <c r="F453" s="46">
        <v>6</v>
      </c>
      <c r="G453" s="46" t="s">
        <v>700</v>
      </c>
      <c r="H453" s="46">
        <v>818</v>
      </c>
      <c r="I453" s="46" t="s">
        <v>668</v>
      </c>
      <c r="J453" s="46" t="s">
        <v>57</v>
      </c>
      <c r="K453" s="46" t="s">
        <v>666</v>
      </c>
      <c r="L453" s="46" t="s">
        <v>669</v>
      </c>
      <c r="M453" s="46">
        <v>376</v>
      </c>
      <c r="N453" s="46" t="s">
        <v>991</v>
      </c>
      <c r="O453" s="46" t="s">
        <v>100</v>
      </c>
      <c r="P453" s="46">
        <v>0</v>
      </c>
      <c r="Q453" s="46" t="s">
        <v>670</v>
      </c>
      <c r="R453" s="46" t="s">
        <v>23</v>
      </c>
      <c r="S453" s="46" t="s">
        <v>671</v>
      </c>
      <c r="T453" s="46" t="s">
        <v>672</v>
      </c>
      <c r="U453" s="46" t="b">
        <v>1</v>
      </c>
      <c r="V453" s="46" t="s">
        <v>985</v>
      </c>
      <c r="W453" s="46" t="s">
        <v>984</v>
      </c>
      <c r="X453" s="46">
        <v>6</v>
      </c>
      <c r="Y453" s="46" t="b">
        <v>1</v>
      </c>
      <c r="Z453" s="46" t="s">
        <v>675</v>
      </c>
      <c r="AA453" s="46" t="s">
        <v>676</v>
      </c>
      <c r="AB453" s="46" t="s">
        <v>677</v>
      </c>
      <c r="AC453" s="46">
        <v>0</v>
      </c>
      <c r="AD453" s="46" t="s">
        <v>678</v>
      </c>
      <c r="AE453" s="46">
        <v>8</v>
      </c>
      <c r="AF453" s="46" t="s">
        <v>679</v>
      </c>
      <c r="AG453" s="46">
        <v>8877.1689999999999</v>
      </c>
      <c r="AH453" s="46" t="b">
        <v>1</v>
      </c>
      <c r="AI453" s="46">
        <v>-1</v>
      </c>
      <c r="AJ453" s="46" t="s">
        <v>680</v>
      </c>
      <c r="AK453" s="46">
        <v>0</v>
      </c>
      <c r="AL453" s="46" t="b">
        <v>0</v>
      </c>
      <c r="AM453" s="46">
        <v>8877.1689999999999</v>
      </c>
      <c r="AN453" s="46" t="b">
        <v>1</v>
      </c>
      <c r="AO453" s="46">
        <v>0</v>
      </c>
      <c r="AP453" s="46" t="b">
        <v>0</v>
      </c>
      <c r="AQ453" s="46">
        <v>41890.703000000001</v>
      </c>
      <c r="AS453" s="46">
        <v>41890.703000000001</v>
      </c>
      <c r="AT453" s="46">
        <v>6</v>
      </c>
      <c r="AU453" s="46" t="b">
        <v>1</v>
      </c>
      <c r="AV453" s="46" t="b">
        <v>0</v>
      </c>
    </row>
    <row r="454" spans="2:48">
      <c r="B454" s="46" t="s">
        <v>665</v>
      </c>
      <c r="C454" s="46" t="s">
        <v>666</v>
      </c>
      <c r="D454" s="46">
        <v>20240101</v>
      </c>
      <c r="E454" s="46">
        <v>2024</v>
      </c>
      <c r="F454" s="46">
        <v>1</v>
      </c>
      <c r="G454" s="46" t="s">
        <v>667</v>
      </c>
      <c r="H454" s="46">
        <v>818</v>
      </c>
      <c r="I454" s="46" t="s">
        <v>668</v>
      </c>
      <c r="J454" s="46" t="s">
        <v>57</v>
      </c>
      <c r="K454" s="46" t="s">
        <v>666</v>
      </c>
      <c r="L454" s="46" t="s">
        <v>669</v>
      </c>
      <c r="M454" s="46">
        <v>380</v>
      </c>
      <c r="N454" s="46" t="s">
        <v>689</v>
      </c>
      <c r="O454" s="46" t="s">
        <v>71</v>
      </c>
      <c r="P454" s="46">
        <v>0</v>
      </c>
      <c r="Q454" s="46" t="s">
        <v>670</v>
      </c>
      <c r="R454" s="46" t="s">
        <v>23</v>
      </c>
      <c r="S454" s="46" t="s">
        <v>671</v>
      </c>
      <c r="T454" s="46" t="s">
        <v>672</v>
      </c>
      <c r="U454" s="46" t="b">
        <v>1</v>
      </c>
      <c r="V454" s="46" t="s">
        <v>985</v>
      </c>
      <c r="W454" s="46" t="s">
        <v>984</v>
      </c>
      <c r="X454" s="46">
        <v>6</v>
      </c>
      <c r="Y454" s="46" t="b">
        <v>1</v>
      </c>
      <c r="Z454" s="46" t="s">
        <v>675</v>
      </c>
      <c r="AA454" s="46" t="s">
        <v>676</v>
      </c>
      <c r="AB454" s="46" t="s">
        <v>677</v>
      </c>
      <c r="AC454" s="46">
        <v>0</v>
      </c>
      <c r="AD454" s="46" t="s">
        <v>678</v>
      </c>
      <c r="AE454" s="46">
        <v>8</v>
      </c>
      <c r="AF454" s="46" t="s">
        <v>679</v>
      </c>
      <c r="AG454" s="46">
        <v>97489.043999999994</v>
      </c>
      <c r="AH454" s="46" t="b">
        <v>1</v>
      </c>
      <c r="AI454" s="46">
        <v>-1</v>
      </c>
      <c r="AJ454" s="46" t="s">
        <v>680</v>
      </c>
      <c r="AK454" s="46">
        <v>0</v>
      </c>
      <c r="AL454" s="46" t="b">
        <v>0</v>
      </c>
      <c r="AM454" s="46">
        <v>97489.043999999994</v>
      </c>
      <c r="AN454" s="46" t="b">
        <v>1</v>
      </c>
      <c r="AO454" s="46">
        <v>0</v>
      </c>
      <c r="AP454" s="46" t="b">
        <v>0</v>
      </c>
      <c r="AQ454" s="46">
        <v>460043.59</v>
      </c>
      <c r="AS454" s="46">
        <v>460043.59</v>
      </c>
      <c r="AT454" s="46">
        <v>6</v>
      </c>
      <c r="AU454" s="46" t="b">
        <v>1</v>
      </c>
      <c r="AV454" s="46" t="b">
        <v>0</v>
      </c>
    </row>
    <row r="455" spans="2:48">
      <c r="B455" s="46" t="s">
        <v>665</v>
      </c>
      <c r="C455" s="46" t="s">
        <v>666</v>
      </c>
      <c r="D455" s="46">
        <v>20240501</v>
      </c>
      <c r="E455" s="46">
        <v>2024</v>
      </c>
      <c r="F455" s="46">
        <v>5</v>
      </c>
      <c r="G455" s="46" t="s">
        <v>699</v>
      </c>
      <c r="H455" s="46">
        <v>818</v>
      </c>
      <c r="I455" s="46" t="s">
        <v>668</v>
      </c>
      <c r="J455" s="46" t="s">
        <v>57</v>
      </c>
      <c r="K455" s="46" t="s">
        <v>666</v>
      </c>
      <c r="L455" s="46" t="s">
        <v>669</v>
      </c>
      <c r="M455" s="46">
        <v>380</v>
      </c>
      <c r="N455" s="46" t="s">
        <v>689</v>
      </c>
      <c r="O455" s="46" t="s">
        <v>71</v>
      </c>
      <c r="P455" s="46">
        <v>0</v>
      </c>
      <c r="Q455" s="46" t="s">
        <v>670</v>
      </c>
      <c r="R455" s="46" t="s">
        <v>23</v>
      </c>
      <c r="S455" s="46" t="s">
        <v>671</v>
      </c>
      <c r="T455" s="46" t="s">
        <v>672</v>
      </c>
      <c r="U455" s="46" t="b">
        <v>1</v>
      </c>
      <c r="V455" s="46" t="s">
        <v>985</v>
      </c>
      <c r="W455" s="46" t="s">
        <v>984</v>
      </c>
      <c r="X455" s="46">
        <v>6</v>
      </c>
      <c r="Y455" s="46" t="b">
        <v>1</v>
      </c>
      <c r="Z455" s="46" t="s">
        <v>675</v>
      </c>
      <c r="AA455" s="46" t="s">
        <v>676</v>
      </c>
      <c r="AB455" s="46" t="s">
        <v>677</v>
      </c>
      <c r="AC455" s="46">
        <v>0</v>
      </c>
      <c r="AD455" s="46" t="s">
        <v>678</v>
      </c>
      <c r="AE455" s="46">
        <v>8</v>
      </c>
      <c r="AF455" s="46" t="s">
        <v>679</v>
      </c>
      <c r="AG455" s="46">
        <v>141186.296</v>
      </c>
      <c r="AH455" s="46" t="b">
        <v>1</v>
      </c>
      <c r="AI455" s="46">
        <v>-1</v>
      </c>
      <c r="AJ455" s="46" t="s">
        <v>680</v>
      </c>
      <c r="AK455" s="46">
        <v>0</v>
      </c>
      <c r="AL455" s="46" t="b">
        <v>0</v>
      </c>
      <c r="AM455" s="46">
        <v>141186.296</v>
      </c>
      <c r="AN455" s="46" t="b">
        <v>1</v>
      </c>
      <c r="AO455" s="46">
        <v>0</v>
      </c>
      <c r="AP455" s="46" t="b">
        <v>0</v>
      </c>
      <c r="AQ455" s="46">
        <v>666247.69299999997</v>
      </c>
      <c r="AS455" s="46">
        <v>666247.69299999997</v>
      </c>
      <c r="AT455" s="46">
        <v>6</v>
      </c>
      <c r="AU455" s="46" t="b">
        <v>1</v>
      </c>
      <c r="AV455" s="46" t="b">
        <v>0</v>
      </c>
    </row>
    <row r="456" spans="2:48">
      <c r="B456" s="46" t="s">
        <v>665</v>
      </c>
      <c r="C456" s="46" t="s">
        <v>666</v>
      </c>
      <c r="D456" s="46">
        <v>20240601</v>
      </c>
      <c r="E456" s="46">
        <v>2024</v>
      </c>
      <c r="F456" s="46">
        <v>6</v>
      </c>
      <c r="G456" s="46" t="s">
        <v>700</v>
      </c>
      <c r="H456" s="46">
        <v>818</v>
      </c>
      <c r="I456" s="46" t="s">
        <v>668</v>
      </c>
      <c r="J456" s="46" t="s">
        <v>57</v>
      </c>
      <c r="K456" s="46" t="s">
        <v>666</v>
      </c>
      <c r="L456" s="46" t="s">
        <v>669</v>
      </c>
      <c r="M456" s="46">
        <v>380</v>
      </c>
      <c r="N456" s="46" t="s">
        <v>689</v>
      </c>
      <c r="O456" s="46" t="s">
        <v>71</v>
      </c>
      <c r="P456" s="46">
        <v>0</v>
      </c>
      <c r="Q456" s="46" t="s">
        <v>670</v>
      </c>
      <c r="R456" s="46" t="s">
        <v>23</v>
      </c>
      <c r="S456" s="46" t="s">
        <v>671</v>
      </c>
      <c r="T456" s="46" t="s">
        <v>672</v>
      </c>
      <c r="U456" s="46" t="b">
        <v>1</v>
      </c>
      <c r="V456" s="46" t="s">
        <v>985</v>
      </c>
      <c r="W456" s="46" t="s">
        <v>984</v>
      </c>
      <c r="X456" s="46">
        <v>6</v>
      </c>
      <c r="Y456" s="46" t="b">
        <v>1</v>
      </c>
      <c r="Z456" s="46" t="s">
        <v>675</v>
      </c>
      <c r="AA456" s="46" t="s">
        <v>676</v>
      </c>
      <c r="AB456" s="46" t="s">
        <v>677</v>
      </c>
      <c r="AC456" s="46">
        <v>0</v>
      </c>
      <c r="AD456" s="46" t="s">
        <v>678</v>
      </c>
      <c r="AE456" s="46">
        <v>8</v>
      </c>
      <c r="AF456" s="46" t="s">
        <v>679</v>
      </c>
      <c r="AG456" s="46">
        <v>167778.44399999999</v>
      </c>
      <c r="AH456" s="46" t="b">
        <v>1</v>
      </c>
      <c r="AI456" s="46">
        <v>-1</v>
      </c>
      <c r="AJ456" s="46" t="s">
        <v>680</v>
      </c>
      <c r="AK456" s="46">
        <v>0</v>
      </c>
      <c r="AL456" s="46" t="b">
        <v>0</v>
      </c>
      <c r="AM456" s="46">
        <v>167778.44399999999</v>
      </c>
      <c r="AN456" s="46" t="b">
        <v>1</v>
      </c>
      <c r="AO456" s="46">
        <v>0</v>
      </c>
      <c r="AP456" s="46" t="b">
        <v>0</v>
      </c>
      <c r="AQ456" s="46">
        <v>791734.076</v>
      </c>
      <c r="AS456" s="46">
        <v>791734.076</v>
      </c>
      <c r="AT456" s="46">
        <v>6</v>
      </c>
      <c r="AU456" s="46" t="b">
        <v>1</v>
      </c>
      <c r="AV456" s="46" t="b">
        <v>0</v>
      </c>
    </row>
    <row r="457" spans="2:48">
      <c r="B457" s="46" t="s">
        <v>665</v>
      </c>
      <c r="C457" s="46" t="s">
        <v>666</v>
      </c>
      <c r="D457" s="46">
        <v>20240401</v>
      </c>
      <c r="E457" s="46">
        <v>2024</v>
      </c>
      <c r="F457" s="46">
        <v>4</v>
      </c>
      <c r="G457" s="46" t="s">
        <v>695</v>
      </c>
      <c r="H457" s="46">
        <v>818</v>
      </c>
      <c r="I457" s="46" t="s">
        <v>668</v>
      </c>
      <c r="J457" s="46" t="s">
        <v>57</v>
      </c>
      <c r="K457" s="46" t="s">
        <v>666</v>
      </c>
      <c r="L457" s="46" t="s">
        <v>669</v>
      </c>
      <c r="M457" s="46">
        <v>380</v>
      </c>
      <c r="N457" s="46" t="s">
        <v>689</v>
      </c>
      <c r="O457" s="46" t="s">
        <v>71</v>
      </c>
      <c r="P457" s="46">
        <v>0</v>
      </c>
      <c r="Q457" s="46" t="s">
        <v>670</v>
      </c>
      <c r="R457" s="46" t="s">
        <v>23</v>
      </c>
      <c r="S457" s="46" t="s">
        <v>671</v>
      </c>
      <c r="T457" s="46" t="s">
        <v>672</v>
      </c>
      <c r="U457" s="46" t="b">
        <v>1</v>
      </c>
      <c r="V457" s="46" t="s">
        <v>985</v>
      </c>
      <c r="W457" s="46" t="s">
        <v>984</v>
      </c>
      <c r="X457" s="46">
        <v>6</v>
      </c>
      <c r="Y457" s="46" t="b">
        <v>1</v>
      </c>
      <c r="Z457" s="46" t="s">
        <v>675</v>
      </c>
      <c r="AA457" s="46" t="s">
        <v>676</v>
      </c>
      <c r="AB457" s="46" t="s">
        <v>677</v>
      </c>
      <c r="AC457" s="46">
        <v>0</v>
      </c>
      <c r="AD457" s="46" t="s">
        <v>678</v>
      </c>
      <c r="AE457" s="46">
        <v>8</v>
      </c>
      <c r="AF457" s="46" t="s">
        <v>679</v>
      </c>
      <c r="AG457" s="46">
        <v>260717.14799999999</v>
      </c>
      <c r="AH457" s="46" t="b">
        <v>1</v>
      </c>
      <c r="AI457" s="46">
        <v>-1</v>
      </c>
      <c r="AJ457" s="46" t="s">
        <v>680</v>
      </c>
      <c r="AK457" s="46">
        <v>0</v>
      </c>
      <c r="AL457" s="46" t="b">
        <v>0</v>
      </c>
      <c r="AM457" s="46">
        <v>260717.14799999999</v>
      </c>
      <c r="AN457" s="46" t="b">
        <v>1</v>
      </c>
      <c r="AO457" s="46">
        <v>0</v>
      </c>
      <c r="AP457" s="46" t="b">
        <v>0</v>
      </c>
      <c r="AQ457" s="46">
        <v>1230304.949</v>
      </c>
      <c r="AS457" s="46">
        <v>1230304.949</v>
      </c>
      <c r="AT457" s="46">
        <v>6</v>
      </c>
      <c r="AU457" s="46" t="b">
        <v>1</v>
      </c>
      <c r="AV457" s="46" t="b">
        <v>0</v>
      </c>
    </row>
    <row r="458" spans="2:48">
      <c r="B458" s="46" t="s">
        <v>665</v>
      </c>
      <c r="C458" s="46" t="s">
        <v>666</v>
      </c>
      <c r="D458" s="46">
        <v>20240201</v>
      </c>
      <c r="E458" s="46">
        <v>2024</v>
      </c>
      <c r="F458" s="46">
        <v>2</v>
      </c>
      <c r="G458" s="46" t="s">
        <v>687</v>
      </c>
      <c r="H458" s="46">
        <v>818</v>
      </c>
      <c r="I458" s="46" t="s">
        <v>668</v>
      </c>
      <c r="J458" s="46" t="s">
        <v>57</v>
      </c>
      <c r="K458" s="46" t="s">
        <v>666</v>
      </c>
      <c r="L458" s="46" t="s">
        <v>669</v>
      </c>
      <c r="M458" s="46">
        <v>380</v>
      </c>
      <c r="N458" s="46" t="s">
        <v>689</v>
      </c>
      <c r="O458" s="46" t="s">
        <v>71</v>
      </c>
      <c r="P458" s="46">
        <v>0</v>
      </c>
      <c r="Q458" s="46" t="s">
        <v>670</v>
      </c>
      <c r="R458" s="46" t="s">
        <v>23</v>
      </c>
      <c r="S458" s="46" t="s">
        <v>671</v>
      </c>
      <c r="T458" s="46" t="s">
        <v>672</v>
      </c>
      <c r="U458" s="46" t="b">
        <v>1</v>
      </c>
      <c r="V458" s="46" t="s">
        <v>985</v>
      </c>
      <c r="W458" s="46" t="s">
        <v>984</v>
      </c>
      <c r="X458" s="46">
        <v>6</v>
      </c>
      <c r="Y458" s="46" t="b">
        <v>1</v>
      </c>
      <c r="Z458" s="46" t="s">
        <v>675</v>
      </c>
      <c r="AA458" s="46" t="s">
        <v>676</v>
      </c>
      <c r="AB458" s="46" t="s">
        <v>677</v>
      </c>
      <c r="AC458" s="46">
        <v>0</v>
      </c>
      <c r="AD458" s="46" t="s">
        <v>678</v>
      </c>
      <c r="AE458" s="46">
        <v>8</v>
      </c>
      <c r="AF458" s="46" t="s">
        <v>679</v>
      </c>
      <c r="AG458" s="46">
        <v>90097.702000000005</v>
      </c>
      <c r="AH458" s="46" t="b">
        <v>1</v>
      </c>
      <c r="AI458" s="46">
        <v>-1</v>
      </c>
      <c r="AJ458" s="46" t="s">
        <v>680</v>
      </c>
      <c r="AK458" s="46">
        <v>0</v>
      </c>
      <c r="AL458" s="46" t="b">
        <v>0</v>
      </c>
      <c r="AM458" s="46">
        <v>90097.702000000005</v>
      </c>
      <c r="AN458" s="46" t="b">
        <v>1</v>
      </c>
      <c r="AO458" s="46">
        <v>0</v>
      </c>
      <c r="AP458" s="46" t="b">
        <v>0</v>
      </c>
      <c r="AQ458" s="46">
        <v>425164.39399999997</v>
      </c>
      <c r="AS458" s="46">
        <v>425164.39399999997</v>
      </c>
      <c r="AT458" s="46">
        <v>6</v>
      </c>
      <c r="AU458" s="46" t="b">
        <v>1</v>
      </c>
      <c r="AV458" s="46" t="b">
        <v>0</v>
      </c>
    </row>
    <row r="459" spans="2:48">
      <c r="B459" s="46" t="s">
        <v>665</v>
      </c>
      <c r="C459" s="46" t="s">
        <v>666</v>
      </c>
      <c r="D459" s="46">
        <v>20240101</v>
      </c>
      <c r="E459" s="46">
        <v>2024</v>
      </c>
      <c r="F459" s="46">
        <v>1</v>
      </c>
      <c r="G459" s="46" t="s">
        <v>667</v>
      </c>
      <c r="H459" s="46">
        <v>818</v>
      </c>
      <c r="I459" s="46" t="s">
        <v>668</v>
      </c>
      <c r="J459" s="46" t="s">
        <v>57</v>
      </c>
      <c r="K459" s="46" t="s">
        <v>666</v>
      </c>
      <c r="L459" s="46" t="s">
        <v>669</v>
      </c>
      <c r="M459" s="46">
        <v>392</v>
      </c>
      <c r="N459" s="46" t="s">
        <v>747</v>
      </c>
      <c r="O459" s="46" t="s">
        <v>32</v>
      </c>
      <c r="P459" s="46">
        <v>0</v>
      </c>
      <c r="Q459" s="46" t="s">
        <v>670</v>
      </c>
      <c r="R459" s="46" t="s">
        <v>23</v>
      </c>
      <c r="S459" s="46" t="s">
        <v>671</v>
      </c>
      <c r="T459" s="46" t="s">
        <v>672</v>
      </c>
      <c r="U459" s="46" t="b">
        <v>1</v>
      </c>
      <c r="V459" s="46" t="s">
        <v>985</v>
      </c>
      <c r="W459" s="46" t="s">
        <v>984</v>
      </c>
      <c r="X459" s="46">
        <v>6</v>
      </c>
      <c r="Y459" s="46" t="b">
        <v>1</v>
      </c>
      <c r="Z459" s="46" t="s">
        <v>675</v>
      </c>
      <c r="AA459" s="46" t="s">
        <v>676</v>
      </c>
      <c r="AB459" s="46" t="s">
        <v>677</v>
      </c>
      <c r="AC459" s="46">
        <v>0</v>
      </c>
      <c r="AD459" s="46" t="s">
        <v>678</v>
      </c>
      <c r="AE459" s="46">
        <v>8</v>
      </c>
      <c r="AF459" s="46" t="s">
        <v>679</v>
      </c>
      <c r="AG459" s="46">
        <v>4014.1190000000001</v>
      </c>
      <c r="AH459" s="46" t="b">
        <v>1</v>
      </c>
      <c r="AI459" s="46">
        <v>-1</v>
      </c>
      <c r="AJ459" s="46" t="s">
        <v>680</v>
      </c>
      <c r="AK459" s="46">
        <v>0</v>
      </c>
      <c r="AL459" s="46" t="b">
        <v>0</v>
      </c>
      <c r="AM459" s="46">
        <v>4014.1190000000001</v>
      </c>
      <c r="AN459" s="46" t="b">
        <v>1</v>
      </c>
      <c r="AO459" s="46">
        <v>0</v>
      </c>
      <c r="AP459" s="46" t="b">
        <v>0</v>
      </c>
      <c r="AQ459" s="46">
        <v>18942.331999999999</v>
      </c>
      <c r="AS459" s="46">
        <v>18942.331999999999</v>
      </c>
      <c r="AT459" s="46">
        <v>6</v>
      </c>
      <c r="AU459" s="46" t="b">
        <v>1</v>
      </c>
      <c r="AV459" s="46" t="b">
        <v>0</v>
      </c>
    </row>
    <row r="460" spans="2:48">
      <c r="B460" s="46" t="s">
        <v>665</v>
      </c>
      <c r="C460" s="46" t="s">
        <v>666</v>
      </c>
      <c r="D460" s="46">
        <v>20240501</v>
      </c>
      <c r="E460" s="46">
        <v>2024</v>
      </c>
      <c r="F460" s="46">
        <v>5</v>
      </c>
      <c r="G460" s="46" t="s">
        <v>699</v>
      </c>
      <c r="H460" s="46">
        <v>818</v>
      </c>
      <c r="I460" s="46" t="s">
        <v>668</v>
      </c>
      <c r="J460" s="46" t="s">
        <v>57</v>
      </c>
      <c r="K460" s="46" t="s">
        <v>666</v>
      </c>
      <c r="L460" s="46" t="s">
        <v>669</v>
      </c>
      <c r="M460" s="46">
        <v>392</v>
      </c>
      <c r="N460" s="46" t="s">
        <v>747</v>
      </c>
      <c r="O460" s="46" t="s">
        <v>32</v>
      </c>
      <c r="P460" s="46">
        <v>0</v>
      </c>
      <c r="Q460" s="46" t="s">
        <v>670</v>
      </c>
      <c r="R460" s="46" t="s">
        <v>23</v>
      </c>
      <c r="S460" s="46" t="s">
        <v>671</v>
      </c>
      <c r="T460" s="46" t="s">
        <v>672</v>
      </c>
      <c r="U460" s="46" t="b">
        <v>1</v>
      </c>
      <c r="V460" s="46" t="s">
        <v>985</v>
      </c>
      <c r="W460" s="46" t="s">
        <v>984</v>
      </c>
      <c r="X460" s="46">
        <v>6</v>
      </c>
      <c r="Y460" s="46" t="b">
        <v>1</v>
      </c>
      <c r="Z460" s="46" t="s">
        <v>675</v>
      </c>
      <c r="AA460" s="46" t="s">
        <v>676</v>
      </c>
      <c r="AB460" s="46" t="s">
        <v>677</v>
      </c>
      <c r="AC460" s="46">
        <v>0</v>
      </c>
      <c r="AD460" s="46" t="s">
        <v>678</v>
      </c>
      <c r="AE460" s="46">
        <v>8</v>
      </c>
      <c r="AF460" s="46" t="s">
        <v>679</v>
      </c>
      <c r="AG460" s="46">
        <v>17123.437999999998</v>
      </c>
      <c r="AH460" s="46" t="b">
        <v>1</v>
      </c>
      <c r="AI460" s="46">
        <v>-1</v>
      </c>
      <c r="AJ460" s="46" t="s">
        <v>680</v>
      </c>
      <c r="AK460" s="46">
        <v>0</v>
      </c>
      <c r="AL460" s="46" t="b">
        <v>0</v>
      </c>
      <c r="AM460" s="46">
        <v>17123.437999999998</v>
      </c>
      <c r="AN460" s="46" t="b">
        <v>1</v>
      </c>
      <c r="AO460" s="46">
        <v>0</v>
      </c>
      <c r="AP460" s="46" t="b">
        <v>0</v>
      </c>
      <c r="AQ460" s="46">
        <v>80804.236000000004</v>
      </c>
      <c r="AS460" s="46">
        <v>80804.236000000004</v>
      </c>
      <c r="AT460" s="46">
        <v>6</v>
      </c>
      <c r="AU460" s="46" t="b">
        <v>1</v>
      </c>
      <c r="AV460" s="46" t="b">
        <v>0</v>
      </c>
    </row>
    <row r="461" spans="2:48">
      <c r="B461" s="46" t="s">
        <v>665</v>
      </c>
      <c r="C461" s="46" t="s">
        <v>666</v>
      </c>
      <c r="D461" s="46">
        <v>20240601</v>
      </c>
      <c r="E461" s="46">
        <v>2024</v>
      </c>
      <c r="F461" s="46">
        <v>6</v>
      </c>
      <c r="G461" s="46" t="s">
        <v>700</v>
      </c>
      <c r="H461" s="46">
        <v>818</v>
      </c>
      <c r="I461" s="46" t="s">
        <v>668</v>
      </c>
      <c r="J461" s="46" t="s">
        <v>57</v>
      </c>
      <c r="K461" s="46" t="s">
        <v>666</v>
      </c>
      <c r="L461" s="46" t="s">
        <v>669</v>
      </c>
      <c r="M461" s="46">
        <v>392</v>
      </c>
      <c r="N461" s="46" t="s">
        <v>747</v>
      </c>
      <c r="O461" s="46" t="s">
        <v>32</v>
      </c>
      <c r="P461" s="46">
        <v>0</v>
      </c>
      <c r="Q461" s="46" t="s">
        <v>670</v>
      </c>
      <c r="R461" s="46" t="s">
        <v>23</v>
      </c>
      <c r="S461" s="46" t="s">
        <v>671</v>
      </c>
      <c r="T461" s="46" t="s">
        <v>672</v>
      </c>
      <c r="U461" s="46" t="b">
        <v>1</v>
      </c>
      <c r="V461" s="46" t="s">
        <v>985</v>
      </c>
      <c r="W461" s="46" t="s">
        <v>984</v>
      </c>
      <c r="X461" s="46">
        <v>6</v>
      </c>
      <c r="Y461" s="46" t="b">
        <v>1</v>
      </c>
      <c r="Z461" s="46" t="s">
        <v>675</v>
      </c>
      <c r="AA461" s="46" t="s">
        <v>676</v>
      </c>
      <c r="AB461" s="46" t="s">
        <v>677</v>
      </c>
      <c r="AC461" s="46">
        <v>0</v>
      </c>
      <c r="AD461" s="46" t="s">
        <v>678</v>
      </c>
      <c r="AE461" s="46">
        <v>8</v>
      </c>
      <c r="AF461" s="46" t="s">
        <v>679</v>
      </c>
      <c r="AG461" s="46">
        <v>480.32</v>
      </c>
      <c r="AH461" s="46" t="b">
        <v>1</v>
      </c>
      <c r="AI461" s="46">
        <v>-1</v>
      </c>
      <c r="AJ461" s="46" t="s">
        <v>680</v>
      </c>
      <c r="AK461" s="46">
        <v>0</v>
      </c>
      <c r="AL461" s="46" t="b">
        <v>0</v>
      </c>
      <c r="AM461" s="46">
        <v>480.32</v>
      </c>
      <c r="AN461" s="46" t="b">
        <v>1</v>
      </c>
      <c r="AO461" s="46">
        <v>0</v>
      </c>
      <c r="AP461" s="46" t="b">
        <v>0</v>
      </c>
      <c r="AQ461" s="46">
        <v>2266.5920000000001</v>
      </c>
      <c r="AS461" s="46">
        <v>2266.5920000000001</v>
      </c>
      <c r="AT461" s="46">
        <v>6</v>
      </c>
      <c r="AU461" s="46" t="b">
        <v>1</v>
      </c>
      <c r="AV461" s="46" t="b">
        <v>0</v>
      </c>
    </row>
    <row r="462" spans="2:48">
      <c r="B462" s="46" t="s">
        <v>665</v>
      </c>
      <c r="C462" s="46" t="s">
        <v>666</v>
      </c>
      <c r="D462" s="46">
        <v>20240301</v>
      </c>
      <c r="E462" s="46">
        <v>2024</v>
      </c>
      <c r="F462" s="46">
        <v>3</v>
      </c>
      <c r="G462" s="46" t="s">
        <v>692</v>
      </c>
      <c r="H462" s="46">
        <v>818</v>
      </c>
      <c r="I462" s="46" t="s">
        <v>668</v>
      </c>
      <c r="J462" s="46" t="s">
        <v>57</v>
      </c>
      <c r="K462" s="46" t="s">
        <v>666</v>
      </c>
      <c r="L462" s="46" t="s">
        <v>669</v>
      </c>
      <c r="M462" s="46">
        <v>392</v>
      </c>
      <c r="N462" s="46" t="s">
        <v>747</v>
      </c>
      <c r="O462" s="46" t="s">
        <v>32</v>
      </c>
      <c r="P462" s="46">
        <v>0</v>
      </c>
      <c r="Q462" s="46" t="s">
        <v>670</v>
      </c>
      <c r="R462" s="46" t="s">
        <v>23</v>
      </c>
      <c r="S462" s="46" t="s">
        <v>671</v>
      </c>
      <c r="T462" s="46" t="s">
        <v>672</v>
      </c>
      <c r="U462" s="46" t="b">
        <v>1</v>
      </c>
      <c r="V462" s="46" t="s">
        <v>985</v>
      </c>
      <c r="W462" s="46" t="s">
        <v>984</v>
      </c>
      <c r="X462" s="46">
        <v>6</v>
      </c>
      <c r="Y462" s="46" t="b">
        <v>1</v>
      </c>
      <c r="Z462" s="46" t="s">
        <v>675</v>
      </c>
      <c r="AA462" s="46" t="s">
        <v>676</v>
      </c>
      <c r="AB462" s="46" t="s">
        <v>677</v>
      </c>
      <c r="AC462" s="46">
        <v>0</v>
      </c>
      <c r="AD462" s="46" t="s">
        <v>678</v>
      </c>
      <c r="AE462" s="46">
        <v>8</v>
      </c>
      <c r="AF462" s="46" t="s">
        <v>679</v>
      </c>
      <c r="AG462" s="46">
        <v>40.411000000000001</v>
      </c>
      <c r="AH462" s="46" t="b">
        <v>1</v>
      </c>
      <c r="AI462" s="46">
        <v>-1</v>
      </c>
      <c r="AJ462" s="46" t="s">
        <v>680</v>
      </c>
      <c r="AK462" s="46">
        <v>0</v>
      </c>
      <c r="AL462" s="46" t="b">
        <v>0</v>
      </c>
      <c r="AM462" s="46">
        <v>40.411000000000001</v>
      </c>
      <c r="AN462" s="46" t="b">
        <v>1</v>
      </c>
      <c r="AO462" s="46">
        <v>0</v>
      </c>
      <c r="AP462" s="46" t="b">
        <v>0</v>
      </c>
      <c r="AQ462" s="46">
        <v>190.696</v>
      </c>
      <c r="AS462" s="46">
        <v>190.696</v>
      </c>
      <c r="AT462" s="46">
        <v>6</v>
      </c>
      <c r="AU462" s="46" t="b">
        <v>1</v>
      </c>
      <c r="AV462" s="46" t="b">
        <v>0</v>
      </c>
    </row>
    <row r="463" spans="2:48">
      <c r="B463" s="46" t="s">
        <v>665</v>
      </c>
      <c r="C463" s="46" t="s">
        <v>666</v>
      </c>
      <c r="D463" s="46">
        <v>20240401</v>
      </c>
      <c r="E463" s="46">
        <v>2024</v>
      </c>
      <c r="F463" s="46">
        <v>4</v>
      </c>
      <c r="G463" s="46" t="s">
        <v>695</v>
      </c>
      <c r="H463" s="46">
        <v>818</v>
      </c>
      <c r="I463" s="46" t="s">
        <v>668</v>
      </c>
      <c r="J463" s="46" t="s">
        <v>57</v>
      </c>
      <c r="K463" s="46" t="s">
        <v>666</v>
      </c>
      <c r="L463" s="46" t="s">
        <v>669</v>
      </c>
      <c r="M463" s="46">
        <v>392</v>
      </c>
      <c r="N463" s="46" t="s">
        <v>747</v>
      </c>
      <c r="O463" s="46" t="s">
        <v>32</v>
      </c>
      <c r="P463" s="46">
        <v>0</v>
      </c>
      <c r="Q463" s="46" t="s">
        <v>670</v>
      </c>
      <c r="R463" s="46" t="s">
        <v>23</v>
      </c>
      <c r="S463" s="46" t="s">
        <v>671</v>
      </c>
      <c r="T463" s="46" t="s">
        <v>672</v>
      </c>
      <c r="U463" s="46" t="b">
        <v>1</v>
      </c>
      <c r="V463" s="46" t="s">
        <v>985</v>
      </c>
      <c r="W463" s="46" t="s">
        <v>984</v>
      </c>
      <c r="X463" s="46">
        <v>6</v>
      </c>
      <c r="Y463" s="46" t="b">
        <v>1</v>
      </c>
      <c r="Z463" s="46" t="s">
        <v>675</v>
      </c>
      <c r="AA463" s="46" t="s">
        <v>676</v>
      </c>
      <c r="AB463" s="46" t="s">
        <v>677</v>
      </c>
      <c r="AC463" s="46">
        <v>0</v>
      </c>
      <c r="AD463" s="46" t="s">
        <v>678</v>
      </c>
      <c r="AE463" s="46">
        <v>8</v>
      </c>
      <c r="AF463" s="46" t="s">
        <v>679</v>
      </c>
      <c r="AG463" s="46">
        <v>4182.3559999999998</v>
      </c>
      <c r="AH463" s="46" t="b">
        <v>1</v>
      </c>
      <c r="AI463" s="46">
        <v>-1</v>
      </c>
      <c r="AJ463" s="46" t="s">
        <v>680</v>
      </c>
      <c r="AK463" s="46">
        <v>0</v>
      </c>
      <c r="AL463" s="46" t="b">
        <v>0</v>
      </c>
      <c r="AM463" s="46">
        <v>4182.3559999999998</v>
      </c>
      <c r="AN463" s="46" t="b">
        <v>1</v>
      </c>
      <c r="AO463" s="46">
        <v>0</v>
      </c>
      <c r="AP463" s="46" t="b">
        <v>0</v>
      </c>
      <c r="AQ463" s="46">
        <v>19736.231</v>
      </c>
      <c r="AS463" s="46">
        <v>19736.231</v>
      </c>
      <c r="AT463" s="46">
        <v>6</v>
      </c>
      <c r="AU463" s="46" t="b">
        <v>1</v>
      </c>
      <c r="AV463" s="46" t="b">
        <v>0</v>
      </c>
    </row>
    <row r="464" spans="2:48">
      <c r="B464" s="46" t="s">
        <v>665</v>
      </c>
      <c r="C464" s="46" t="s">
        <v>666</v>
      </c>
      <c r="D464" s="46">
        <v>20240601</v>
      </c>
      <c r="E464" s="46">
        <v>2024</v>
      </c>
      <c r="F464" s="46">
        <v>6</v>
      </c>
      <c r="G464" s="46" t="s">
        <v>700</v>
      </c>
      <c r="H464" s="46">
        <v>818</v>
      </c>
      <c r="I464" s="46" t="s">
        <v>668</v>
      </c>
      <c r="J464" s="46" t="s">
        <v>57</v>
      </c>
      <c r="K464" s="46" t="s">
        <v>666</v>
      </c>
      <c r="L464" s="46" t="s">
        <v>669</v>
      </c>
      <c r="M464" s="46">
        <v>400</v>
      </c>
      <c r="N464" s="46" t="s">
        <v>1003</v>
      </c>
      <c r="O464" s="46" t="s">
        <v>214</v>
      </c>
      <c r="P464" s="46">
        <v>0</v>
      </c>
      <c r="Q464" s="46" t="s">
        <v>670</v>
      </c>
      <c r="R464" s="46" t="s">
        <v>23</v>
      </c>
      <c r="S464" s="46" t="s">
        <v>671</v>
      </c>
      <c r="T464" s="46" t="s">
        <v>672</v>
      </c>
      <c r="U464" s="46" t="b">
        <v>1</v>
      </c>
      <c r="V464" s="46" t="s">
        <v>985</v>
      </c>
      <c r="W464" s="46" t="s">
        <v>984</v>
      </c>
      <c r="X464" s="46">
        <v>6</v>
      </c>
      <c r="Y464" s="46" t="b">
        <v>1</v>
      </c>
      <c r="Z464" s="46" t="s">
        <v>675</v>
      </c>
      <c r="AA464" s="46" t="s">
        <v>676</v>
      </c>
      <c r="AB464" s="46" t="s">
        <v>677</v>
      </c>
      <c r="AC464" s="46">
        <v>0</v>
      </c>
      <c r="AD464" s="46" t="s">
        <v>678</v>
      </c>
      <c r="AE464" s="46">
        <v>8</v>
      </c>
      <c r="AF464" s="46" t="s">
        <v>679</v>
      </c>
      <c r="AG464" s="46">
        <v>74464.932000000001</v>
      </c>
      <c r="AH464" s="46" t="b">
        <v>1</v>
      </c>
      <c r="AI464" s="46">
        <v>-1</v>
      </c>
      <c r="AJ464" s="46" t="s">
        <v>680</v>
      </c>
      <c r="AK464" s="46">
        <v>0</v>
      </c>
      <c r="AL464" s="46" t="b">
        <v>0</v>
      </c>
      <c r="AM464" s="46">
        <v>74464.932000000001</v>
      </c>
      <c r="AN464" s="46" t="b">
        <v>1</v>
      </c>
      <c r="AO464" s="46">
        <v>0</v>
      </c>
      <c r="AP464" s="46" t="b">
        <v>0</v>
      </c>
      <c r="AQ464" s="46">
        <v>351394.50799999997</v>
      </c>
      <c r="AS464" s="46">
        <v>351394.50799999997</v>
      </c>
      <c r="AT464" s="46">
        <v>6</v>
      </c>
      <c r="AU464" s="46" t="b">
        <v>1</v>
      </c>
      <c r="AV464" s="46" t="b">
        <v>0</v>
      </c>
    </row>
    <row r="465" spans="2:48">
      <c r="B465" s="46" t="s">
        <v>665</v>
      </c>
      <c r="C465" s="46" t="s">
        <v>666</v>
      </c>
      <c r="D465" s="46">
        <v>20240401</v>
      </c>
      <c r="E465" s="46">
        <v>2024</v>
      </c>
      <c r="F465" s="46">
        <v>4</v>
      </c>
      <c r="G465" s="46" t="s">
        <v>695</v>
      </c>
      <c r="H465" s="46">
        <v>818</v>
      </c>
      <c r="I465" s="46" t="s">
        <v>668</v>
      </c>
      <c r="J465" s="46" t="s">
        <v>57</v>
      </c>
      <c r="K465" s="46" t="s">
        <v>666</v>
      </c>
      <c r="L465" s="46" t="s">
        <v>669</v>
      </c>
      <c r="M465" s="46">
        <v>400</v>
      </c>
      <c r="N465" s="46" t="s">
        <v>1003</v>
      </c>
      <c r="O465" s="46" t="s">
        <v>214</v>
      </c>
      <c r="P465" s="46">
        <v>0</v>
      </c>
      <c r="Q465" s="46" t="s">
        <v>670</v>
      </c>
      <c r="R465" s="46" t="s">
        <v>23</v>
      </c>
      <c r="S465" s="46" t="s">
        <v>671</v>
      </c>
      <c r="T465" s="46" t="s">
        <v>672</v>
      </c>
      <c r="U465" s="46" t="b">
        <v>1</v>
      </c>
      <c r="V465" s="46" t="s">
        <v>985</v>
      </c>
      <c r="W465" s="46" t="s">
        <v>984</v>
      </c>
      <c r="X465" s="46">
        <v>6</v>
      </c>
      <c r="Y465" s="46" t="b">
        <v>1</v>
      </c>
      <c r="Z465" s="46" t="s">
        <v>675</v>
      </c>
      <c r="AA465" s="46" t="s">
        <v>676</v>
      </c>
      <c r="AB465" s="46" t="s">
        <v>677</v>
      </c>
      <c r="AC465" s="46">
        <v>0</v>
      </c>
      <c r="AD465" s="46" t="s">
        <v>678</v>
      </c>
      <c r="AE465" s="46">
        <v>8</v>
      </c>
      <c r="AF465" s="46" t="s">
        <v>679</v>
      </c>
      <c r="AG465" s="46">
        <v>24033.437999999998</v>
      </c>
      <c r="AH465" s="46" t="b">
        <v>1</v>
      </c>
      <c r="AI465" s="46">
        <v>-1</v>
      </c>
      <c r="AJ465" s="46" t="s">
        <v>680</v>
      </c>
      <c r="AK465" s="46">
        <v>0</v>
      </c>
      <c r="AL465" s="46" t="b">
        <v>0</v>
      </c>
      <c r="AM465" s="46">
        <v>24033.437999999998</v>
      </c>
      <c r="AN465" s="46" t="b">
        <v>1</v>
      </c>
      <c r="AO465" s="46">
        <v>0</v>
      </c>
      <c r="AP465" s="46" t="b">
        <v>0</v>
      </c>
      <c r="AQ465" s="46">
        <v>113412.016</v>
      </c>
      <c r="AS465" s="46">
        <v>113412.016</v>
      </c>
      <c r="AT465" s="46">
        <v>6</v>
      </c>
      <c r="AU465" s="46" t="b">
        <v>1</v>
      </c>
      <c r="AV465" s="46" t="b">
        <v>0</v>
      </c>
    </row>
    <row r="466" spans="2:48">
      <c r="B466" s="46" t="s">
        <v>665</v>
      </c>
      <c r="C466" s="46" t="s">
        <v>666</v>
      </c>
      <c r="D466" s="46">
        <v>20240101</v>
      </c>
      <c r="E466" s="46">
        <v>2024</v>
      </c>
      <c r="F466" s="46">
        <v>1</v>
      </c>
      <c r="G466" s="46" t="s">
        <v>667</v>
      </c>
      <c r="H466" s="46">
        <v>818</v>
      </c>
      <c r="I466" s="46" t="s">
        <v>668</v>
      </c>
      <c r="J466" s="46" t="s">
        <v>57</v>
      </c>
      <c r="K466" s="46" t="s">
        <v>666</v>
      </c>
      <c r="L466" s="46" t="s">
        <v>669</v>
      </c>
      <c r="M466" s="46">
        <v>410</v>
      </c>
      <c r="N466" s="46" t="s">
        <v>754</v>
      </c>
      <c r="O466" s="46" t="s">
        <v>755</v>
      </c>
      <c r="P466" s="46">
        <v>0</v>
      </c>
      <c r="Q466" s="46" t="s">
        <v>670</v>
      </c>
      <c r="R466" s="46" t="s">
        <v>23</v>
      </c>
      <c r="S466" s="46" t="s">
        <v>671</v>
      </c>
      <c r="T466" s="46" t="s">
        <v>672</v>
      </c>
      <c r="U466" s="46" t="b">
        <v>1</v>
      </c>
      <c r="V466" s="46" t="s">
        <v>985</v>
      </c>
      <c r="W466" s="46" t="s">
        <v>984</v>
      </c>
      <c r="X466" s="46">
        <v>6</v>
      </c>
      <c r="Y466" s="46" t="b">
        <v>1</v>
      </c>
      <c r="Z466" s="46" t="s">
        <v>675</v>
      </c>
      <c r="AA466" s="46" t="s">
        <v>676</v>
      </c>
      <c r="AB466" s="46" t="s">
        <v>677</v>
      </c>
      <c r="AC466" s="46">
        <v>0</v>
      </c>
      <c r="AD466" s="46" t="s">
        <v>678</v>
      </c>
      <c r="AE466" s="46">
        <v>8</v>
      </c>
      <c r="AF466" s="46" t="s">
        <v>679</v>
      </c>
      <c r="AG466" s="46">
        <v>27122.964</v>
      </c>
      <c r="AH466" s="46" t="b">
        <v>1</v>
      </c>
      <c r="AI466" s="46">
        <v>-1</v>
      </c>
      <c r="AJ466" s="46" t="s">
        <v>680</v>
      </c>
      <c r="AK466" s="46">
        <v>0</v>
      </c>
      <c r="AL466" s="46" t="b">
        <v>0</v>
      </c>
      <c r="AM466" s="46">
        <v>27122.964</v>
      </c>
      <c r="AN466" s="46" t="b">
        <v>1</v>
      </c>
      <c r="AO466" s="46">
        <v>0</v>
      </c>
      <c r="AP466" s="46" t="b">
        <v>0</v>
      </c>
      <c r="AQ466" s="46">
        <v>127991.26300000001</v>
      </c>
      <c r="AS466" s="46">
        <v>127991.26300000001</v>
      </c>
      <c r="AT466" s="46">
        <v>6</v>
      </c>
      <c r="AU466" s="46" t="b">
        <v>1</v>
      </c>
      <c r="AV466" s="46" t="b">
        <v>0</v>
      </c>
    </row>
    <row r="467" spans="2:48">
      <c r="B467" s="46" t="s">
        <v>665</v>
      </c>
      <c r="C467" s="46" t="s">
        <v>666</v>
      </c>
      <c r="D467" s="46">
        <v>20240501</v>
      </c>
      <c r="E467" s="46">
        <v>2024</v>
      </c>
      <c r="F467" s="46">
        <v>5</v>
      </c>
      <c r="G467" s="46" t="s">
        <v>699</v>
      </c>
      <c r="H467" s="46">
        <v>818</v>
      </c>
      <c r="I467" s="46" t="s">
        <v>668</v>
      </c>
      <c r="J467" s="46" t="s">
        <v>57</v>
      </c>
      <c r="K467" s="46" t="s">
        <v>666</v>
      </c>
      <c r="L467" s="46" t="s">
        <v>669</v>
      </c>
      <c r="M467" s="46">
        <v>410</v>
      </c>
      <c r="N467" s="46" t="s">
        <v>754</v>
      </c>
      <c r="O467" s="46" t="s">
        <v>755</v>
      </c>
      <c r="P467" s="46">
        <v>0</v>
      </c>
      <c r="Q467" s="46" t="s">
        <v>670</v>
      </c>
      <c r="R467" s="46" t="s">
        <v>23</v>
      </c>
      <c r="S467" s="46" t="s">
        <v>671</v>
      </c>
      <c r="T467" s="46" t="s">
        <v>672</v>
      </c>
      <c r="U467" s="46" t="b">
        <v>1</v>
      </c>
      <c r="V467" s="46" t="s">
        <v>985</v>
      </c>
      <c r="W467" s="46" t="s">
        <v>984</v>
      </c>
      <c r="X467" s="46">
        <v>6</v>
      </c>
      <c r="Y467" s="46" t="b">
        <v>1</v>
      </c>
      <c r="Z467" s="46" t="s">
        <v>675</v>
      </c>
      <c r="AA467" s="46" t="s">
        <v>676</v>
      </c>
      <c r="AB467" s="46" t="s">
        <v>677</v>
      </c>
      <c r="AC467" s="46">
        <v>0</v>
      </c>
      <c r="AD467" s="46" t="s">
        <v>678</v>
      </c>
      <c r="AE467" s="46">
        <v>8</v>
      </c>
      <c r="AF467" s="46" t="s">
        <v>679</v>
      </c>
      <c r="AG467" s="46">
        <v>64718.114000000001</v>
      </c>
      <c r="AH467" s="46" t="b">
        <v>1</v>
      </c>
      <c r="AI467" s="46">
        <v>-1</v>
      </c>
      <c r="AJ467" s="46" t="s">
        <v>680</v>
      </c>
      <c r="AK467" s="46">
        <v>0</v>
      </c>
      <c r="AL467" s="46" t="b">
        <v>0</v>
      </c>
      <c r="AM467" s="46">
        <v>64718.114000000001</v>
      </c>
      <c r="AN467" s="46" t="b">
        <v>1</v>
      </c>
      <c r="AO467" s="46">
        <v>0</v>
      </c>
      <c r="AP467" s="46" t="b">
        <v>0</v>
      </c>
      <c r="AQ467" s="46">
        <v>305399.995</v>
      </c>
      <c r="AS467" s="46">
        <v>305399.995</v>
      </c>
      <c r="AT467" s="46">
        <v>6</v>
      </c>
      <c r="AU467" s="46" t="b">
        <v>1</v>
      </c>
      <c r="AV467" s="46" t="b">
        <v>0</v>
      </c>
    </row>
    <row r="468" spans="2:48">
      <c r="B468" s="46" t="s">
        <v>665</v>
      </c>
      <c r="C468" s="46" t="s">
        <v>666</v>
      </c>
      <c r="D468" s="46">
        <v>20240601</v>
      </c>
      <c r="E468" s="46">
        <v>2024</v>
      </c>
      <c r="F468" s="46">
        <v>6</v>
      </c>
      <c r="G468" s="46" t="s">
        <v>700</v>
      </c>
      <c r="H468" s="46">
        <v>818</v>
      </c>
      <c r="I468" s="46" t="s">
        <v>668</v>
      </c>
      <c r="J468" s="46" t="s">
        <v>57</v>
      </c>
      <c r="K468" s="46" t="s">
        <v>666</v>
      </c>
      <c r="L468" s="46" t="s">
        <v>669</v>
      </c>
      <c r="M468" s="46">
        <v>410</v>
      </c>
      <c r="N468" s="46" t="s">
        <v>754</v>
      </c>
      <c r="O468" s="46" t="s">
        <v>755</v>
      </c>
      <c r="P468" s="46">
        <v>0</v>
      </c>
      <c r="Q468" s="46" t="s">
        <v>670</v>
      </c>
      <c r="R468" s="46" t="s">
        <v>23</v>
      </c>
      <c r="S468" s="46" t="s">
        <v>671</v>
      </c>
      <c r="T468" s="46" t="s">
        <v>672</v>
      </c>
      <c r="U468" s="46" t="b">
        <v>1</v>
      </c>
      <c r="V468" s="46" t="s">
        <v>985</v>
      </c>
      <c r="W468" s="46" t="s">
        <v>984</v>
      </c>
      <c r="X468" s="46">
        <v>6</v>
      </c>
      <c r="Y468" s="46" t="b">
        <v>1</v>
      </c>
      <c r="Z468" s="46" t="s">
        <v>675</v>
      </c>
      <c r="AA468" s="46" t="s">
        <v>676</v>
      </c>
      <c r="AB468" s="46" t="s">
        <v>677</v>
      </c>
      <c r="AC468" s="46">
        <v>0</v>
      </c>
      <c r="AD468" s="46" t="s">
        <v>678</v>
      </c>
      <c r="AE468" s="46">
        <v>8</v>
      </c>
      <c r="AF468" s="46" t="s">
        <v>679</v>
      </c>
      <c r="AG468" s="46">
        <v>33870.203000000001</v>
      </c>
      <c r="AH468" s="46" t="b">
        <v>1</v>
      </c>
      <c r="AI468" s="46">
        <v>-1</v>
      </c>
      <c r="AJ468" s="46" t="s">
        <v>680</v>
      </c>
      <c r="AK468" s="46">
        <v>0</v>
      </c>
      <c r="AL468" s="46" t="b">
        <v>0</v>
      </c>
      <c r="AM468" s="46">
        <v>33870.203000000001</v>
      </c>
      <c r="AN468" s="46" t="b">
        <v>1</v>
      </c>
      <c r="AO468" s="46">
        <v>0</v>
      </c>
      <c r="AP468" s="46" t="b">
        <v>0</v>
      </c>
      <c r="AQ468" s="46">
        <v>159830.98499999999</v>
      </c>
      <c r="AS468" s="46">
        <v>159830.98499999999</v>
      </c>
      <c r="AT468" s="46">
        <v>6</v>
      </c>
      <c r="AU468" s="46" t="b">
        <v>1</v>
      </c>
      <c r="AV468" s="46" t="b">
        <v>0</v>
      </c>
    </row>
    <row r="469" spans="2:48">
      <c r="B469" s="46" t="s">
        <v>665</v>
      </c>
      <c r="C469" s="46" t="s">
        <v>666</v>
      </c>
      <c r="D469" s="46">
        <v>20240401</v>
      </c>
      <c r="E469" s="46">
        <v>2024</v>
      </c>
      <c r="F469" s="46">
        <v>4</v>
      </c>
      <c r="G469" s="46" t="s">
        <v>695</v>
      </c>
      <c r="H469" s="46">
        <v>818</v>
      </c>
      <c r="I469" s="46" t="s">
        <v>668</v>
      </c>
      <c r="J469" s="46" t="s">
        <v>57</v>
      </c>
      <c r="K469" s="46" t="s">
        <v>666</v>
      </c>
      <c r="L469" s="46" t="s">
        <v>669</v>
      </c>
      <c r="M469" s="46">
        <v>410</v>
      </c>
      <c r="N469" s="46" t="s">
        <v>754</v>
      </c>
      <c r="O469" s="46" t="s">
        <v>755</v>
      </c>
      <c r="P469" s="46">
        <v>0</v>
      </c>
      <c r="Q469" s="46" t="s">
        <v>670</v>
      </c>
      <c r="R469" s="46" t="s">
        <v>23</v>
      </c>
      <c r="S469" s="46" t="s">
        <v>671</v>
      </c>
      <c r="T469" s="46" t="s">
        <v>672</v>
      </c>
      <c r="U469" s="46" t="b">
        <v>1</v>
      </c>
      <c r="V469" s="46" t="s">
        <v>985</v>
      </c>
      <c r="W469" s="46" t="s">
        <v>984</v>
      </c>
      <c r="X469" s="46">
        <v>6</v>
      </c>
      <c r="Y469" s="46" t="b">
        <v>1</v>
      </c>
      <c r="Z469" s="46" t="s">
        <v>675</v>
      </c>
      <c r="AA469" s="46" t="s">
        <v>676</v>
      </c>
      <c r="AB469" s="46" t="s">
        <v>677</v>
      </c>
      <c r="AC469" s="46">
        <v>0</v>
      </c>
      <c r="AD469" s="46" t="s">
        <v>678</v>
      </c>
      <c r="AE469" s="46">
        <v>8</v>
      </c>
      <c r="AF469" s="46" t="s">
        <v>679</v>
      </c>
      <c r="AG469" s="46">
        <v>34794.667999999998</v>
      </c>
      <c r="AH469" s="46" t="b">
        <v>1</v>
      </c>
      <c r="AI469" s="46">
        <v>-1</v>
      </c>
      <c r="AJ469" s="46" t="s">
        <v>680</v>
      </c>
      <c r="AK469" s="46">
        <v>0</v>
      </c>
      <c r="AL469" s="46" t="b">
        <v>0</v>
      </c>
      <c r="AM469" s="46">
        <v>34794.667999999998</v>
      </c>
      <c r="AN469" s="46" t="b">
        <v>1</v>
      </c>
      <c r="AO469" s="46">
        <v>0</v>
      </c>
      <c r="AP469" s="46" t="b">
        <v>0</v>
      </c>
      <c r="AQ469" s="46">
        <v>164193.467</v>
      </c>
      <c r="AS469" s="46">
        <v>164193.467</v>
      </c>
      <c r="AT469" s="46">
        <v>6</v>
      </c>
      <c r="AU469" s="46" t="b">
        <v>1</v>
      </c>
      <c r="AV469" s="46" t="b">
        <v>0</v>
      </c>
    </row>
    <row r="470" spans="2:48">
      <c r="B470" s="46" t="s">
        <v>665</v>
      </c>
      <c r="C470" s="46" t="s">
        <v>666</v>
      </c>
      <c r="D470" s="46">
        <v>20240201</v>
      </c>
      <c r="E470" s="46">
        <v>2024</v>
      </c>
      <c r="F470" s="46">
        <v>2</v>
      </c>
      <c r="G470" s="46" t="s">
        <v>687</v>
      </c>
      <c r="H470" s="46">
        <v>818</v>
      </c>
      <c r="I470" s="46" t="s">
        <v>668</v>
      </c>
      <c r="J470" s="46" t="s">
        <v>57</v>
      </c>
      <c r="K470" s="46" t="s">
        <v>666</v>
      </c>
      <c r="L470" s="46" t="s">
        <v>669</v>
      </c>
      <c r="M470" s="46">
        <v>410</v>
      </c>
      <c r="N470" s="46" t="s">
        <v>754</v>
      </c>
      <c r="O470" s="46" t="s">
        <v>755</v>
      </c>
      <c r="P470" s="46">
        <v>0</v>
      </c>
      <c r="Q470" s="46" t="s">
        <v>670</v>
      </c>
      <c r="R470" s="46" t="s">
        <v>23</v>
      </c>
      <c r="S470" s="46" t="s">
        <v>671</v>
      </c>
      <c r="T470" s="46" t="s">
        <v>672</v>
      </c>
      <c r="U470" s="46" t="b">
        <v>1</v>
      </c>
      <c r="V470" s="46" t="s">
        <v>985</v>
      </c>
      <c r="W470" s="46" t="s">
        <v>984</v>
      </c>
      <c r="X470" s="46">
        <v>6</v>
      </c>
      <c r="Y470" s="46" t="b">
        <v>1</v>
      </c>
      <c r="Z470" s="46" t="s">
        <v>675</v>
      </c>
      <c r="AA470" s="46" t="s">
        <v>676</v>
      </c>
      <c r="AB470" s="46" t="s">
        <v>677</v>
      </c>
      <c r="AC470" s="46">
        <v>0</v>
      </c>
      <c r="AD470" s="46" t="s">
        <v>678</v>
      </c>
      <c r="AE470" s="46">
        <v>8</v>
      </c>
      <c r="AF470" s="46" t="s">
        <v>679</v>
      </c>
      <c r="AG470" s="46">
        <v>64179.807999999997</v>
      </c>
      <c r="AH470" s="46" t="b">
        <v>1</v>
      </c>
      <c r="AI470" s="46">
        <v>-1</v>
      </c>
      <c r="AJ470" s="46" t="s">
        <v>680</v>
      </c>
      <c r="AK470" s="46">
        <v>0</v>
      </c>
      <c r="AL470" s="46" t="b">
        <v>0</v>
      </c>
      <c r="AM470" s="46">
        <v>64179.807999999997</v>
      </c>
      <c r="AN470" s="46" t="b">
        <v>1</v>
      </c>
      <c r="AO470" s="46">
        <v>0</v>
      </c>
      <c r="AP470" s="46" t="b">
        <v>0</v>
      </c>
      <c r="AQ470" s="46">
        <v>302859.77</v>
      </c>
      <c r="AS470" s="46">
        <v>302859.77</v>
      </c>
      <c r="AT470" s="46">
        <v>6</v>
      </c>
      <c r="AU470" s="46" t="b">
        <v>1</v>
      </c>
      <c r="AV470" s="46" t="b">
        <v>0</v>
      </c>
    </row>
    <row r="471" spans="2:48">
      <c r="B471" s="46" t="s">
        <v>665</v>
      </c>
      <c r="C471" s="46" t="s">
        <v>666</v>
      </c>
      <c r="D471" s="46">
        <v>20240301</v>
      </c>
      <c r="E471" s="46">
        <v>2024</v>
      </c>
      <c r="F471" s="46">
        <v>3</v>
      </c>
      <c r="G471" s="46" t="s">
        <v>692</v>
      </c>
      <c r="H471" s="46">
        <v>818</v>
      </c>
      <c r="I471" s="46" t="s">
        <v>668</v>
      </c>
      <c r="J471" s="46" t="s">
        <v>57</v>
      </c>
      <c r="K471" s="46" t="s">
        <v>666</v>
      </c>
      <c r="L471" s="46" t="s">
        <v>669</v>
      </c>
      <c r="M471" s="46">
        <v>458</v>
      </c>
      <c r="N471" s="46" t="s">
        <v>722</v>
      </c>
      <c r="O471" s="46" t="s">
        <v>26</v>
      </c>
      <c r="P471" s="46">
        <v>0</v>
      </c>
      <c r="Q471" s="46" t="s">
        <v>670</v>
      </c>
      <c r="R471" s="46" t="s">
        <v>23</v>
      </c>
      <c r="S471" s="46" t="s">
        <v>671</v>
      </c>
      <c r="T471" s="46" t="s">
        <v>672</v>
      </c>
      <c r="U471" s="46" t="b">
        <v>1</v>
      </c>
      <c r="V471" s="46" t="s">
        <v>985</v>
      </c>
      <c r="W471" s="46" t="s">
        <v>984</v>
      </c>
      <c r="X471" s="46">
        <v>6</v>
      </c>
      <c r="Y471" s="46" t="b">
        <v>1</v>
      </c>
      <c r="Z471" s="46" t="s">
        <v>675</v>
      </c>
      <c r="AA471" s="46" t="s">
        <v>676</v>
      </c>
      <c r="AB471" s="46" t="s">
        <v>677</v>
      </c>
      <c r="AC471" s="46">
        <v>0</v>
      </c>
      <c r="AD471" s="46" t="s">
        <v>678</v>
      </c>
      <c r="AE471" s="46">
        <v>8</v>
      </c>
      <c r="AF471" s="46" t="s">
        <v>679</v>
      </c>
      <c r="AG471" s="46">
        <v>10681.566999999999</v>
      </c>
      <c r="AH471" s="46" t="b">
        <v>1</v>
      </c>
      <c r="AI471" s="46">
        <v>-1</v>
      </c>
      <c r="AJ471" s="46" t="s">
        <v>680</v>
      </c>
      <c r="AK471" s="46">
        <v>0</v>
      </c>
      <c r="AL471" s="46" t="b">
        <v>0</v>
      </c>
      <c r="AM471" s="46">
        <v>10681.566999999999</v>
      </c>
      <c r="AN471" s="46" t="b">
        <v>1</v>
      </c>
      <c r="AO471" s="46">
        <v>0</v>
      </c>
      <c r="AP471" s="46" t="b">
        <v>0</v>
      </c>
      <c r="AQ471" s="46">
        <v>50405.525000000001</v>
      </c>
      <c r="AS471" s="46">
        <v>50405.525000000001</v>
      </c>
      <c r="AT471" s="46">
        <v>6</v>
      </c>
      <c r="AU471" s="46" t="b">
        <v>1</v>
      </c>
      <c r="AV471" s="46" t="b">
        <v>0</v>
      </c>
    </row>
    <row r="472" spans="2:48">
      <c r="B472" s="46" t="s">
        <v>665</v>
      </c>
      <c r="C472" s="46" t="s">
        <v>666</v>
      </c>
      <c r="D472" s="46">
        <v>20240101</v>
      </c>
      <c r="E472" s="46">
        <v>2024</v>
      </c>
      <c r="F472" s="46">
        <v>1</v>
      </c>
      <c r="G472" s="46" t="s">
        <v>667</v>
      </c>
      <c r="H472" s="46">
        <v>818</v>
      </c>
      <c r="I472" s="46" t="s">
        <v>668</v>
      </c>
      <c r="J472" s="46" t="s">
        <v>57</v>
      </c>
      <c r="K472" s="46" t="s">
        <v>666</v>
      </c>
      <c r="L472" s="46" t="s">
        <v>669</v>
      </c>
      <c r="M472" s="46">
        <v>458</v>
      </c>
      <c r="N472" s="46" t="s">
        <v>722</v>
      </c>
      <c r="O472" s="46" t="s">
        <v>26</v>
      </c>
      <c r="P472" s="46">
        <v>0</v>
      </c>
      <c r="Q472" s="46" t="s">
        <v>670</v>
      </c>
      <c r="R472" s="46" t="s">
        <v>23</v>
      </c>
      <c r="S472" s="46" t="s">
        <v>671</v>
      </c>
      <c r="T472" s="46" t="s">
        <v>672</v>
      </c>
      <c r="U472" s="46" t="b">
        <v>1</v>
      </c>
      <c r="V472" s="46" t="s">
        <v>985</v>
      </c>
      <c r="W472" s="46" t="s">
        <v>984</v>
      </c>
      <c r="X472" s="46">
        <v>6</v>
      </c>
      <c r="Y472" s="46" t="b">
        <v>1</v>
      </c>
      <c r="Z472" s="46" t="s">
        <v>675</v>
      </c>
      <c r="AA472" s="46" t="s">
        <v>676</v>
      </c>
      <c r="AB472" s="46" t="s">
        <v>677</v>
      </c>
      <c r="AC472" s="46">
        <v>0</v>
      </c>
      <c r="AD472" s="46" t="s">
        <v>678</v>
      </c>
      <c r="AE472" s="46">
        <v>8</v>
      </c>
      <c r="AF472" s="46" t="s">
        <v>679</v>
      </c>
      <c r="AG472" s="46">
        <v>49818.985999999997</v>
      </c>
      <c r="AH472" s="46" t="b">
        <v>1</v>
      </c>
      <c r="AI472" s="46">
        <v>-1</v>
      </c>
      <c r="AJ472" s="46" t="s">
        <v>680</v>
      </c>
      <c r="AK472" s="46">
        <v>0</v>
      </c>
      <c r="AL472" s="46" t="b">
        <v>0</v>
      </c>
      <c r="AM472" s="46">
        <v>49818.985999999997</v>
      </c>
      <c r="AN472" s="46" t="b">
        <v>1</v>
      </c>
      <c r="AO472" s="46">
        <v>0</v>
      </c>
      <c r="AP472" s="46" t="b">
        <v>0</v>
      </c>
      <c r="AQ472" s="46">
        <v>235092.11300000001</v>
      </c>
      <c r="AS472" s="46">
        <v>235092.11300000001</v>
      </c>
      <c r="AT472" s="46">
        <v>6</v>
      </c>
      <c r="AU472" s="46" t="b">
        <v>1</v>
      </c>
      <c r="AV472" s="46" t="b">
        <v>0</v>
      </c>
    </row>
    <row r="473" spans="2:48">
      <c r="B473" s="46" t="s">
        <v>665</v>
      </c>
      <c r="C473" s="46" t="s">
        <v>666</v>
      </c>
      <c r="D473" s="46">
        <v>20240501</v>
      </c>
      <c r="E473" s="46">
        <v>2024</v>
      </c>
      <c r="F473" s="46">
        <v>5</v>
      </c>
      <c r="G473" s="46" t="s">
        <v>699</v>
      </c>
      <c r="H473" s="46">
        <v>818</v>
      </c>
      <c r="I473" s="46" t="s">
        <v>668</v>
      </c>
      <c r="J473" s="46" t="s">
        <v>57</v>
      </c>
      <c r="K473" s="46" t="s">
        <v>666</v>
      </c>
      <c r="L473" s="46" t="s">
        <v>669</v>
      </c>
      <c r="M473" s="46">
        <v>458</v>
      </c>
      <c r="N473" s="46" t="s">
        <v>722</v>
      </c>
      <c r="O473" s="46" t="s">
        <v>26</v>
      </c>
      <c r="P473" s="46">
        <v>0</v>
      </c>
      <c r="Q473" s="46" t="s">
        <v>670</v>
      </c>
      <c r="R473" s="46" t="s">
        <v>23</v>
      </c>
      <c r="S473" s="46" t="s">
        <v>671</v>
      </c>
      <c r="T473" s="46" t="s">
        <v>672</v>
      </c>
      <c r="U473" s="46" t="b">
        <v>1</v>
      </c>
      <c r="V473" s="46" t="s">
        <v>985</v>
      </c>
      <c r="W473" s="46" t="s">
        <v>984</v>
      </c>
      <c r="X473" s="46">
        <v>6</v>
      </c>
      <c r="Y473" s="46" t="b">
        <v>1</v>
      </c>
      <c r="Z473" s="46" t="s">
        <v>675</v>
      </c>
      <c r="AA473" s="46" t="s">
        <v>676</v>
      </c>
      <c r="AB473" s="46" t="s">
        <v>677</v>
      </c>
      <c r="AC473" s="46">
        <v>0</v>
      </c>
      <c r="AD473" s="46" t="s">
        <v>678</v>
      </c>
      <c r="AE473" s="46">
        <v>8</v>
      </c>
      <c r="AF473" s="46" t="s">
        <v>679</v>
      </c>
      <c r="AG473" s="46">
        <v>30749.516</v>
      </c>
      <c r="AH473" s="46" t="b">
        <v>1</v>
      </c>
      <c r="AI473" s="46">
        <v>-1</v>
      </c>
      <c r="AJ473" s="46" t="s">
        <v>680</v>
      </c>
      <c r="AK473" s="46">
        <v>0</v>
      </c>
      <c r="AL473" s="46" t="b">
        <v>0</v>
      </c>
      <c r="AM473" s="46">
        <v>30749.516</v>
      </c>
      <c r="AN473" s="46" t="b">
        <v>1</v>
      </c>
      <c r="AO473" s="46">
        <v>0</v>
      </c>
      <c r="AP473" s="46" t="b">
        <v>0</v>
      </c>
      <c r="AQ473" s="46">
        <v>145104.69099999999</v>
      </c>
      <c r="AS473" s="46">
        <v>145104.69099999999</v>
      </c>
      <c r="AT473" s="46">
        <v>6</v>
      </c>
      <c r="AU473" s="46" t="b">
        <v>1</v>
      </c>
      <c r="AV473" s="46" t="b">
        <v>0</v>
      </c>
    </row>
    <row r="474" spans="2:48">
      <c r="B474" s="46" t="s">
        <v>665</v>
      </c>
      <c r="C474" s="46" t="s">
        <v>666</v>
      </c>
      <c r="D474" s="46">
        <v>20240501</v>
      </c>
      <c r="E474" s="46">
        <v>2024</v>
      </c>
      <c r="F474" s="46">
        <v>5</v>
      </c>
      <c r="G474" s="46" t="s">
        <v>699</v>
      </c>
      <c r="H474" s="46">
        <v>818</v>
      </c>
      <c r="I474" s="46" t="s">
        <v>668</v>
      </c>
      <c r="J474" s="46" t="s">
        <v>57</v>
      </c>
      <c r="K474" s="46" t="s">
        <v>666</v>
      </c>
      <c r="L474" s="46" t="s">
        <v>669</v>
      </c>
      <c r="M474" s="46">
        <v>484</v>
      </c>
      <c r="N474" s="46" t="s">
        <v>998</v>
      </c>
      <c r="O474" s="46" t="s">
        <v>80</v>
      </c>
      <c r="P474" s="46">
        <v>0</v>
      </c>
      <c r="Q474" s="46" t="s">
        <v>670</v>
      </c>
      <c r="R474" s="46" t="s">
        <v>23</v>
      </c>
      <c r="S474" s="46" t="s">
        <v>671</v>
      </c>
      <c r="T474" s="46" t="s">
        <v>672</v>
      </c>
      <c r="U474" s="46" t="b">
        <v>1</v>
      </c>
      <c r="V474" s="46" t="s">
        <v>985</v>
      </c>
      <c r="W474" s="46" t="s">
        <v>984</v>
      </c>
      <c r="X474" s="46">
        <v>6</v>
      </c>
      <c r="Y474" s="46" t="b">
        <v>1</v>
      </c>
      <c r="Z474" s="46" t="s">
        <v>675</v>
      </c>
      <c r="AA474" s="46" t="s">
        <v>676</v>
      </c>
      <c r="AB474" s="46" t="s">
        <v>677</v>
      </c>
      <c r="AC474" s="46">
        <v>0</v>
      </c>
      <c r="AD474" s="46" t="s">
        <v>678</v>
      </c>
      <c r="AE474" s="46">
        <v>8</v>
      </c>
      <c r="AF474" s="46" t="s">
        <v>679</v>
      </c>
      <c r="AG474" s="46">
        <v>50.356999999999999</v>
      </c>
      <c r="AH474" s="46" t="b">
        <v>1</v>
      </c>
      <c r="AI474" s="46">
        <v>-1</v>
      </c>
      <c r="AJ474" s="46" t="s">
        <v>680</v>
      </c>
      <c r="AK474" s="46">
        <v>0</v>
      </c>
      <c r="AL474" s="46" t="b">
        <v>0</v>
      </c>
      <c r="AM474" s="46">
        <v>50.356999999999999</v>
      </c>
      <c r="AN474" s="46" t="b">
        <v>1</v>
      </c>
      <c r="AO474" s="46">
        <v>0</v>
      </c>
      <c r="AP474" s="46" t="b">
        <v>0</v>
      </c>
      <c r="AQ474" s="46">
        <v>237.63300000000001</v>
      </c>
      <c r="AS474" s="46">
        <v>237.63300000000001</v>
      </c>
      <c r="AT474" s="46">
        <v>6</v>
      </c>
      <c r="AU474" s="46" t="b">
        <v>1</v>
      </c>
      <c r="AV474" s="46" t="b">
        <v>0</v>
      </c>
    </row>
    <row r="475" spans="2:48">
      <c r="B475" s="46" t="s">
        <v>665</v>
      </c>
      <c r="C475" s="46" t="s">
        <v>666</v>
      </c>
      <c r="D475" s="46">
        <v>20240201</v>
      </c>
      <c r="E475" s="46">
        <v>2024</v>
      </c>
      <c r="F475" s="46">
        <v>2</v>
      </c>
      <c r="G475" s="46" t="s">
        <v>687</v>
      </c>
      <c r="H475" s="46">
        <v>818</v>
      </c>
      <c r="I475" s="46" t="s">
        <v>668</v>
      </c>
      <c r="J475" s="46" t="s">
        <v>57</v>
      </c>
      <c r="K475" s="46" t="s">
        <v>666</v>
      </c>
      <c r="L475" s="46" t="s">
        <v>669</v>
      </c>
      <c r="M475" s="46">
        <v>490</v>
      </c>
      <c r="N475" s="46" t="s">
        <v>762</v>
      </c>
      <c r="O475" s="46" t="s">
        <v>763</v>
      </c>
      <c r="P475" s="46">
        <v>0</v>
      </c>
      <c r="Q475" s="46" t="s">
        <v>670</v>
      </c>
      <c r="R475" s="46" t="s">
        <v>23</v>
      </c>
      <c r="S475" s="46" t="s">
        <v>671</v>
      </c>
      <c r="T475" s="46" t="s">
        <v>672</v>
      </c>
      <c r="U475" s="46" t="b">
        <v>1</v>
      </c>
      <c r="V475" s="46" t="s">
        <v>985</v>
      </c>
      <c r="W475" s="46" t="s">
        <v>984</v>
      </c>
      <c r="X475" s="46">
        <v>6</v>
      </c>
      <c r="Y475" s="46" t="b">
        <v>1</v>
      </c>
      <c r="Z475" s="46" t="s">
        <v>675</v>
      </c>
      <c r="AA475" s="46" t="s">
        <v>676</v>
      </c>
      <c r="AB475" s="46" t="s">
        <v>677</v>
      </c>
      <c r="AC475" s="46">
        <v>0</v>
      </c>
      <c r="AD475" s="46" t="s">
        <v>678</v>
      </c>
      <c r="AE475" s="46">
        <v>8</v>
      </c>
      <c r="AF475" s="46" t="s">
        <v>679</v>
      </c>
      <c r="AG475" s="46">
        <v>26895.963</v>
      </c>
      <c r="AH475" s="46" t="b">
        <v>1</v>
      </c>
      <c r="AI475" s="46">
        <v>-1</v>
      </c>
      <c r="AJ475" s="46" t="s">
        <v>680</v>
      </c>
      <c r="AK475" s="46">
        <v>0</v>
      </c>
      <c r="AL475" s="46" t="b">
        <v>0</v>
      </c>
      <c r="AM475" s="46">
        <v>26895.963</v>
      </c>
      <c r="AN475" s="46" t="b">
        <v>1</v>
      </c>
      <c r="AO475" s="46">
        <v>0</v>
      </c>
      <c r="AP475" s="46" t="b">
        <v>0</v>
      </c>
      <c r="AQ475" s="46">
        <v>126920.06299999999</v>
      </c>
      <c r="AS475" s="46">
        <v>126920.06299999999</v>
      </c>
      <c r="AT475" s="46">
        <v>6</v>
      </c>
      <c r="AU475" s="46" t="b">
        <v>1</v>
      </c>
      <c r="AV475" s="46" t="b">
        <v>0</v>
      </c>
    </row>
    <row r="476" spans="2:48">
      <c r="B476" s="46" t="s">
        <v>665</v>
      </c>
      <c r="C476" s="46" t="s">
        <v>666</v>
      </c>
      <c r="D476" s="46">
        <v>20240101</v>
      </c>
      <c r="E476" s="46">
        <v>2024</v>
      </c>
      <c r="F476" s="46">
        <v>1</v>
      </c>
      <c r="G476" s="46" t="s">
        <v>667</v>
      </c>
      <c r="H476" s="46">
        <v>818</v>
      </c>
      <c r="I476" s="46" t="s">
        <v>668</v>
      </c>
      <c r="J476" s="46" t="s">
        <v>57</v>
      </c>
      <c r="K476" s="46" t="s">
        <v>666</v>
      </c>
      <c r="L476" s="46" t="s">
        <v>669</v>
      </c>
      <c r="M476" s="46">
        <v>490</v>
      </c>
      <c r="N476" s="46" t="s">
        <v>762</v>
      </c>
      <c r="O476" s="46" t="s">
        <v>763</v>
      </c>
      <c r="P476" s="46">
        <v>0</v>
      </c>
      <c r="Q476" s="46" t="s">
        <v>670</v>
      </c>
      <c r="R476" s="46" t="s">
        <v>23</v>
      </c>
      <c r="S476" s="46" t="s">
        <v>671</v>
      </c>
      <c r="T476" s="46" t="s">
        <v>672</v>
      </c>
      <c r="U476" s="46" t="b">
        <v>1</v>
      </c>
      <c r="V476" s="46" t="s">
        <v>985</v>
      </c>
      <c r="W476" s="46" t="s">
        <v>984</v>
      </c>
      <c r="X476" s="46">
        <v>6</v>
      </c>
      <c r="Y476" s="46" t="b">
        <v>1</v>
      </c>
      <c r="Z476" s="46" t="s">
        <v>675</v>
      </c>
      <c r="AA476" s="46" t="s">
        <v>676</v>
      </c>
      <c r="AB476" s="46" t="s">
        <v>677</v>
      </c>
      <c r="AC476" s="46">
        <v>0</v>
      </c>
      <c r="AD476" s="46" t="s">
        <v>678</v>
      </c>
      <c r="AE476" s="46">
        <v>8</v>
      </c>
      <c r="AF476" s="46" t="s">
        <v>679</v>
      </c>
      <c r="AG476" s="46">
        <v>34947.002</v>
      </c>
      <c r="AH476" s="46" t="b">
        <v>1</v>
      </c>
      <c r="AI476" s="46">
        <v>-1</v>
      </c>
      <c r="AJ476" s="46" t="s">
        <v>680</v>
      </c>
      <c r="AK476" s="46">
        <v>0</v>
      </c>
      <c r="AL476" s="46" t="b">
        <v>0</v>
      </c>
      <c r="AM476" s="46">
        <v>34947.002</v>
      </c>
      <c r="AN476" s="46" t="b">
        <v>1</v>
      </c>
      <c r="AO476" s="46">
        <v>0</v>
      </c>
      <c r="AP476" s="46" t="b">
        <v>0</v>
      </c>
      <c r="AQ476" s="46">
        <v>164912.318</v>
      </c>
      <c r="AS476" s="46">
        <v>164912.318</v>
      </c>
      <c r="AT476" s="46">
        <v>6</v>
      </c>
      <c r="AU476" s="46" t="b">
        <v>1</v>
      </c>
      <c r="AV476" s="46" t="b">
        <v>0</v>
      </c>
    </row>
    <row r="477" spans="2:48">
      <c r="B477" s="46" t="s">
        <v>665</v>
      </c>
      <c r="C477" s="46" t="s">
        <v>666</v>
      </c>
      <c r="D477" s="46">
        <v>20240101</v>
      </c>
      <c r="E477" s="46">
        <v>2024</v>
      </c>
      <c r="F477" s="46">
        <v>1</v>
      </c>
      <c r="G477" s="46" t="s">
        <v>667</v>
      </c>
      <c r="H477" s="46">
        <v>818</v>
      </c>
      <c r="I477" s="46" t="s">
        <v>668</v>
      </c>
      <c r="J477" s="46" t="s">
        <v>57</v>
      </c>
      <c r="K477" s="46" t="s">
        <v>666</v>
      </c>
      <c r="L477" s="46" t="s">
        <v>669</v>
      </c>
      <c r="M477" s="46">
        <v>528</v>
      </c>
      <c r="N477" s="46" t="s">
        <v>698</v>
      </c>
      <c r="O477" s="46" t="s">
        <v>60</v>
      </c>
      <c r="P477" s="46">
        <v>0</v>
      </c>
      <c r="Q477" s="46" t="s">
        <v>670</v>
      </c>
      <c r="R477" s="46" t="s">
        <v>23</v>
      </c>
      <c r="S477" s="46" t="s">
        <v>671</v>
      </c>
      <c r="T477" s="46" t="s">
        <v>672</v>
      </c>
      <c r="U477" s="46" t="b">
        <v>1</v>
      </c>
      <c r="V477" s="46" t="s">
        <v>985</v>
      </c>
      <c r="W477" s="46" t="s">
        <v>984</v>
      </c>
      <c r="X477" s="46">
        <v>6</v>
      </c>
      <c r="Y477" s="46" t="b">
        <v>1</v>
      </c>
      <c r="Z477" s="46" t="s">
        <v>675</v>
      </c>
      <c r="AA477" s="46" t="s">
        <v>676</v>
      </c>
      <c r="AB477" s="46" t="s">
        <v>677</v>
      </c>
      <c r="AC477" s="46">
        <v>0</v>
      </c>
      <c r="AD477" s="46" t="s">
        <v>678</v>
      </c>
      <c r="AE477" s="46">
        <v>8</v>
      </c>
      <c r="AF477" s="46" t="s">
        <v>679</v>
      </c>
      <c r="AG477" s="46">
        <v>124657.537</v>
      </c>
      <c r="AH477" s="46" t="b">
        <v>1</v>
      </c>
      <c r="AI477" s="46">
        <v>-1</v>
      </c>
      <c r="AJ477" s="46" t="s">
        <v>680</v>
      </c>
      <c r="AK477" s="46">
        <v>0</v>
      </c>
      <c r="AL477" s="46" t="b">
        <v>0</v>
      </c>
      <c r="AM477" s="46">
        <v>124657.537</v>
      </c>
      <c r="AN477" s="46" t="b">
        <v>1</v>
      </c>
      <c r="AO477" s="46">
        <v>0</v>
      </c>
      <c r="AP477" s="46" t="b">
        <v>0</v>
      </c>
      <c r="AQ477" s="46">
        <v>588249.70299999998</v>
      </c>
      <c r="AS477" s="46">
        <v>588249.70299999998</v>
      </c>
      <c r="AT477" s="46">
        <v>6</v>
      </c>
      <c r="AU477" s="46" t="b">
        <v>1</v>
      </c>
      <c r="AV477" s="46" t="b">
        <v>0</v>
      </c>
    </row>
    <row r="478" spans="2:48">
      <c r="B478" s="46" t="s">
        <v>665</v>
      </c>
      <c r="C478" s="46" t="s">
        <v>666</v>
      </c>
      <c r="D478" s="46">
        <v>20240601</v>
      </c>
      <c r="E478" s="46">
        <v>2024</v>
      </c>
      <c r="F478" s="46">
        <v>6</v>
      </c>
      <c r="G478" s="46" t="s">
        <v>700</v>
      </c>
      <c r="H478" s="46">
        <v>818</v>
      </c>
      <c r="I478" s="46" t="s">
        <v>668</v>
      </c>
      <c r="J478" s="46" t="s">
        <v>57</v>
      </c>
      <c r="K478" s="46" t="s">
        <v>666</v>
      </c>
      <c r="L478" s="46" t="s">
        <v>669</v>
      </c>
      <c r="M478" s="46">
        <v>528</v>
      </c>
      <c r="N478" s="46" t="s">
        <v>698</v>
      </c>
      <c r="O478" s="46" t="s">
        <v>60</v>
      </c>
      <c r="P478" s="46">
        <v>0</v>
      </c>
      <c r="Q478" s="46" t="s">
        <v>670</v>
      </c>
      <c r="R478" s="46" t="s">
        <v>23</v>
      </c>
      <c r="S478" s="46" t="s">
        <v>671</v>
      </c>
      <c r="T478" s="46" t="s">
        <v>672</v>
      </c>
      <c r="U478" s="46" t="b">
        <v>1</v>
      </c>
      <c r="V478" s="46" t="s">
        <v>985</v>
      </c>
      <c r="W478" s="46" t="s">
        <v>984</v>
      </c>
      <c r="X478" s="46">
        <v>6</v>
      </c>
      <c r="Y478" s="46" t="b">
        <v>1</v>
      </c>
      <c r="Z478" s="46" t="s">
        <v>675</v>
      </c>
      <c r="AA478" s="46" t="s">
        <v>676</v>
      </c>
      <c r="AB478" s="46" t="s">
        <v>677</v>
      </c>
      <c r="AC478" s="46">
        <v>0</v>
      </c>
      <c r="AD478" s="46" t="s">
        <v>678</v>
      </c>
      <c r="AE478" s="46">
        <v>8</v>
      </c>
      <c r="AF478" s="46" t="s">
        <v>679</v>
      </c>
      <c r="AG478" s="46">
        <v>109801.38400000001</v>
      </c>
      <c r="AH478" s="46" t="b">
        <v>1</v>
      </c>
      <c r="AI478" s="46">
        <v>-1</v>
      </c>
      <c r="AJ478" s="46" t="s">
        <v>680</v>
      </c>
      <c r="AK478" s="46">
        <v>0</v>
      </c>
      <c r="AL478" s="46" t="b">
        <v>0</v>
      </c>
      <c r="AM478" s="46">
        <v>109801.38400000001</v>
      </c>
      <c r="AN478" s="46" t="b">
        <v>1</v>
      </c>
      <c r="AO478" s="46">
        <v>0</v>
      </c>
      <c r="AP478" s="46" t="b">
        <v>0</v>
      </c>
      <c r="AQ478" s="46">
        <v>518144.61700000003</v>
      </c>
      <c r="AS478" s="46">
        <v>518144.61700000003</v>
      </c>
      <c r="AT478" s="46">
        <v>6</v>
      </c>
      <c r="AU478" s="46" t="b">
        <v>1</v>
      </c>
      <c r="AV478" s="46" t="b">
        <v>0</v>
      </c>
    </row>
    <row r="479" spans="2:48">
      <c r="B479" s="46" t="s">
        <v>665</v>
      </c>
      <c r="C479" s="46" t="s">
        <v>666</v>
      </c>
      <c r="D479" s="46">
        <v>20240401</v>
      </c>
      <c r="E479" s="46">
        <v>2024</v>
      </c>
      <c r="F479" s="46">
        <v>4</v>
      </c>
      <c r="G479" s="46" t="s">
        <v>695</v>
      </c>
      <c r="H479" s="46">
        <v>818</v>
      </c>
      <c r="I479" s="46" t="s">
        <v>668</v>
      </c>
      <c r="J479" s="46" t="s">
        <v>57</v>
      </c>
      <c r="K479" s="46" t="s">
        <v>666</v>
      </c>
      <c r="L479" s="46" t="s">
        <v>669</v>
      </c>
      <c r="M479" s="46">
        <v>528</v>
      </c>
      <c r="N479" s="46" t="s">
        <v>698</v>
      </c>
      <c r="O479" s="46" t="s">
        <v>60</v>
      </c>
      <c r="P479" s="46">
        <v>0</v>
      </c>
      <c r="Q479" s="46" t="s">
        <v>670</v>
      </c>
      <c r="R479" s="46" t="s">
        <v>23</v>
      </c>
      <c r="S479" s="46" t="s">
        <v>671</v>
      </c>
      <c r="T479" s="46" t="s">
        <v>672</v>
      </c>
      <c r="U479" s="46" t="b">
        <v>1</v>
      </c>
      <c r="V479" s="46" t="s">
        <v>985</v>
      </c>
      <c r="W479" s="46" t="s">
        <v>984</v>
      </c>
      <c r="X479" s="46">
        <v>6</v>
      </c>
      <c r="Y479" s="46" t="b">
        <v>1</v>
      </c>
      <c r="Z479" s="46" t="s">
        <v>675</v>
      </c>
      <c r="AA479" s="46" t="s">
        <v>676</v>
      </c>
      <c r="AB479" s="46" t="s">
        <v>677</v>
      </c>
      <c r="AC479" s="46">
        <v>0</v>
      </c>
      <c r="AD479" s="46" t="s">
        <v>678</v>
      </c>
      <c r="AE479" s="46">
        <v>8</v>
      </c>
      <c r="AF479" s="46" t="s">
        <v>679</v>
      </c>
      <c r="AG479" s="46">
        <v>95742.831000000006</v>
      </c>
      <c r="AH479" s="46" t="b">
        <v>1</v>
      </c>
      <c r="AI479" s="46">
        <v>-1</v>
      </c>
      <c r="AJ479" s="46" t="s">
        <v>680</v>
      </c>
      <c r="AK479" s="46">
        <v>0</v>
      </c>
      <c r="AL479" s="46" t="b">
        <v>0</v>
      </c>
      <c r="AM479" s="46">
        <v>95742.831000000006</v>
      </c>
      <c r="AN479" s="46" t="b">
        <v>1</v>
      </c>
      <c r="AO479" s="46">
        <v>0</v>
      </c>
      <c r="AP479" s="46" t="b">
        <v>0</v>
      </c>
      <c r="AQ479" s="46">
        <v>451803.34100000001</v>
      </c>
      <c r="AS479" s="46">
        <v>451803.34100000001</v>
      </c>
      <c r="AT479" s="46">
        <v>6</v>
      </c>
      <c r="AU479" s="46" t="b">
        <v>1</v>
      </c>
      <c r="AV479" s="46" t="b">
        <v>0</v>
      </c>
    </row>
    <row r="480" spans="2:48">
      <c r="B480" s="46" t="s">
        <v>665</v>
      </c>
      <c r="C480" s="46" t="s">
        <v>666</v>
      </c>
      <c r="D480" s="46">
        <v>20240501</v>
      </c>
      <c r="E480" s="46">
        <v>2024</v>
      </c>
      <c r="F480" s="46">
        <v>5</v>
      </c>
      <c r="G480" s="46" t="s">
        <v>699</v>
      </c>
      <c r="H480" s="46">
        <v>818</v>
      </c>
      <c r="I480" s="46" t="s">
        <v>668</v>
      </c>
      <c r="J480" s="46" t="s">
        <v>57</v>
      </c>
      <c r="K480" s="46" t="s">
        <v>666</v>
      </c>
      <c r="L480" s="46" t="s">
        <v>669</v>
      </c>
      <c r="M480" s="46">
        <v>528</v>
      </c>
      <c r="N480" s="46" t="s">
        <v>698</v>
      </c>
      <c r="O480" s="46" t="s">
        <v>60</v>
      </c>
      <c r="P480" s="46">
        <v>0</v>
      </c>
      <c r="Q480" s="46" t="s">
        <v>670</v>
      </c>
      <c r="R480" s="46" t="s">
        <v>23</v>
      </c>
      <c r="S480" s="46" t="s">
        <v>671</v>
      </c>
      <c r="T480" s="46" t="s">
        <v>672</v>
      </c>
      <c r="U480" s="46" t="b">
        <v>1</v>
      </c>
      <c r="V480" s="46" t="s">
        <v>985</v>
      </c>
      <c r="W480" s="46" t="s">
        <v>984</v>
      </c>
      <c r="X480" s="46">
        <v>6</v>
      </c>
      <c r="Y480" s="46" t="b">
        <v>1</v>
      </c>
      <c r="Z480" s="46" t="s">
        <v>675</v>
      </c>
      <c r="AA480" s="46" t="s">
        <v>676</v>
      </c>
      <c r="AB480" s="46" t="s">
        <v>677</v>
      </c>
      <c r="AC480" s="46">
        <v>0</v>
      </c>
      <c r="AD480" s="46" t="s">
        <v>678</v>
      </c>
      <c r="AE480" s="46">
        <v>8</v>
      </c>
      <c r="AF480" s="46" t="s">
        <v>679</v>
      </c>
      <c r="AG480" s="46">
        <v>115831.319</v>
      </c>
      <c r="AH480" s="46" t="b">
        <v>1</v>
      </c>
      <c r="AI480" s="46">
        <v>-1</v>
      </c>
      <c r="AJ480" s="46" t="s">
        <v>680</v>
      </c>
      <c r="AK480" s="46">
        <v>0</v>
      </c>
      <c r="AL480" s="46" t="b">
        <v>0</v>
      </c>
      <c r="AM480" s="46">
        <v>115831.319</v>
      </c>
      <c r="AN480" s="46" t="b">
        <v>1</v>
      </c>
      <c r="AO480" s="46">
        <v>0</v>
      </c>
      <c r="AP480" s="46" t="b">
        <v>0</v>
      </c>
      <c r="AQ480" s="46">
        <v>546599.43099999998</v>
      </c>
      <c r="AS480" s="46">
        <v>546599.43099999998</v>
      </c>
      <c r="AT480" s="46">
        <v>6</v>
      </c>
      <c r="AU480" s="46" t="b">
        <v>1</v>
      </c>
      <c r="AV480" s="46" t="b">
        <v>0</v>
      </c>
    </row>
    <row r="481" spans="2:48">
      <c r="B481" s="46" t="s">
        <v>665</v>
      </c>
      <c r="C481" s="46" t="s">
        <v>666</v>
      </c>
      <c r="D481" s="46">
        <v>20240201</v>
      </c>
      <c r="E481" s="46">
        <v>2024</v>
      </c>
      <c r="F481" s="46">
        <v>2</v>
      </c>
      <c r="G481" s="46" t="s">
        <v>687</v>
      </c>
      <c r="H481" s="46">
        <v>818</v>
      </c>
      <c r="I481" s="46" t="s">
        <v>668</v>
      </c>
      <c r="J481" s="46" t="s">
        <v>57</v>
      </c>
      <c r="K481" s="46" t="s">
        <v>666</v>
      </c>
      <c r="L481" s="46" t="s">
        <v>669</v>
      </c>
      <c r="M481" s="46">
        <v>528</v>
      </c>
      <c r="N481" s="46" t="s">
        <v>698</v>
      </c>
      <c r="O481" s="46" t="s">
        <v>60</v>
      </c>
      <c r="P481" s="46">
        <v>0</v>
      </c>
      <c r="Q481" s="46" t="s">
        <v>670</v>
      </c>
      <c r="R481" s="46" t="s">
        <v>23</v>
      </c>
      <c r="S481" s="46" t="s">
        <v>671</v>
      </c>
      <c r="T481" s="46" t="s">
        <v>672</v>
      </c>
      <c r="U481" s="46" t="b">
        <v>1</v>
      </c>
      <c r="V481" s="46" t="s">
        <v>985</v>
      </c>
      <c r="W481" s="46" t="s">
        <v>984</v>
      </c>
      <c r="X481" s="46">
        <v>6</v>
      </c>
      <c r="Y481" s="46" t="b">
        <v>1</v>
      </c>
      <c r="Z481" s="46" t="s">
        <v>675</v>
      </c>
      <c r="AA481" s="46" t="s">
        <v>676</v>
      </c>
      <c r="AB481" s="46" t="s">
        <v>677</v>
      </c>
      <c r="AC481" s="46">
        <v>0</v>
      </c>
      <c r="AD481" s="46" t="s">
        <v>678</v>
      </c>
      <c r="AE481" s="46">
        <v>8</v>
      </c>
      <c r="AF481" s="46" t="s">
        <v>679</v>
      </c>
      <c r="AG481" s="46">
        <v>177560.08300000001</v>
      </c>
      <c r="AH481" s="46" t="b">
        <v>1</v>
      </c>
      <c r="AI481" s="46">
        <v>-1</v>
      </c>
      <c r="AJ481" s="46" t="s">
        <v>680</v>
      </c>
      <c r="AK481" s="46">
        <v>0</v>
      </c>
      <c r="AL481" s="46" t="b">
        <v>0</v>
      </c>
      <c r="AM481" s="46">
        <v>177560.08300000001</v>
      </c>
      <c r="AN481" s="46" t="b">
        <v>1</v>
      </c>
      <c r="AO481" s="46">
        <v>0</v>
      </c>
      <c r="AP481" s="46" t="b">
        <v>0</v>
      </c>
      <c r="AQ481" s="46">
        <v>837892.90599999996</v>
      </c>
      <c r="AS481" s="46">
        <v>837892.90599999996</v>
      </c>
      <c r="AT481" s="46">
        <v>6</v>
      </c>
      <c r="AU481" s="46" t="b">
        <v>1</v>
      </c>
      <c r="AV481" s="46" t="b">
        <v>0</v>
      </c>
    </row>
    <row r="482" spans="2:48">
      <c r="B482" s="46" t="s">
        <v>665</v>
      </c>
      <c r="C482" s="46" t="s">
        <v>666</v>
      </c>
      <c r="D482" s="46">
        <v>20240101</v>
      </c>
      <c r="E482" s="46">
        <v>2024</v>
      </c>
      <c r="F482" s="46">
        <v>1</v>
      </c>
      <c r="G482" s="46" t="s">
        <v>667</v>
      </c>
      <c r="H482" s="46">
        <v>818</v>
      </c>
      <c r="I482" s="46" t="s">
        <v>668</v>
      </c>
      <c r="J482" s="46" t="s">
        <v>57</v>
      </c>
      <c r="K482" s="46" t="s">
        <v>666</v>
      </c>
      <c r="L482" s="46" t="s">
        <v>669</v>
      </c>
      <c r="M482" s="46">
        <v>568</v>
      </c>
      <c r="N482" s="46" t="s">
        <v>682</v>
      </c>
      <c r="O482" s="46" t="s">
        <v>683</v>
      </c>
      <c r="P482" s="46">
        <v>0</v>
      </c>
      <c r="Q482" s="46" t="s">
        <v>670</v>
      </c>
      <c r="R482" s="46" t="s">
        <v>23</v>
      </c>
      <c r="S482" s="46" t="s">
        <v>671</v>
      </c>
      <c r="T482" s="46" t="s">
        <v>672</v>
      </c>
      <c r="U482" s="46" t="b">
        <v>1</v>
      </c>
      <c r="V482" s="46" t="s">
        <v>985</v>
      </c>
      <c r="W482" s="46" t="s">
        <v>984</v>
      </c>
      <c r="X482" s="46">
        <v>6</v>
      </c>
      <c r="Y482" s="46" t="b">
        <v>1</v>
      </c>
      <c r="Z482" s="46" t="s">
        <v>675</v>
      </c>
      <c r="AA482" s="46" t="s">
        <v>676</v>
      </c>
      <c r="AB482" s="46" t="s">
        <v>677</v>
      </c>
      <c r="AC482" s="46">
        <v>0</v>
      </c>
      <c r="AD482" s="46" t="s">
        <v>678</v>
      </c>
      <c r="AE482" s="46">
        <v>8</v>
      </c>
      <c r="AF482" s="46" t="s">
        <v>679</v>
      </c>
      <c r="AG482" s="46">
        <v>15027.906000000001</v>
      </c>
      <c r="AH482" s="46" t="b">
        <v>1</v>
      </c>
      <c r="AI482" s="46">
        <v>-1</v>
      </c>
      <c r="AJ482" s="46" t="s">
        <v>680</v>
      </c>
      <c r="AK482" s="46">
        <v>0</v>
      </c>
      <c r="AL482" s="46" t="b">
        <v>0</v>
      </c>
      <c r="AM482" s="46">
        <v>15027.906000000001</v>
      </c>
      <c r="AN482" s="46" t="b">
        <v>1</v>
      </c>
      <c r="AO482" s="46">
        <v>0</v>
      </c>
      <c r="AP482" s="46" t="b">
        <v>0</v>
      </c>
      <c r="AQ482" s="46">
        <v>70915.577999999994</v>
      </c>
      <c r="AS482" s="46">
        <v>70915.577999999994</v>
      </c>
      <c r="AT482" s="46">
        <v>6</v>
      </c>
      <c r="AU482" s="46" t="b">
        <v>1</v>
      </c>
      <c r="AV482" s="46" t="b">
        <v>0</v>
      </c>
    </row>
    <row r="483" spans="2:48">
      <c r="B483" s="46" t="s">
        <v>665</v>
      </c>
      <c r="C483" s="46" t="s">
        <v>666</v>
      </c>
      <c r="D483" s="46">
        <v>20240601</v>
      </c>
      <c r="E483" s="46">
        <v>2024</v>
      </c>
      <c r="F483" s="46">
        <v>6</v>
      </c>
      <c r="G483" s="46" t="s">
        <v>700</v>
      </c>
      <c r="H483" s="46">
        <v>818</v>
      </c>
      <c r="I483" s="46" t="s">
        <v>668</v>
      </c>
      <c r="J483" s="46" t="s">
        <v>57</v>
      </c>
      <c r="K483" s="46" t="s">
        <v>666</v>
      </c>
      <c r="L483" s="46" t="s">
        <v>669</v>
      </c>
      <c r="M483" s="46">
        <v>568</v>
      </c>
      <c r="N483" s="46" t="s">
        <v>682</v>
      </c>
      <c r="O483" s="46" t="s">
        <v>683</v>
      </c>
      <c r="P483" s="46">
        <v>0</v>
      </c>
      <c r="Q483" s="46" t="s">
        <v>670</v>
      </c>
      <c r="R483" s="46" t="s">
        <v>23</v>
      </c>
      <c r="S483" s="46" t="s">
        <v>671</v>
      </c>
      <c r="T483" s="46" t="s">
        <v>672</v>
      </c>
      <c r="U483" s="46" t="b">
        <v>1</v>
      </c>
      <c r="V483" s="46" t="s">
        <v>985</v>
      </c>
      <c r="W483" s="46" t="s">
        <v>984</v>
      </c>
      <c r="X483" s="46">
        <v>6</v>
      </c>
      <c r="Y483" s="46" t="b">
        <v>1</v>
      </c>
      <c r="Z483" s="46" t="s">
        <v>675</v>
      </c>
      <c r="AA483" s="46" t="s">
        <v>676</v>
      </c>
      <c r="AB483" s="46" t="s">
        <v>677</v>
      </c>
      <c r="AC483" s="46">
        <v>0</v>
      </c>
      <c r="AD483" s="46" t="s">
        <v>678</v>
      </c>
      <c r="AE483" s="46">
        <v>8</v>
      </c>
      <c r="AF483" s="46" t="s">
        <v>679</v>
      </c>
      <c r="AG483" s="46">
        <v>16587.916000000001</v>
      </c>
      <c r="AH483" s="46" t="b">
        <v>1</v>
      </c>
      <c r="AI483" s="46">
        <v>-1</v>
      </c>
      <c r="AJ483" s="46" t="s">
        <v>680</v>
      </c>
      <c r="AK483" s="46">
        <v>0</v>
      </c>
      <c r="AL483" s="46" t="b">
        <v>0</v>
      </c>
      <c r="AM483" s="46">
        <v>16587.916000000001</v>
      </c>
      <c r="AN483" s="46" t="b">
        <v>1</v>
      </c>
      <c r="AO483" s="46">
        <v>0</v>
      </c>
      <c r="AP483" s="46" t="b">
        <v>0</v>
      </c>
      <c r="AQ483" s="46">
        <v>78277.149999999994</v>
      </c>
      <c r="AS483" s="46">
        <v>78277.149999999994</v>
      </c>
      <c r="AT483" s="46">
        <v>6</v>
      </c>
      <c r="AU483" s="46" t="b">
        <v>1</v>
      </c>
      <c r="AV483" s="46" t="b">
        <v>0</v>
      </c>
    </row>
    <row r="484" spans="2:48">
      <c r="B484" s="46" t="s">
        <v>665</v>
      </c>
      <c r="C484" s="46" t="s">
        <v>666</v>
      </c>
      <c r="D484" s="46">
        <v>20240401</v>
      </c>
      <c r="E484" s="46">
        <v>2024</v>
      </c>
      <c r="F484" s="46">
        <v>4</v>
      </c>
      <c r="G484" s="46" t="s">
        <v>695</v>
      </c>
      <c r="H484" s="46">
        <v>818</v>
      </c>
      <c r="I484" s="46" t="s">
        <v>668</v>
      </c>
      <c r="J484" s="46" t="s">
        <v>57</v>
      </c>
      <c r="K484" s="46" t="s">
        <v>666</v>
      </c>
      <c r="L484" s="46" t="s">
        <v>669</v>
      </c>
      <c r="M484" s="46">
        <v>568</v>
      </c>
      <c r="N484" s="46" t="s">
        <v>682</v>
      </c>
      <c r="O484" s="46" t="s">
        <v>683</v>
      </c>
      <c r="P484" s="46">
        <v>0</v>
      </c>
      <c r="Q484" s="46" t="s">
        <v>670</v>
      </c>
      <c r="R484" s="46" t="s">
        <v>23</v>
      </c>
      <c r="S484" s="46" t="s">
        <v>671</v>
      </c>
      <c r="T484" s="46" t="s">
        <v>672</v>
      </c>
      <c r="U484" s="46" t="b">
        <v>1</v>
      </c>
      <c r="V484" s="46" t="s">
        <v>985</v>
      </c>
      <c r="W484" s="46" t="s">
        <v>984</v>
      </c>
      <c r="X484" s="46">
        <v>6</v>
      </c>
      <c r="Y484" s="46" t="b">
        <v>1</v>
      </c>
      <c r="Z484" s="46" t="s">
        <v>675</v>
      </c>
      <c r="AA484" s="46" t="s">
        <v>676</v>
      </c>
      <c r="AB484" s="46" t="s">
        <v>677</v>
      </c>
      <c r="AC484" s="46">
        <v>0</v>
      </c>
      <c r="AD484" s="46" t="s">
        <v>678</v>
      </c>
      <c r="AE484" s="46">
        <v>8</v>
      </c>
      <c r="AF484" s="46" t="s">
        <v>679</v>
      </c>
      <c r="AG484" s="46">
        <v>3084.3330000000001</v>
      </c>
      <c r="AH484" s="46" t="b">
        <v>1</v>
      </c>
      <c r="AI484" s="46">
        <v>-1</v>
      </c>
      <c r="AJ484" s="46" t="s">
        <v>680</v>
      </c>
      <c r="AK484" s="46">
        <v>0</v>
      </c>
      <c r="AL484" s="46" t="b">
        <v>0</v>
      </c>
      <c r="AM484" s="46">
        <v>3084.3330000000001</v>
      </c>
      <c r="AN484" s="46" t="b">
        <v>1</v>
      </c>
      <c r="AO484" s="46">
        <v>0</v>
      </c>
      <c r="AP484" s="46" t="b">
        <v>0</v>
      </c>
      <c r="AQ484" s="46">
        <v>14554.74</v>
      </c>
      <c r="AS484" s="46">
        <v>14554.74</v>
      </c>
      <c r="AT484" s="46">
        <v>6</v>
      </c>
      <c r="AU484" s="46" t="b">
        <v>1</v>
      </c>
      <c r="AV484" s="46" t="b">
        <v>0</v>
      </c>
    </row>
    <row r="485" spans="2:48">
      <c r="B485" s="46" t="s">
        <v>665</v>
      </c>
      <c r="C485" s="46" t="s">
        <v>666</v>
      </c>
      <c r="D485" s="46">
        <v>20240501</v>
      </c>
      <c r="E485" s="46">
        <v>2024</v>
      </c>
      <c r="F485" s="46">
        <v>5</v>
      </c>
      <c r="G485" s="46" t="s">
        <v>699</v>
      </c>
      <c r="H485" s="46">
        <v>818</v>
      </c>
      <c r="I485" s="46" t="s">
        <v>668</v>
      </c>
      <c r="J485" s="46" t="s">
        <v>57</v>
      </c>
      <c r="K485" s="46" t="s">
        <v>666</v>
      </c>
      <c r="L485" s="46" t="s">
        <v>669</v>
      </c>
      <c r="M485" s="46">
        <v>568</v>
      </c>
      <c r="N485" s="46" t="s">
        <v>682</v>
      </c>
      <c r="O485" s="46" t="s">
        <v>683</v>
      </c>
      <c r="P485" s="46">
        <v>0</v>
      </c>
      <c r="Q485" s="46" t="s">
        <v>670</v>
      </c>
      <c r="R485" s="46" t="s">
        <v>23</v>
      </c>
      <c r="S485" s="46" t="s">
        <v>671</v>
      </c>
      <c r="T485" s="46" t="s">
        <v>672</v>
      </c>
      <c r="U485" s="46" t="b">
        <v>1</v>
      </c>
      <c r="V485" s="46" t="s">
        <v>985</v>
      </c>
      <c r="W485" s="46" t="s">
        <v>984</v>
      </c>
      <c r="X485" s="46">
        <v>6</v>
      </c>
      <c r="Y485" s="46" t="b">
        <v>1</v>
      </c>
      <c r="Z485" s="46" t="s">
        <v>675</v>
      </c>
      <c r="AA485" s="46" t="s">
        <v>676</v>
      </c>
      <c r="AB485" s="46" t="s">
        <v>677</v>
      </c>
      <c r="AC485" s="46">
        <v>0</v>
      </c>
      <c r="AD485" s="46" t="s">
        <v>678</v>
      </c>
      <c r="AE485" s="46">
        <v>8</v>
      </c>
      <c r="AF485" s="46" t="s">
        <v>679</v>
      </c>
      <c r="AG485" s="46">
        <v>18686.094000000001</v>
      </c>
      <c r="AH485" s="46" t="b">
        <v>1</v>
      </c>
      <c r="AI485" s="46">
        <v>-1</v>
      </c>
      <c r="AJ485" s="46" t="s">
        <v>680</v>
      </c>
      <c r="AK485" s="46">
        <v>0</v>
      </c>
      <c r="AL485" s="46" t="b">
        <v>0</v>
      </c>
      <c r="AM485" s="46">
        <v>18686.094000000001</v>
      </c>
      <c r="AN485" s="46" t="b">
        <v>1</v>
      </c>
      <c r="AO485" s="46">
        <v>0</v>
      </c>
      <c r="AP485" s="46" t="b">
        <v>0</v>
      </c>
      <c r="AQ485" s="46">
        <v>88178.297999999995</v>
      </c>
      <c r="AS485" s="46">
        <v>88178.297999999995</v>
      </c>
      <c r="AT485" s="46">
        <v>6</v>
      </c>
      <c r="AU485" s="46" t="b">
        <v>1</v>
      </c>
      <c r="AV485" s="46" t="b">
        <v>0</v>
      </c>
    </row>
    <row r="486" spans="2:48">
      <c r="B486" s="46" t="s">
        <v>665</v>
      </c>
      <c r="C486" s="46" t="s">
        <v>666</v>
      </c>
      <c r="D486" s="46">
        <v>20240201</v>
      </c>
      <c r="E486" s="46">
        <v>2024</v>
      </c>
      <c r="F486" s="46">
        <v>2</v>
      </c>
      <c r="G486" s="46" t="s">
        <v>687</v>
      </c>
      <c r="H486" s="46">
        <v>818</v>
      </c>
      <c r="I486" s="46" t="s">
        <v>668</v>
      </c>
      <c r="J486" s="46" t="s">
        <v>57</v>
      </c>
      <c r="K486" s="46" t="s">
        <v>666</v>
      </c>
      <c r="L486" s="46" t="s">
        <v>669</v>
      </c>
      <c r="M486" s="46">
        <v>568</v>
      </c>
      <c r="N486" s="46" t="s">
        <v>682</v>
      </c>
      <c r="O486" s="46" t="s">
        <v>683</v>
      </c>
      <c r="P486" s="46">
        <v>0</v>
      </c>
      <c r="Q486" s="46" t="s">
        <v>670</v>
      </c>
      <c r="R486" s="46" t="s">
        <v>23</v>
      </c>
      <c r="S486" s="46" t="s">
        <v>671</v>
      </c>
      <c r="T486" s="46" t="s">
        <v>672</v>
      </c>
      <c r="U486" s="46" t="b">
        <v>1</v>
      </c>
      <c r="V486" s="46" t="s">
        <v>985</v>
      </c>
      <c r="W486" s="46" t="s">
        <v>984</v>
      </c>
      <c r="X486" s="46">
        <v>6</v>
      </c>
      <c r="Y486" s="46" t="b">
        <v>1</v>
      </c>
      <c r="Z486" s="46" t="s">
        <v>675</v>
      </c>
      <c r="AA486" s="46" t="s">
        <v>676</v>
      </c>
      <c r="AB486" s="46" t="s">
        <v>677</v>
      </c>
      <c r="AC486" s="46">
        <v>0</v>
      </c>
      <c r="AD486" s="46" t="s">
        <v>678</v>
      </c>
      <c r="AE486" s="46">
        <v>8</v>
      </c>
      <c r="AF486" s="46" t="s">
        <v>679</v>
      </c>
      <c r="AG486" s="46">
        <v>33772.491000000002</v>
      </c>
      <c r="AH486" s="46" t="b">
        <v>1</v>
      </c>
      <c r="AI486" s="46">
        <v>-1</v>
      </c>
      <c r="AJ486" s="46" t="s">
        <v>680</v>
      </c>
      <c r="AK486" s="46">
        <v>0</v>
      </c>
      <c r="AL486" s="46" t="b">
        <v>0</v>
      </c>
      <c r="AM486" s="46">
        <v>33772.491000000002</v>
      </c>
      <c r="AN486" s="46" t="b">
        <v>1</v>
      </c>
      <c r="AO486" s="46">
        <v>0</v>
      </c>
      <c r="AP486" s="46" t="b">
        <v>0</v>
      </c>
      <c r="AQ486" s="46">
        <v>159369.889</v>
      </c>
      <c r="AS486" s="46">
        <v>159369.889</v>
      </c>
      <c r="AT486" s="46">
        <v>6</v>
      </c>
      <c r="AU486" s="46" t="b">
        <v>1</v>
      </c>
      <c r="AV486" s="46" t="b">
        <v>0</v>
      </c>
    </row>
    <row r="487" spans="2:48">
      <c r="B487" s="46" t="s">
        <v>665</v>
      </c>
      <c r="C487" s="46" t="s">
        <v>666</v>
      </c>
      <c r="D487" s="46">
        <v>20240301</v>
      </c>
      <c r="E487" s="46">
        <v>2024</v>
      </c>
      <c r="F487" s="46">
        <v>3</v>
      </c>
      <c r="G487" s="46" t="s">
        <v>692</v>
      </c>
      <c r="H487" s="46">
        <v>818</v>
      </c>
      <c r="I487" s="46" t="s">
        <v>668</v>
      </c>
      <c r="J487" s="46" t="s">
        <v>57</v>
      </c>
      <c r="K487" s="46" t="s">
        <v>666</v>
      </c>
      <c r="L487" s="46" t="s">
        <v>669</v>
      </c>
      <c r="M487" s="46">
        <v>579</v>
      </c>
      <c r="N487" s="46" t="s">
        <v>992</v>
      </c>
      <c r="O487" s="46" t="s">
        <v>61</v>
      </c>
      <c r="P487" s="46">
        <v>0</v>
      </c>
      <c r="Q487" s="46" t="s">
        <v>670</v>
      </c>
      <c r="R487" s="46" t="s">
        <v>23</v>
      </c>
      <c r="S487" s="46" t="s">
        <v>671</v>
      </c>
      <c r="T487" s="46" t="s">
        <v>672</v>
      </c>
      <c r="U487" s="46" t="b">
        <v>1</v>
      </c>
      <c r="V487" s="46" t="s">
        <v>985</v>
      </c>
      <c r="W487" s="46" t="s">
        <v>984</v>
      </c>
      <c r="X487" s="46">
        <v>6</v>
      </c>
      <c r="Y487" s="46" t="b">
        <v>1</v>
      </c>
      <c r="Z487" s="46" t="s">
        <v>675</v>
      </c>
      <c r="AA487" s="46" t="s">
        <v>676</v>
      </c>
      <c r="AB487" s="46" t="s">
        <v>677</v>
      </c>
      <c r="AC487" s="46">
        <v>0</v>
      </c>
      <c r="AD487" s="46" t="s">
        <v>678</v>
      </c>
      <c r="AE487" s="46">
        <v>8</v>
      </c>
      <c r="AF487" s="46" t="s">
        <v>679</v>
      </c>
      <c r="AG487" s="46">
        <v>1253.8489999999999</v>
      </c>
      <c r="AH487" s="46" t="b">
        <v>1</v>
      </c>
      <c r="AI487" s="46">
        <v>-1</v>
      </c>
      <c r="AJ487" s="46" t="s">
        <v>680</v>
      </c>
      <c r="AK487" s="46">
        <v>0</v>
      </c>
      <c r="AL487" s="46" t="b">
        <v>0</v>
      </c>
      <c r="AM487" s="46">
        <v>1253.8489999999999</v>
      </c>
      <c r="AN487" s="46" t="b">
        <v>1</v>
      </c>
      <c r="AO487" s="46">
        <v>0</v>
      </c>
      <c r="AP487" s="46" t="b">
        <v>0</v>
      </c>
      <c r="AQ487" s="46">
        <v>5916.8209999999999</v>
      </c>
      <c r="AS487" s="46">
        <v>5916.8209999999999</v>
      </c>
      <c r="AT487" s="46">
        <v>6</v>
      </c>
      <c r="AU487" s="46" t="b">
        <v>1</v>
      </c>
      <c r="AV487" s="46" t="b">
        <v>0</v>
      </c>
    </row>
    <row r="488" spans="2:48">
      <c r="B488" s="46" t="s">
        <v>665</v>
      </c>
      <c r="C488" s="46" t="s">
        <v>666</v>
      </c>
      <c r="D488" s="46">
        <v>20240101</v>
      </c>
      <c r="E488" s="46">
        <v>2024</v>
      </c>
      <c r="F488" s="46">
        <v>1</v>
      </c>
      <c r="G488" s="46" t="s">
        <v>667</v>
      </c>
      <c r="H488" s="46">
        <v>818</v>
      </c>
      <c r="I488" s="46" t="s">
        <v>668</v>
      </c>
      <c r="J488" s="46" t="s">
        <v>57</v>
      </c>
      <c r="K488" s="46" t="s">
        <v>666</v>
      </c>
      <c r="L488" s="46" t="s">
        <v>669</v>
      </c>
      <c r="M488" s="46">
        <v>616</v>
      </c>
      <c r="N488" s="46" t="s">
        <v>999</v>
      </c>
      <c r="O488" s="46" t="s">
        <v>84</v>
      </c>
      <c r="P488" s="46">
        <v>0</v>
      </c>
      <c r="Q488" s="46" t="s">
        <v>670</v>
      </c>
      <c r="R488" s="46" t="s">
        <v>23</v>
      </c>
      <c r="S488" s="46" t="s">
        <v>671</v>
      </c>
      <c r="T488" s="46" t="s">
        <v>672</v>
      </c>
      <c r="U488" s="46" t="b">
        <v>1</v>
      </c>
      <c r="V488" s="46" t="s">
        <v>985</v>
      </c>
      <c r="W488" s="46" t="s">
        <v>984</v>
      </c>
      <c r="X488" s="46">
        <v>6</v>
      </c>
      <c r="Y488" s="46" t="b">
        <v>1</v>
      </c>
      <c r="Z488" s="46" t="s">
        <v>675</v>
      </c>
      <c r="AA488" s="46" t="s">
        <v>676</v>
      </c>
      <c r="AB488" s="46" t="s">
        <v>677</v>
      </c>
      <c r="AC488" s="46">
        <v>0</v>
      </c>
      <c r="AD488" s="46" t="s">
        <v>678</v>
      </c>
      <c r="AE488" s="46">
        <v>8</v>
      </c>
      <c r="AF488" s="46" t="s">
        <v>679</v>
      </c>
      <c r="AG488" s="46">
        <v>3264.4760000000001</v>
      </c>
      <c r="AH488" s="46" t="b">
        <v>1</v>
      </c>
      <c r="AI488" s="46">
        <v>-1</v>
      </c>
      <c r="AJ488" s="46" t="s">
        <v>680</v>
      </c>
      <c r="AK488" s="46">
        <v>0</v>
      </c>
      <c r="AL488" s="46" t="b">
        <v>0</v>
      </c>
      <c r="AM488" s="46">
        <v>3264.4760000000001</v>
      </c>
      <c r="AN488" s="46" t="b">
        <v>1</v>
      </c>
      <c r="AO488" s="46">
        <v>0</v>
      </c>
      <c r="AP488" s="46" t="b">
        <v>0</v>
      </c>
      <c r="AQ488" s="46">
        <v>15404.821</v>
      </c>
      <c r="AS488" s="46">
        <v>15404.821</v>
      </c>
      <c r="AT488" s="46">
        <v>6</v>
      </c>
      <c r="AU488" s="46" t="b">
        <v>1</v>
      </c>
      <c r="AV488" s="46" t="b">
        <v>0</v>
      </c>
    </row>
    <row r="489" spans="2:48">
      <c r="B489" s="46" t="s">
        <v>665</v>
      </c>
      <c r="C489" s="46" t="s">
        <v>666</v>
      </c>
      <c r="D489" s="46">
        <v>20240101</v>
      </c>
      <c r="E489" s="46">
        <v>2024</v>
      </c>
      <c r="F489" s="46">
        <v>1</v>
      </c>
      <c r="G489" s="46" t="s">
        <v>667</v>
      </c>
      <c r="H489" s="46">
        <v>818</v>
      </c>
      <c r="I489" s="46" t="s">
        <v>668</v>
      </c>
      <c r="J489" s="46" t="s">
        <v>57</v>
      </c>
      <c r="K489" s="46" t="s">
        <v>666</v>
      </c>
      <c r="L489" s="46" t="s">
        <v>669</v>
      </c>
      <c r="M489" s="46">
        <v>634</v>
      </c>
      <c r="N489" s="46" t="s">
        <v>993</v>
      </c>
      <c r="O489" s="46" t="s">
        <v>37</v>
      </c>
      <c r="P489" s="46">
        <v>0</v>
      </c>
      <c r="Q489" s="46" t="s">
        <v>670</v>
      </c>
      <c r="R489" s="46" t="s">
        <v>23</v>
      </c>
      <c r="S489" s="46" t="s">
        <v>671</v>
      </c>
      <c r="T489" s="46" t="s">
        <v>672</v>
      </c>
      <c r="U489" s="46" t="b">
        <v>1</v>
      </c>
      <c r="V489" s="46" t="s">
        <v>985</v>
      </c>
      <c r="W489" s="46" t="s">
        <v>984</v>
      </c>
      <c r="X489" s="46">
        <v>6</v>
      </c>
      <c r="Y489" s="46" t="b">
        <v>1</v>
      </c>
      <c r="Z489" s="46" t="s">
        <v>675</v>
      </c>
      <c r="AA489" s="46" t="s">
        <v>676</v>
      </c>
      <c r="AB489" s="46" t="s">
        <v>677</v>
      </c>
      <c r="AC489" s="46">
        <v>0</v>
      </c>
      <c r="AD489" s="46" t="s">
        <v>678</v>
      </c>
      <c r="AE489" s="46">
        <v>8</v>
      </c>
      <c r="AF489" s="46" t="s">
        <v>679</v>
      </c>
      <c r="AG489" s="46">
        <v>212336.75700000001</v>
      </c>
      <c r="AH489" s="46" t="b">
        <v>1</v>
      </c>
      <c r="AI489" s="46">
        <v>-1</v>
      </c>
      <c r="AJ489" s="46" t="s">
        <v>680</v>
      </c>
      <c r="AK489" s="46">
        <v>0</v>
      </c>
      <c r="AL489" s="46" t="b">
        <v>0</v>
      </c>
      <c r="AM489" s="46">
        <v>212336.75700000001</v>
      </c>
      <c r="AN489" s="46" t="b">
        <v>1</v>
      </c>
      <c r="AO489" s="46">
        <v>0</v>
      </c>
      <c r="AP489" s="46" t="b">
        <v>0</v>
      </c>
      <c r="AQ489" s="46">
        <v>1002001.461</v>
      </c>
      <c r="AS489" s="46">
        <v>1002001.461</v>
      </c>
      <c r="AT489" s="46">
        <v>6</v>
      </c>
      <c r="AU489" s="46" t="b">
        <v>1</v>
      </c>
      <c r="AV489" s="46" t="b">
        <v>0</v>
      </c>
    </row>
    <row r="490" spans="2:48">
      <c r="B490" s="46" t="s">
        <v>665</v>
      </c>
      <c r="C490" s="46" t="s">
        <v>666</v>
      </c>
      <c r="D490" s="46">
        <v>20240601</v>
      </c>
      <c r="E490" s="46">
        <v>2024</v>
      </c>
      <c r="F490" s="46">
        <v>6</v>
      </c>
      <c r="G490" s="46" t="s">
        <v>700</v>
      </c>
      <c r="H490" s="46">
        <v>818</v>
      </c>
      <c r="I490" s="46" t="s">
        <v>668</v>
      </c>
      <c r="J490" s="46" t="s">
        <v>57</v>
      </c>
      <c r="K490" s="46" t="s">
        <v>666</v>
      </c>
      <c r="L490" s="46" t="s">
        <v>669</v>
      </c>
      <c r="M490" s="46">
        <v>634</v>
      </c>
      <c r="N490" s="46" t="s">
        <v>993</v>
      </c>
      <c r="O490" s="46" t="s">
        <v>37</v>
      </c>
      <c r="P490" s="46">
        <v>0</v>
      </c>
      <c r="Q490" s="46" t="s">
        <v>670</v>
      </c>
      <c r="R490" s="46" t="s">
        <v>23</v>
      </c>
      <c r="S490" s="46" t="s">
        <v>671</v>
      </c>
      <c r="T490" s="46" t="s">
        <v>672</v>
      </c>
      <c r="U490" s="46" t="b">
        <v>1</v>
      </c>
      <c r="V490" s="46" t="s">
        <v>985</v>
      </c>
      <c r="W490" s="46" t="s">
        <v>984</v>
      </c>
      <c r="X490" s="46">
        <v>6</v>
      </c>
      <c r="Y490" s="46" t="b">
        <v>1</v>
      </c>
      <c r="Z490" s="46" t="s">
        <v>675</v>
      </c>
      <c r="AA490" s="46" t="s">
        <v>676</v>
      </c>
      <c r="AB490" s="46" t="s">
        <v>677</v>
      </c>
      <c r="AC490" s="46">
        <v>0</v>
      </c>
      <c r="AD490" s="46" t="s">
        <v>678</v>
      </c>
      <c r="AE490" s="46">
        <v>8</v>
      </c>
      <c r="AF490" s="46" t="s">
        <v>679</v>
      </c>
      <c r="AG490" s="46">
        <v>101734.23299999999</v>
      </c>
      <c r="AH490" s="46" t="b">
        <v>1</v>
      </c>
      <c r="AI490" s="46">
        <v>-1</v>
      </c>
      <c r="AJ490" s="46" t="s">
        <v>680</v>
      </c>
      <c r="AK490" s="46">
        <v>0</v>
      </c>
      <c r="AL490" s="46" t="b">
        <v>0</v>
      </c>
      <c r="AM490" s="46">
        <v>101734.23299999999</v>
      </c>
      <c r="AN490" s="46" t="b">
        <v>1</v>
      </c>
      <c r="AO490" s="46">
        <v>0</v>
      </c>
      <c r="AP490" s="46" t="b">
        <v>0</v>
      </c>
      <c r="AQ490" s="46">
        <v>480076.326</v>
      </c>
      <c r="AS490" s="46">
        <v>480076.326</v>
      </c>
      <c r="AT490" s="46">
        <v>6</v>
      </c>
      <c r="AU490" s="46" t="b">
        <v>1</v>
      </c>
      <c r="AV490" s="46" t="b">
        <v>0</v>
      </c>
    </row>
    <row r="491" spans="2:48">
      <c r="B491" s="46" t="s">
        <v>665</v>
      </c>
      <c r="C491" s="46" t="s">
        <v>666</v>
      </c>
      <c r="D491" s="46">
        <v>20240401</v>
      </c>
      <c r="E491" s="46">
        <v>2024</v>
      </c>
      <c r="F491" s="46">
        <v>4</v>
      </c>
      <c r="G491" s="46" t="s">
        <v>695</v>
      </c>
      <c r="H491" s="46">
        <v>818</v>
      </c>
      <c r="I491" s="46" t="s">
        <v>668</v>
      </c>
      <c r="J491" s="46" t="s">
        <v>57</v>
      </c>
      <c r="K491" s="46" t="s">
        <v>666</v>
      </c>
      <c r="L491" s="46" t="s">
        <v>669</v>
      </c>
      <c r="M491" s="46">
        <v>634</v>
      </c>
      <c r="N491" s="46" t="s">
        <v>993</v>
      </c>
      <c r="O491" s="46" t="s">
        <v>37</v>
      </c>
      <c r="P491" s="46">
        <v>0</v>
      </c>
      <c r="Q491" s="46" t="s">
        <v>670</v>
      </c>
      <c r="R491" s="46" t="s">
        <v>23</v>
      </c>
      <c r="S491" s="46" t="s">
        <v>671</v>
      </c>
      <c r="T491" s="46" t="s">
        <v>672</v>
      </c>
      <c r="U491" s="46" t="b">
        <v>1</v>
      </c>
      <c r="V491" s="46" t="s">
        <v>985</v>
      </c>
      <c r="W491" s="46" t="s">
        <v>984</v>
      </c>
      <c r="X491" s="46">
        <v>6</v>
      </c>
      <c r="Y491" s="46" t="b">
        <v>1</v>
      </c>
      <c r="Z491" s="46" t="s">
        <v>675</v>
      </c>
      <c r="AA491" s="46" t="s">
        <v>676</v>
      </c>
      <c r="AB491" s="46" t="s">
        <v>677</v>
      </c>
      <c r="AC491" s="46">
        <v>0</v>
      </c>
      <c r="AD491" s="46" t="s">
        <v>678</v>
      </c>
      <c r="AE491" s="46">
        <v>8</v>
      </c>
      <c r="AF491" s="46" t="s">
        <v>679</v>
      </c>
      <c r="AG491" s="46">
        <v>118745.87699999999</v>
      </c>
      <c r="AH491" s="46" t="b">
        <v>1</v>
      </c>
      <c r="AI491" s="46">
        <v>-1</v>
      </c>
      <c r="AJ491" s="46" t="s">
        <v>680</v>
      </c>
      <c r="AK491" s="46">
        <v>0</v>
      </c>
      <c r="AL491" s="46" t="b">
        <v>0</v>
      </c>
      <c r="AM491" s="46">
        <v>118745.87699999999</v>
      </c>
      <c r="AN491" s="46" t="b">
        <v>1</v>
      </c>
      <c r="AO491" s="46">
        <v>0</v>
      </c>
      <c r="AP491" s="46" t="b">
        <v>0</v>
      </c>
      <c r="AQ491" s="46">
        <v>560353.01599999995</v>
      </c>
      <c r="AS491" s="46">
        <v>560353.01599999995</v>
      </c>
      <c r="AT491" s="46">
        <v>6</v>
      </c>
      <c r="AU491" s="46" t="b">
        <v>1</v>
      </c>
      <c r="AV491" s="46" t="b">
        <v>0</v>
      </c>
    </row>
    <row r="492" spans="2:48">
      <c r="B492" s="46" t="s">
        <v>665</v>
      </c>
      <c r="C492" s="46" t="s">
        <v>666</v>
      </c>
      <c r="D492" s="46">
        <v>20240501</v>
      </c>
      <c r="E492" s="46">
        <v>2024</v>
      </c>
      <c r="F492" s="46">
        <v>5</v>
      </c>
      <c r="G492" s="46" t="s">
        <v>699</v>
      </c>
      <c r="H492" s="46">
        <v>818</v>
      </c>
      <c r="I492" s="46" t="s">
        <v>668</v>
      </c>
      <c r="J492" s="46" t="s">
        <v>57</v>
      </c>
      <c r="K492" s="46" t="s">
        <v>666</v>
      </c>
      <c r="L492" s="46" t="s">
        <v>669</v>
      </c>
      <c r="M492" s="46">
        <v>634</v>
      </c>
      <c r="N492" s="46" t="s">
        <v>993</v>
      </c>
      <c r="O492" s="46" t="s">
        <v>37</v>
      </c>
      <c r="P492" s="46">
        <v>0</v>
      </c>
      <c r="Q492" s="46" t="s">
        <v>670</v>
      </c>
      <c r="R492" s="46" t="s">
        <v>23</v>
      </c>
      <c r="S492" s="46" t="s">
        <v>671</v>
      </c>
      <c r="T492" s="46" t="s">
        <v>672</v>
      </c>
      <c r="U492" s="46" t="b">
        <v>1</v>
      </c>
      <c r="V492" s="46" t="s">
        <v>985</v>
      </c>
      <c r="W492" s="46" t="s">
        <v>984</v>
      </c>
      <c r="X492" s="46">
        <v>6</v>
      </c>
      <c r="Y492" s="46" t="b">
        <v>1</v>
      </c>
      <c r="Z492" s="46" t="s">
        <v>675</v>
      </c>
      <c r="AA492" s="46" t="s">
        <v>676</v>
      </c>
      <c r="AB492" s="46" t="s">
        <v>677</v>
      </c>
      <c r="AC492" s="46">
        <v>0</v>
      </c>
      <c r="AD492" s="46" t="s">
        <v>678</v>
      </c>
      <c r="AE492" s="46">
        <v>8</v>
      </c>
      <c r="AF492" s="46" t="s">
        <v>679</v>
      </c>
      <c r="AG492" s="46">
        <v>21125.573</v>
      </c>
      <c r="AH492" s="46" t="b">
        <v>1</v>
      </c>
      <c r="AI492" s="46">
        <v>-1</v>
      </c>
      <c r="AJ492" s="46" t="s">
        <v>680</v>
      </c>
      <c r="AK492" s="46">
        <v>0</v>
      </c>
      <c r="AL492" s="46" t="b">
        <v>0</v>
      </c>
      <c r="AM492" s="46">
        <v>21125.573</v>
      </c>
      <c r="AN492" s="46" t="b">
        <v>1</v>
      </c>
      <c r="AO492" s="46">
        <v>0</v>
      </c>
      <c r="AP492" s="46" t="b">
        <v>0</v>
      </c>
      <c r="AQ492" s="46">
        <v>99690.016000000003</v>
      </c>
      <c r="AS492" s="46">
        <v>99690.016000000003</v>
      </c>
      <c r="AT492" s="46">
        <v>6</v>
      </c>
      <c r="AU492" s="46" t="b">
        <v>1</v>
      </c>
      <c r="AV492" s="46" t="b">
        <v>0</v>
      </c>
    </row>
    <row r="493" spans="2:48">
      <c r="B493" s="46" t="s">
        <v>665</v>
      </c>
      <c r="C493" s="46" t="s">
        <v>666</v>
      </c>
      <c r="D493" s="46">
        <v>20240201</v>
      </c>
      <c r="E493" s="46">
        <v>2024</v>
      </c>
      <c r="F493" s="46">
        <v>2</v>
      </c>
      <c r="G493" s="46" t="s">
        <v>687</v>
      </c>
      <c r="H493" s="46">
        <v>818</v>
      </c>
      <c r="I493" s="46" t="s">
        <v>668</v>
      </c>
      <c r="J493" s="46" t="s">
        <v>57</v>
      </c>
      <c r="K493" s="46" t="s">
        <v>666</v>
      </c>
      <c r="L493" s="46" t="s">
        <v>669</v>
      </c>
      <c r="M493" s="46">
        <v>634</v>
      </c>
      <c r="N493" s="46" t="s">
        <v>993</v>
      </c>
      <c r="O493" s="46" t="s">
        <v>37</v>
      </c>
      <c r="P493" s="46">
        <v>0</v>
      </c>
      <c r="Q493" s="46" t="s">
        <v>670</v>
      </c>
      <c r="R493" s="46" t="s">
        <v>23</v>
      </c>
      <c r="S493" s="46" t="s">
        <v>671</v>
      </c>
      <c r="T493" s="46" t="s">
        <v>672</v>
      </c>
      <c r="U493" s="46" t="b">
        <v>1</v>
      </c>
      <c r="V493" s="46" t="s">
        <v>985</v>
      </c>
      <c r="W493" s="46" t="s">
        <v>984</v>
      </c>
      <c r="X493" s="46">
        <v>6</v>
      </c>
      <c r="Y493" s="46" t="b">
        <v>1</v>
      </c>
      <c r="Z493" s="46" t="s">
        <v>675</v>
      </c>
      <c r="AA493" s="46" t="s">
        <v>676</v>
      </c>
      <c r="AB493" s="46" t="s">
        <v>677</v>
      </c>
      <c r="AC493" s="46">
        <v>0</v>
      </c>
      <c r="AD493" s="46" t="s">
        <v>678</v>
      </c>
      <c r="AE493" s="46">
        <v>8</v>
      </c>
      <c r="AF493" s="46" t="s">
        <v>679</v>
      </c>
      <c r="AG493" s="46">
        <v>71921.024999999994</v>
      </c>
      <c r="AH493" s="46" t="b">
        <v>1</v>
      </c>
      <c r="AI493" s="46">
        <v>-1</v>
      </c>
      <c r="AJ493" s="46" t="s">
        <v>680</v>
      </c>
      <c r="AK493" s="46">
        <v>0</v>
      </c>
      <c r="AL493" s="46" t="b">
        <v>0</v>
      </c>
      <c r="AM493" s="46">
        <v>71921.024999999994</v>
      </c>
      <c r="AN493" s="46" t="b">
        <v>1</v>
      </c>
      <c r="AO493" s="46">
        <v>0</v>
      </c>
      <c r="AP493" s="46" t="b">
        <v>0</v>
      </c>
      <c r="AQ493" s="46">
        <v>339390</v>
      </c>
      <c r="AS493" s="46">
        <v>339390</v>
      </c>
      <c r="AT493" s="46">
        <v>6</v>
      </c>
      <c r="AU493" s="46" t="b">
        <v>1</v>
      </c>
      <c r="AV493" s="46" t="b">
        <v>0</v>
      </c>
    </row>
    <row r="494" spans="2:48">
      <c r="B494" s="46" t="s">
        <v>665</v>
      </c>
      <c r="C494" s="46" t="s">
        <v>666</v>
      </c>
      <c r="D494" s="46">
        <v>20240201</v>
      </c>
      <c r="E494" s="46">
        <v>2024</v>
      </c>
      <c r="F494" s="46">
        <v>2</v>
      </c>
      <c r="G494" s="46" t="s">
        <v>687</v>
      </c>
      <c r="H494" s="46">
        <v>818</v>
      </c>
      <c r="I494" s="46" t="s">
        <v>668</v>
      </c>
      <c r="J494" s="46" t="s">
        <v>57</v>
      </c>
      <c r="K494" s="46" t="s">
        <v>666</v>
      </c>
      <c r="L494" s="46" t="s">
        <v>669</v>
      </c>
      <c r="M494" s="46">
        <v>643</v>
      </c>
      <c r="N494" s="46" t="s">
        <v>761</v>
      </c>
      <c r="O494" s="46" t="s">
        <v>38</v>
      </c>
      <c r="P494" s="46">
        <v>0</v>
      </c>
      <c r="Q494" s="46" t="s">
        <v>670</v>
      </c>
      <c r="R494" s="46" t="s">
        <v>23</v>
      </c>
      <c r="S494" s="46" t="s">
        <v>671</v>
      </c>
      <c r="T494" s="46" t="s">
        <v>672</v>
      </c>
      <c r="U494" s="46" t="b">
        <v>1</v>
      </c>
      <c r="V494" s="46" t="s">
        <v>985</v>
      </c>
      <c r="W494" s="46" t="s">
        <v>984</v>
      </c>
      <c r="X494" s="46">
        <v>6</v>
      </c>
      <c r="Y494" s="46" t="b">
        <v>1</v>
      </c>
      <c r="Z494" s="46" t="s">
        <v>675</v>
      </c>
      <c r="AA494" s="46" t="s">
        <v>676</v>
      </c>
      <c r="AB494" s="46" t="s">
        <v>677</v>
      </c>
      <c r="AC494" s="46">
        <v>0</v>
      </c>
      <c r="AD494" s="46" t="s">
        <v>678</v>
      </c>
      <c r="AE494" s="46">
        <v>8</v>
      </c>
      <c r="AF494" s="46" t="s">
        <v>679</v>
      </c>
      <c r="AG494" s="46">
        <v>3996.527</v>
      </c>
      <c r="AH494" s="46" t="b">
        <v>1</v>
      </c>
      <c r="AI494" s="46">
        <v>-1</v>
      </c>
      <c r="AJ494" s="46" t="s">
        <v>680</v>
      </c>
      <c r="AK494" s="46">
        <v>0</v>
      </c>
      <c r="AL494" s="46" t="b">
        <v>0</v>
      </c>
      <c r="AM494" s="46">
        <v>3996.527</v>
      </c>
      <c r="AN494" s="46" t="b">
        <v>1</v>
      </c>
      <c r="AO494" s="46">
        <v>0</v>
      </c>
      <c r="AP494" s="46" t="b">
        <v>0</v>
      </c>
      <c r="AQ494" s="46">
        <v>18859.315999999999</v>
      </c>
      <c r="AS494" s="46">
        <v>18859.315999999999</v>
      </c>
      <c r="AT494" s="46">
        <v>6</v>
      </c>
      <c r="AU494" s="46" t="b">
        <v>1</v>
      </c>
      <c r="AV494" s="46" t="b">
        <v>0</v>
      </c>
    </row>
    <row r="495" spans="2:48">
      <c r="B495" s="46" t="s">
        <v>665</v>
      </c>
      <c r="C495" s="46" t="s">
        <v>666</v>
      </c>
      <c r="D495" s="46">
        <v>20240101</v>
      </c>
      <c r="E495" s="46">
        <v>2024</v>
      </c>
      <c r="F495" s="46">
        <v>1</v>
      </c>
      <c r="G495" s="46" t="s">
        <v>667</v>
      </c>
      <c r="H495" s="46">
        <v>818</v>
      </c>
      <c r="I495" s="46" t="s">
        <v>668</v>
      </c>
      <c r="J495" s="46" t="s">
        <v>57</v>
      </c>
      <c r="K495" s="46" t="s">
        <v>666</v>
      </c>
      <c r="L495" s="46" t="s">
        <v>669</v>
      </c>
      <c r="M495" s="46">
        <v>682</v>
      </c>
      <c r="N495" s="46" t="s">
        <v>758</v>
      </c>
      <c r="O495" s="46" t="s">
        <v>39</v>
      </c>
      <c r="P495" s="46">
        <v>0</v>
      </c>
      <c r="Q495" s="46" t="s">
        <v>670</v>
      </c>
      <c r="R495" s="46" t="s">
        <v>23</v>
      </c>
      <c r="S495" s="46" t="s">
        <v>671</v>
      </c>
      <c r="T495" s="46" t="s">
        <v>672</v>
      </c>
      <c r="U495" s="46" t="b">
        <v>1</v>
      </c>
      <c r="V495" s="46" t="s">
        <v>985</v>
      </c>
      <c r="W495" s="46" t="s">
        <v>984</v>
      </c>
      <c r="X495" s="46">
        <v>6</v>
      </c>
      <c r="Y495" s="46" t="b">
        <v>1</v>
      </c>
      <c r="Z495" s="46" t="s">
        <v>675</v>
      </c>
      <c r="AA495" s="46" t="s">
        <v>676</v>
      </c>
      <c r="AB495" s="46" t="s">
        <v>677</v>
      </c>
      <c r="AC495" s="46">
        <v>0</v>
      </c>
      <c r="AD495" s="46" t="s">
        <v>678</v>
      </c>
      <c r="AE495" s="46">
        <v>8</v>
      </c>
      <c r="AF495" s="46" t="s">
        <v>679</v>
      </c>
      <c r="AG495" s="46">
        <v>7495.8360000000002</v>
      </c>
      <c r="AH495" s="46" t="b">
        <v>1</v>
      </c>
      <c r="AI495" s="46">
        <v>-1</v>
      </c>
      <c r="AJ495" s="46" t="s">
        <v>680</v>
      </c>
      <c r="AK495" s="46">
        <v>0</v>
      </c>
      <c r="AL495" s="46" t="b">
        <v>0</v>
      </c>
      <c r="AM495" s="46">
        <v>7495.8360000000002</v>
      </c>
      <c r="AN495" s="46" t="b">
        <v>1</v>
      </c>
      <c r="AO495" s="46">
        <v>0</v>
      </c>
      <c r="AP495" s="46" t="b">
        <v>0</v>
      </c>
      <c r="AQ495" s="46">
        <v>35372.296000000002</v>
      </c>
      <c r="AS495" s="46">
        <v>35372.296000000002</v>
      </c>
      <c r="AT495" s="46">
        <v>6</v>
      </c>
      <c r="AU495" s="46" t="b">
        <v>1</v>
      </c>
      <c r="AV495" s="46" t="b">
        <v>0</v>
      </c>
    </row>
    <row r="496" spans="2:48">
      <c r="B496" s="46" t="s">
        <v>665</v>
      </c>
      <c r="C496" s="46" t="s">
        <v>666</v>
      </c>
      <c r="D496" s="46">
        <v>20240601</v>
      </c>
      <c r="E496" s="46">
        <v>2024</v>
      </c>
      <c r="F496" s="46">
        <v>6</v>
      </c>
      <c r="G496" s="46" t="s">
        <v>700</v>
      </c>
      <c r="H496" s="46">
        <v>818</v>
      </c>
      <c r="I496" s="46" t="s">
        <v>668</v>
      </c>
      <c r="J496" s="46" t="s">
        <v>57</v>
      </c>
      <c r="K496" s="46" t="s">
        <v>666</v>
      </c>
      <c r="L496" s="46" t="s">
        <v>669</v>
      </c>
      <c r="M496" s="46">
        <v>682</v>
      </c>
      <c r="N496" s="46" t="s">
        <v>758</v>
      </c>
      <c r="O496" s="46" t="s">
        <v>39</v>
      </c>
      <c r="P496" s="46">
        <v>0</v>
      </c>
      <c r="Q496" s="46" t="s">
        <v>670</v>
      </c>
      <c r="R496" s="46" t="s">
        <v>23</v>
      </c>
      <c r="S496" s="46" t="s">
        <v>671</v>
      </c>
      <c r="T496" s="46" t="s">
        <v>672</v>
      </c>
      <c r="U496" s="46" t="b">
        <v>1</v>
      </c>
      <c r="V496" s="46" t="s">
        <v>985</v>
      </c>
      <c r="W496" s="46" t="s">
        <v>984</v>
      </c>
      <c r="X496" s="46">
        <v>6</v>
      </c>
      <c r="Y496" s="46" t="b">
        <v>1</v>
      </c>
      <c r="Z496" s="46" t="s">
        <v>675</v>
      </c>
      <c r="AA496" s="46" t="s">
        <v>676</v>
      </c>
      <c r="AB496" s="46" t="s">
        <v>677</v>
      </c>
      <c r="AC496" s="46">
        <v>0</v>
      </c>
      <c r="AD496" s="46" t="s">
        <v>678</v>
      </c>
      <c r="AE496" s="46">
        <v>8</v>
      </c>
      <c r="AF496" s="46" t="s">
        <v>679</v>
      </c>
      <c r="AG496" s="46">
        <v>5233.4549999999999</v>
      </c>
      <c r="AH496" s="46" t="b">
        <v>1</v>
      </c>
      <c r="AI496" s="46">
        <v>-1</v>
      </c>
      <c r="AJ496" s="46" t="s">
        <v>680</v>
      </c>
      <c r="AK496" s="46">
        <v>0</v>
      </c>
      <c r="AL496" s="46" t="b">
        <v>0</v>
      </c>
      <c r="AM496" s="46">
        <v>5233.4549999999999</v>
      </c>
      <c r="AN496" s="46" t="b">
        <v>1</v>
      </c>
      <c r="AO496" s="46">
        <v>0</v>
      </c>
      <c r="AP496" s="46" t="b">
        <v>0</v>
      </c>
      <c r="AQ496" s="46">
        <v>24696.285</v>
      </c>
      <c r="AS496" s="46">
        <v>24696.285</v>
      </c>
      <c r="AT496" s="46">
        <v>6</v>
      </c>
      <c r="AU496" s="46" t="b">
        <v>1</v>
      </c>
      <c r="AV496" s="46" t="b">
        <v>0</v>
      </c>
    </row>
    <row r="497" spans="2:48">
      <c r="B497" s="46" t="s">
        <v>665</v>
      </c>
      <c r="C497" s="46" t="s">
        <v>666</v>
      </c>
      <c r="D497" s="46">
        <v>20240401</v>
      </c>
      <c r="E497" s="46">
        <v>2024</v>
      </c>
      <c r="F497" s="46">
        <v>4</v>
      </c>
      <c r="G497" s="46" t="s">
        <v>695</v>
      </c>
      <c r="H497" s="46">
        <v>818</v>
      </c>
      <c r="I497" s="46" t="s">
        <v>668</v>
      </c>
      <c r="J497" s="46" t="s">
        <v>57</v>
      </c>
      <c r="K497" s="46" t="s">
        <v>666</v>
      </c>
      <c r="L497" s="46" t="s">
        <v>669</v>
      </c>
      <c r="M497" s="46">
        <v>682</v>
      </c>
      <c r="N497" s="46" t="s">
        <v>758</v>
      </c>
      <c r="O497" s="46" t="s">
        <v>39</v>
      </c>
      <c r="P497" s="46">
        <v>0</v>
      </c>
      <c r="Q497" s="46" t="s">
        <v>670</v>
      </c>
      <c r="R497" s="46" t="s">
        <v>23</v>
      </c>
      <c r="S497" s="46" t="s">
        <v>671</v>
      </c>
      <c r="T497" s="46" t="s">
        <v>672</v>
      </c>
      <c r="U497" s="46" t="b">
        <v>1</v>
      </c>
      <c r="V497" s="46" t="s">
        <v>985</v>
      </c>
      <c r="W497" s="46" t="s">
        <v>984</v>
      </c>
      <c r="X497" s="46">
        <v>6</v>
      </c>
      <c r="Y497" s="46" t="b">
        <v>1</v>
      </c>
      <c r="Z497" s="46" t="s">
        <v>675</v>
      </c>
      <c r="AA497" s="46" t="s">
        <v>676</v>
      </c>
      <c r="AB497" s="46" t="s">
        <v>677</v>
      </c>
      <c r="AC497" s="46">
        <v>0</v>
      </c>
      <c r="AD497" s="46" t="s">
        <v>678</v>
      </c>
      <c r="AE497" s="46">
        <v>8</v>
      </c>
      <c r="AF497" s="46" t="s">
        <v>679</v>
      </c>
      <c r="AG497" s="46">
        <v>38486.512999999999</v>
      </c>
      <c r="AH497" s="46" t="b">
        <v>1</v>
      </c>
      <c r="AI497" s="46">
        <v>-1</v>
      </c>
      <c r="AJ497" s="46" t="s">
        <v>680</v>
      </c>
      <c r="AK497" s="46">
        <v>0</v>
      </c>
      <c r="AL497" s="46" t="b">
        <v>0</v>
      </c>
      <c r="AM497" s="46">
        <v>38486.512999999999</v>
      </c>
      <c r="AN497" s="46" t="b">
        <v>1</v>
      </c>
      <c r="AO497" s="46">
        <v>0</v>
      </c>
      <c r="AP497" s="46" t="b">
        <v>0</v>
      </c>
      <c r="AQ497" s="46">
        <v>181615.011</v>
      </c>
      <c r="AS497" s="46">
        <v>181615.011</v>
      </c>
      <c r="AT497" s="46">
        <v>6</v>
      </c>
      <c r="AU497" s="46" t="b">
        <v>1</v>
      </c>
      <c r="AV497" s="46" t="b">
        <v>0</v>
      </c>
    </row>
    <row r="498" spans="2:48">
      <c r="B498" s="46" t="s">
        <v>665</v>
      </c>
      <c r="C498" s="46" t="s">
        <v>666</v>
      </c>
      <c r="D498" s="46">
        <v>20240501</v>
      </c>
      <c r="E498" s="46">
        <v>2024</v>
      </c>
      <c r="F498" s="46">
        <v>5</v>
      </c>
      <c r="G498" s="46" t="s">
        <v>699</v>
      </c>
      <c r="H498" s="46">
        <v>818</v>
      </c>
      <c r="I498" s="46" t="s">
        <v>668</v>
      </c>
      <c r="J498" s="46" t="s">
        <v>57</v>
      </c>
      <c r="K498" s="46" t="s">
        <v>666</v>
      </c>
      <c r="L498" s="46" t="s">
        <v>669</v>
      </c>
      <c r="M498" s="46">
        <v>682</v>
      </c>
      <c r="N498" s="46" t="s">
        <v>758</v>
      </c>
      <c r="O498" s="46" t="s">
        <v>39</v>
      </c>
      <c r="P498" s="46">
        <v>0</v>
      </c>
      <c r="Q498" s="46" t="s">
        <v>670</v>
      </c>
      <c r="R498" s="46" t="s">
        <v>23</v>
      </c>
      <c r="S498" s="46" t="s">
        <v>671</v>
      </c>
      <c r="T498" s="46" t="s">
        <v>672</v>
      </c>
      <c r="U498" s="46" t="b">
        <v>1</v>
      </c>
      <c r="V498" s="46" t="s">
        <v>985</v>
      </c>
      <c r="W498" s="46" t="s">
        <v>984</v>
      </c>
      <c r="X498" s="46">
        <v>6</v>
      </c>
      <c r="Y498" s="46" t="b">
        <v>1</v>
      </c>
      <c r="Z498" s="46" t="s">
        <v>675</v>
      </c>
      <c r="AA498" s="46" t="s">
        <v>676</v>
      </c>
      <c r="AB498" s="46" t="s">
        <v>677</v>
      </c>
      <c r="AC498" s="46">
        <v>0</v>
      </c>
      <c r="AD498" s="46" t="s">
        <v>678</v>
      </c>
      <c r="AE498" s="46">
        <v>8</v>
      </c>
      <c r="AF498" s="46" t="s">
        <v>679</v>
      </c>
      <c r="AG498" s="46">
        <v>63322.072999999997</v>
      </c>
      <c r="AH498" s="46" t="b">
        <v>1</v>
      </c>
      <c r="AI498" s="46">
        <v>-1</v>
      </c>
      <c r="AJ498" s="46" t="s">
        <v>680</v>
      </c>
      <c r="AK498" s="46">
        <v>0</v>
      </c>
      <c r="AL498" s="46" t="b">
        <v>0</v>
      </c>
      <c r="AM498" s="46">
        <v>63322.072999999997</v>
      </c>
      <c r="AN498" s="46" t="b">
        <v>1</v>
      </c>
      <c r="AO498" s="46">
        <v>0</v>
      </c>
      <c r="AP498" s="46" t="b">
        <v>0</v>
      </c>
      <c r="AQ498" s="46">
        <v>298812.18300000002</v>
      </c>
      <c r="AS498" s="46">
        <v>298812.18300000002</v>
      </c>
      <c r="AT498" s="46">
        <v>6</v>
      </c>
      <c r="AU498" s="46" t="b">
        <v>1</v>
      </c>
      <c r="AV498" s="46" t="b">
        <v>0</v>
      </c>
    </row>
    <row r="499" spans="2:48">
      <c r="B499" s="46" t="s">
        <v>665</v>
      </c>
      <c r="C499" s="46" t="s">
        <v>666</v>
      </c>
      <c r="D499" s="46">
        <v>20240201</v>
      </c>
      <c r="E499" s="46">
        <v>2024</v>
      </c>
      <c r="F499" s="46">
        <v>2</v>
      </c>
      <c r="G499" s="46" t="s">
        <v>687</v>
      </c>
      <c r="H499" s="46">
        <v>818</v>
      </c>
      <c r="I499" s="46" t="s">
        <v>668</v>
      </c>
      <c r="J499" s="46" t="s">
        <v>57</v>
      </c>
      <c r="K499" s="46" t="s">
        <v>666</v>
      </c>
      <c r="L499" s="46" t="s">
        <v>669</v>
      </c>
      <c r="M499" s="46">
        <v>682</v>
      </c>
      <c r="N499" s="46" t="s">
        <v>758</v>
      </c>
      <c r="O499" s="46" t="s">
        <v>39</v>
      </c>
      <c r="P499" s="46">
        <v>0</v>
      </c>
      <c r="Q499" s="46" t="s">
        <v>670</v>
      </c>
      <c r="R499" s="46" t="s">
        <v>23</v>
      </c>
      <c r="S499" s="46" t="s">
        <v>671</v>
      </c>
      <c r="T499" s="46" t="s">
        <v>672</v>
      </c>
      <c r="U499" s="46" t="b">
        <v>1</v>
      </c>
      <c r="V499" s="46" t="s">
        <v>985</v>
      </c>
      <c r="W499" s="46" t="s">
        <v>984</v>
      </c>
      <c r="X499" s="46">
        <v>6</v>
      </c>
      <c r="Y499" s="46" t="b">
        <v>1</v>
      </c>
      <c r="Z499" s="46" t="s">
        <v>675</v>
      </c>
      <c r="AA499" s="46" t="s">
        <v>676</v>
      </c>
      <c r="AB499" s="46" t="s">
        <v>677</v>
      </c>
      <c r="AC499" s="46">
        <v>0</v>
      </c>
      <c r="AD499" s="46" t="s">
        <v>678</v>
      </c>
      <c r="AE499" s="46">
        <v>8</v>
      </c>
      <c r="AF499" s="46" t="s">
        <v>679</v>
      </c>
      <c r="AG499" s="46">
        <v>40381.008000000002</v>
      </c>
      <c r="AH499" s="46" t="b">
        <v>1</v>
      </c>
      <c r="AI499" s="46">
        <v>-1</v>
      </c>
      <c r="AJ499" s="46" t="s">
        <v>680</v>
      </c>
      <c r="AK499" s="46">
        <v>0</v>
      </c>
      <c r="AL499" s="46" t="b">
        <v>0</v>
      </c>
      <c r="AM499" s="46">
        <v>40381.008000000002</v>
      </c>
      <c r="AN499" s="46" t="b">
        <v>1</v>
      </c>
      <c r="AO499" s="46">
        <v>0</v>
      </c>
      <c r="AP499" s="46" t="b">
        <v>0</v>
      </c>
      <c r="AQ499" s="46">
        <v>190554.99299999999</v>
      </c>
      <c r="AS499" s="46">
        <v>190554.99299999999</v>
      </c>
      <c r="AT499" s="46">
        <v>6</v>
      </c>
      <c r="AU499" s="46" t="b">
        <v>1</v>
      </c>
      <c r="AV499" s="46" t="b">
        <v>0</v>
      </c>
    </row>
    <row r="500" spans="2:48">
      <c r="B500" s="46" t="s">
        <v>665</v>
      </c>
      <c r="C500" s="46" t="s">
        <v>666</v>
      </c>
      <c r="D500" s="46">
        <v>20240101</v>
      </c>
      <c r="E500" s="46">
        <v>2024</v>
      </c>
      <c r="F500" s="46">
        <v>1</v>
      </c>
      <c r="G500" s="46" t="s">
        <v>667</v>
      </c>
      <c r="H500" s="46">
        <v>818</v>
      </c>
      <c r="I500" s="46" t="s">
        <v>668</v>
      </c>
      <c r="J500" s="46" t="s">
        <v>57</v>
      </c>
      <c r="K500" s="46" t="s">
        <v>666</v>
      </c>
      <c r="L500" s="46" t="s">
        <v>669</v>
      </c>
      <c r="M500" s="46">
        <v>699</v>
      </c>
      <c r="N500" s="46" t="s">
        <v>748</v>
      </c>
      <c r="O500" s="46" t="s">
        <v>0</v>
      </c>
      <c r="P500" s="46">
        <v>0</v>
      </c>
      <c r="Q500" s="46" t="s">
        <v>670</v>
      </c>
      <c r="R500" s="46" t="s">
        <v>23</v>
      </c>
      <c r="S500" s="46" t="s">
        <v>671</v>
      </c>
      <c r="T500" s="46" t="s">
        <v>672</v>
      </c>
      <c r="U500" s="46" t="b">
        <v>1</v>
      </c>
      <c r="V500" s="46" t="s">
        <v>985</v>
      </c>
      <c r="W500" s="46" t="s">
        <v>984</v>
      </c>
      <c r="X500" s="46">
        <v>6</v>
      </c>
      <c r="Y500" s="46" t="b">
        <v>1</v>
      </c>
      <c r="Z500" s="46" t="s">
        <v>675</v>
      </c>
      <c r="AA500" s="46" t="s">
        <v>676</v>
      </c>
      <c r="AB500" s="46" t="s">
        <v>677</v>
      </c>
      <c r="AC500" s="46">
        <v>0</v>
      </c>
      <c r="AD500" s="46" t="s">
        <v>678</v>
      </c>
      <c r="AE500" s="46">
        <v>8</v>
      </c>
      <c r="AF500" s="46" t="s">
        <v>679</v>
      </c>
      <c r="AG500" s="46">
        <v>136962.85399999999</v>
      </c>
      <c r="AH500" s="46" t="b">
        <v>1</v>
      </c>
      <c r="AI500" s="46">
        <v>-1</v>
      </c>
      <c r="AJ500" s="46" t="s">
        <v>680</v>
      </c>
      <c r="AK500" s="46">
        <v>0</v>
      </c>
      <c r="AL500" s="46" t="b">
        <v>0</v>
      </c>
      <c r="AM500" s="46">
        <v>136962.85399999999</v>
      </c>
      <c r="AN500" s="46" t="b">
        <v>1</v>
      </c>
      <c r="AO500" s="46">
        <v>0</v>
      </c>
      <c r="AP500" s="46" t="b">
        <v>0</v>
      </c>
      <c r="AQ500" s="46">
        <v>646317.58400000003</v>
      </c>
      <c r="AS500" s="46">
        <v>646317.58400000003</v>
      </c>
      <c r="AT500" s="46">
        <v>6</v>
      </c>
      <c r="AU500" s="46" t="b">
        <v>1</v>
      </c>
      <c r="AV500" s="46" t="b">
        <v>0</v>
      </c>
    </row>
    <row r="501" spans="2:48">
      <c r="B501" s="46" t="s">
        <v>665</v>
      </c>
      <c r="C501" s="46" t="s">
        <v>666</v>
      </c>
      <c r="D501" s="46">
        <v>20240601</v>
      </c>
      <c r="E501" s="46">
        <v>2024</v>
      </c>
      <c r="F501" s="46">
        <v>6</v>
      </c>
      <c r="G501" s="46" t="s">
        <v>700</v>
      </c>
      <c r="H501" s="46">
        <v>818</v>
      </c>
      <c r="I501" s="46" t="s">
        <v>668</v>
      </c>
      <c r="J501" s="46" t="s">
        <v>57</v>
      </c>
      <c r="K501" s="46" t="s">
        <v>666</v>
      </c>
      <c r="L501" s="46" t="s">
        <v>669</v>
      </c>
      <c r="M501" s="46">
        <v>699</v>
      </c>
      <c r="N501" s="46" t="s">
        <v>748</v>
      </c>
      <c r="O501" s="46" t="s">
        <v>0</v>
      </c>
      <c r="P501" s="46">
        <v>0</v>
      </c>
      <c r="Q501" s="46" t="s">
        <v>670</v>
      </c>
      <c r="R501" s="46" t="s">
        <v>23</v>
      </c>
      <c r="S501" s="46" t="s">
        <v>671</v>
      </c>
      <c r="T501" s="46" t="s">
        <v>672</v>
      </c>
      <c r="U501" s="46" t="b">
        <v>1</v>
      </c>
      <c r="V501" s="46" t="s">
        <v>985</v>
      </c>
      <c r="W501" s="46" t="s">
        <v>984</v>
      </c>
      <c r="X501" s="46">
        <v>6</v>
      </c>
      <c r="Y501" s="46" t="b">
        <v>1</v>
      </c>
      <c r="Z501" s="46" t="s">
        <v>675</v>
      </c>
      <c r="AA501" s="46" t="s">
        <v>676</v>
      </c>
      <c r="AB501" s="46" t="s">
        <v>677</v>
      </c>
      <c r="AC501" s="46">
        <v>0</v>
      </c>
      <c r="AD501" s="46" t="s">
        <v>678</v>
      </c>
      <c r="AE501" s="46">
        <v>8</v>
      </c>
      <c r="AF501" s="46" t="s">
        <v>679</v>
      </c>
      <c r="AG501" s="46">
        <v>167340.68400000001</v>
      </c>
      <c r="AH501" s="46" t="b">
        <v>1</v>
      </c>
      <c r="AI501" s="46">
        <v>-1</v>
      </c>
      <c r="AJ501" s="46" t="s">
        <v>680</v>
      </c>
      <c r="AK501" s="46">
        <v>0</v>
      </c>
      <c r="AL501" s="46" t="b">
        <v>0</v>
      </c>
      <c r="AM501" s="46">
        <v>167340.68400000001</v>
      </c>
      <c r="AN501" s="46" t="b">
        <v>1</v>
      </c>
      <c r="AO501" s="46">
        <v>0</v>
      </c>
      <c r="AP501" s="46" t="b">
        <v>0</v>
      </c>
      <c r="AQ501" s="46">
        <v>789668.32</v>
      </c>
      <c r="AS501" s="46">
        <v>789668.32</v>
      </c>
      <c r="AT501" s="46">
        <v>6</v>
      </c>
      <c r="AU501" s="46" t="b">
        <v>1</v>
      </c>
      <c r="AV501" s="46" t="b">
        <v>0</v>
      </c>
    </row>
    <row r="502" spans="2:48">
      <c r="B502" s="46" t="s">
        <v>665</v>
      </c>
      <c r="C502" s="46" t="s">
        <v>666</v>
      </c>
      <c r="D502" s="46">
        <v>20240401</v>
      </c>
      <c r="E502" s="46">
        <v>2024</v>
      </c>
      <c r="F502" s="46">
        <v>4</v>
      </c>
      <c r="G502" s="46" t="s">
        <v>695</v>
      </c>
      <c r="H502" s="46">
        <v>818</v>
      </c>
      <c r="I502" s="46" t="s">
        <v>668</v>
      </c>
      <c r="J502" s="46" t="s">
        <v>57</v>
      </c>
      <c r="K502" s="46" t="s">
        <v>666</v>
      </c>
      <c r="L502" s="46" t="s">
        <v>669</v>
      </c>
      <c r="M502" s="46">
        <v>699</v>
      </c>
      <c r="N502" s="46" t="s">
        <v>748</v>
      </c>
      <c r="O502" s="46" t="s">
        <v>0</v>
      </c>
      <c r="P502" s="46">
        <v>0</v>
      </c>
      <c r="Q502" s="46" t="s">
        <v>670</v>
      </c>
      <c r="R502" s="46" t="s">
        <v>23</v>
      </c>
      <c r="S502" s="46" t="s">
        <v>671</v>
      </c>
      <c r="T502" s="46" t="s">
        <v>672</v>
      </c>
      <c r="U502" s="46" t="b">
        <v>1</v>
      </c>
      <c r="V502" s="46" t="s">
        <v>985</v>
      </c>
      <c r="W502" s="46" t="s">
        <v>984</v>
      </c>
      <c r="X502" s="46">
        <v>6</v>
      </c>
      <c r="Y502" s="46" t="b">
        <v>1</v>
      </c>
      <c r="Z502" s="46" t="s">
        <v>675</v>
      </c>
      <c r="AA502" s="46" t="s">
        <v>676</v>
      </c>
      <c r="AB502" s="46" t="s">
        <v>677</v>
      </c>
      <c r="AC502" s="46">
        <v>0</v>
      </c>
      <c r="AD502" s="46" t="s">
        <v>678</v>
      </c>
      <c r="AE502" s="46">
        <v>8</v>
      </c>
      <c r="AF502" s="46" t="s">
        <v>679</v>
      </c>
      <c r="AG502" s="46">
        <v>197743.59099999999</v>
      </c>
      <c r="AH502" s="46" t="b">
        <v>1</v>
      </c>
      <c r="AI502" s="46">
        <v>-1</v>
      </c>
      <c r="AJ502" s="46" t="s">
        <v>680</v>
      </c>
      <c r="AK502" s="46">
        <v>0</v>
      </c>
      <c r="AL502" s="46" t="b">
        <v>0</v>
      </c>
      <c r="AM502" s="46">
        <v>197743.59099999999</v>
      </c>
      <c r="AN502" s="46" t="b">
        <v>1</v>
      </c>
      <c r="AO502" s="46">
        <v>0</v>
      </c>
      <c r="AP502" s="46" t="b">
        <v>0</v>
      </c>
      <c r="AQ502" s="46">
        <v>933137.39199999999</v>
      </c>
      <c r="AS502" s="46">
        <v>933137.39199999999</v>
      </c>
      <c r="AT502" s="46">
        <v>6</v>
      </c>
      <c r="AU502" s="46" t="b">
        <v>1</v>
      </c>
      <c r="AV502" s="46" t="b">
        <v>0</v>
      </c>
    </row>
    <row r="503" spans="2:48">
      <c r="B503" s="46" t="s">
        <v>665</v>
      </c>
      <c r="C503" s="46" t="s">
        <v>666</v>
      </c>
      <c r="D503" s="46">
        <v>20240501</v>
      </c>
      <c r="E503" s="46">
        <v>2024</v>
      </c>
      <c r="F503" s="46">
        <v>5</v>
      </c>
      <c r="G503" s="46" t="s">
        <v>699</v>
      </c>
      <c r="H503" s="46">
        <v>818</v>
      </c>
      <c r="I503" s="46" t="s">
        <v>668</v>
      </c>
      <c r="J503" s="46" t="s">
        <v>57</v>
      </c>
      <c r="K503" s="46" t="s">
        <v>666</v>
      </c>
      <c r="L503" s="46" t="s">
        <v>669</v>
      </c>
      <c r="M503" s="46">
        <v>699</v>
      </c>
      <c r="N503" s="46" t="s">
        <v>748</v>
      </c>
      <c r="O503" s="46" t="s">
        <v>0</v>
      </c>
      <c r="P503" s="46">
        <v>0</v>
      </c>
      <c r="Q503" s="46" t="s">
        <v>670</v>
      </c>
      <c r="R503" s="46" t="s">
        <v>23</v>
      </c>
      <c r="S503" s="46" t="s">
        <v>671</v>
      </c>
      <c r="T503" s="46" t="s">
        <v>672</v>
      </c>
      <c r="U503" s="46" t="b">
        <v>1</v>
      </c>
      <c r="V503" s="46" t="s">
        <v>985</v>
      </c>
      <c r="W503" s="46" t="s">
        <v>984</v>
      </c>
      <c r="X503" s="46">
        <v>6</v>
      </c>
      <c r="Y503" s="46" t="b">
        <v>1</v>
      </c>
      <c r="Z503" s="46" t="s">
        <v>675</v>
      </c>
      <c r="AA503" s="46" t="s">
        <v>676</v>
      </c>
      <c r="AB503" s="46" t="s">
        <v>677</v>
      </c>
      <c r="AC503" s="46">
        <v>0</v>
      </c>
      <c r="AD503" s="46" t="s">
        <v>678</v>
      </c>
      <c r="AE503" s="46">
        <v>8</v>
      </c>
      <c r="AF503" s="46" t="s">
        <v>679</v>
      </c>
      <c r="AG503" s="46">
        <v>364756.43300000002</v>
      </c>
      <c r="AH503" s="46" t="b">
        <v>1</v>
      </c>
      <c r="AI503" s="46">
        <v>-1</v>
      </c>
      <c r="AJ503" s="46" t="s">
        <v>680</v>
      </c>
      <c r="AK503" s="46">
        <v>0</v>
      </c>
      <c r="AL503" s="46" t="b">
        <v>0</v>
      </c>
      <c r="AM503" s="46">
        <v>364756.43300000002</v>
      </c>
      <c r="AN503" s="46" t="b">
        <v>1</v>
      </c>
      <c r="AO503" s="46">
        <v>0</v>
      </c>
      <c r="AP503" s="46" t="b">
        <v>0</v>
      </c>
      <c r="AQ503" s="46">
        <v>1721258.6470000001</v>
      </c>
      <c r="AS503" s="46">
        <v>1721258.6470000001</v>
      </c>
      <c r="AT503" s="46">
        <v>6</v>
      </c>
      <c r="AU503" s="46" t="b">
        <v>1</v>
      </c>
      <c r="AV503" s="46" t="b">
        <v>0</v>
      </c>
    </row>
    <row r="504" spans="2:48">
      <c r="B504" s="46" t="s">
        <v>665</v>
      </c>
      <c r="C504" s="46" t="s">
        <v>666</v>
      </c>
      <c r="D504" s="46">
        <v>20240201</v>
      </c>
      <c r="E504" s="46">
        <v>2024</v>
      </c>
      <c r="F504" s="46">
        <v>2</v>
      </c>
      <c r="G504" s="46" t="s">
        <v>687</v>
      </c>
      <c r="H504" s="46">
        <v>818</v>
      </c>
      <c r="I504" s="46" t="s">
        <v>668</v>
      </c>
      <c r="J504" s="46" t="s">
        <v>57</v>
      </c>
      <c r="K504" s="46" t="s">
        <v>666</v>
      </c>
      <c r="L504" s="46" t="s">
        <v>669</v>
      </c>
      <c r="M504" s="46">
        <v>699</v>
      </c>
      <c r="N504" s="46" t="s">
        <v>748</v>
      </c>
      <c r="O504" s="46" t="s">
        <v>0</v>
      </c>
      <c r="P504" s="46">
        <v>0</v>
      </c>
      <c r="Q504" s="46" t="s">
        <v>670</v>
      </c>
      <c r="R504" s="46" t="s">
        <v>23</v>
      </c>
      <c r="S504" s="46" t="s">
        <v>671</v>
      </c>
      <c r="T504" s="46" t="s">
        <v>672</v>
      </c>
      <c r="U504" s="46" t="b">
        <v>1</v>
      </c>
      <c r="V504" s="46" t="s">
        <v>985</v>
      </c>
      <c r="W504" s="46" t="s">
        <v>984</v>
      </c>
      <c r="X504" s="46">
        <v>6</v>
      </c>
      <c r="Y504" s="46" t="b">
        <v>1</v>
      </c>
      <c r="Z504" s="46" t="s">
        <v>675</v>
      </c>
      <c r="AA504" s="46" t="s">
        <v>676</v>
      </c>
      <c r="AB504" s="46" t="s">
        <v>677</v>
      </c>
      <c r="AC504" s="46">
        <v>0</v>
      </c>
      <c r="AD504" s="46" t="s">
        <v>678</v>
      </c>
      <c r="AE504" s="46">
        <v>8</v>
      </c>
      <c r="AF504" s="46" t="s">
        <v>679</v>
      </c>
      <c r="AG504" s="46">
        <v>233371.003</v>
      </c>
      <c r="AH504" s="46" t="b">
        <v>1</v>
      </c>
      <c r="AI504" s="46">
        <v>-1</v>
      </c>
      <c r="AJ504" s="46" t="s">
        <v>680</v>
      </c>
      <c r="AK504" s="46">
        <v>0</v>
      </c>
      <c r="AL504" s="46" t="b">
        <v>0</v>
      </c>
      <c r="AM504" s="46">
        <v>233371.003</v>
      </c>
      <c r="AN504" s="46" t="b">
        <v>1</v>
      </c>
      <c r="AO504" s="46">
        <v>0</v>
      </c>
      <c r="AP504" s="46" t="b">
        <v>0</v>
      </c>
      <c r="AQ504" s="46">
        <v>1101260.5149999999</v>
      </c>
      <c r="AS504" s="46">
        <v>1101260.5149999999</v>
      </c>
      <c r="AT504" s="46">
        <v>6</v>
      </c>
      <c r="AU504" s="46" t="b">
        <v>1</v>
      </c>
      <c r="AV504" s="46" t="b">
        <v>0</v>
      </c>
    </row>
    <row r="505" spans="2:48">
      <c r="B505" s="46" t="s">
        <v>665</v>
      </c>
      <c r="C505" s="46" t="s">
        <v>666</v>
      </c>
      <c r="D505" s="46">
        <v>20240201</v>
      </c>
      <c r="E505" s="46">
        <v>2024</v>
      </c>
      <c r="F505" s="46">
        <v>2</v>
      </c>
      <c r="G505" s="46" t="s">
        <v>687</v>
      </c>
      <c r="H505" s="46">
        <v>818</v>
      </c>
      <c r="I505" s="46" t="s">
        <v>668</v>
      </c>
      <c r="J505" s="46" t="s">
        <v>57</v>
      </c>
      <c r="K505" s="46" t="s">
        <v>666</v>
      </c>
      <c r="L505" s="46" t="s">
        <v>669</v>
      </c>
      <c r="M505" s="46">
        <v>702</v>
      </c>
      <c r="N505" s="46" t="s">
        <v>994</v>
      </c>
      <c r="O505" s="46" t="s">
        <v>28</v>
      </c>
      <c r="P505" s="46">
        <v>0</v>
      </c>
      <c r="Q505" s="46" t="s">
        <v>670</v>
      </c>
      <c r="R505" s="46" t="s">
        <v>23</v>
      </c>
      <c r="S505" s="46" t="s">
        <v>671</v>
      </c>
      <c r="T505" s="46" t="s">
        <v>672</v>
      </c>
      <c r="U505" s="46" t="b">
        <v>1</v>
      </c>
      <c r="V505" s="46" t="s">
        <v>985</v>
      </c>
      <c r="W505" s="46" t="s">
        <v>984</v>
      </c>
      <c r="X505" s="46">
        <v>6</v>
      </c>
      <c r="Y505" s="46" t="b">
        <v>1</v>
      </c>
      <c r="Z505" s="46" t="s">
        <v>675</v>
      </c>
      <c r="AA505" s="46" t="s">
        <v>676</v>
      </c>
      <c r="AB505" s="46" t="s">
        <v>677</v>
      </c>
      <c r="AC505" s="46">
        <v>0</v>
      </c>
      <c r="AD505" s="46" t="s">
        <v>678</v>
      </c>
      <c r="AE505" s="46">
        <v>8</v>
      </c>
      <c r="AF505" s="46" t="s">
        <v>679</v>
      </c>
      <c r="AG505" s="46">
        <v>28826.93</v>
      </c>
      <c r="AH505" s="46" t="b">
        <v>1</v>
      </c>
      <c r="AI505" s="46">
        <v>-1</v>
      </c>
      <c r="AJ505" s="46" t="s">
        <v>680</v>
      </c>
      <c r="AK505" s="46">
        <v>0</v>
      </c>
      <c r="AL505" s="46" t="b">
        <v>0</v>
      </c>
      <c r="AM505" s="46">
        <v>28826.93</v>
      </c>
      <c r="AN505" s="46" t="b">
        <v>1</v>
      </c>
      <c r="AO505" s="46">
        <v>0</v>
      </c>
      <c r="AP505" s="46" t="b">
        <v>0</v>
      </c>
      <c r="AQ505" s="46">
        <v>136032.152</v>
      </c>
      <c r="AS505" s="46">
        <v>136032.152</v>
      </c>
      <c r="AT505" s="46">
        <v>6</v>
      </c>
      <c r="AU505" s="46" t="b">
        <v>1</v>
      </c>
      <c r="AV505" s="46" t="b">
        <v>0</v>
      </c>
    </row>
    <row r="506" spans="2:48">
      <c r="B506" s="46" t="s">
        <v>665</v>
      </c>
      <c r="C506" s="46" t="s">
        <v>666</v>
      </c>
      <c r="D506" s="46">
        <v>20240101</v>
      </c>
      <c r="E506" s="46">
        <v>2024</v>
      </c>
      <c r="F506" s="46">
        <v>1</v>
      </c>
      <c r="G506" s="46" t="s">
        <v>667</v>
      </c>
      <c r="H506" s="46">
        <v>818</v>
      </c>
      <c r="I506" s="46" t="s">
        <v>668</v>
      </c>
      <c r="J506" s="46" t="s">
        <v>57</v>
      </c>
      <c r="K506" s="46" t="s">
        <v>666</v>
      </c>
      <c r="L506" s="46" t="s">
        <v>669</v>
      </c>
      <c r="M506" s="46">
        <v>702</v>
      </c>
      <c r="N506" s="46" t="s">
        <v>994</v>
      </c>
      <c r="O506" s="46" t="s">
        <v>28</v>
      </c>
      <c r="P506" s="46">
        <v>0</v>
      </c>
      <c r="Q506" s="46" t="s">
        <v>670</v>
      </c>
      <c r="R506" s="46" t="s">
        <v>23</v>
      </c>
      <c r="S506" s="46" t="s">
        <v>671</v>
      </c>
      <c r="T506" s="46" t="s">
        <v>672</v>
      </c>
      <c r="U506" s="46" t="b">
        <v>1</v>
      </c>
      <c r="V506" s="46" t="s">
        <v>985</v>
      </c>
      <c r="W506" s="46" t="s">
        <v>984</v>
      </c>
      <c r="X506" s="46">
        <v>6</v>
      </c>
      <c r="Y506" s="46" t="b">
        <v>1</v>
      </c>
      <c r="Z506" s="46" t="s">
        <v>675</v>
      </c>
      <c r="AA506" s="46" t="s">
        <v>676</v>
      </c>
      <c r="AB506" s="46" t="s">
        <v>677</v>
      </c>
      <c r="AC506" s="46">
        <v>0</v>
      </c>
      <c r="AD506" s="46" t="s">
        <v>678</v>
      </c>
      <c r="AE506" s="46">
        <v>8</v>
      </c>
      <c r="AF506" s="46" t="s">
        <v>679</v>
      </c>
      <c r="AG506" s="46">
        <v>5413.52</v>
      </c>
      <c r="AH506" s="46" t="b">
        <v>1</v>
      </c>
      <c r="AI506" s="46">
        <v>-1</v>
      </c>
      <c r="AJ506" s="46" t="s">
        <v>680</v>
      </c>
      <c r="AK506" s="46">
        <v>0</v>
      </c>
      <c r="AL506" s="46" t="b">
        <v>0</v>
      </c>
      <c r="AM506" s="46">
        <v>5413.52</v>
      </c>
      <c r="AN506" s="46" t="b">
        <v>1</v>
      </c>
      <c r="AO506" s="46">
        <v>0</v>
      </c>
      <c r="AP506" s="46" t="b">
        <v>0</v>
      </c>
      <c r="AQ506" s="46">
        <v>25546</v>
      </c>
      <c r="AS506" s="46">
        <v>25546</v>
      </c>
      <c r="AT506" s="46">
        <v>6</v>
      </c>
      <c r="AU506" s="46" t="b">
        <v>1</v>
      </c>
      <c r="AV506" s="46" t="b">
        <v>0</v>
      </c>
    </row>
    <row r="507" spans="2:48">
      <c r="B507" s="46" t="s">
        <v>665</v>
      </c>
      <c r="C507" s="46" t="s">
        <v>666</v>
      </c>
      <c r="D507" s="46">
        <v>20240601</v>
      </c>
      <c r="E507" s="46">
        <v>2024</v>
      </c>
      <c r="F507" s="46">
        <v>6</v>
      </c>
      <c r="G507" s="46" t="s">
        <v>700</v>
      </c>
      <c r="H507" s="46">
        <v>818</v>
      </c>
      <c r="I507" s="46" t="s">
        <v>668</v>
      </c>
      <c r="J507" s="46" t="s">
        <v>57</v>
      </c>
      <c r="K507" s="46" t="s">
        <v>666</v>
      </c>
      <c r="L507" s="46" t="s">
        <v>669</v>
      </c>
      <c r="M507" s="46">
        <v>702</v>
      </c>
      <c r="N507" s="46" t="s">
        <v>994</v>
      </c>
      <c r="O507" s="46" t="s">
        <v>28</v>
      </c>
      <c r="P507" s="46">
        <v>0</v>
      </c>
      <c r="Q507" s="46" t="s">
        <v>670</v>
      </c>
      <c r="R507" s="46" t="s">
        <v>23</v>
      </c>
      <c r="S507" s="46" t="s">
        <v>671</v>
      </c>
      <c r="T507" s="46" t="s">
        <v>672</v>
      </c>
      <c r="U507" s="46" t="b">
        <v>1</v>
      </c>
      <c r="V507" s="46" t="s">
        <v>985</v>
      </c>
      <c r="W507" s="46" t="s">
        <v>984</v>
      </c>
      <c r="X507" s="46">
        <v>6</v>
      </c>
      <c r="Y507" s="46" t="b">
        <v>1</v>
      </c>
      <c r="Z507" s="46" t="s">
        <v>675</v>
      </c>
      <c r="AA507" s="46" t="s">
        <v>676</v>
      </c>
      <c r="AB507" s="46" t="s">
        <v>677</v>
      </c>
      <c r="AC507" s="46">
        <v>0</v>
      </c>
      <c r="AD507" s="46" t="s">
        <v>678</v>
      </c>
      <c r="AE507" s="46">
        <v>8</v>
      </c>
      <c r="AF507" s="46" t="s">
        <v>679</v>
      </c>
      <c r="AG507" s="46">
        <v>111.24</v>
      </c>
      <c r="AH507" s="46" t="b">
        <v>1</v>
      </c>
      <c r="AI507" s="46">
        <v>-1</v>
      </c>
      <c r="AJ507" s="46" t="s">
        <v>680</v>
      </c>
      <c r="AK507" s="46">
        <v>0</v>
      </c>
      <c r="AL507" s="46" t="b">
        <v>0</v>
      </c>
      <c r="AM507" s="46">
        <v>111.24</v>
      </c>
      <c r="AN507" s="46" t="b">
        <v>1</v>
      </c>
      <c r="AO507" s="46">
        <v>0</v>
      </c>
      <c r="AP507" s="46" t="b">
        <v>0</v>
      </c>
      <c r="AQ507" s="46">
        <v>524.93299999999999</v>
      </c>
      <c r="AS507" s="46">
        <v>524.93299999999999</v>
      </c>
      <c r="AT507" s="46">
        <v>6</v>
      </c>
      <c r="AU507" s="46" t="b">
        <v>1</v>
      </c>
      <c r="AV507" s="46" t="b">
        <v>0</v>
      </c>
    </row>
    <row r="508" spans="2:48">
      <c r="B508" s="46" t="s">
        <v>665</v>
      </c>
      <c r="C508" s="46" t="s">
        <v>666</v>
      </c>
      <c r="D508" s="46">
        <v>20240401</v>
      </c>
      <c r="E508" s="46">
        <v>2024</v>
      </c>
      <c r="F508" s="46">
        <v>4</v>
      </c>
      <c r="G508" s="46" t="s">
        <v>695</v>
      </c>
      <c r="H508" s="46">
        <v>818</v>
      </c>
      <c r="I508" s="46" t="s">
        <v>668</v>
      </c>
      <c r="J508" s="46" t="s">
        <v>57</v>
      </c>
      <c r="K508" s="46" t="s">
        <v>666</v>
      </c>
      <c r="L508" s="46" t="s">
        <v>669</v>
      </c>
      <c r="M508" s="46">
        <v>702</v>
      </c>
      <c r="N508" s="46" t="s">
        <v>994</v>
      </c>
      <c r="O508" s="46" t="s">
        <v>28</v>
      </c>
      <c r="P508" s="46">
        <v>0</v>
      </c>
      <c r="Q508" s="46" t="s">
        <v>670</v>
      </c>
      <c r="R508" s="46" t="s">
        <v>23</v>
      </c>
      <c r="S508" s="46" t="s">
        <v>671</v>
      </c>
      <c r="T508" s="46" t="s">
        <v>672</v>
      </c>
      <c r="U508" s="46" t="b">
        <v>1</v>
      </c>
      <c r="V508" s="46" t="s">
        <v>985</v>
      </c>
      <c r="W508" s="46" t="s">
        <v>984</v>
      </c>
      <c r="X508" s="46">
        <v>6</v>
      </c>
      <c r="Y508" s="46" t="b">
        <v>1</v>
      </c>
      <c r="Z508" s="46" t="s">
        <v>675</v>
      </c>
      <c r="AA508" s="46" t="s">
        <v>676</v>
      </c>
      <c r="AB508" s="46" t="s">
        <v>677</v>
      </c>
      <c r="AC508" s="46">
        <v>0</v>
      </c>
      <c r="AD508" s="46" t="s">
        <v>678</v>
      </c>
      <c r="AE508" s="46">
        <v>8</v>
      </c>
      <c r="AF508" s="46" t="s">
        <v>679</v>
      </c>
      <c r="AG508" s="46">
        <v>11843.784</v>
      </c>
      <c r="AH508" s="46" t="b">
        <v>1</v>
      </c>
      <c r="AI508" s="46">
        <v>-1</v>
      </c>
      <c r="AJ508" s="46" t="s">
        <v>680</v>
      </c>
      <c r="AK508" s="46">
        <v>0</v>
      </c>
      <c r="AL508" s="46" t="b">
        <v>0</v>
      </c>
      <c r="AM508" s="46">
        <v>11843.784</v>
      </c>
      <c r="AN508" s="46" t="b">
        <v>1</v>
      </c>
      <c r="AO508" s="46">
        <v>0</v>
      </c>
      <c r="AP508" s="46" t="b">
        <v>0</v>
      </c>
      <c r="AQ508" s="46">
        <v>55889.940999999999</v>
      </c>
      <c r="AS508" s="46">
        <v>55889.940999999999</v>
      </c>
      <c r="AT508" s="46">
        <v>6</v>
      </c>
      <c r="AU508" s="46" t="b">
        <v>1</v>
      </c>
      <c r="AV508" s="46" t="b">
        <v>0</v>
      </c>
    </row>
    <row r="509" spans="2:48">
      <c r="B509" s="46" t="s">
        <v>665</v>
      </c>
      <c r="C509" s="46" t="s">
        <v>666</v>
      </c>
      <c r="D509" s="46">
        <v>20240301</v>
      </c>
      <c r="E509" s="46">
        <v>2024</v>
      </c>
      <c r="F509" s="46">
        <v>3</v>
      </c>
      <c r="G509" s="46" t="s">
        <v>692</v>
      </c>
      <c r="H509" s="46">
        <v>818</v>
      </c>
      <c r="I509" s="46" t="s">
        <v>668</v>
      </c>
      <c r="J509" s="46" t="s">
        <v>57</v>
      </c>
      <c r="K509" s="46" t="s">
        <v>666</v>
      </c>
      <c r="L509" s="46" t="s">
        <v>669</v>
      </c>
      <c r="M509" s="46">
        <v>704</v>
      </c>
      <c r="N509" s="46" t="s">
        <v>756</v>
      </c>
      <c r="O509" s="46" t="s">
        <v>59</v>
      </c>
      <c r="P509" s="46">
        <v>0</v>
      </c>
      <c r="Q509" s="46" t="s">
        <v>670</v>
      </c>
      <c r="R509" s="46" t="s">
        <v>23</v>
      </c>
      <c r="S509" s="46" t="s">
        <v>671</v>
      </c>
      <c r="T509" s="46" t="s">
        <v>672</v>
      </c>
      <c r="U509" s="46" t="b">
        <v>1</v>
      </c>
      <c r="V509" s="46" t="s">
        <v>985</v>
      </c>
      <c r="W509" s="46" t="s">
        <v>984</v>
      </c>
      <c r="X509" s="46">
        <v>6</v>
      </c>
      <c r="Y509" s="46" t="b">
        <v>1</v>
      </c>
      <c r="Z509" s="46" t="s">
        <v>675</v>
      </c>
      <c r="AA509" s="46" t="s">
        <v>676</v>
      </c>
      <c r="AB509" s="46" t="s">
        <v>677</v>
      </c>
      <c r="AC509" s="46">
        <v>0</v>
      </c>
      <c r="AD509" s="46" t="s">
        <v>678</v>
      </c>
      <c r="AE509" s="46">
        <v>8</v>
      </c>
      <c r="AF509" s="46" t="s">
        <v>679</v>
      </c>
      <c r="AG509" s="46">
        <v>89364.058000000005</v>
      </c>
      <c r="AH509" s="46" t="b">
        <v>1</v>
      </c>
      <c r="AI509" s="46">
        <v>-1</v>
      </c>
      <c r="AJ509" s="46" t="s">
        <v>680</v>
      </c>
      <c r="AK509" s="46">
        <v>0</v>
      </c>
      <c r="AL509" s="46" t="b">
        <v>0</v>
      </c>
      <c r="AM509" s="46">
        <v>89364.058000000005</v>
      </c>
      <c r="AN509" s="46" t="b">
        <v>1</v>
      </c>
      <c r="AO509" s="46">
        <v>0</v>
      </c>
      <c r="AP509" s="46" t="b">
        <v>0</v>
      </c>
      <c r="AQ509" s="46">
        <v>421702.38299999997</v>
      </c>
      <c r="AS509" s="46">
        <v>421702.38299999997</v>
      </c>
      <c r="AT509" s="46">
        <v>6</v>
      </c>
      <c r="AU509" s="46" t="b">
        <v>1</v>
      </c>
      <c r="AV509" s="46" t="b">
        <v>0</v>
      </c>
    </row>
    <row r="510" spans="2:48">
      <c r="B510" s="46" t="s">
        <v>665</v>
      </c>
      <c r="C510" s="46" t="s">
        <v>666</v>
      </c>
      <c r="D510" s="46">
        <v>20240101</v>
      </c>
      <c r="E510" s="46">
        <v>2024</v>
      </c>
      <c r="F510" s="46">
        <v>1</v>
      </c>
      <c r="G510" s="46" t="s">
        <v>667</v>
      </c>
      <c r="H510" s="46">
        <v>818</v>
      </c>
      <c r="I510" s="46" t="s">
        <v>668</v>
      </c>
      <c r="J510" s="46" t="s">
        <v>57</v>
      </c>
      <c r="K510" s="46" t="s">
        <v>666</v>
      </c>
      <c r="L510" s="46" t="s">
        <v>669</v>
      </c>
      <c r="M510" s="46">
        <v>704</v>
      </c>
      <c r="N510" s="46" t="s">
        <v>756</v>
      </c>
      <c r="O510" s="46" t="s">
        <v>59</v>
      </c>
      <c r="P510" s="46">
        <v>0</v>
      </c>
      <c r="Q510" s="46" t="s">
        <v>670</v>
      </c>
      <c r="R510" s="46" t="s">
        <v>23</v>
      </c>
      <c r="S510" s="46" t="s">
        <v>671</v>
      </c>
      <c r="T510" s="46" t="s">
        <v>672</v>
      </c>
      <c r="U510" s="46" t="b">
        <v>1</v>
      </c>
      <c r="V510" s="46" t="s">
        <v>985</v>
      </c>
      <c r="W510" s="46" t="s">
        <v>984</v>
      </c>
      <c r="X510" s="46">
        <v>6</v>
      </c>
      <c r="Y510" s="46" t="b">
        <v>1</v>
      </c>
      <c r="Z510" s="46" t="s">
        <v>675</v>
      </c>
      <c r="AA510" s="46" t="s">
        <v>676</v>
      </c>
      <c r="AB510" s="46" t="s">
        <v>677</v>
      </c>
      <c r="AC510" s="46">
        <v>0</v>
      </c>
      <c r="AD510" s="46" t="s">
        <v>678</v>
      </c>
      <c r="AE510" s="46">
        <v>8</v>
      </c>
      <c r="AF510" s="46" t="s">
        <v>679</v>
      </c>
      <c r="AG510" s="46">
        <v>81899.180999999997</v>
      </c>
      <c r="AH510" s="46" t="b">
        <v>1</v>
      </c>
      <c r="AI510" s="46">
        <v>-1</v>
      </c>
      <c r="AJ510" s="46" t="s">
        <v>680</v>
      </c>
      <c r="AK510" s="46">
        <v>0</v>
      </c>
      <c r="AL510" s="46" t="b">
        <v>0</v>
      </c>
      <c r="AM510" s="46">
        <v>81899.180999999997</v>
      </c>
      <c r="AN510" s="46" t="b">
        <v>1</v>
      </c>
      <c r="AO510" s="46">
        <v>0</v>
      </c>
      <c r="AP510" s="46" t="b">
        <v>0</v>
      </c>
      <c r="AQ510" s="46">
        <v>386476.18</v>
      </c>
      <c r="AS510" s="46">
        <v>386476.18</v>
      </c>
      <c r="AT510" s="46">
        <v>6</v>
      </c>
      <c r="AU510" s="46" t="b">
        <v>1</v>
      </c>
      <c r="AV510" s="46" t="b">
        <v>0</v>
      </c>
    </row>
    <row r="511" spans="2:48">
      <c r="B511" s="46" t="s">
        <v>665</v>
      </c>
      <c r="C511" s="46" t="s">
        <v>666</v>
      </c>
      <c r="D511" s="46">
        <v>20240401</v>
      </c>
      <c r="E511" s="46">
        <v>2024</v>
      </c>
      <c r="F511" s="46">
        <v>4</v>
      </c>
      <c r="G511" s="46" t="s">
        <v>695</v>
      </c>
      <c r="H511" s="46">
        <v>818</v>
      </c>
      <c r="I511" s="46" t="s">
        <v>668</v>
      </c>
      <c r="J511" s="46" t="s">
        <v>57</v>
      </c>
      <c r="K511" s="46" t="s">
        <v>666</v>
      </c>
      <c r="L511" s="46" t="s">
        <v>669</v>
      </c>
      <c r="M511" s="46">
        <v>704</v>
      </c>
      <c r="N511" s="46" t="s">
        <v>756</v>
      </c>
      <c r="O511" s="46" t="s">
        <v>59</v>
      </c>
      <c r="P511" s="46">
        <v>0</v>
      </c>
      <c r="Q511" s="46" t="s">
        <v>670</v>
      </c>
      <c r="R511" s="46" t="s">
        <v>23</v>
      </c>
      <c r="S511" s="46" t="s">
        <v>671</v>
      </c>
      <c r="T511" s="46" t="s">
        <v>672</v>
      </c>
      <c r="U511" s="46" t="b">
        <v>1</v>
      </c>
      <c r="V511" s="46" t="s">
        <v>985</v>
      </c>
      <c r="W511" s="46" t="s">
        <v>984</v>
      </c>
      <c r="X511" s="46">
        <v>6</v>
      </c>
      <c r="Y511" s="46" t="b">
        <v>1</v>
      </c>
      <c r="Z511" s="46" t="s">
        <v>675</v>
      </c>
      <c r="AA511" s="46" t="s">
        <v>676</v>
      </c>
      <c r="AB511" s="46" t="s">
        <v>677</v>
      </c>
      <c r="AC511" s="46">
        <v>0</v>
      </c>
      <c r="AD511" s="46" t="s">
        <v>678</v>
      </c>
      <c r="AE511" s="46">
        <v>8</v>
      </c>
      <c r="AF511" s="46" t="s">
        <v>679</v>
      </c>
      <c r="AG511" s="46">
        <v>178249.88200000001</v>
      </c>
      <c r="AH511" s="46" t="b">
        <v>1</v>
      </c>
      <c r="AI511" s="46">
        <v>-1</v>
      </c>
      <c r="AJ511" s="46" t="s">
        <v>680</v>
      </c>
      <c r="AK511" s="46">
        <v>0</v>
      </c>
      <c r="AL511" s="46" t="b">
        <v>0</v>
      </c>
      <c r="AM511" s="46">
        <v>178249.88200000001</v>
      </c>
      <c r="AN511" s="46" t="b">
        <v>1</v>
      </c>
      <c r="AO511" s="46">
        <v>0</v>
      </c>
      <c r="AP511" s="46" t="b">
        <v>0</v>
      </c>
      <c r="AQ511" s="46">
        <v>841148.01599999995</v>
      </c>
      <c r="AS511" s="46">
        <v>841148.01599999995</v>
      </c>
      <c r="AT511" s="46">
        <v>6</v>
      </c>
      <c r="AU511" s="46" t="b">
        <v>1</v>
      </c>
      <c r="AV511" s="46" t="b">
        <v>0</v>
      </c>
    </row>
    <row r="512" spans="2:48">
      <c r="B512" s="46" t="s">
        <v>665</v>
      </c>
      <c r="C512" s="46" t="s">
        <v>666</v>
      </c>
      <c r="D512" s="46">
        <v>20240301</v>
      </c>
      <c r="E512" s="46">
        <v>2024</v>
      </c>
      <c r="F512" s="46">
        <v>3</v>
      </c>
      <c r="G512" s="46" t="s">
        <v>692</v>
      </c>
      <c r="H512" s="46">
        <v>818</v>
      </c>
      <c r="I512" s="46" t="s">
        <v>668</v>
      </c>
      <c r="J512" s="46" t="s">
        <v>57</v>
      </c>
      <c r="K512" s="46" t="s">
        <v>666</v>
      </c>
      <c r="L512" s="46" t="s">
        <v>669</v>
      </c>
      <c r="M512" s="46">
        <v>710</v>
      </c>
      <c r="N512" s="46" t="s">
        <v>995</v>
      </c>
      <c r="O512" s="46" t="s">
        <v>40</v>
      </c>
      <c r="P512" s="46">
        <v>0</v>
      </c>
      <c r="Q512" s="46" t="s">
        <v>670</v>
      </c>
      <c r="R512" s="46" t="s">
        <v>23</v>
      </c>
      <c r="S512" s="46" t="s">
        <v>671</v>
      </c>
      <c r="T512" s="46" t="s">
        <v>672</v>
      </c>
      <c r="U512" s="46" t="b">
        <v>1</v>
      </c>
      <c r="V512" s="46" t="s">
        <v>985</v>
      </c>
      <c r="W512" s="46" t="s">
        <v>984</v>
      </c>
      <c r="X512" s="46">
        <v>6</v>
      </c>
      <c r="Y512" s="46" t="b">
        <v>1</v>
      </c>
      <c r="Z512" s="46" t="s">
        <v>675</v>
      </c>
      <c r="AA512" s="46" t="s">
        <v>676</v>
      </c>
      <c r="AB512" s="46" t="s">
        <v>677</v>
      </c>
      <c r="AC512" s="46">
        <v>0</v>
      </c>
      <c r="AD512" s="46" t="s">
        <v>678</v>
      </c>
      <c r="AE512" s="46">
        <v>8</v>
      </c>
      <c r="AF512" s="46" t="s">
        <v>679</v>
      </c>
      <c r="AG512" s="46">
        <v>8797.6740000000009</v>
      </c>
      <c r="AH512" s="46" t="b">
        <v>1</v>
      </c>
      <c r="AI512" s="46">
        <v>-1</v>
      </c>
      <c r="AJ512" s="46" t="s">
        <v>680</v>
      </c>
      <c r="AK512" s="46">
        <v>0</v>
      </c>
      <c r="AL512" s="46" t="b">
        <v>0</v>
      </c>
      <c r="AM512" s="46">
        <v>8797.6740000000009</v>
      </c>
      <c r="AN512" s="46" t="b">
        <v>1</v>
      </c>
      <c r="AO512" s="46">
        <v>0</v>
      </c>
      <c r="AP512" s="46" t="b">
        <v>0</v>
      </c>
      <c r="AQ512" s="46">
        <v>41515.574000000001</v>
      </c>
      <c r="AS512" s="46">
        <v>41515.574000000001</v>
      </c>
      <c r="AT512" s="46">
        <v>6</v>
      </c>
      <c r="AU512" s="46" t="b">
        <v>1</v>
      </c>
      <c r="AV512" s="46" t="b">
        <v>0</v>
      </c>
    </row>
    <row r="513" spans="2:48">
      <c r="B513" s="46" t="s">
        <v>665</v>
      </c>
      <c r="C513" s="46" t="s">
        <v>666</v>
      </c>
      <c r="D513" s="46">
        <v>20240101</v>
      </c>
      <c r="E513" s="46">
        <v>2024</v>
      </c>
      <c r="F513" s="46">
        <v>1</v>
      </c>
      <c r="G513" s="46" t="s">
        <v>667</v>
      </c>
      <c r="H513" s="46">
        <v>818</v>
      </c>
      <c r="I513" s="46" t="s">
        <v>668</v>
      </c>
      <c r="J513" s="46" t="s">
        <v>57</v>
      </c>
      <c r="K513" s="46" t="s">
        <v>666</v>
      </c>
      <c r="L513" s="46" t="s">
        <v>669</v>
      </c>
      <c r="M513" s="46">
        <v>710</v>
      </c>
      <c r="N513" s="46" t="s">
        <v>995</v>
      </c>
      <c r="O513" s="46" t="s">
        <v>40</v>
      </c>
      <c r="P513" s="46">
        <v>0</v>
      </c>
      <c r="Q513" s="46" t="s">
        <v>670</v>
      </c>
      <c r="R513" s="46" t="s">
        <v>23</v>
      </c>
      <c r="S513" s="46" t="s">
        <v>671</v>
      </c>
      <c r="T513" s="46" t="s">
        <v>672</v>
      </c>
      <c r="U513" s="46" t="b">
        <v>1</v>
      </c>
      <c r="V513" s="46" t="s">
        <v>985</v>
      </c>
      <c r="W513" s="46" t="s">
        <v>984</v>
      </c>
      <c r="X513" s="46">
        <v>6</v>
      </c>
      <c r="Y513" s="46" t="b">
        <v>1</v>
      </c>
      <c r="Z513" s="46" t="s">
        <v>675</v>
      </c>
      <c r="AA513" s="46" t="s">
        <v>676</v>
      </c>
      <c r="AB513" s="46" t="s">
        <v>677</v>
      </c>
      <c r="AC513" s="46">
        <v>0</v>
      </c>
      <c r="AD513" s="46" t="s">
        <v>678</v>
      </c>
      <c r="AE513" s="46">
        <v>8</v>
      </c>
      <c r="AF513" s="46" t="s">
        <v>679</v>
      </c>
      <c r="AG513" s="46">
        <v>23814.899000000001</v>
      </c>
      <c r="AH513" s="46" t="b">
        <v>1</v>
      </c>
      <c r="AI513" s="46">
        <v>-1</v>
      </c>
      <c r="AJ513" s="46" t="s">
        <v>680</v>
      </c>
      <c r="AK513" s="46">
        <v>0</v>
      </c>
      <c r="AL513" s="46" t="b">
        <v>0</v>
      </c>
      <c r="AM513" s="46">
        <v>23814.899000000001</v>
      </c>
      <c r="AN513" s="46" t="b">
        <v>1</v>
      </c>
      <c r="AO513" s="46">
        <v>0</v>
      </c>
      <c r="AP513" s="46" t="b">
        <v>0</v>
      </c>
      <c r="AQ513" s="46">
        <v>112380.746</v>
      </c>
      <c r="AS513" s="46">
        <v>112380.746</v>
      </c>
      <c r="AT513" s="46">
        <v>6</v>
      </c>
      <c r="AU513" s="46" t="b">
        <v>1</v>
      </c>
      <c r="AV513" s="46" t="b">
        <v>0</v>
      </c>
    </row>
    <row r="514" spans="2:48">
      <c r="B514" s="46" t="s">
        <v>665</v>
      </c>
      <c r="C514" s="46" t="s">
        <v>666</v>
      </c>
      <c r="D514" s="46">
        <v>20240101</v>
      </c>
      <c r="E514" s="46">
        <v>2024</v>
      </c>
      <c r="F514" s="46">
        <v>1</v>
      </c>
      <c r="G514" s="46" t="s">
        <v>667</v>
      </c>
      <c r="H514" s="46">
        <v>818</v>
      </c>
      <c r="I514" s="46" t="s">
        <v>668</v>
      </c>
      <c r="J514" s="46" t="s">
        <v>57</v>
      </c>
      <c r="K514" s="46" t="s">
        <v>666</v>
      </c>
      <c r="L514" s="46" t="s">
        <v>669</v>
      </c>
      <c r="M514" s="46">
        <v>724</v>
      </c>
      <c r="N514" s="46" t="s">
        <v>684</v>
      </c>
      <c r="O514" s="46" t="s">
        <v>51</v>
      </c>
      <c r="P514" s="46">
        <v>0</v>
      </c>
      <c r="Q514" s="46" t="s">
        <v>670</v>
      </c>
      <c r="R514" s="46" t="s">
        <v>23</v>
      </c>
      <c r="S514" s="46" t="s">
        <v>671</v>
      </c>
      <c r="T514" s="46" t="s">
        <v>672</v>
      </c>
      <c r="U514" s="46" t="b">
        <v>1</v>
      </c>
      <c r="V514" s="46" t="s">
        <v>985</v>
      </c>
      <c r="W514" s="46" t="s">
        <v>984</v>
      </c>
      <c r="X514" s="46">
        <v>6</v>
      </c>
      <c r="Y514" s="46" t="b">
        <v>1</v>
      </c>
      <c r="Z514" s="46" t="s">
        <v>675</v>
      </c>
      <c r="AA514" s="46" t="s">
        <v>676</v>
      </c>
      <c r="AB514" s="46" t="s">
        <v>677</v>
      </c>
      <c r="AC514" s="46">
        <v>0</v>
      </c>
      <c r="AD514" s="46" t="s">
        <v>678</v>
      </c>
      <c r="AE514" s="46">
        <v>8</v>
      </c>
      <c r="AF514" s="46" t="s">
        <v>679</v>
      </c>
      <c r="AG514" s="46">
        <v>148960.56700000001</v>
      </c>
      <c r="AH514" s="46" t="b">
        <v>1</v>
      </c>
      <c r="AI514" s="46">
        <v>-1</v>
      </c>
      <c r="AJ514" s="46" t="s">
        <v>680</v>
      </c>
      <c r="AK514" s="46">
        <v>0</v>
      </c>
      <c r="AL514" s="46" t="b">
        <v>0</v>
      </c>
      <c r="AM514" s="46">
        <v>148960.56700000001</v>
      </c>
      <c r="AN514" s="46" t="b">
        <v>1</v>
      </c>
      <c r="AO514" s="46">
        <v>0</v>
      </c>
      <c r="AP514" s="46" t="b">
        <v>0</v>
      </c>
      <c r="AQ514" s="46">
        <v>702933.90599999996</v>
      </c>
      <c r="AS514" s="46">
        <v>702933.90599999996</v>
      </c>
      <c r="AT514" s="46">
        <v>6</v>
      </c>
      <c r="AU514" s="46" t="b">
        <v>1</v>
      </c>
      <c r="AV514" s="46" t="b">
        <v>0</v>
      </c>
    </row>
    <row r="515" spans="2:48">
      <c r="B515" s="46" t="s">
        <v>665</v>
      </c>
      <c r="C515" s="46" t="s">
        <v>666</v>
      </c>
      <c r="D515" s="46">
        <v>20240601</v>
      </c>
      <c r="E515" s="46">
        <v>2024</v>
      </c>
      <c r="F515" s="46">
        <v>6</v>
      </c>
      <c r="G515" s="46" t="s">
        <v>700</v>
      </c>
      <c r="H515" s="46">
        <v>818</v>
      </c>
      <c r="I515" s="46" t="s">
        <v>668</v>
      </c>
      <c r="J515" s="46" t="s">
        <v>57</v>
      </c>
      <c r="K515" s="46" t="s">
        <v>666</v>
      </c>
      <c r="L515" s="46" t="s">
        <v>669</v>
      </c>
      <c r="M515" s="46">
        <v>724</v>
      </c>
      <c r="N515" s="46" t="s">
        <v>684</v>
      </c>
      <c r="O515" s="46" t="s">
        <v>51</v>
      </c>
      <c r="P515" s="46">
        <v>0</v>
      </c>
      <c r="Q515" s="46" t="s">
        <v>670</v>
      </c>
      <c r="R515" s="46" t="s">
        <v>23</v>
      </c>
      <c r="S515" s="46" t="s">
        <v>671</v>
      </c>
      <c r="T515" s="46" t="s">
        <v>672</v>
      </c>
      <c r="U515" s="46" t="b">
        <v>1</v>
      </c>
      <c r="V515" s="46" t="s">
        <v>985</v>
      </c>
      <c r="W515" s="46" t="s">
        <v>984</v>
      </c>
      <c r="X515" s="46">
        <v>6</v>
      </c>
      <c r="Y515" s="46" t="b">
        <v>1</v>
      </c>
      <c r="Z515" s="46" t="s">
        <v>675</v>
      </c>
      <c r="AA515" s="46" t="s">
        <v>676</v>
      </c>
      <c r="AB515" s="46" t="s">
        <v>677</v>
      </c>
      <c r="AC515" s="46">
        <v>0</v>
      </c>
      <c r="AD515" s="46" t="s">
        <v>678</v>
      </c>
      <c r="AE515" s="46">
        <v>8</v>
      </c>
      <c r="AF515" s="46" t="s">
        <v>679</v>
      </c>
      <c r="AG515" s="46">
        <v>284974.924</v>
      </c>
      <c r="AH515" s="46" t="b">
        <v>1</v>
      </c>
      <c r="AI515" s="46">
        <v>-1</v>
      </c>
      <c r="AJ515" s="46" t="s">
        <v>680</v>
      </c>
      <c r="AK515" s="46">
        <v>0</v>
      </c>
      <c r="AL515" s="46" t="b">
        <v>0</v>
      </c>
      <c r="AM515" s="46">
        <v>284974.924</v>
      </c>
      <c r="AN515" s="46" t="b">
        <v>1</v>
      </c>
      <c r="AO515" s="46">
        <v>0</v>
      </c>
      <c r="AP515" s="46" t="b">
        <v>0</v>
      </c>
      <c r="AQ515" s="46">
        <v>1344775.602</v>
      </c>
      <c r="AS515" s="46">
        <v>1344775.602</v>
      </c>
      <c r="AT515" s="46">
        <v>6</v>
      </c>
      <c r="AU515" s="46" t="b">
        <v>1</v>
      </c>
      <c r="AV515" s="46" t="b">
        <v>0</v>
      </c>
    </row>
    <row r="516" spans="2:48">
      <c r="B516" s="46" t="s">
        <v>665</v>
      </c>
      <c r="C516" s="46" t="s">
        <v>666</v>
      </c>
      <c r="D516" s="46">
        <v>20240401</v>
      </c>
      <c r="E516" s="46">
        <v>2024</v>
      </c>
      <c r="F516" s="46">
        <v>4</v>
      </c>
      <c r="G516" s="46" t="s">
        <v>695</v>
      </c>
      <c r="H516" s="46">
        <v>818</v>
      </c>
      <c r="I516" s="46" t="s">
        <v>668</v>
      </c>
      <c r="J516" s="46" t="s">
        <v>57</v>
      </c>
      <c r="K516" s="46" t="s">
        <v>666</v>
      </c>
      <c r="L516" s="46" t="s">
        <v>669</v>
      </c>
      <c r="M516" s="46">
        <v>724</v>
      </c>
      <c r="N516" s="46" t="s">
        <v>684</v>
      </c>
      <c r="O516" s="46" t="s">
        <v>51</v>
      </c>
      <c r="P516" s="46">
        <v>0</v>
      </c>
      <c r="Q516" s="46" t="s">
        <v>670</v>
      </c>
      <c r="R516" s="46" t="s">
        <v>23</v>
      </c>
      <c r="S516" s="46" t="s">
        <v>671</v>
      </c>
      <c r="T516" s="46" t="s">
        <v>672</v>
      </c>
      <c r="U516" s="46" t="b">
        <v>1</v>
      </c>
      <c r="V516" s="46" t="s">
        <v>985</v>
      </c>
      <c r="W516" s="46" t="s">
        <v>984</v>
      </c>
      <c r="X516" s="46">
        <v>6</v>
      </c>
      <c r="Y516" s="46" t="b">
        <v>1</v>
      </c>
      <c r="Z516" s="46" t="s">
        <v>675</v>
      </c>
      <c r="AA516" s="46" t="s">
        <v>676</v>
      </c>
      <c r="AB516" s="46" t="s">
        <v>677</v>
      </c>
      <c r="AC516" s="46">
        <v>0</v>
      </c>
      <c r="AD516" s="46" t="s">
        <v>678</v>
      </c>
      <c r="AE516" s="46">
        <v>8</v>
      </c>
      <c r="AF516" s="46" t="s">
        <v>679</v>
      </c>
      <c r="AG516" s="46">
        <v>325170.41100000002</v>
      </c>
      <c r="AH516" s="46" t="b">
        <v>1</v>
      </c>
      <c r="AI516" s="46">
        <v>-1</v>
      </c>
      <c r="AJ516" s="46" t="s">
        <v>680</v>
      </c>
      <c r="AK516" s="46">
        <v>0</v>
      </c>
      <c r="AL516" s="46" t="b">
        <v>0</v>
      </c>
      <c r="AM516" s="46">
        <v>325170.41100000002</v>
      </c>
      <c r="AN516" s="46" t="b">
        <v>1</v>
      </c>
      <c r="AO516" s="46">
        <v>0</v>
      </c>
      <c r="AP516" s="46" t="b">
        <v>0</v>
      </c>
      <c r="AQ516" s="46">
        <v>1534455.1340000001</v>
      </c>
      <c r="AS516" s="46">
        <v>1534455.1340000001</v>
      </c>
      <c r="AT516" s="46">
        <v>6</v>
      </c>
      <c r="AU516" s="46" t="b">
        <v>1</v>
      </c>
      <c r="AV516" s="46" t="b">
        <v>0</v>
      </c>
    </row>
    <row r="517" spans="2:48">
      <c r="B517" s="46" t="s">
        <v>665</v>
      </c>
      <c r="C517" s="46" t="s">
        <v>666</v>
      </c>
      <c r="D517" s="46">
        <v>20240501</v>
      </c>
      <c r="E517" s="46">
        <v>2024</v>
      </c>
      <c r="F517" s="46">
        <v>5</v>
      </c>
      <c r="G517" s="46" t="s">
        <v>699</v>
      </c>
      <c r="H517" s="46">
        <v>818</v>
      </c>
      <c r="I517" s="46" t="s">
        <v>668</v>
      </c>
      <c r="J517" s="46" t="s">
        <v>57</v>
      </c>
      <c r="K517" s="46" t="s">
        <v>666</v>
      </c>
      <c r="L517" s="46" t="s">
        <v>669</v>
      </c>
      <c r="M517" s="46">
        <v>724</v>
      </c>
      <c r="N517" s="46" t="s">
        <v>684</v>
      </c>
      <c r="O517" s="46" t="s">
        <v>51</v>
      </c>
      <c r="P517" s="46">
        <v>0</v>
      </c>
      <c r="Q517" s="46" t="s">
        <v>670</v>
      </c>
      <c r="R517" s="46" t="s">
        <v>23</v>
      </c>
      <c r="S517" s="46" t="s">
        <v>671</v>
      </c>
      <c r="T517" s="46" t="s">
        <v>672</v>
      </c>
      <c r="U517" s="46" t="b">
        <v>1</v>
      </c>
      <c r="V517" s="46" t="s">
        <v>985</v>
      </c>
      <c r="W517" s="46" t="s">
        <v>984</v>
      </c>
      <c r="X517" s="46">
        <v>6</v>
      </c>
      <c r="Y517" s="46" t="b">
        <v>1</v>
      </c>
      <c r="Z517" s="46" t="s">
        <v>675</v>
      </c>
      <c r="AA517" s="46" t="s">
        <v>676</v>
      </c>
      <c r="AB517" s="46" t="s">
        <v>677</v>
      </c>
      <c r="AC517" s="46">
        <v>0</v>
      </c>
      <c r="AD517" s="46" t="s">
        <v>678</v>
      </c>
      <c r="AE517" s="46">
        <v>8</v>
      </c>
      <c r="AF517" s="46" t="s">
        <v>679</v>
      </c>
      <c r="AG517" s="46">
        <v>563422.48499999999</v>
      </c>
      <c r="AH517" s="46" t="b">
        <v>1</v>
      </c>
      <c r="AI517" s="46">
        <v>-1</v>
      </c>
      <c r="AJ517" s="46" t="s">
        <v>680</v>
      </c>
      <c r="AK517" s="46">
        <v>0</v>
      </c>
      <c r="AL517" s="46" t="b">
        <v>0</v>
      </c>
      <c r="AM517" s="46">
        <v>563422.48499999999</v>
      </c>
      <c r="AN517" s="46" t="b">
        <v>1</v>
      </c>
      <c r="AO517" s="46">
        <v>0</v>
      </c>
      <c r="AP517" s="46" t="b">
        <v>0</v>
      </c>
      <c r="AQ517" s="46">
        <v>2658749.0619999999</v>
      </c>
      <c r="AS517" s="46">
        <v>2658749.0619999999</v>
      </c>
      <c r="AT517" s="46">
        <v>6</v>
      </c>
      <c r="AU517" s="46" t="b">
        <v>1</v>
      </c>
      <c r="AV517" s="46" t="b">
        <v>0</v>
      </c>
    </row>
    <row r="518" spans="2:48">
      <c r="B518" s="46" t="s">
        <v>665</v>
      </c>
      <c r="C518" s="46" t="s">
        <v>666</v>
      </c>
      <c r="D518" s="46">
        <v>20240201</v>
      </c>
      <c r="E518" s="46">
        <v>2024</v>
      </c>
      <c r="F518" s="46">
        <v>2</v>
      </c>
      <c r="G518" s="46" t="s">
        <v>687</v>
      </c>
      <c r="H518" s="46">
        <v>818</v>
      </c>
      <c r="I518" s="46" t="s">
        <v>668</v>
      </c>
      <c r="J518" s="46" t="s">
        <v>57</v>
      </c>
      <c r="K518" s="46" t="s">
        <v>666</v>
      </c>
      <c r="L518" s="46" t="s">
        <v>669</v>
      </c>
      <c r="M518" s="46">
        <v>724</v>
      </c>
      <c r="N518" s="46" t="s">
        <v>684</v>
      </c>
      <c r="O518" s="46" t="s">
        <v>51</v>
      </c>
      <c r="P518" s="46">
        <v>0</v>
      </c>
      <c r="Q518" s="46" t="s">
        <v>670</v>
      </c>
      <c r="R518" s="46" t="s">
        <v>23</v>
      </c>
      <c r="S518" s="46" t="s">
        <v>671</v>
      </c>
      <c r="T518" s="46" t="s">
        <v>672</v>
      </c>
      <c r="U518" s="46" t="b">
        <v>1</v>
      </c>
      <c r="V518" s="46" t="s">
        <v>985</v>
      </c>
      <c r="W518" s="46" t="s">
        <v>984</v>
      </c>
      <c r="X518" s="46">
        <v>6</v>
      </c>
      <c r="Y518" s="46" t="b">
        <v>1</v>
      </c>
      <c r="Z518" s="46" t="s">
        <v>675</v>
      </c>
      <c r="AA518" s="46" t="s">
        <v>676</v>
      </c>
      <c r="AB518" s="46" t="s">
        <v>677</v>
      </c>
      <c r="AC518" s="46">
        <v>0</v>
      </c>
      <c r="AD518" s="46" t="s">
        <v>678</v>
      </c>
      <c r="AE518" s="46">
        <v>8</v>
      </c>
      <c r="AF518" s="46" t="s">
        <v>679</v>
      </c>
      <c r="AG518" s="46">
        <v>362785.45500000002</v>
      </c>
      <c r="AH518" s="46" t="b">
        <v>1</v>
      </c>
      <c r="AI518" s="46">
        <v>-1</v>
      </c>
      <c r="AJ518" s="46" t="s">
        <v>680</v>
      </c>
      <c r="AK518" s="46">
        <v>0</v>
      </c>
      <c r="AL518" s="46" t="b">
        <v>0</v>
      </c>
      <c r="AM518" s="46">
        <v>362785.45500000002</v>
      </c>
      <c r="AN518" s="46" t="b">
        <v>1</v>
      </c>
      <c r="AO518" s="46">
        <v>0</v>
      </c>
      <c r="AP518" s="46" t="b">
        <v>0</v>
      </c>
      <c r="AQ518" s="46">
        <v>1711957.7479999999</v>
      </c>
      <c r="AS518" s="46">
        <v>1711957.7479999999</v>
      </c>
      <c r="AT518" s="46">
        <v>6</v>
      </c>
      <c r="AU518" s="46" t="b">
        <v>1</v>
      </c>
      <c r="AV518" s="46" t="b">
        <v>0</v>
      </c>
    </row>
    <row r="519" spans="2:48">
      <c r="B519" s="46" t="s">
        <v>665</v>
      </c>
      <c r="C519" s="46" t="s">
        <v>666</v>
      </c>
      <c r="D519" s="46">
        <v>20240501</v>
      </c>
      <c r="E519" s="46">
        <v>2024</v>
      </c>
      <c r="F519" s="46">
        <v>5</v>
      </c>
      <c r="G519" s="46" t="s">
        <v>699</v>
      </c>
      <c r="H519" s="46">
        <v>818</v>
      </c>
      <c r="I519" s="46" t="s">
        <v>668</v>
      </c>
      <c r="J519" s="46" t="s">
        <v>57</v>
      </c>
      <c r="K519" s="46" t="s">
        <v>666</v>
      </c>
      <c r="L519" s="46" t="s">
        <v>669</v>
      </c>
      <c r="M519" s="46">
        <v>752</v>
      </c>
      <c r="N519" s="46" t="s">
        <v>1001</v>
      </c>
      <c r="O519" s="46" t="s">
        <v>68</v>
      </c>
      <c r="P519" s="46">
        <v>0</v>
      </c>
      <c r="Q519" s="46" t="s">
        <v>670</v>
      </c>
      <c r="R519" s="46" t="s">
        <v>23</v>
      </c>
      <c r="S519" s="46" t="s">
        <v>671</v>
      </c>
      <c r="T519" s="46" t="s">
        <v>672</v>
      </c>
      <c r="U519" s="46" t="b">
        <v>1</v>
      </c>
      <c r="V519" s="46" t="s">
        <v>985</v>
      </c>
      <c r="W519" s="46" t="s">
        <v>984</v>
      </c>
      <c r="X519" s="46">
        <v>6</v>
      </c>
      <c r="Y519" s="46" t="b">
        <v>1</v>
      </c>
      <c r="Z519" s="46" t="s">
        <v>675</v>
      </c>
      <c r="AA519" s="46" t="s">
        <v>676</v>
      </c>
      <c r="AB519" s="46" t="s">
        <v>677</v>
      </c>
      <c r="AC519" s="46">
        <v>0</v>
      </c>
      <c r="AD519" s="46" t="s">
        <v>678</v>
      </c>
      <c r="AE519" s="46">
        <v>8</v>
      </c>
      <c r="AF519" s="46" t="s">
        <v>679</v>
      </c>
      <c r="AG519" s="46">
        <v>6337.607</v>
      </c>
      <c r="AH519" s="46" t="b">
        <v>1</v>
      </c>
      <c r="AI519" s="46">
        <v>-1</v>
      </c>
      <c r="AJ519" s="46" t="s">
        <v>680</v>
      </c>
      <c r="AK519" s="46">
        <v>0</v>
      </c>
      <c r="AL519" s="46" t="b">
        <v>0</v>
      </c>
      <c r="AM519" s="46">
        <v>6337.607</v>
      </c>
      <c r="AN519" s="46" t="b">
        <v>1</v>
      </c>
      <c r="AO519" s="46">
        <v>0</v>
      </c>
      <c r="AP519" s="46" t="b">
        <v>0</v>
      </c>
      <c r="AQ519" s="46">
        <v>29906.701000000001</v>
      </c>
      <c r="AS519" s="46">
        <v>29906.701000000001</v>
      </c>
      <c r="AT519" s="46">
        <v>6</v>
      </c>
      <c r="AU519" s="46" t="b">
        <v>1</v>
      </c>
      <c r="AV519" s="46" t="b">
        <v>0</v>
      </c>
    </row>
    <row r="520" spans="2:48">
      <c r="B520" s="46" t="s">
        <v>665</v>
      </c>
      <c r="C520" s="46" t="s">
        <v>666</v>
      </c>
      <c r="D520" s="46">
        <v>20240601</v>
      </c>
      <c r="E520" s="46">
        <v>2024</v>
      </c>
      <c r="F520" s="46">
        <v>6</v>
      </c>
      <c r="G520" s="46" t="s">
        <v>700</v>
      </c>
      <c r="H520" s="46">
        <v>818</v>
      </c>
      <c r="I520" s="46" t="s">
        <v>668</v>
      </c>
      <c r="J520" s="46" t="s">
        <v>57</v>
      </c>
      <c r="K520" s="46" t="s">
        <v>666</v>
      </c>
      <c r="L520" s="46" t="s">
        <v>669</v>
      </c>
      <c r="M520" s="46">
        <v>752</v>
      </c>
      <c r="N520" s="46" t="s">
        <v>1001</v>
      </c>
      <c r="O520" s="46" t="s">
        <v>68</v>
      </c>
      <c r="P520" s="46">
        <v>0</v>
      </c>
      <c r="Q520" s="46" t="s">
        <v>670</v>
      </c>
      <c r="R520" s="46" t="s">
        <v>23</v>
      </c>
      <c r="S520" s="46" t="s">
        <v>671</v>
      </c>
      <c r="T520" s="46" t="s">
        <v>672</v>
      </c>
      <c r="U520" s="46" t="b">
        <v>1</v>
      </c>
      <c r="V520" s="46" t="s">
        <v>985</v>
      </c>
      <c r="W520" s="46" t="s">
        <v>984</v>
      </c>
      <c r="X520" s="46">
        <v>6</v>
      </c>
      <c r="Y520" s="46" t="b">
        <v>1</v>
      </c>
      <c r="Z520" s="46" t="s">
        <v>675</v>
      </c>
      <c r="AA520" s="46" t="s">
        <v>676</v>
      </c>
      <c r="AB520" s="46" t="s">
        <v>677</v>
      </c>
      <c r="AC520" s="46">
        <v>0</v>
      </c>
      <c r="AD520" s="46" t="s">
        <v>678</v>
      </c>
      <c r="AE520" s="46">
        <v>8</v>
      </c>
      <c r="AF520" s="46" t="s">
        <v>679</v>
      </c>
      <c r="AG520" s="46">
        <v>554.69100000000003</v>
      </c>
      <c r="AH520" s="46" t="b">
        <v>1</v>
      </c>
      <c r="AI520" s="46">
        <v>-1</v>
      </c>
      <c r="AJ520" s="46" t="s">
        <v>680</v>
      </c>
      <c r="AK520" s="46">
        <v>0</v>
      </c>
      <c r="AL520" s="46" t="b">
        <v>0</v>
      </c>
      <c r="AM520" s="46">
        <v>554.69100000000003</v>
      </c>
      <c r="AN520" s="46" t="b">
        <v>1</v>
      </c>
      <c r="AO520" s="46">
        <v>0</v>
      </c>
      <c r="AP520" s="46" t="b">
        <v>0</v>
      </c>
      <c r="AQ520" s="46">
        <v>2617.5459999999998</v>
      </c>
      <c r="AS520" s="46">
        <v>2617.5459999999998</v>
      </c>
      <c r="AT520" s="46">
        <v>6</v>
      </c>
      <c r="AU520" s="46" t="b">
        <v>1</v>
      </c>
      <c r="AV520" s="46" t="b">
        <v>0</v>
      </c>
    </row>
    <row r="521" spans="2:48">
      <c r="B521" s="46" t="s">
        <v>665</v>
      </c>
      <c r="C521" s="46" t="s">
        <v>666</v>
      </c>
      <c r="D521" s="46">
        <v>20240401</v>
      </c>
      <c r="E521" s="46">
        <v>2024</v>
      </c>
      <c r="F521" s="46">
        <v>4</v>
      </c>
      <c r="G521" s="46" t="s">
        <v>695</v>
      </c>
      <c r="H521" s="46">
        <v>818</v>
      </c>
      <c r="I521" s="46" t="s">
        <v>668</v>
      </c>
      <c r="J521" s="46" t="s">
        <v>57</v>
      </c>
      <c r="K521" s="46" t="s">
        <v>666</v>
      </c>
      <c r="L521" s="46" t="s">
        <v>669</v>
      </c>
      <c r="M521" s="46">
        <v>752</v>
      </c>
      <c r="N521" s="46" t="s">
        <v>1001</v>
      </c>
      <c r="O521" s="46" t="s">
        <v>68</v>
      </c>
      <c r="P521" s="46">
        <v>0</v>
      </c>
      <c r="Q521" s="46" t="s">
        <v>670</v>
      </c>
      <c r="R521" s="46" t="s">
        <v>23</v>
      </c>
      <c r="S521" s="46" t="s">
        <v>671</v>
      </c>
      <c r="T521" s="46" t="s">
        <v>672</v>
      </c>
      <c r="U521" s="46" t="b">
        <v>1</v>
      </c>
      <c r="V521" s="46" t="s">
        <v>985</v>
      </c>
      <c r="W521" s="46" t="s">
        <v>984</v>
      </c>
      <c r="X521" s="46">
        <v>6</v>
      </c>
      <c r="Y521" s="46" t="b">
        <v>1</v>
      </c>
      <c r="Z521" s="46" t="s">
        <v>675</v>
      </c>
      <c r="AA521" s="46" t="s">
        <v>676</v>
      </c>
      <c r="AB521" s="46" t="s">
        <v>677</v>
      </c>
      <c r="AC521" s="46">
        <v>0</v>
      </c>
      <c r="AD521" s="46" t="s">
        <v>678</v>
      </c>
      <c r="AE521" s="46">
        <v>8</v>
      </c>
      <c r="AF521" s="46" t="s">
        <v>679</v>
      </c>
      <c r="AG521" s="46">
        <v>180227.31899999999</v>
      </c>
      <c r="AH521" s="46" t="b">
        <v>1</v>
      </c>
      <c r="AI521" s="46">
        <v>-1</v>
      </c>
      <c r="AJ521" s="46" t="s">
        <v>680</v>
      </c>
      <c r="AK521" s="46">
        <v>0</v>
      </c>
      <c r="AL521" s="46" t="b">
        <v>0</v>
      </c>
      <c r="AM521" s="46">
        <v>180227.31899999999</v>
      </c>
      <c r="AN521" s="46" t="b">
        <v>1</v>
      </c>
      <c r="AO521" s="46">
        <v>0</v>
      </c>
      <c r="AP521" s="46" t="b">
        <v>0</v>
      </c>
      <c r="AQ521" s="46">
        <v>850479.39800000004</v>
      </c>
      <c r="AS521" s="46">
        <v>850479.39800000004</v>
      </c>
      <c r="AT521" s="46">
        <v>6</v>
      </c>
      <c r="AU521" s="46" t="b">
        <v>1</v>
      </c>
      <c r="AV521" s="46" t="b">
        <v>0</v>
      </c>
    </row>
    <row r="522" spans="2:48">
      <c r="B522" s="46" t="s">
        <v>665</v>
      </c>
      <c r="C522" s="46" t="s">
        <v>666</v>
      </c>
      <c r="D522" s="46">
        <v>20240201</v>
      </c>
      <c r="E522" s="46">
        <v>2024</v>
      </c>
      <c r="F522" s="46">
        <v>2</v>
      </c>
      <c r="G522" s="46" t="s">
        <v>687</v>
      </c>
      <c r="H522" s="46">
        <v>818</v>
      </c>
      <c r="I522" s="46" t="s">
        <v>668</v>
      </c>
      <c r="J522" s="46" t="s">
        <v>57</v>
      </c>
      <c r="K522" s="46" t="s">
        <v>666</v>
      </c>
      <c r="L522" s="46" t="s">
        <v>669</v>
      </c>
      <c r="M522" s="46">
        <v>752</v>
      </c>
      <c r="N522" s="46" t="s">
        <v>1001</v>
      </c>
      <c r="O522" s="46" t="s">
        <v>68</v>
      </c>
      <c r="P522" s="46">
        <v>0</v>
      </c>
      <c r="Q522" s="46" t="s">
        <v>670</v>
      </c>
      <c r="R522" s="46" t="s">
        <v>23</v>
      </c>
      <c r="S522" s="46" t="s">
        <v>671</v>
      </c>
      <c r="T522" s="46" t="s">
        <v>672</v>
      </c>
      <c r="U522" s="46" t="b">
        <v>1</v>
      </c>
      <c r="V522" s="46" t="s">
        <v>985</v>
      </c>
      <c r="W522" s="46" t="s">
        <v>984</v>
      </c>
      <c r="X522" s="46">
        <v>6</v>
      </c>
      <c r="Y522" s="46" t="b">
        <v>1</v>
      </c>
      <c r="Z522" s="46" t="s">
        <v>675</v>
      </c>
      <c r="AA522" s="46" t="s">
        <v>676</v>
      </c>
      <c r="AB522" s="46" t="s">
        <v>677</v>
      </c>
      <c r="AC522" s="46">
        <v>0</v>
      </c>
      <c r="AD522" s="46" t="s">
        <v>678</v>
      </c>
      <c r="AE522" s="46">
        <v>8</v>
      </c>
      <c r="AF522" s="46" t="s">
        <v>679</v>
      </c>
      <c r="AG522" s="46">
        <v>12848.127</v>
      </c>
      <c r="AH522" s="46" t="b">
        <v>1</v>
      </c>
      <c r="AI522" s="46">
        <v>-1</v>
      </c>
      <c r="AJ522" s="46" t="s">
        <v>680</v>
      </c>
      <c r="AK522" s="46">
        <v>0</v>
      </c>
      <c r="AL522" s="46" t="b">
        <v>0</v>
      </c>
      <c r="AM522" s="46">
        <v>12848.127</v>
      </c>
      <c r="AN522" s="46" t="b">
        <v>1</v>
      </c>
      <c r="AO522" s="46">
        <v>0</v>
      </c>
      <c r="AP522" s="46" t="b">
        <v>0</v>
      </c>
      <c r="AQ522" s="46">
        <v>60629.358999999997</v>
      </c>
      <c r="AS522" s="46">
        <v>60629.358999999997</v>
      </c>
      <c r="AT522" s="46">
        <v>6</v>
      </c>
      <c r="AU522" s="46" t="b">
        <v>1</v>
      </c>
      <c r="AV522" s="46" t="b">
        <v>0</v>
      </c>
    </row>
    <row r="523" spans="2:48">
      <c r="B523" s="46" t="s">
        <v>665</v>
      </c>
      <c r="C523" s="46" t="s">
        <v>666</v>
      </c>
      <c r="D523" s="46">
        <v>20240301</v>
      </c>
      <c r="E523" s="46">
        <v>2024</v>
      </c>
      <c r="F523" s="46">
        <v>3</v>
      </c>
      <c r="G523" s="46" t="s">
        <v>692</v>
      </c>
      <c r="H523" s="46">
        <v>818</v>
      </c>
      <c r="I523" s="46" t="s">
        <v>668</v>
      </c>
      <c r="J523" s="46" t="s">
        <v>57</v>
      </c>
      <c r="K523" s="46" t="s">
        <v>666</v>
      </c>
      <c r="L523" s="46" t="s">
        <v>669</v>
      </c>
      <c r="M523" s="46">
        <v>752</v>
      </c>
      <c r="N523" s="46" t="s">
        <v>1001</v>
      </c>
      <c r="O523" s="46" t="s">
        <v>68</v>
      </c>
      <c r="P523" s="46">
        <v>0</v>
      </c>
      <c r="Q523" s="46" t="s">
        <v>670</v>
      </c>
      <c r="R523" s="46" t="s">
        <v>23</v>
      </c>
      <c r="S523" s="46" t="s">
        <v>671</v>
      </c>
      <c r="T523" s="46" t="s">
        <v>672</v>
      </c>
      <c r="U523" s="46" t="b">
        <v>1</v>
      </c>
      <c r="V523" s="46" t="s">
        <v>985</v>
      </c>
      <c r="W523" s="46" t="s">
        <v>984</v>
      </c>
      <c r="X523" s="46">
        <v>6</v>
      </c>
      <c r="Y523" s="46" t="b">
        <v>1</v>
      </c>
      <c r="Z523" s="46" t="s">
        <v>675</v>
      </c>
      <c r="AA523" s="46" t="s">
        <v>676</v>
      </c>
      <c r="AB523" s="46" t="s">
        <v>677</v>
      </c>
      <c r="AC523" s="46">
        <v>0</v>
      </c>
      <c r="AD523" s="46" t="s">
        <v>678</v>
      </c>
      <c r="AE523" s="46">
        <v>8</v>
      </c>
      <c r="AF523" s="46" t="s">
        <v>679</v>
      </c>
      <c r="AG523" s="46">
        <v>40315.222000000002</v>
      </c>
      <c r="AH523" s="46" t="b">
        <v>1</v>
      </c>
      <c r="AI523" s="46">
        <v>-1</v>
      </c>
      <c r="AJ523" s="46" t="s">
        <v>680</v>
      </c>
      <c r="AK523" s="46">
        <v>0</v>
      </c>
      <c r="AL523" s="46" t="b">
        <v>0</v>
      </c>
      <c r="AM523" s="46">
        <v>40315.222000000002</v>
      </c>
      <c r="AN523" s="46" t="b">
        <v>1</v>
      </c>
      <c r="AO523" s="46">
        <v>0</v>
      </c>
      <c r="AP523" s="46" t="b">
        <v>0</v>
      </c>
      <c r="AQ523" s="46">
        <v>190244.55499999999</v>
      </c>
      <c r="AS523" s="46">
        <v>190244.55499999999</v>
      </c>
      <c r="AT523" s="46">
        <v>6</v>
      </c>
      <c r="AU523" s="46" t="b">
        <v>1</v>
      </c>
      <c r="AV523" s="46" t="b">
        <v>0</v>
      </c>
    </row>
    <row r="524" spans="2:48">
      <c r="B524" s="46" t="s">
        <v>665</v>
      </c>
      <c r="C524" s="46" t="s">
        <v>666</v>
      </c>
      <c r="D524" s="46">
        <v>20240301</v>
      </c>
      <c r="E524" s="46">
        <v>2024</v>
      </c>
      <c r="F524" s="46">
        <v>3</v>
      </c>
      <c r="G524" s="46" t="s">
        <v>692</v>
      </c>
      <c r="H524" s="46">
        <v>818</v>
      </c>
      <c r="I524" s="46" t="s">
        <v>668</v>
      </c>
      <c r="J524" s="46" t="s">
        <v>57</v>
      </c>
      <c r="K524" s="46" t="s">
        <v>666</v>
      </c>
      <c r="L524" s="46" t="s">
        <v>669</v>
      </c>
      <c r="M524" s="46">
        <v>757</v>
      </c>
      <c r="N524" s="46" t="s">
        <v>996</v>
      </c>
      <c r="O524" s="46" t="s">
        <v>41</v>
      </c>
      <c r="P524" s="46">
        <v>0</v>
      </c>
      <c r="Q524" s="46" t="s">
        <v>670</v>
      </c>
      <c r="R524" s="46" t="s">
        <v>23</v>
      </c>
      <c r="S524" s="46" t="s">
        <v>671</v>
      </c>
      <c r="T524" s="46" t="s">
        <v>672</v>
      </c>
      <c r="U524" s="46" t="b">
        <v>1</v>
      </c>
      <c r="V524" s="46" t="s">
        <v>985</v>
      </c>
      <c r="W524" s="46" t="s">
        <v>984</v>
      </c>
      <c r="X524" s="46">
        <v>6</v>
      </c>
      <c r="Y524" s="46" t="b">
        <v>1</v>
      </c>
      <c r="Z524" s="46" t="s">
        <v>675</v>
      </c>
      <c r="AA524" s="46" t="s">
        <v>676</v>
      </c>
      <c r="AB524" s="46" t="s">
        <v>677</v>
      </c>
      <c r="AC524" s="46">
        <v>0</v>
      </c>
      <c r="AD524" s="46" t="s">
        <v>678</v>
      </c>
      <c r="AE524" s="46">
        <v>8</v>
      </c>
      <c r="AF524" s="46" t="s">
        <v>679</v>
      </c>
      <c r="AG524" s="46">
        <v>96939.524000000005</v>
      </c>
      <c r="AH524" s="46" t="b">
        <v>1</v>
      </c>
      <c r="AI524" s="46">
        <v>-1</v>
      </c>
      <c r="AJ524" s="46" t="s">
        <v>680</v>
      </c>
      <c r="AK524" s="46">
        <v>0</v>
      </c>
      <c r="AL524" s="46" t="b">
        <v>0</v>
      </c>
      <c r="AM524" s="46">
        <v>96939.524000000005</v>
      </c>
      <c r="AN524" s="46" t="b">
        <v>1</v>
      </c>
      <c r="AO524" s="46">
        <v>0</v>
      </c>
      <c r="AP524" s="46" t="b">
        <v>0</v>
      </c>
      <c r="AQ524" s="46">
        <v>457450.44799999997</v>
      </c>
      <c r="AS524" s="46">
        <v>457450.44799999997</v>
      </c>
      <c r="AT524" s="46">
        <v>6</v>
      </c>
      <c r="AU524" s="46" t="b">
        <v>1</v>
      </c>
      <c r="AV524" s="46" t="b">
        <v>0</v>
      </c>
    </row>
    <row r="525" spans="2:48">
      <c r="B525" s="46" t="s">
        <v>665</v>
      </c>
      <c r="C525" s="46" t="s">
        <v>666</v>
      </c>
      <c r="D525" s="46">
        <v>20240101</v>
      </c>
      <c r="E525" s="46">
        <v>2024</v>
      </c>
      <c r="F525" s="46">
        <v>1</v>
      </c>
      <c r="G525" s="46" t="s">
        <v>667</v>
      </c>
      <c r="H525" s="46">
        <v>818</v>
      </c>
      <c r="I525" s="46" t="s">
        <v>668</v>
      </c>
      <c r="J525" s="46" t="s">
        <v>57</v>
      </c>
      <c r="K525" s="46" t="s">
        <v>666</v>
      </c>
      <c r="L525" s="46" t="s">
        <v>669</v>
      </c>
      <c r="M525" s="46">
        <v>757</v>
      </c>
      <c r="N525" s="46" t="s">
        <v>996</v>
      </c>
      <c r="O525" s="46" t="s">
        <v>41</v>
      </c>
      <c r="P525" s="46">
        <v>0</v>
      </c>
      <c r="Q525" s="46" t="s">
        <v>670</v>
      </c>
      <c r="R525" s="46" t="s">
        <v>23</v>
      </c>
      <c r="S525" s="46" t="s">
        <v>671</v>
      </c>
      <c r="T525" s="46" t="s">
        <v>672</v>
      </c>
      <c r="U525" s="46" t="b">
        <v>1</v>
      </c>
      <c r="V525" s="46" t="s">
        <v>985</v>
      </c>
      <c r="W525" s="46" t="s">
        <v>984</v>
      </c>
      <c r="X525" s="46">
        <v>6</v>
      </c>
      <c r="Y525" s="46" t="b">
        <v>1</v>
      </c>
      <c r="Z525" s="46" t="s">
        <v>675</v>
      </c>
      <c r="AA525" s="46" t="s">
        <v>676</v>
      </c>
      <c r="AB525" s="46" t="s">
        <v>677</v>
      </c>
      <c r="AC525" s="46">
        <v>0</v>
      </c>
      <c r="AD525" s="46" t="s">
        <v>678</v>
      </c>
      <c r="AE525" s="46">
        <v>8</v>
      </c>
      <c r="AF525" s="46" t="s">
        <v>679</v>
      </c>
      <c r="AG525" s="46">
        <v>12446.665999999999</v>
      </c>
      <c r="AH525" s="46" t="b">
        <v>1</v>
      </c>
      <c r="AI525" s="46">
        <v>-1</v>
      </c>
      <c r="AJ525" s="46" t="s">
        <v>680</v>
      </c>
      <c r="AK525" s="46">
        <v>0</v>
      </c>
      <c r="AL525" s="46" t="b">
        <v>0</v>
      </c>
      <c r="AM525" s="46">
        <v>12446.665999999999</v>
      </c>
      <c r="AN525" s="46" t="b">
        <v>1</v>
      </c>
      <c r="AO525" s="46">
        <v>0</v>
      </c>
      <c r="AP525" s="46" t="b">
        <v>0</v>
      </c>
      <c r="AQ525" s="46">
        <v>58734.894999999997</v>
      </c>
      <c r="AS525" s="46">
        <v>58734.894999999997</v>
      </c>
      <c r="AT525" s="46">
        <v>6</v>
      </c>
      <c r="AU525" s="46" t="b">
        <v>1</v>
      </c>
      <c r="AV525" s="46" t="b">
        <v>0</v>
      </c>
    </row>
    <row r="526" spans="2:48">
      <c r="B526" s="46" t="s">
        <v>665</v>
      </c>
      <c r="C526" s="46" t="s">
        <v>666</v>
      </c>
      <c r="D526" s="46">
        <v>20240601</v>
      </c>
      <c r="E526" s="46">
        <v>2024</v>
      </c>
      <c r="F526" s="46">
        <v>6</v>
      </c>
      <c r="G526" s="46" t="s">
        <v>700</v>
      </c>
      <c r="H526" s="46">
        <v>818</v>
      </c>
      <c r="I526" s="46" t="s">
        <v>668</v>
      </c>
      <c r="J526" s="46" t="s">
        <v>57</v>
      </c>
      <c r="K526" s="46" t="s">
        <v>666</v>
      </c>
      <c r="L526" s="46" t="s">
        <v>669</v>
      </c>
      <c r="M526" s="46">
        <v>757</v>
      </c>
      <c r="N526" s="46" t="s">
        <v>996</v>
      </c>
      <c r="O526" s="46" t="s">
        <v>41</v>
      </c>
      <c r="P526" s="46">
        <v>0</v>
      </c>
      <c r="Q526" s="46" t="s">
        <v>670</v>
      </c>
      <c r="R526" s="46" t="s">
        <v>23</v>
      </c>
      <c r="S526" s="46" t="s">
        <v>671</v>
      </c>
      <c r="T526" s="46" t="s">
        <v>672</v>
      </c>
      <c r="U526" s="46" t="b">
        <v>1</v>
      </c>
      <c r="V526" s="46" t="s">
        <v>985</v>
      </c>
      <c r="W526" s="46" t="s">
        <v>984</v>
      </c>
      <c r="X526" s="46">
        <v>6</v>
      </c>
      <c r="Y526" s="46" t="b">
        <v>1</v>
      </c>
      <c r="Z526" s="46" t="s">
        <v>675</v>
      </c>
      <c r="AA526" s="46" t="s">
        <v>676</v>
      </c>
      <c r="AB526" s="46" t="s">
        <v>677</v>
      </c>
      <c r="AC526" s="46">
        <v>0</v>
      </c>
      <c r="AD526" s="46" t="s">
        <v>678</v>
      </c>
      <c r="AE526" s="46">
        <v>8</v>
      </c>
      <c r="AF526" s="46" t="s">
        <v>679</v>
      </c>
      <c r="AG526" s="46">
        <v>6374.5209999999997</v>
      </c>
      <c r="AH526" s="46" t="b">
        <v>1</v>
      </c>
      <c r="AI526" s="46">
        <v>-1</v>
      </c>
      <c r="AJ526" s="46" t="s">
        <v>680</v>
      </c>
      <c r="AK526" s="46">
        <v>0</v>
      </c>
      <c r="AL526" s="46" t="b">
        <v>0</v>
      </c>
      <c r="AM526" s="46">
        <v>6374.5209999999997</v>
      </c>
      <c r="AN526" s="46" t="b">
        <v>1</v>
      </c>
      <c r="AO526" s="46">
        <v>0</v>
      </c>
      <c r="AP526" s="46" t="b">
        <v>0</v>
      </c>
      <c r="AQ526" s="46">
        <v>30080.893</v>
      </c>
      <c r="AS526" s="46">
        <v>30080.893</v>
      </c>
      <c r="AT526" s="46">
        <v>6</v>
      </c>
      <c r="AU526" s="46" t="b">
        <v>1</v>
      </c>
      <c r="AV526" s="46" t="b">
        <v>0</v>
      </c>
    </row>
    <row r="527" spans="2:48">
      <c r="B527" s="46" t="s">
        <v>665</v>
      </c>
      <c r="C527" s="46" t="s">
        <v>666</v>
      </c>
      <c r="D527" s="46">
        <v>20240401</v>
      </c>
      <c r="E527" s="46">
        <v>2024</v>
      </c>
      <c r="F527" s="46">
        <v>4</v>
      </c>
      <c r="G527" s="46" t="s">
        <v>695</v>
      </c>
      <c r="H527" s="46">
        <v>818</v>
      </c>
      <c r="I527" s="46" t="s">
        <v>668</v>
      </c>
      <c r="J527" s="46" t="s">
        <v>57</v>
      </c>
      <c r="K527" s="46" t="s">
        <v>666</v>
      </c>
      <c r="L527" s="46" t="s">
        <v>669</v>
      </c>
      <c r="M527" s="46">
        <v>757</v>
      </c>
      <c r="N527" s="46" t="s">
        <v>996</v>
      </c>
      <c r="O527" s="46" t="s">
        <v>41</v>
      </c>
      <c r="P527" s="46">
        <v>0</v>
      </c>
      <c r="Q527" s="46" t="s">
        <v>670</v>
      </c>
      <c r="R527" s="46" t="s">
        <v>23</v>
      </c>
      <c r="S527" s="46" t="s">
        <v>671</v>
      </c>
      <c r="T527" s="46" t="s">
        <v>672</v>
      </c>
      <c r="U527" s="46" t="b">
        <v>1</v>
      </c>
      <c r="V527" s="46" t="s">
        <v>985</v>
      </c>
      <c r="W527" s="46" t="s">
        <v>984</v>
      </c>
      <c r="X527" s="46">
        <v>6</v>
      </c>
      <c r="Y527" s="46" t="b">
        <v>1</v>
      </c>
      <c r="Z527" s="46" t="s">
        <v>675</v>
      </c>
      <c r="AA527" s="46" t="s">
        <v>676</v>
      </c>
      <c r="AB527" s="46" t="s">
        <v>677</v>
      </c>
      <c r="AC527" s="46">
        <v>0</v>
      </c>
      <c r="AD527" s="46" t="s">
        <v>678</v>
      </c>
      <c r="AE527" s="46">
        <v>8</v>
      </c>
      <c r="AF527" s="46" t="s">
        <v>679</v>
      </c>
      <c r="AG527" s="46">
        <v>16269.612999999999</v>
      </c>
      <c r="AH527" s="46" t="b">
        <v>1</v>
      </c>
      <c r="AI527" s="46">
        <v>-1</v>
      </c>
      <c r="AJ527" s="46" t="s">
        <v>680</v>
      </c>
      <c r="AK527" s="46">
        <v>0</v>
      </c>
      <c r="AL527" s="46" t="b">
        <v>0</v>
      </c>
      <c r="AM527" s="46">
        <v>16269.612999999999</v>
      </c>
      <c r="AN527" s="46" t="b">
        <v>1</v>
      </c>
      <c r="AO527" s="46">
        <v>0</v>
      </c>
      <c r="AP527" s="46" t="b">
        <v>0</v>
      </c>
      <c r="AQ527" s="46">
        <v>76775.101999999999</v>
      </c>
      <c r="AS527" s="46">
        <v>76775.101999999999</v>
      </c>
      <c r="AT527" s="46">
        <v>6</v>
      </c>
      <c r="AU527" s="46" t="b">
        <v>1</v>
      </c>
      <c r="AV527" s="46" t="b">
        <v>0</v>
      </c>
    </row>
    <row r="528" spans="2:48">
      <c r="B528" s="46" t="s">
        <v>665</v>
      </c>
      <c r="C528" s="46" t="s">
        <v>666</v>
      </c>
      <c r="D528" s="46">
        <v>20240301</v>
      </c>
      <c r="E528" s="46">
        <v>2024</v>
      </c>
      <c r="F528" s="46">
        <v>3</v>
      </c>
      <c r="G528" s="46" t="s">
        <v>692</v>
      </c>
      <c r="H528" s="46">
        <v>818</v>
      </c>
      <c r="I528" s="46" t="s">
        <v>668</v>
      </c>
      <c r="J528" s="46" t="s">
        <v>57</v>
      </c>
      <c r="K528" s="46" t="s">
        <v>666</v>
      </c>
      <c r="L528" s="46" t="s">
        <v>669</v>
      </c>
      <c r="M528" s="46">
        <v>764</v>
      </c>
      <c r="N528" s="46" t="s">
        <v>749</v>
      </c>
      <c r="O528" s="46" t="s">
        <v>55</v>
      </c>
      <c r="P528" s="46">
        <v>0</v>
      </c>
      <c r="Q528" s="46" t="s">
        <v>670</v>
      </c>
      <c r="R528" s="46" t="s">
        <v>23</v>
      </c>
      <c r="S528" s="46" t="s">
        <v>671</v>
      </c>
      <c r="T528" s="46" t="s">
        <v>672</v>
      </c>
      <c r="U528" s="46" t="b">
        <v>1</v>
      </c>
      <c r="V528" s="46" t="s">
        <v>985</v>
      </c>
      <c r="W528" s="46" t="s">
        <v>984</v>
      </c>
      <c r="X528" s="46">
        <v>6</v>
      </c>
      <c r="Y528" s="46" t="b">
        <v>1</v>
      </c>
      <c r="Z528" s="46" t="s">
        <v>675</v>
      </c>
      <c r="AA528" s="46" t="s">
        <v>676</v>
      </c>
      <c r="AB528" s="46" t="s">
        <v>677</v>
      </c>
      <c r="AC528" s="46">
        <v>0</v>
      </c>
      <c r="AD528" s="46" t="s">
        <v>678</v>
      </c>
      <c r="AE528" s="46">
        <v>8</v>
      </c>
      <c r="AF528" s="46" t="s">
        <v>679</v>
      </c>
      <c r="AG528" s="46">
        <v>86.299000000000007</v>
      </c>
      <c r="AH528" s="46" t="b">
        <v>1</v>
      </c>
      <c r="AI528" s="46">
        <v>-1</v>
      </c>
      <c r="AJ528" s="46" t="s">
        <v>680</v>
      </c>
      <c r="AK528" s="46">
        <v>0</v>
      </c>
      <c r="AL528" s="46" t="b">
        <v>0</v>
      </c>
      <c r="AM528" s="46">
        <v>86.299000000000007</v>
      </c>
      <c r="AN528" s="46" t="b">
        <v>1</v>
      </c>
      <c r="AO528" s="46">
        <v>0</v>
      </c>
      <c r="AP528" s="46" t="b">
        <v>0</v>
      </c>
      <c r="AQ528" s="46">
        <v>407.24</v>
      </c>
      <c r="AS528" s="46">
        <v>407.24</v>
      </c>
      <c r="AT528" s="46">
        <v>6</v>
      </c>
      <c r="AU528" s="46" t="b">
        <v>1</v>
      </c>
      <c r="AV528" s="46" t="b">
        <v>0</v>
      </c>
    </row>
    <row r="529" spans="2:48">
      <c r="B529" s="46" t="s">
        <v>665</v>
      </c>
      <c r="C529" s="46" t="s">
        <v>666</v>
      </c>
      <c r="D529" s="46">
        <v>20240101</v>
      </c>
      <c r="E529" s="46">
        <v>2024</v>
      </c>
      <c r="F529" s="46">
        <v>1</v>
      </c>
      <c r="G529" s="46" t="s">
        <v>667</v>
      </c>
      <c r="H529" s="46">
        <v>818</v>
      </c>
      <c r="I529" s="46" t="s">
        <v>668</v>
      </c>
      <c r="J529" s="46" t="s">
        <v>57</v>
      </c>
      <c r="K529" s="46" t="s">
        <v>666</v>
      </c>
      <c r="L529" s="46" t="s">
        <v>669</v>
      </c>
      <c r="M529" s="46">
        <v>764</v>
      </c>
      <c r="N529" s="46" t="s">
        <v>749</v>
      </c>
      <c r="O529" s="46" t="s">
        <v>55</v>
      </c>
      <c r="P529" s="46">
        <v>0</v>
      </c>
      <c r="Q529" s="46" t="s">
        <v>670</v>
      </c>
      <c r="R529" s="46" t="s">
        <v>23</v>
      </c>
      <c r="S529" s="46" t="s">
        <v>671</v>
      </c>
      <c r="T529" s="46" t="s">
        <v>672</v>
      </c>
      <c r="U529" s="46" t="b">
        <v>1</v>
      </c>
      <c r="V529" s="46" t="s">
        <v>985</v>
      </c>
      <c r="W529" s="46" t="s">
        <v>984</v>
      </c>
      <c r="X529" s="46">
        <v>6</v>
      </c>
      <c r="Y529" s="46" t="b">
        <v>1</v>
      </c>
      <c r="Z529" s="46" t="s">
        <v>675</v>
      </c>
      <c r="AA529" s="46" t="s">
        <v>676</v>
      </c>
      <c r="AB529" s="46" t="s">
        <v>677</v>
      </c>
      <c r="AC529" s="46">
        <v>0</v>
      </c>
      <c r="AD529" s="46" t="s">
        <v>678</v>
      </c>
      <c r="AE529" s="46">
        <v>8</v>
      </c>
      <c r="AF529" s="46" t="s">
        <v>679</v>
      </c>
      <c r="AG529" s="46">
        <v>4263.8850000000002</v>
      </c>
      <c r="AH529" s="46" t="b">
        <v>1</v>
      </c>
      <c r="AI529" s="46">
        <v>-1</v>
      </c>
      <c r="AJ529" s="46" t="s">
        <v>680</v>
      </c>
      <c r="AK529" s="46">
        <v>0</v>
      </c>
      <c r="AL529" s="46" t="b">
        <v>0</v>
      </c>
      <c r="AM529" s="46">
        <v>4263.8850000000002</v>
      </c>
      <c r="AN529" s="46" t="b">
        <v>1</v>
      </c>
      <c r="AO529" s="46">
        <v>0</v>
      </c>
      <c r="AP529" s="46" t="b">
        <v>0</v>
      </c>
      <c r="AQ529" s="46">
        <v>20120.955999999998</v>
      </c>
      <c r="AS529" s="46">
        <v>20120.955999999998</v>
      </c>
      <c r="AT529" s="46">
        <v>6</v>
      </c>
      <c r="AU529" s="46" t="b">
        <v>1</v>
      </c>
      <c r="AV529" s="46" t="b">
        <v>0</v>
      </c>
    </row>
    <row r="530" spans="2:48">
      <c r="B530" s="46" t="s">
        <v>665</v>
      </c>
      <c r="C530" s="46" t="s">
        <v>666</v>
      </c>
      <c r="D530" s="46">
        <v>20240401</v>
      </c>
      <c r="E530" s="46">
        <v>2024</v>
      </c>
      <c r="F530" s="46">
        <v>4</v>
      </c>
      <c r="G530" s="46" t="s">
        <v>695</v>
      </c>
      <c r="H530" s="46">
        <v>818</v>
      </c>
      <c r="I530" s="46" t="s">
        <v>668</v>
      </c>
      <c r="J530" s="46" t="s">
        <v>57</v>
      </c>
      <c r="K530" s="46" t="s">
        <v>666</v>
      </c>
      <c r="L530" s="46" t="s">
        <v>669</v>
      </c>
      <c r="M530" s="46">
        <v>764</v>
      </c>
      <c r="N530" s="46" t="s">
        <v>749</v>
      </c>
      <c r="O530" s="46" t="s">
        <v>55</v>
      </c>
      <c r="P530" s="46">
        <v>0</v>
      </c>
      <c r="Q530" s="46" t="s">
        <v>670</v>
      </c>
      <c r="R530" s="46" t="s">
        <v>23</v>
      </c>
      <c r="S530" s="46" t="s">
        <v>671</v>
      </c>
      <c r="T530" s="46" t="s">
        <v>672</v>
      </c>
      <c r="U530" s="46" t="b">
        <v>1</v>
      </c>
      <c r="V530" s="46" t="s">
        <v>985</v>
      </c>
      <c r="W530" s="46" t="s">
        <v>984</v>
      </c>
      <c r="X530" s="46">
        <v>6</v>
      </c>
      <c r="Y530" s="46" t="b">
        <v>1</v>
      </c>
      <c r="Z530" s="46" t="s">
        <v>675</v>
      </c>
      <c r="AA530" s="46" t="s">
        <v>676</v>
      </c>
      <c r="AB530" s="46" t="s">
        <v>677</v>
      </c>
      <c r="AC530" s="46">
        <v>0</v>
      </c>
      <c r="AD530" s="46" t="s">
        <v>678</v>
      </c>
      <c r="AE530" s="46">
        <v>8</v>
      </c>
      <c r="AF530" s="46" t="s">
        <v>679</v>
      </c>
      <c r="AG530" s="46">
        <v>2704.5740000000001</v>
      </c>
      <c r="AH530" s="46" t="b">
        <v>1</v>
      </c>
      <c r="AI530" s="46">
        <v>-1</v>
      </c>
      <c r="AJ530" s="46" t="s">
        <v>680</v>
      </c>
      <c r="AK530" s="46">
        <v>0</v>
      </c>
      <c r="AL530" s="46" t="b">
        <v>0</v>
      </c>
      <c r="AM530" s="46">
        <v>2704.5740000000001</v>
      </c>
      <c r="AN530" s="46" t="b">
        <v>1</v>
      </c>
      <c r="AO530" s="46">
        <v>0</v>
      </c>
      <c r="AP530" s="46" t="b">
        <v>0</v>
      </c>
      <c r="AQ530" s="46">
        <v>12762.686</v>
      </c>
      <c r="AS530" s="46">
        <v>12762.686</v>
      </c>
      <c r="AT530" s="46">
        <v>6</v>
      </c>
      <c r="AU530" s="46" t="b">
        <v>1</v>
      </c>
      <c r="AV530" s="46" t="b">
        <v>0</v>
      </c>
    </row>
    <row r="531" spans="2:48">
      <c r="B531" s="46" t="s">
        <v>665</v>
      </c>
      <c r="C531" s="46" t="s">
        <v>666</v>
      </c>
      <c r="D531" s="46">
        <v>20240501</v>
      </c>
      <c r="E531" s="46">
        <v>2024</v>
      </c>
      <c r="F531" s="46">
        <v>5</v>
      </c>
      <c r="G531" s="46" t="s">
        <v>699</v>
      </c>
      <c r="H531" s="46">
        <v>818</v>
      </c>
      <c r="I531" s="46" t="s">
        <v>668</v>
      </c>
      <c r="J531" s="46" t="s">
        <v>57</v>
      </c>
      <c r="K531" s="46" t="s">
        <v>666</v>
      </c>
      <c r="L531" s="46" t="s">
        <v>669</v>
      </c>
      <c r="M531" s="46">
        <v>764</v>
      </c>
      <c r="N531" s="46" t="s">
        <v>749</v>
      </c>
      <c r="O531" s="46" t="s">
        <v>55</v>
      </c>
      <c r="P531" s="46">
        <v>0</v>
      </c>
      <c r="Q531" s="46" t="s">
        <v>670</v>
      </c>
      <c r="R531" s="46" t="s">
        <v>23</v>
      </c>
      <c r="S531" s="46" t="s">
        <v>671</v>
      </c>
      <c r="T531" s="46" t="s">
        <v>672</v>
      </c>
      <c r="U531" s="46" t="b">
        <v>1</v>
      </c>
      <c r="V531" s="46" t="s">
        <v>985</v>
      </c>
      <c r="W531" s="46" t="s">
        <v>984</v>
      </c>
      <c r="X531" s="46">
        <v>6</v>
      </c>
      <c r="Y531" s="46" t="b">
        <v>1</v>
      </c>
      <c r="Z531" s="46" t="s">
        <v>675</v>
      </c>
      <c r="AA531" s="46" t="s">
        <v>676</v>
      </c>
      <c r="AB531" s="46" t="s">
        <v>677</v>
      </c>
      <c r="AC531" s="46">
        <v>0</v>
      </c>
      <c r="AD531" s="46" t="s">
        <v>678</v>
      </c>
      <c r="AE531" s="46">
        <v>8</v>
      </c>
      <c r="AF531" s="46" t="s">
        <v>679</v>
      </c>
      <c r="AG531" s="46">
        <v>8653.2870000000003</v>
      </c>
      <c r="AH531" s="46" t="b">
        <v>1</v>
      </c>
      <c r="AI531" s="46">
        <v>-1</v>
      </c>
      <c r="AJ531" s="46" t="s">
        <v>680</v>
      </c>
      <c r="AK531" s="46">
        <v>0</v>
      </c>
      <c r="AL531" s="46" t="b">
        <v>0</v>
      </c>
      <c r="AM531" s="46">
        <v>8653.2870000000003</v>
      </c>
      <c r="AN531" s="46" t="b">
        <v>1</v>
      </c>
      <c r="AO531" s="46">
        <v>0</v>
      </c>
      <c r="AP531" s="46" t="b">
        <v>0</v>
      </c>
      <c r="AQ531" s="46">
        <v>40834.220999999998</v>
      </c>
      <c r="AS531" s="46">
        <v>40834.220999999998</v>
      </c>
      <c r="AT531" s="46">
        <v>6</v>
      </c>
      <c r="AU531" s="46" t="b">
        <v>1</v>
      </c>
      <c r="AV531" s="46" t="b">
        <v>0</v>
      </c>
    </row>
    <row r="532" spans="2:48">
      <c r="B532" s="46" t="s">
        <v>665</v>
      </c>
      <c r="C532" s="46" t="s">
        <v>666</v>
      </c>
      <c r="D532" s="46">
        <v>20240101</v>
      </c>
      <c r="E532" s="46">
        <v>2024</v>
      </c>
      <c r="F532" s="46">
        <v>1</v>
      </c>
      <c r="G532" s="46" t="s">
        <v>667</v>
      </c>
      <c r="H532" s="46">
        <v>818</v>
      </c>
      <c r="I532" s="46" t="s">
        <v>668</v>
      </c>
      <c r="J532" s="46" t="s">
        <v>57</v>
      </c>
      <c r="K532" s="46" t="s">
        <v>666</v>
      </c>
      <c r="L532" s="46" t="s">
        <v>669</v>
      </c>
      <c r="M532" s="46">
        <v>784</v>
      </c>
      <c r="N532" s="46" t="s">
        <v>694</v>
      </c>
      <c r="O532" s="46" t="s">
        <v>25</v>
      </c>
      <c r="P532" s="46">
        <v>0</v>
      </c>
      <c r="Q532" s="46" t="s">
        <v>670</v>
      </c>
      <c r="R532" s="46" t="s">
        <v>23</v>
      </c>
      <c r="S532" s="46" t="s">
        <v>671</v>
      </c>
      <c r="T532" s="46" t="s">
        <v>672</v>
      </c>
      <c r="U532" s="46" t="b">
        <v>1</v>
      </c>
      <c r="V532" s="46" t="s">
        <v>985</v>
      </c>
      <c r="W532" s="46" t="s">
        <v>984</v>
      </c>
      <c r="X532" s="46">
        <v>6</v>
      </c>
      <c r="Y532" s="46" t="b">
        <v>1</v>
      </c>
      <c r="Z532" s="46" t="s">
        <v>675</v>
      </c>
      <c r="AA532" s="46" t="s">
        <v>676</v>
      </c>
      <c r="AB532" s="46" t="s">
        <v>677</v>
      </c>
      <c r="AC532" s="46">
        <v>0</v>
      </c>
      <c r="AD532" s="46" t="s">
        <v>678</v>
      </c>
      <c r="AE532" s="46">
        <v>8</v>
      </c>
      <c r="AF532" s="46" t="s">
        <v>679</v>
      </c>
      <c r="AG532" s="46">
        <v>121889.712</v>
      </c>
      <c r="AH532" s="46" t="b">
        <v>1</v>
      </c>
      <c r="AI532" s="46">
        <v>-1</v>
      </c>
      <c r="AJ532" s="46" t="s">
        <v>680</v>
      </c>
      <c r="AK532" s="46">
        <v>0</v>
      </c>
      <c r="AL532" s="46" t="b">
        <v>0</v>
      </c>
      <c r="AM532" s="46">
        <v>121889.712</v>
      </c>
      <c r="AN532" s="46" t="b">
        <v>1</v>
      </c>
      <c r="AO532" s="46">
        <v>0</v>
      </c>
      <c r="AP532" s="46" t="b">
        <v>0</v>
      </c>
      <c r="AQ532" s="46">
        <v>575188.54</v>
      </c>
      <c r="AS532" s="46">
        <v>575188.54</v>
      </c>
      <c r="AT532" s="46">
        <v>6</v>
      </c>
      <c r="AU532" s="46" t="b">
        <v>1</v>
      </c>
      <c r="AV532" s="46" t="b">
        <v>0</v>
      </c>
    </row>
    <row r="533" spans="2:48">
      <c r="B533" s="46" t="s">
        <v>665</v>
      </c>
      <c r="C533" s="46" t="s">
        <v>666</v>
      </c>
      <c r="D533" s="46">
        <v>20240601</v>
      </c>
      <c r="E533" s="46">
        <v>2024</v>
      </c>
      <c r="F533" s="46">
        <v>6</v>
      </c>
      <c r="G533" s="46" t="s">
        <v>700</v>
      </c>
      <c r="H533" s="46">
        <v>818</v>
      </c>
      <c r="I533" s="46" t="s">
        <v>668</v>
      </c>
      <c r="J533" s="46" t="s">
        <v>57</v>
      </c>
      <c r="K533" s="46" t="s">
        <v>666</v>
      </c>
      <c r="L533" s="46" t="s">
        <v>669</v>
      </c>
      <c r="M533" s="46">
        <v>784</v>
      </c>
      <c r="N533" s="46" t="s">
        <v>694</v>
      </c>
      <c r="O533" s="46" t="s">
        <v>25</v>
      </c>
      <c r="P533" s="46">
        <v>0</v>
      </c>
      <c r="Q533" s="46" t="s">
        <v>670</v>
      </c>
      <c r="R533" s="46" t="s">
        <v>23</v>
      </c>
      <c r="S533" s="46" t="s">
        <v>671</v>
      </c>
      <c r="T533" s="46" t="s">
        <v>672</v>
      </c>
      <c r="U533" s="46" t="b">
        <v>1</v>
      </c>
      <c r="V533" s="46" t="s">
        <v>985</v>
      </c>
      <c r="W533" s="46" t="s">
        <v>984</v>
      </c>
      <c r="X533" s="46">
        <v>6</v>
      </c>
      <c r="Y533" s="46" t="b">
        <v>1</v>
      </c>
      <c r="Z533" s="46" t="s">
        <v>675</v>
      </c>
      <c r="AA533" s="46" t="s">
        <v>676</v>
      </c>
      <c r="AB533" s="46" t="s">
        <v>677</v>
      </c>
      <c r="AC533" s="46">
        <v>0</v>
      </c>
      <c r="AD533" s="46" t="s">
        <v>678</v>
      </c>
      <c r="AE533" s="46">
        <v>8</v>
      </c>
      <c r="AF533" s="46" t="s">
        <v>679</v>
      </c>
      <c r="AG533" s="46">
        <v>51737.53</v>
      </c>
      <c r="AH533" s="46" t="b">
        <v>1</v>
      </c>
      <c r="AI533" s="46">
        <v>-1</v>
      </c>
      <c r="AJ533" s="46" t="s">
        <v>680</v>
      </c>
      <c r="AK533" s="46">
        <v>0</v>
      </c>
      <c r="AL533" s="46" t="b">
        <v>0</v>
      </c>
      <c r="AM533" s="46">
        <v>51737.53</v>
      </c>
      <c r="AN533" s="46" t="b">
        <v>1</v>
      </c>
      <c r="AO533" s="46">
        <v>0</v>
      </c>
      <c r="AP533" s="46" t="b">
        <v>0</v>
      </c>
      <c r="AQ533" s="46">
        <v>244145.579</v>
      </c>
      <c r="AS533" s="46">
        <v>244145.579</v>
      </c>
      <c r="AT533" s="46">
        <v>6</v>
      </c>
      <c r="AU533" s="46" t="b">
        <v>1</v>
      </c>
      <c r="AV533" s="46" t="b">
        <v>0</v>
      </c>
    </row>
    <row r="534" spans="2:48">
      <c r="B534" s="46" t="s">
        <v>665</v>
      </c>
      <c r="C534" s="46" t="s">
        <v>666</v>
      </c>
      <c r="D534" s="46">
        <v>20240401</v>
      </c>
      <c r="E534" s="46">
        <v>2024</v>
      </c>
      <c r="F534" s="46">
        <v>4</v>
      </c>
      <c r="G534" s="46" t="s">
        <v>695</v>
      </c>
      <c r="H534" s="46">
        <v>818</v>
      </c>
      <c r="I534" s="46" t="s">
        <v>668</v>
      </c>
      <c r="J534" s="46" t="s">
        <v>57</v>
      </c>
      <c r="K534" s="46" t="s">
        <v>666</v>
      </c>
      <c r="L534" s="46" t="s">
        <v>669</v>
      </c>
      <c r="M534" s="46">
        <v>784</v>
      </c>
      <c r="N534" s="46" t="s">
        <v>694</v>
      </c>
      <c r="O534" s="46" t="s">
        <v>25</v>
      </c>
      <c r="P534" s="46">
        <v>0</v>
      </c>
      <c r="Q534" s="46" t="s">
        <v>670</v>
      </c>
      <c r="R534" s="46" t="s">
        <v>23</v>
      </c>
      <c r="S534" s="46" t="s">
        <v>671</v>
      </c>
      <c r="T534" s="46" t="s">
        <v>672</v>
      </c>
      <c r="U534" s="46" t="b">
        <v>1</v>
      </c>
      <c r="V534" s="46" t="s">
        <v>985</v>
      </c>
      <c r="W534" s="46" t="s">
        <v>984</v>
      </c>
      <c r="X534" s="46">
        <v>6</v>
      </c>
      <c r="Y534" s="46" t="b">
        <v>1</v>
      </c>
      <c r="Z534" s="46" t="s">
        <v>675</v>
      </c>
      <c r="AA534" s="46" t="s">
        <v>676</v>
      </c>
      <c r="AB534" s="46" t="s">
        <v>677</v>
      </c>
      <c r="AC534" s="46">
        <v>0</v>
      </c>
      <c r="AD534" s="46" t="s">
        <v>678</v>
      </c>
      <c r="AE534" s="46">
        <v>8</v>
      </c>
      <c r="AF534" s="46" t="s">
        <v>679</v>
      </c>
      <c r="AG534" s="46">
        <v>33613.527000000002</v>
      </c>
      <c r="AH534" s="46" t="b">
        <v>1</v>
      </c>
      <c r="AI534" s="46">
        <v>-1</v>
      </c>
      <c r="AJ534" s="46" t="s">
        <v>680</v>
      </c>
      <c r="AK534" s="46">
        <v>0</v>
      </c>
      <c r="AL534" s="46" t="b">
        <v>0</v>
      </c>
      <c r="AM534" s="46">
        <v>33613.527000000002</v>
      </c>
      <c r="AN534" s="46" t="b">
        <v>1</v>
      </c>
      <c r="AO534" s="46">
        <v>0</v>
      </c>
      <c r="AP534" s="46" t="b">
        <v>0</v>
      </c>
      <c r="AQ534" s="46">
        <v>158619.74799999999</v>
      </c>
      <c r="AS534" s="46">
        <v>158619.74799999999</v>
      </c>
      <c r="AT534" s="46">
        <v>6</v>
      </c>
      <c r="AU534" s="46" t="b">
        <v>1</v>
      </c>
      <c r="AV534" s="46" t="b">
        <v>0</v>
      </c>
    </row>
    <row r="535" spans="2:48">
      <c r="B535" s="46" t="s">
        <v>665</v>
      </c>
      <c r="C535" s="46" t="s">
        <v>666</v>
      </c>
      <c r="D535" s="46">
        <v>20240501</v>
      </c>
      <c r="E535" s="46">
        <v>2024</v>
      </c>
      <c r="F535" s="46">
        <v>5</v>
      </c>
      <c r="G535" s="46" t="s">
        <v>699</v>
      </c>
      <c r="H535" s="46">
        <v>818</v>
      </c>
      <c r="I535" s="46" t="s">
        <v>668</v>
      </c>
      <c r="J535" s="46" t="s">
        <v>57</v>
      </c>
      <c r="K535" s="46" t="s">
        <v>666</v>
      </c>
      <c r="L535" s="46" t="s">
        <v>669</v>
      </c>
      <c r="M535" s="46">
        <v>784</v>
      </c>
      <c r="N535" s="46" t="s">
        <v>694</v>
      </c>
      <c r="O535" s="46" t="s">
        <v>25</v>
      </c>
      <c r="P535" s="46">
        <v>0</v>
      </c>
      <c r="Q535" s="46" t="s">
        <v>670</v>
      </c>
      <c r="R535" s="46" t="s">
        <v>23</v>
      </c>
      <c r="S535" s="46" t="s">
        <v>671</v>
      </c>
      <c r="T535" s="46" t="s">
        <v>672</v>
      </c>
      <c r="U535" s="46" t="b">
        <v>1</v>
      </c>
      <c r="V535" s="46" t="s">
        <v>985</v>
      </c>
      <c r="W535" s="46" t="s">
        <v>984</v>
      </c>
      <c r="X535" s="46">
        <v>6</v>
      </c>
      <c r="Y535" s="46" t="b">
        <v>1</v>
      </c>
      <c r="Z535" s="46" t="s">
        <v>675</v>
      </c>
      <c r="AA535" s="46" t="s">
        <v>676</v>
      </c>
      <c r="AB535" s="46" t="s">
        <v>677</v>
      </c>
      <c r="AC535" s="46">
        <v>0</v>
      </c>
      <c r="AD535" s="46" t="s">
        <v>678</v>
      </c>
      <c r="AE535" s="46">
        <v>8</v>
      </c>
      <c r="AF535" s="46" t="s">
        <v>679</v>
      </c>
      <c r="AG535" s="46">
        <v>28531.043000000001</v>
      </c>
      <c r="AH535" s="46" t="b">
        <v>1</v>
      </c>
      <c r="AI535" s="46">
        <v>-1</v>
      </c>
      <c r="AJ535" s="46" t="s">
        <v>680</v>
      </c>
      <c r="AK535" s="46">
        <v>0</v>
      </c>
      <c r="AL535" s="46" t="b">
        <v>0</v>
      </c>
      <c r="AM535" s="46">
        <v>28531.043000000001</v>
      </c>
      <c r="AN535" s="46" t="b">
        <v>1</v>
      </c>
      <c r="AO535" s="46">
        <v>0</v>
      </c>
      <c r="AP535" s="46" t="b">
        <v>0</v>
      </c>
      <c r="AQ535" s="46">
        <v>134635.88099999999</v>
      </c>
      <c r="AS535" s="46">
        <v>134635.88099999999</v>
      </c>
      <c r="AT535" s="46">
        <v>6</v>
      </c>
      <c r="AU535" s="46" t="b">
        <v>1</v>
      </c>
      <c r="AV535" s="46" t="b">
        <v>0</v>
      </c>
    </row>
    <row r="536" spans="2:48">
      <c r="B536" s="46" t="s">
        <v>665</v>
      </c>
      <c r="C536" s="46" t="s">
        <v>666</v>
      </c>
      <c r="D536" s="46">
        <v>20240201</v>
      </c>
      <c r="E536" s="46">
        <v>2024</v>
      </c>
      <c r="F536" s="46">
        <v>2</v>
      </c>
      <c r="G536" s="46" t="s">
        <v>687</v>
      </c>
      <c r="H536" s="46">
        <v>818</v>
      </c>
      <c r="I536" s="46" t="s">
        <v>668</v>
      </c>
      <c r="J536" s="46" t="s">
        <v>57</v>
      </c>
      <c r="K536" s="46" t="s">
        <v>666</v>
      </c>
      <c r="L536" s="46" t="s">
        <v>669</v>
      </c>
      <c r="M536" s="46">
        <v>784</v>
      </c>
      <c r="N536" s="46" t="s">
        <v>694</v>
      </c>
      <c r="O536" s="46" t="s">
        <v>25</v>
      </c>
      <c r="P536" s="46">
        <v>0</v>
      </c>
      <c r="Q536" s="46" t="s">
        <v>670</v>
      </c>
      <c r="R536" s="46" t="s">
        <v>23</v>
      </c>
      <c r="S536" s="46" t="s">
        <v>671</v>
      </c>
      <c r="T536" s="46" t="s">
        <v>672</v>
      </c>
      <c r="U536" s="46" t="b">
        <v>1</v>
      </c>
      <c r="V536" s="46" t="s">
        <v>985</v>
      </c>
      <c r="W536" s="46" t="s">
        <v>984</v>
      </c>
      <c r="X536" s="46">
        <v>6</v>
      </c>
      <c r="Y536" s="46" t="b">
        <v>1</v>
      </c>
      <c r="Z536" s="46" t="s">
        <v>675</v>
      </c>
      <c r="AA536" s="46" t="s">
        <v>676</v>
      </c>
      <c r="AB536" s="46" t="s">
        <v>677</v>
      </c>
      <c r="AC536" s="46">
        <v>0</v>
      </c>
      <c r="AD536" s="46" t="s">
        <v>678</v>
      </c>
      <c r="AE536" s="46">
        <v>8</v>
      </c>
      <c r="AF536" s="46" t="s">
        <v>679</v>
      </c>
      <c r="AG536" s="46">
        <v>78225.38</v>
      </c>
      <c r="AH536" s="46" t="b">
        <v>1</v>
      </c>
      <c r="AI536" s="46">
        <v>-1</v>
      </c>
      <c r="AJ536" s="46" t="s">
        <v>680</v>
      </c>
      <c r="AK536" s="46">
        <v>0</v>
      </c>
      <c r="AL536" s="46" t="b">
        <v>0</v>
      </c>
      <c r="AM536" s="46">
        <v>78225.38</v>
      </c>
      <c r="AN536" s="46" t="b">
        <v>1</v>
      </c>
      <c r="AO536" s="46">
        <v>0</v>
      </c>
      <c r="AP536" s="46" t="b">
        <v>0</v>
      </c>
      <c r="AQ536" s="46">
        <v>369139.78499999997</v>
      </c>
      <c r="AS536" s="46">
        <v>369139.78499999997</v>
      </c>
      <c r="AT536" s="46">
        <v>6</v>
      </c>
      <c r="AU536" s="46" t="b">
        <v>1</v>
      </c>
      <c r="AV536" s="46" t="b">
        <v>0</v>
      </c>
    </row>
    <row r="537" spans="2:48">
      <c r="B537" s="46" t="s">
        <v>665</v>
      </c>
      <c r="C537" s="46" t="s">
        <v>666</v>
      </c>
      <c r="D537" s="46">
        <v>20240101</v>
      </c>
      <c r="E537" s="46">
        <v>2024</v>
      </c>
      <c r="F537" s="46">
        <v>1</v>
      </c>
      <c r="G537" s="46" t="s">
        <v>667</v>
      </c>
      <c r="H537" s="46">
        <v>818</v>
      </c>
      <c r="I537" s="46" t="s">
        <v>668</v>
      </c>
      <c r="J537" s="46" t="s">
        <v>57</v>
      </c>
      <c r="K537" s="46" t="s">
        <v>666</v>
      </c>
      <c r="L537" s="46" t="s">
        <v>669</v>
      </c>
      <c r="M537" s="46">
        <v>792</v>
      </c>
      <c r="N537" s="46" t="s">
        <v>691</v>
      </c>
      <c r="O537" s="46" t="s">
        <v>63</v>
      </c>
      <c r="P537" s="46">
        <v>0</v>
      </c>
      <c r="Q537" s="46" t="s">
        <v>670</v>
      </c>
      <c r="R537" s="46" t="s">
        <v>23</v>
      </c>
      <c r="S537" s="46" t="s">
        <v>671</v>
      </c>
      <c r="T537" s="46" t="s">
        <v>672</v>
      </c>
      <c r="U537" s="46" t="b">
        <v>1</v>
      </c>
      <c r="V537" s="46" t="s">
        <v>985</v>
      </c>
      <c r="W537" s="46" t="s">
        <v>984</v>
      </c>
      <c r="X537" s="46">
        <v>6</v>
      </c>
      <c r="Y537" s="46" t="b">
        <v>1</v>
      </c>
      <c r="Z537" s="46" t="s">
        <v>675</v>
      </c>
      <c r="AA537" s="46" t="s">
        <v>676</v>
      </c>
      <c r="AB537" s="46" t="s">
        <v>677</v>
      </c>
      <c r="AC537" s="46">
        <v>0</v>
      </c>
      <c r="AD537" s="46" t="s">
        <v>678</v>
      </c>
      <c r="AE537" s="46">
        <v>8</v>
      </c>
      <c r="AF537" s="46" t="s">
        <v>679</v>
      </c>
      <c r="AG537" s="46">
        <v>213448.69899999999</v>
      </c>
      <c r="AH537" s="46" t="b">
        <v>1</v>
      </c>
      <c r="AI537" s="46">
        <v>-1</v>
      </c>
      <c r="AJ537" s="46" t="s">
        <v>680</v>
      </c>
      <c r="AK537" s="46">
        <v>0</v>
      </c>
      <c r="AL537" s="46" t="b">
        <v>0</v>
      </c>
      <c r="AM537" s="46">
        <v>213448.69899999999</v>
      </c>
      <c r="AN537" s="46" t="b">
        <v>1</v>
      </c>
      <c r="AO537" s="46">
        <v>0</v>
      </c>
      <c r="AP537" s="46" t="b">
        <v>0</v>
      </c>
      <c r="AQ537" s="46">
        <v>1007248.632</v>
      </c>
      <c r="AS537" s="46">
        <v>1007248.632</v>
      </c>
      <c r="AT537" s="46">
        <v>6</v>
      </c>
      <c r="AU537" s="46" t="b">
        <v>1</v>
      </c>
      <c r="AV537" s="46" t="b">
        <v>0</v>
      </c>
    </row>
    <row r="538" spans="2:48">
      <c r="B538" s="46" t="s">
        <v>665</v>
      </c>
      <c r="C538" s="46" t="s">
        <v>666</v>
      </c>
      <c r="D538" s="46">
        <v>20240601</v>
      </c>
      <c r="E538" s="46">
        <v>2024</v>
      </c>
      <c r="F538" s="46">
        <v>6</v>
      </c>
      <c r="G538" s="46" t="s">
        <v>700</v>
      </c>
      <c r="H538" s="46">
        <v>818</v>
      </c>
      <c r="I538" s="46" t="s">
        <v>668</v>
      </c>
      <c r="J538" s="46" t="s">
        <v>57</v>
      </c>
      <c r="K538" s="46" t="s">
        <v>666</v>
      </c>
      <c r="L538" s="46" t="s">
        <v>669</v>
      </c>
      <c r="M538" s="46">
        <v>792</v>
      </c>
      <c r="N538" s="46" t="s">
        <v>691</v>
      </c>
      <c r="O538" s="46" t="s">
        <v>63</v>
      </c>
      <c r="P538" s="46">
        <v>0</v>
      </c>
      <c r="Q538" s="46" t="s">
        <v>670</v>
      </c>
      <c r="R538" s="46" t="s">
        <v>23</v>
      </c>
      <c r="S538" s="46" t="s">
        <v>671</v>
      </c>
      <c r="T538" s="46" t="s">
        <v>672</v>
      </c>
      <c r="U538" s="46" t="b">
        <v>1</v>
      </c>
      <c r="V538" s="46" t="s">
        <v>985</v>
      </c>
      <c r="W538" s="46" t="s">
        <v>984</v>
      </c>
      <c r="X538" s="46">
        <v>6</v>
      </c>
      <c r="Y538" s="46" t="b">
        <v>1</v>
      </c>
      <c r="Z538" s="46" t="s">
        <v>675</v>
      </c>
      <c r="AA538" s="46" t="s">
        <v>676</v>
      </c>
      <c r="AB538" s="46" t="s">
        <v>677</v>
      </c>
      <c r="AC538" s="46">
        <v>0</v>
      </c>
      <c r="AD538" s="46" t="s">
        <v>678</v>
      </c>
      <c r="AE538" s="46">
        <v>8</v>
      </c>
      <c r="AF538" s="46" t="s">
        <v>679</v>
      </c>
      <c r="AG538" s="46">
        <v>149668.19500000001</v>
      </c>
      <c r="AH538" s="46" t="b">
        <v>1</v>
      </c>
      <c r="AI538" s="46">
        <v>-1</v>
      </c>
      <c r="AJ538" s="46" t="s">
        <v>680</v>
      </c>
      <c r="AK538" s="46">
        <v>0</v>
      </c>
      <c r="AL538" s="46" t="b">
        <v>0</v>
      </c>
      <c r="AM538" s="46">
        <v>149668.19500000001</v>
      </c>
      <c r="AN538" s="46" t="b">
        <v>1</v>
      </c>
      <c r="AO538" s="46">
        <v>0</v>
      </c>
      <c r="AP538" s="46" t="b">
        <v>0</v>
      </c>
      <c r="AQ538" s="46">
        <v>706273.15</v>
      </c>
      <c r="AS538" s="46">
        <v>706273.15</v>
      </c>
      <c r="AT538" s="46">
        <v>6</v>
      </c>
      <c r="AU538" s="46" t="b">
        <v>1</v>
      </c>
      <c r="AV538" s="46" t="b">
        <v>0</v>
      </c>
    </row>
    <row r="539" spans="2:48">
      <c r="B539" s="46" t="s">
        <v>665</v>
      </c>
      <c r="C539" s="46" t="s">
        <v>666</v>
      </c>
      <c r="D539" s="46">
        <v>20240401</v>
      </c>
      <c r="E539" s="46">
        <v>2024</v>
      </c>
      <c r="F539" s="46">
        <v>4</v>
      </c>
      <c r="G539" s="46" t="s">
        <v>695</v>
      </c>
      <c r="H539" s="46">
        <v>818</v>
      </c>
      <c r="I539" s="46" t="s">
        <v>668</v>
      </c>
      <c r="J539" s="46" t="s">
        <v>57</v>
      </c>
      <c r="K539" s="46" t="s">
        <v>666</v>
      </c>
      <c r="L539" s="46" t="s">
        <v>669</v>
      </c>
      <c r="M539" s="46">
        <v>792</v>
      </c>
      <c r="N539" s="46" t="s">
        <v>691</v>
      </c>
      <c r="O539" s="46" t="s">
        <v>63</v>
      </c>
      <c r="P539" s="46">
        <v>0</v>
      </c>
      <c r="Q539" s="46" t="s">
        <v>670</v>
      </c>
      <c r="R539" s="46" t="s">
        <v>23</v>
      </c>
      <c r="S539" s="46" t="s">
        <v>671</v>
      </c>
      <c r="T539" s="46" t="s">
        <v>672</v>
      </c>
      <c r="U539" s="46" t="b">
        <v>1</v>
      </c>
      <c r="V539" s="46" t="s">
        <v>985</v>
      </c>
      <c r="W539" s="46" t="s">
        <v>984</v>
      </c>
      <c r="X539" s="46">
        <v>6</v>
      </c>
      <c r="Y539" s="46" t="b">
        <v>1</v>
      </c>
      <c r="Z539" s="46" t="s">
        <v>675</v>
      </c>
      <c r="AA539" s="46" t="s">
        <v>676</v>
      </c>
      <c r="AB539" s="46" t="s">
        <v>677</v>
      </c>
      <c r="AC539" s="46">
        <v>0</v>
      </c>
      <c r="AD539" s="46" t="s">
        <v>678</v>
      </c>
      <c r="AE539" s="46">
        <v>8</v>
      </c>
      <c r="AF539" s="46" t="s">
        <v>679</v>
      </c>
      <c r="AG539" s="46">
        <v>194049.68700000001</v>
      </c>
      <c r="AH539" s="46" t="b">
        <v>1</v>
      </c>
      <c r="AI539" s="46">
        <v>-1</v>
      </c>
      <c r="AJ539" s="46" t="s">
        <v>680</v>
      </c>
      <c r="AK539" s="46">
        <v>0</v>
      </c>
      <c r="AL539" s="46" t="b">
        <v>0</v>
      </c>
      <c r="AM539" s="46">
        <v>194049.68700000001</v>
      </c>
      <c r="AN539" s="46" t="b">
        <v>1</v>
      </c>
      <c r="AO539" s="46">
        <v>0</v>
      </c>
      <c r="AP539" s="46" t="b">
        <v>0</v>
      </c>
      <c r="AQ539" s="46">
        <v>915706.13100000005</v>
      </c>
      <c r="AS539" s="46">
        <v>915706.13100000005</v>
      </c>
      <c r="AT539" s="46">
        <v>6</v>
      </c>
      <c r="AU539" s="46" t="b">
        <v>1</v>
      </c>
      <c r="AV539" s="46" t="b">
        <v>0</v>
      </c>
    </row>
    <row r="540" spans="2:48">
      <c r="B540" s="46" t="s">
        <v>665</v>
      </c>
      <c r="C540" s="46" t="s">
        <v>666</v>
      </c>
      <c r="D540" s="46">
        <v>20240501</v>
      </c>
      <c r="E540" s="46">
        <v>2024</v>
      </c>
      <c r="F540" s="46">
        <v>5</v>
      </c>
      <c r="G540" s="46" t="s">
        <v>699</v>
      </c>
      <c r="H540" s="46">
        <v>818</v>
      </c>
      <c r="I540" s="46" t="s">
        <v>668</v>
      </c>
      <c r="J540" s="46" t="s">
        <v>57</v>
      </c>
      <c r="K540" s="46" t="s">
        <v>666</v>
      </c>
      <c r="L540" s="46" t="s">
        <v>669</v>
      </c>
      <c r="M540" s="46">
        <v>792</v>
      </c>
      <c r="N540" s="46" t="s">
        <v>691</v>
      </c>
      <c r="O540" s="46" t="s">
        <v>63</v>
      </c>
      <c r="P540" s="46">
        <v>0</v>
      </c>
      <c r="Q540" s="46" t="s">
        <v>670</v>
      </c>
      <c r="R540" s="46" t="s">
        <v>23</v>
      </c>
      <c r="S540" s="46" t="s">
        <v>671</v>
      </c>
      <c r="T540" s="46" t="s">
        <v>672</v>
      </c>
      <c r="U540" s="46" t="b">
        <v>1</v>
      </c>
      <c r="V540" s="46" t="s">
        <v>985</v>
      </c>
      <c r="W540" s="46" t="s">
        <v>984</v>
      </c>
      <c r="X540" s="46">
        <v>6</v>
      </c>
      <c r="Y540" s="46" t="b">
        <v>1</v>
      </c>
      <c r="Z540" s="46" t="s">
        <v>675</v>
      </c>
      <c r="AA540" s="46" t="s">
        <v>676</v>
      </c>
      <c r="AB540" s="46" t="s">
        <v>677</v>
      </c>
      <c r="AC540" s="46">
        <v>0</v>
      </c>
      <c r="AD540" s="46" t="s">
        <v>678</v>
      </c>
      <c r="AE540" s="46">
        <v>8</v>
      </c>
      <c r="AF540" s="46" t="s">
        <v>679</v>
      </c>
      <c r="AG540" s="46">
        <v>203483.549</v>
      </c>
      <c r="AH540" s="46" t="b">
        <v>1</v>
      </c>
      <c r="AI540" s="46">
        <v>-1</v>
      </c>
      <c r="AJ540" s="46" t="s">
        <v>680</v>
      </c>
      <c r="AK540" s="46">
        <v>0</v>
      </c>
      <c r="AL540" s="46" t="b">
        <v>0</v>
      </c>
      <c r="AM540" s="46">
        <v>203483.549</v>
      </c>
      <c r="AN540" s="46" t="b">
        <v>1</v>
      </c>
      <c r="AO540" s="46">
        <v>0</v>
      </c>
      <c r="AP540" s="46" t="b">
        <v>0</v>
      </c>
      <c r="AQ540" s="46">
        <v>960223.82700000005</v>
      </c>
      <c r="AS540" s="46">
        <v>960223.82700000005</v>
      </c>
      <c r="AT540" s="46">
        <v>6</v>
      </c>
      <c r="AU540" s="46" t="b">
        <v>1</v>
      </c>
      <c r="AV540" s="46" t="b">
        <v>0</v>
      </c>
    </row>
    <row r="541" spans="2:48">
      <c r="B541" s="46" t="s">
        <v>665</v>
      </c>
      <c r="C541" s="46" t="s">
        <v>666</v>
      </c>
      <c r="D541" s="46">
        <v>20240201</v>
      </c>
      <c r="E541" s="46">
        <v>2024</v>
      </c>
      <c r="F541" s="46">
        <v>2</v>
      </c>
      <c r="G541" s="46" t="s">
        <v>687</v>
      </c>
      <c r="H541" s="46">
        <v>818</v>
      </c>
      <c r="I541" s="46" t="s">
        <v>668</v>
      </c>
      <c r="J541" s="46" t="s">
        <v>57</v>
      </c>
      <c r="K541" s="46" t="s">
        <v>666</v>
      </c>
      <c r="L541" s="46" t="s">
        <v>669</v>
      </c>
      <c r="M541" s="46">
        <v>792</v>
      </c>
      <c r="N541" s="46" t="s">
        <v>691</v>
      </c>
      <c r="O541" s="46" t="s">
        <v>63</v>
      </c>
      <c r="P541" s="46">
        <v>0</v>
      </c>
      <c r="Q541" s="46" t="s">
        <v>670</v>
      </c>
      <c r="R541" s="46" t="s">
        <v>23</v>
      </c>
      <c r="S541" s="46" t="s">
        <v>671</v>
      </c>
      <c r="T541" s="46" t="s">
        <v>672</v>
      </c>
      <c r="U541" s="46" t="b">
        <v>1</v>
      </c>
      <c r="V541" s="46" t="s">
        <v>985</v>
      </c>
      <c r="W541" s="46" t="s">
        <v>984</v>
      </c>
      <c r="X541" s="46">
        <v>6</v>
      </c>
      <c r="Y541" s="46" t="b">
        <v>1</v>
      </c>
      <c r="Z541" s="46" t="s">
        <v>675</v>
      </c>
      <c r="AA541" s="46" t="s">
        <v>676</v>
      </c>
      <c r="AB541" s="46" t="s">
        <v>677</v>
      </c>
      <c r="AC541" s="46">
        <v>0</v>
      </c>
      <c r="AD541" s="46" t="s">
        <v>678</v>
      </c>
      <c r="AE541" s="46">
        <v>8</v>
      </c>
      <c r="AF541" s="46" t="s">
        <v>679</v>
      </c>
      <c r="AG541" s="46">
        <v>187723.14300000001</v>
      </c>
      <c r="AH541" s="46" t="b">
        <v>1</v>
      </c>
      <c r="AI541" s="46">
        <v>-1</v>
      </c>
      <c r="AJ541" s="46" t="s">
        <v>680</v>
      </c>
      <c r="AK541" s="46">
        <v>0</v>
      </c>
      <c r="AL541" s="46" t="b">
        <v>0</v>
      </c>
      <c r="AM541" s="46">
        <v>187723.14300000001</v>
      </c>
      <c r="AN541" s="46" t="b">
        <v>1</v>
      </c>
      <c r="AO541" s="46">
        <v>0</v>
      </c>
      <c r="AP541" s="46" t="b">
        <v>0</v>
      </c>
      <c r="AQ541" s="46">
        <v>885851.63600000006</v>
      </c>
      <c r="AS541" s="46">
        <v>885851.63600000006</v>
      </c>
      <c r="AT541" s="46">
        <v>6</v>
      </c>
      <c r="AU541" s="46" t="b">
        <v>1</v>
      </c>
      <c r="AV541" s="46" t="b">
        <v>0</v>
      </c>
    </row>
    <row r="542" spans="2:48">
      <c r="B542" s="46" t="s">
        <v>665</v>
      </c>
      <c r="C542" s="46" t="s">
        <v>666</v>
      </c>
      <c r="D542" s="46">
        <v>20240101</v>
      </c>
      <c r="E542" s="46">
        <v>2024</v>
      </c>
      <c r="F542" s="46">
        <v>1</v>
      </c>
      <c r="G542" s="46" t="s">
        <v>667</v>
      </c>
      <c r="H542" s="46">
        <v>818</v>
      </c>
      <c r="I542" s="46" t="s">
        <v>668</v>
      </c>
      <c r="J542" s="46" t="s">
        <v>57</v>
      </c>
      <c r="K542" s="46" t="s">
        <v>666</v>
      </c>
      <c r="L542" s="46" t="s">
        <v>669</v>
      </c>
      <c r="M542" s="46">
        <v>826</v>
      </c>
      <c r="N542" s="46" t="s">
        <v>685</v>
      </c>
      <c r="O542" s="46" t="s">
        <v>64</v>
      </c>
      <c r="P542" s="46">
        <v>0</v>
      </c>
      <c r="Q542" s="46" t="s">
        <v>670</v>
      </c>
      <c r="R542" s="46" t="s">
        <v>23</v>
      </c>
      <c r="S542" s="46" t="s">
        <v>671</v>
      </c>
      <c r="T542" s="46" t="s">
        <v>672</v>
      </c>
      <c r="U542" s="46" t="b">
        <v>1</v>
      </c>
      <c r="V542" s="46" t="s">
        <v>985</v>
      </c>
      <c r="W542" s="46" t="s">
        <v>984</v>
      </c>
      <c r="X542" s="46">
        <v>6</v>
      </c>
      <c r="Y542" s="46" t="b">
        <v>1</v>
      </c>
      <c r="Z542" s="46" t="s">
        <v>675</v>
      </c>
      <c r="AA542" s="46" t="s">
        <v>676</v>
      </c>
      <c r="AB542" s="46" t="s">
        <v>677</v>
      </c>
      <c r="AC542" s="46">
        <v>0</v>
      </c>
      <c r="AD542" s="46" t="s">
        <v>678</v>
      </c>
      <c r="AE542" s="46">
        <v>8</v>
      </c>
      <c r="AF542" s="46" t="s">
        <v>679</v>
      </c>
      <c r="AG542" s="46">
        <v>172897.43</v>
      </c>
      <c r="AH542" s="46" t="b">
        <v>1</v>
      </c>
      <c r="AI542" s="46">
        <v>-1</v>
      </c>
      <c r="AJ542" s="46" t="s">
        <v>680</v>
      </c>
      <c r="AK542" s="46">
        <v>0</v>
      </c>
      <c r="AL542" s="46" t="b">
        <v>0</v>
      </c>
      <c r="AM542" s="46">
        <v>172897.43</v>
      </c>
      <c r="AN542" s="46" t="b">
        <v>1</v>
      </c>
      <c r="AO542" s="46">
        <v>0</v>
      </c>
      <c r="AP542" s="46" t="b">
        <v>0</v>
      </c>
      <c r="AQ542" s="46">
        <v>815890.19200000004</v>
      </c>
      <c r="AS542" s="46">
        <v>815890.19200000004</v>
      </c>
      <c r="AT542" s="46">
        <v>6</v>
      </c>
      <c r="AU542" s="46" t="b">
        <v>1</v>
      </c>
      <c r="AV542" s="46" t="b">
        <v>0</v>
      </c>
    </row>
    <row r="543" spans="2:48">
      <c r="B543" s="46" t="s">
        <v>665</v>
      </c>
      <c r="C543" s="46" t="s">
        <v>666</v>
      </c>
      <c r="D543" s="46">
        <v>20240601</v>
      </c>
      <c r="E543" s="46">
        <v>2024</v>
      </c>
      <c r="F543" s="46">
        <v>6</v>
      </c>
      <c r="G543" s="46" t="s">
        <v>700</v>
      </c>
      <c r="H543" s="46">
        <v>818</v>
      </c>
      <c r="I543" s="46" t="s">
        <v>668</v>
      </c>
      <c r="J543" s="46" t="s">
        <v>57</v>
      </c>
      <c r="K543" s="46" t="s">
        <v>666</v>
      </c>
      <c r="L543" s="46" t="s">
        <v>669</v>
      </c>
      <c r="M543" s="46">
        <v>826</v>
      </c>
      <c r="N543" s="46" t="s">
        <v>685</v>
      </c>
      <c r="O543" s="46" t="s">
        <v>64</v>
      </c>
      <c r="P543" s="46">
        <v>0</v>
      </c>
      <c r="Q543" s="46" t="s">
        <v>670</v>
      </c>
      <c r="R543" s="46" t="s">
        <v>23</v>
      </c>
      <c r="S543" s="46" t="s">
        <v>671</v>
      </c>
      <c r="T543" s="46" t="s">
        <v>672</v>
      </c>
      <c r="U543" s="46" t="b">
        <v>1</v>
      </c>
      <c r="V543" s="46" t="s">
        <v>985</v>
      </c>
      <c r="W543" s="46" t="s">
        <v>984</v>
      </c>
      <c r="X543" s="46">
        <v>6</v>
      </c>
      <c r="Y543" s="46" t="b">
        <v>1</v>
      </c>
      <c r="Z543" s="46" t="s">
        <v>675</v>
      </c>
      <c r="AA543" s="46" t="s">
        <v>676</v>
      </c>
      <c r="AB543" s="46" t="s">
        <v>677</v>
      </c>
      <c r="AC543" s="46">
        <v>0</v>
      </c>
      <c r="AD543" s="46" t="s">
        <v>678</v>
      </c>
      <c r="AE543" s="46">
        <v>8</v>
      </c>
      <c r="AF543" s="46" t="s">
        <v>679</v>
      </c>
      <c r="AG543" s="46">
        <v>84356.789000000004</v>
      </c>
      <c r="AH543" s="46" t="b">
        <v>1</v>
      </c>
      <c r="AI543" s="46">
        <v>-1</v>
      </c>
      <c r="AJ543" s="46" t="s">
        <v>680</v>
      </c>
      <c r="AK543" s="46">
        <v>0</v>
      </c>
      <c r="AL543" s="46" t="b">
        <v>0</v>
      </c>
      <c r="AM543" s="46">
        <v>84356.789000000004</v>
      </c>
      <c r="AN543" s="46" t="b">
        <v>1</v>
      </c>
      <c r="AO543" s="46">
        <v>0</v>
      </c>
      <c r="AP543" s="46" t="b">
        <v>0</v>
      </c>
      <c r="AQ543" s="46">
        <v>398073.45</v>
      </c>
      <c r="AS543" s="46">
        <v>398073.45</v>
      </c>
      <c r="AT543" s="46">
        <v>6</v>
      </c>
      <c r="AU543" s="46" t="b">
        <v>1</v>
      </c>
      <c r="AV543" s="46" t="b">
        <v>0</v>
      </c>
    </row>
    <row r="544" spans="2:48">
      <c r="B544" s="46" t="s">
        <v>665</v>
      </c>
      <c r="C544" s="46" t="s">
        <v>666</v>
      </c>
      <c r="D544" s="46">
        <v>20240401</v>
      </c>
      <c r="E544" s="46">
        <v>2024</v>
      </c>
      <c r="F544" s="46">
        <v>4</v>
      </c>
      <c r="G544" s="46" t="s">
        <v>695</v>
      </c>
      <c r="H544" s="46">
        <v>818</v>
      </c>
      <c r="I544" s="46" t="s">
        <v>668</v>
      </c>
      <c r="J544" s="46" t="s">
        <v>57</v>
      </c>
      <c r="K544" s="46" t="s">
        <v>666</v>
      </c>
      <c r="L544" s="46" t="s">
        <v>669</v>
      </c>
      <c r="M544" s="46">
        <v>826</v>
      </c>
      <c r="N544" s="46" t="s">
        <v>685</v>
      </c>
      <c r="O544" s="46" t="s">
        <v>64</v>
      </c>
      <c r="P544" s="46">
        <v>0</v>
      </c>
      <c r="Q544" s="46" t="s">
        <v>670</v>
      </c>
      <c r="R544" s="46" t="s">
        <v>23</v>
      </c>
      <c r="S544" s="46" t="s">
        <v>671</v>
      </c>
      <c r="T544" s="46" t="s">
        <v>672</v>
      </c>
      <c r="U544" s="46" t="b">
        <v>1</v>
      </c>
      <c r="V544" s="46" t="s">
        <v>985</v>
      </c>
      <c r="W544" s="46" t="s">
        <v>984</v>
      </c>
      <c r="X544" s="46">
        <v>6</v>
      </c>
      <c r="Y544" s="46" t="b">
        <v>1</v>
      </c>
      <c r="Z544" s="46" t="s">
        <v>675</v>
      </c>
      <c r="AA544" s="46" t="s">
        <v>676</v>
      </c>
      <c r="AB544" s="46" t="s">
        <v>677</v>
      </c>
      <c r="AC544" s="46">
        <v>0</v>
      </c>
      <c r="AD544" s="46" t="s">
        <v>678</v>
      </c>
      <c r="AE544" s="46">
        <v>8</v>
      </c>
      <c r="AF544" s="46" t="s">
        <v>679</v>
      </c>
      <c r="AG544" s="46">
        <v>1035847.862</v>
      </c>
      <c r="AH544" s="46" t="b">
        <v>1</v>
      </c>
      <c r="AI544" s="46">
        <v>-1</v>
      </c>
      <c r="AJ544" s="46" t="s">
        <v>680</v>
      </c>
      <c r="AK544" s="46">
        <v>0</v>
      </c>
      <c r="AL544" s="46" t="b">
        <v>0</v>
      </c>
      <c r="AM544" s="46">
        <v>1035847.862</v>
      </c>
      <c r="AN544" s="46" t="b">
        <v>1</v>
      </c>
      <c r="AO544" s="46">
        <v>0</v>
      </c>
      <c r="AP544" s="46" t="b">
        <v>0</v>
      </c>
      <c r="AQ544" s="46">
        <v>4888089.4960000003</v>
      </c>
      <c r="AS544" s="46">
        <v>4888089.4960000003</v>
      </c>
      <c r="AT544" s="46">
        <v>6</v>
      </c>
      <c r="AU544" s="46" t="b">
        <v>1</v>
      </c>
      <c r="AV544" s="46" t="b">
        <v>0</v>
      </c>
    </row>
    <row r="545" spans="2:48">
      <c r="B545" s="46" t="s">
        <v>665</v>
      </c>
      <c r="C545" s="46" t="s">
        <v>666</v>
      </c>
      <c r="D545" s="46">
        <v>20240501</v>
      </c>
      <c r="E545" s="46">
        <v>2024</v>
      </c>
      <c r="F545" s="46">
        <v>5</v>
      </c>
      <c r="G545" s="46" t="s">
        <v>699</v>
      </c>
      <c r="H545" s="46">
        <v>818</v>
      </c>
      <c r="I545" s="46" t="s">
        <v>668</v>
      </c>
      <c r="J545" s="46" t="s">
        <v>57</v>
      </c>
      <c r="K545" s="46" t="s">
        <v>666</v>
      </c>
      <c r="L545" s="46" t="s">
        <v>669</v>
      </c>
      <c r="M545" s="46">
        <v>826</v>
      </c>
      <c r="N545" s="46" t="s">
        <v>685</v>
      </c>
      <c r="O545" s="46" t="s">
        <v>64</v>
      </c>
      <c r="P545" s="46">
        <v>0</v>
      </c>
      <c r="Q545" s="46" t="s">
        <v>670</v>
      </c>
      <c r="R545" s="46" t="s">
        <v>23</v>
      </c>
      <c r="S545" s="46" t="s">
        <v>671</v>
      </c>
      <c r="T545" s="46" t="s">
        <v>672</v>
      </c>
      <c r="U545" s="46" t="b">
        <v>1</v>
      </c>
      <c r="V545" s="46" t="s">
        <v>985</v>
      </c>
      <c r="W545" s="46" t="s">
        <v>984</v>
      </c>
      <c r="X545" s="46">
        <v>6</v>
      </c>
      <c r="Y545" s="46" t="b">
        <v>1</v>
      </c>
      <c r="Z545" s="46" t="s">
        <v>675</v>
      </c>
      <c r="AA545" s="46" t="s">
        <v>676</v>
      </c>
      <c r="AB545" s="46" t="s">
        <v>677</v>
      </c>
      <c r="AC545" s="46">
        <v>0</v>
      </c>
      <c r="AD545" s="46" t="s">
        <v>678</v>
      </c>
      <c r="AE545" s="46">
        <v>8</v>
      </c>
      <c r="AF545" s="46" t="s">
        <v>679</v>
      </c>
      <c r="AG545" s="46">
        <v>118638.35</v>
      </c>
      <c r="AH545" s="46" t="b">
        <v>1</v>
      </c>
      <c r="AI545" s="46">
        <v>-1</v>
      </c>
      <c r="AJ545" s="46" t="s">
        <v>680</v>
      </c>
      <c r="AK545" s="46">
        <v>0</v>
      </c>
      <c r="AL545" s="46" t="b">
        <v>0</v>
      </c>
      <c r="AM545" s="46">
        <v>118638.35</v>
      </c>
      <c r="AN545" s="46" t="b">
        <v>1</v>
      </c>
      <c r="AO545" s="46">
        <v>0</v>
      </c>
      <c r="AP545" s="46" t="b">
        <v>0</v>
      </c>
      <c r="AQ545" s="46">
        <v>559845.60699999996</v>
      </c>
      <c r="AS545" s="46">
        <v>559845.60699999996</v>
      </c>
      <c r="AT545" s="46">
        <v>6</v>
      </c>
      <c r="AU545" s="46" t="b">
        <v>1</v>
      </c>
      <c r="AV545" s="46" t="b">
        <v>0</v>
      </c>
    </row>
    <row r="546" spans="2:48">
      <c r="B546" s="46" t="s">
        <v>665</v>
      </c>
      <c r="C546" s="46" t="s">
        <v>666</v>
      </c>
      <c r="D546" s="46">
        <v>20240201</v>
      </c>
      <c r="E546" s="46">
        <v>2024</v>
      </c>
      <c r="F546" s="46">
        <v>2</v>
      </c>
      <c r="G546" s="46" t="s">
        <v>687</v>
      </c>
      <c r="H546" s="46">
        <v>818</v>
      </c>
      <c r="I546" s="46" t="s">
        <v>668</v>
      </c>
      <c r="J546" s="46" t="s">
        <v>57</v>
      </c>
      <c r="K546" s="46" t="s">
        <v>666</v>
      </c>
      <c r="L546" s="46" t="s">
        <v>669</v>
      </c>
      <c r="M546" s="46">
        <v>826</v>
      </c>
      <c r="N546" s="46" t="s">
        <v>685</v>
      </c>
      <c r="O546" s="46" t="s">
        <v>64</v>
      </c>
      <c r="P546" s="46">
        <v>0</v>
      </c>
      <c r="Q546" s="46" t="s">
        <v>670</v>
      </c>
      <c r="R546" s="46" t="s">
        <v>23</v>
      </c>
      <c r="S546" s="46" t="s">
        <v>671</v>
      </c>
      <c r="T546" s="46" t="s">
        <v>672</v>
      </c>
      <c r="U546" s="46" t="b">
        <v>1</v>
      </c>
      <c r="V546" s="46" t="s">
        <v>985</v>
      </c>
      <c r="W546" s="46" t="s">
        <v>984</v>
      </c>
      <c r="X546" s="46">
        <v>6</v>
      </c>
      <c r="Y546" s="46" t="b">
        <v>1</v>
      </c>
      <c r="Z546" s="46" t="s">
        <v>675</v>
      </c>
      <c r="AA546" s="46" t="s">
        <v>676</v>
      </c>
      <c r="AB546" s="46" t="s">
        <v>677</v>
      </c>
      <c r="AC546" s="46">
        <v>0</v>
      </c>
      <c r="AD546" s="46" t="s">
        <v>678</v>
      </c>
      <c r="AE546" s="46">
        <v>8</v>
      </c>
      <c r="AF546" s="46" t="s">
        <v>679</v>
      </c>
      <c r="AG546" s="46">
        <v>57811.053999999996</v>
      </c>
      <c r="AH546" s="46" t="b">
        <v>1</v>
      </c>
      <c r="AI546" s="46">
        <v>-1</v>
      </c>
      <c r="AJ546" s="46" t="s">
        <v>680</v>
      </c>
      <c r="AK546" s="46">
        <v>0</v>
      </c>
      <c r="AL546" s="46" t="b">
        <v>0</v>
      </c>
      <c r="AM546" s="46">
        <v>57811.053999999996</v>
      </c>
      <c r="AN546" s="46" t="b">
        <v>1</v>
      </c>
      <c r="AO546" s="46">
        <v>0</v>
      </c>
      <c r="AP546" s="46" t="b">
        <v>0</v>
      </c>
      <c r="AQ546" s="46">
        <v>272806.09000000003</v>
      </c>
      <c r="AS546" s="46">
        <v>272806.09000000003</v>
      </c>
      <c r="AT546" s="46">
        <v>6</v>
      </c>
      <c r="AU546" s="46" t="b">
        <v>1</v>
      </c>
      <c r="AV546" s="46" t="b">
        <v>0</v>
      </c>
    </row>
    <row r="547" spans="2:48">
      <c r="B547" s="46" t="s">
        <v>665</v>
      </c>
      <c r="C547" s="46" t="s">
        <v>666</v>
      </c>
      <c r="D547" s="46">
        <v>20240101</v>
      </c>
      <c r="E547" s="46">
        <v>2024</v>
      </c>
      <c r="F547" s="46">
        <v>1</v>
      </c>
      <c r="G547" s="46" t="s">
        <v>667</v>
      </c>
      <c r="H547" s="46">
        <v>818</v>
      </c>
      <c r="I547" s="46" t="s">
        <v>668</v>
      </c>
      <c r="J547" s="46" t="s">
        <v>57</v>
      </c>
      <c r="K547" s="46" t="s">
        <v>666</v>
      </c>
      <c r="L547" s="46" t="s">
        <v>669</v>
      </c>
      <c r="M547" s="46">
        <v>842</v>
      </c>
      <c r="N547" s="46" t="s">
        <v>713</v>
      </c>
      <c r="O547" s="46" t="s">
        <v>713</v>
      </c>
      <c r="P547" s="46">
        <v>0</v>
      </c>
      <c r="Q547" s="46" t="s">
        <v>670</v>
      </c>
      <c r="R547" s="46" t="s">
        <v>23</v>
      </c>
      <c r="S547" s="46" t="s">
        <v>671</v>
      </c>
      <c r="T547" s="46" t="s">
        <v>672</v>
      </c>
      <c r="U547" s="46" t="b">
        <v>1</v>
      </c>
      <c r="V547" s="46" t="s">
        <v>985</v>
      </c>
      <c r="W547" s="46" t="s">
        <v>984</v>
      </c>
      <c r="X547" s="46">
        <v>6</v>
      </c>
      <c r="Y547" s="46" t="b">
        <v>1</v>
      </c>
      <c r="Z547" s="46" t="s">
        <v>675</v>
      </c>
      <c r="AA547" s="46" t="s">
        <v>676</v>
      </c>
      <c r="AB547" s="46" t="s">
        <v>677</v>
      </c>
      <c r="AC547" s="46">
        <v>0</v>
      </c>
      <c r="AD547" s="46" t="s">
        <v>678</v>
      </c>
      <c r="AE547" s="46">
        <v>8</v>
      </c>
      <c r="AF547" s="46" t="s">
        <v>679</v>
      </c>
      <c r="AG547" s="46">
        <v>455140.91899999999</v>
      </c>
      <c r="AH547" s="46" t="b">
        <v>1</v>
      </c>
      <c r="AI547" s="46">
        <v>-1</v>
      </c>
      <c r="AJ547" s="46" t="s">
        <v>680</v>
      </c>
      <c r="AK547" s="46">
        <v>0</v>
      </c>
      <c r="AL547" s="46" t="b">
        <v>0</v>
      </c>
      <c r="AM547" s="46">
        <v>455140.91899999999</v>
      </c>
      <c r="AN547" s="46" t="b">
        <v>1</v>
      </c>
      <c r="AO547" s="46">
        <v>0</v>
      </c>
      <c r="AP547" s="46" t="b">
        <v>0</v>
      </c>
      <c r="AQ547" s="46">
        <v>2147776.3530000001</v>
      </c>
      <c r="AS547" s="46">
        <v>2147776.3530000001</v>
      </c>
      <c r="AT547" s="46">
        <v>6</v>
      </c>
      <c r="AU547" s="46" t="b">
        <v>1</v>
      </c>
      <c r="AV547" s="46" t="b">
        <v>0</v>
      </c>
    </row>
    <row r="548" spans="2:48">
      <c r="B548" s="46" t="s">
        <v>665</v>
      </c>
      <c r="C548" s="46" t="s">
        <v>666</v>
      </c>
      <c r="D548" s="46">
        <v>20240601</v>
      </c>
      <c r="E548" s="46">
        <v>2024</v>
      </c>
      <c r="F548" s="46">
        <v>6</v>
      </c>
      <c r="G548" s="46" t="s">
        <v>700</v>
      </c>
      <c r="H548" s="46">
        <v>818</v>
      </c>
      <c r="I548" s="46" t="s">
        <v>668</v>
      </c>
      <c r="J548" s="46" t="s">
        <v>57</v>
      </c>
      <c r="K548" s="46" t="s">
        <v>666</v>
      </c>
      <c r="L548" s="46" t="s">
        <v>669</v>
      </c>
      <c r="M548" s="46">
        <v>842</v>
      </c>
      <c r="N548" s="46" t="s">
        <v>713</v>
      </c>
      <c r="O548" s="46" t="s">
        <v>713</v>
      </c>
      <c r="P548" s="46">
        <v>0</v>
      </c>
      <c r="Q548" s="46" t="s">
        <v>670</v>
      </c>
      <c r="R548" s="46" t="s">
        <v>23</v>
      </c>
      <c r="S548" s="46" t="s">
        <v>671</v>
      </c>
      <c r="T548" s="46" t="s">
        <v>672</v>
      </c>
      <c r="U548" s="46" t="b">
        <v>1</v>
      </c>
      <c r="V548" s="46" t="s">
        <v>985</v>
      </c>
      <c r="W548" s="46" t="s">
        <v>984</v>
      </c>
      <c r="X548" s="46">
        <v>6</v>
      </c>
      <c r="Y548" s="46" t="b">
        <v>1</v>
      </c>
      <c r="Z548" s="46" t="s">
        <v>675</v>
      </c>
      <c r="AA548" s="46" t="s">
        <v>676</v>
      </c>
      <c r="AB548" s="46" t="s">
        <v>677</v>
      </c>
      <c r="AC548" s="46">
        <v>0</v>
      </c>
      <c r="AD548" s="46" t="s">
        <v>678</v>
      </c>
      <c r="AE548" s="46">
        <v>8</v>
      </c>
      <c r="AF548" s="46" t="s">
        <v>679</v>
      </c>
      <c r="AG548" s="46">
        <v>1025812.499</v>
      </c>
      <c r="AH548" s="46" t="b">
        <v>1</v>
      </c>
      <c r="AI548" s="46">
        <v>-1</v>
      </c>
      <c r="AJ548" s="46" t="s">
        <v>680</v>
      </c>
      <c r="AK548" s="46">
        <v>0</v>
      </c>
      <c r="AL548" s="46" t="b">
        <v>0</v>
      </c>
      <c r="AM548" s="46">
        <v>1025812.499</v>
      </c>
      <c r="AN548" s="46" t="b">
        <v>1</v>
      </c>
      <c r="AO548" s="46">
        <v>0</v>
      </c>
      <c r="AP548" s="46" t="b">
        <v>0</v>
      </c>
      <c r="AQ548" s="46">
        <v>4840733.3569999998</v>
      </c>
      <c r="AS548" s="46">
        <v>4840733.3569999998</v>
      </c>
      <c r="AT548" s="46">
        <v>6</v>
      </c>
      <c r="AU548" s="46" t="b">
        <v>1</v>
      </c>
      <c r="AV548" s="46" t="b">
        <v>0</v>
      </c>
    </row>
    <row r="549" spans="2:48">
      <c r="B549" s="46" t="s">
        <v>665</v>
      </c>
      <c r="C549" s="46" t="s">
        <v>666</v>
      </c>
      <c r="D549" s="46">
        <v>20240401</v>
      </c>
      <c r="E549" s="46">
        <v>2024</v>
      </c>
      <c r="F549" s="46">
        <v>4</v>
      </c>
      <c r="G549" s="46" t="s">
        <v>695</v>
      </c>
      <c r="H549" s="46">
        <v>818</v>
      </c>
      <c r="I549" s="46" t="s">
        <v>668</v>
      </c>
      <c r="J549" s="46" t="s">
        <v>57</v>
      </c>
      <c r="K549" s="46" t="s">
        <v>666</v>
      </c>
      <c r="L549" s="46" t="s">
        <v>669</v>
      </c>
      <c r="M549" s="46">
        <v>842</v>
      </c>
      <c r="N549" s="46" t="s">
        <v>713</v>
      </c>
      <c r="O549" s="46" t="s">
        <v>713</v>
      </c>
      <c r="P549" s="46">
        <v>0</v>
      </c>
      <c r="Q549" s="46" t="s">
        <v>670</v>
      </c>
      <c r="R549" s="46" t="s">
        <v>23</v>
      </c>
      <c r="S549" s="46" t="s">
        <v>671</v>
      </c>
      <c r="T549" s="46" t="s">
        <v>672</v>
      </c>
      <c r="U549" s="46" t="b">
        <v>1</v>
      </c>
      <c r="V549" s="46" t="s">
        <v>985</v>
      </c>
      <c r="W549" s="46" t="s">
        <v>984</v>
      </c>
      <c r="X549" s="46">
        <v>6</v>
      </c>
      <c r="Y549" s="46" t="b">
        <v>1</v>
      </c>
      <c r="Z549" s="46" t="s">
        <v>675</v>
      </c>
      <c r="AA549" s="46" t="s">
        <v>676</v>
      </c>
      <c r="AB549" s="46" t="s">
        <v>677</v>
      </c>
      <c r="AC549" s="46">
        <v>0</v>
      </c>
      <c r="AD549" s="46" t="s">
        <v>678</v>
      </c>
      <c r="AE549" s="46">
        <v>8</v>
      </c>
      <c r="AF549" s="46" t="s">
        <v>679</v>
      </c>
      <c r="AG549" s="46">
        <v>4679636.7170000002</v>
      </c>
      <c r="AH549" s="46" t="b">
        <v>1</v>
      </c>
      <c r="AI549" s="46">
        <v>-1</v>
      </c>
      <c r="AJ549" s="46" t="s">
        <v>680</v>
      </c>
      <c r="AK549" s="46">
        <v>0</v>
      </c>
      <c r="AL549" s="46" t="b">
        <v>0</v>
      </c>
      <c r="AM549" s="46">
        <v>4679636.7170000002</v>
      </c>
      <c r="AN549" s="46" t="b">
        <v>1</v>
      </c>
      <c r="AO549" s="46">
        <v>0</v>
      </c>
      <c r="AP549" s="46" t="b">
        <v>0</v>
      </c>
      <c r="AQ549" s="46">
        <v>22082859.767000001</v>
      </c>
      <c r="AS549" s="46">
        <v>22082859.767000001</v>
      </c>
      <c r="AT549" s="46">
        <v>6</v>
      </c>
      <c r="AU549" s="46" t="b">
        <v>1</v>
      </c>
      <c r="AV549" s="46" t="b">
        <v>0</v>
      </c>
    </row>
    <row r="550" spans="2:48">
      <c r="B550" s="46" t="s">
        <v>665</v>
      </c>
      <c r="C550" s="46" t="s">
        <v>666</v>
      </c>
      <c r="D550" s="46">
        <v>20240501</v>
      </c>
      <c r="E550" s="46">
        <v>2024</v>
      </c>
      <c r="F550" s="46">
        <v>5</v>
      </c>
      <c r="G550" s="46" t="s">
        <v>699</v>
      </c>
      <c r="H550" s="46">
        <v>818</v>
      </c>
      <c r="I550" s="46" t="s">
        <v>668</v>
      </c>
      <c r="J550" s="46" t="s">
        <v>57</v>
      </c>
      <c r="K550" s="46" t="s">
        <v>666</v>
      </c>
      <c r="L550" s="46" t="s">
        <v>669</v>
      </c>
      <c r="M550" s="46">
        <v>842</v>
      </c>
      <c r="N550" s="46" t="s">
        <v>713</v>
      </c>
      <c r="O550" s="46" t="s">
        <v>713</v>
      </c>
      <c r="P550" s="46">
        <v>0</v>
      </c>
      <c r="Q550" s="46" t="s">
        <v>670</v>
      </c>
      <c r="R550" s="46" t="s">
        <v>23</v>
      </c>
      <c r="S550" s="46" t="s">
        <v>671</v>
      </c>
      <c r="T550" s="46" t="s">
        <v>672</v>
      </c>
      <c r="U550" s="46" t="b">
        <v>1</v>
      </c>
      <c r="V550" s="46" t="s">
        <v>985</v>
      </c>
      <c r="W550" s="46" t="s">
        <v>984</v>
      </c>
      <c r="X550" s="46">
        <v>6</v>
      </c>
      <c r="Y550" s="46" t="b">
        <v>1</v>
      </c>
      <c r="Z550" s="46" t="s">
        <v>675</v>
      </c>
      <c r="AA550" s="46" t="s">
        <v>676</v>
      </c>
      <c r="AB550" s="46" t="s">
        <v>677</v>
      </c>
      <c r="AC550" s="46">
        <v>0</v>
      </c>
      <c r="AD550" s="46" t="s">
        <v>678</v>
      </c>
      <c r="AE550" s="46">
        <v>8</v>
      </c>
      <c r="AF550" s="46" t="s">
        <v>679</v>
      </c>
      <c r="AG550" s="46">
        <v>1400781.4369999999</v>
      </c>
      <c r="AH550" s="46" t="b">
        <v>1</v>
      </c>
      <c r="AI550" s="46">
        <v>-1</v>
      </c>
      <c r="AJ550" s="46" t="s">
        <v>680</v>
      </c>
      <c r="AK550" s="46">
        <v>0</v>
      </c>
      <c r="AL550" s="46" t="b">
        <v>0</v>
      </c>
      <c r="AM550" s="46">
        <v>1400781.4369999999</v>
      </c>
      <c r="AN550" s="46" t="b">
        <v>1</v>
      </c>
      <c r="AO550" s="46">
        <v>0</v>
      </c>
      <c r="AP550" s="46" t="b">
        <v>0</v>
      </c>
      <c r="AQ550" s="46">
        <v>6610184.0590000004</v>
      </c>
      <c r="AS550" s="46">
        <v>6610184.0590000004</v>
      </c>
      <c r="AT550" s="46">
        <v>6</v>
      </c>
      <c r="AU550" s="46" t="b">
        <v>1</v>
      </c>
      <c r="AV550" s="46" t="b">
        <v>0</v>
      </c>
    </row>
    <row r="551" spans="2:48">
      <c r="B551" s="46" t="s">
        <v>665</v>
      </c>
      <c r="C551" s="46" t="s">
        <v>666</v>
      </c>
      <c r="D551" s="46">
        <v>20240201</v>
      </c>
      <c r="E551" s="46">
        <v>2024</v>
      </c>
      <c r="F551" s="46">
        <v>2</v>
      </c>
      <c r="G551" s="46" t="s">
        <v>687</v>
      </c>
      <c r="H551" s="46">
        <v>818</v>
      </c>
      <c r="I551" s="46" t="s">
        <v>668</v>
      </c>
      <c r="J551" s="46" t="s">
        <v>57</v>
      </c>
      <c r="K551" s="46" t="s">
        <v>666</v>
      </c>
      <c r="L551" s="46" t="s">
        <v>669</v>
      </c>
      <c r="M551" s="46">
        <v>842</v>
      </c>
      <c r="N551" s="46" t="s">
        <v>713</v>
      </c>
      <c r="O551" s="46" t="s">
        <v>713</v>
      </c>
      <c r="P551" s="46">
        <v>0</v>
      </c>
      <c r="Q551" s="46" t="s">
        <v>670</v>
      </c>
      <c r="R551" s="46" t="s">
        <v>23</v>
      </c>
      <c r="S551" s="46" t="s">
        <v>671</v>
      </c>
      <c r="T551" s="46" t="s">
        <v>672</v>
      </c>
      <c r="U551" s="46" t="b">
        <v>1</v>
      </c>
      <c r="V551" s="46" t="s">
        <v>985</v>
      </c>
      <c r="W551" s="46" t="s">
        <v>984</v>
      </c>
      <c r="X551" s="46">
        <v>6</v>
      </c>
      <c r="Y551" s="46" t="b">
        <v>1</v>
      </c>
      <c r="Z551" s="46" t="s">
        <v>675</v>
      </c>
      <c r="AA551" s="46" t="s">
        <v>676</v>
      </c>
      <c r="AB551" s="46" t="s">
        <v>677</v>
      </c>
      <c r="AC551" s="46">
        <v>0</v>
      </c>
      <c r="AD551" s="46" t="s">
        <v>678</v>
      </c>
      <c r="AE551" s="46">
        <v>8</v>
      </c>
      <c r="AF551" s="46" t="s">
        <v>679</v>
      </c>
      <c r="AG551" s="46">
        <v>183146.818</v>
      </c>
      <c r="AH551" s="46" t="b">
        <v>1</v>
      </c>
      <c r="AI551" s="46">
        <v>-1</v>
      </c>
      <c r="AJ551" s="46" t="s">
        <v>680</v>
      </c>
      <c r="AK551" s="46">
        <v>0</v>
      </c>
      <c r="AL551" s="46" t="b">
        <v>0</v>
      </c>
      <c r="AM551" s="46">
        <v>183146.818</v>
      </c>
      <c r="AN551" s="46" t="b">
        <v>1</v>
      </c>
      <c r="AO551" s="46">
        <v>0</v>
      </c>
      <c r="AP551" s="46" t="b">
        <v>0</v>
      </c>
      <c r="AQ551" s="46">
        <v>864256.29500000004</v>
      </c>
      <c r="AS551" s="46">
        <v>864256.29500000004</v>
      </c>
      <c r="AT551" s="46">
        <v>6</v>
      </c>
      <c r="AU551" s="46" t="b">
        <v>1</v>
      </c>
      <c r="AV551" s="46" t="b">
        <v>0</v>
      </c>
    </row>
  </sheetData>
  <autoFilter ref="B12:Q72" xr:uid="{C7AD9377-020C-4FAE-9A10-94525D639F46}"/>
  <mergeCells count="8">
    <mergeCell ref="C11:H11"/>
    <mergeCell ref="I11:N11"/>
    <mergeCell ref="P11:P12"/>
    <mergeCell ref="Q11:Q12"/>
    <mergeCell ref="C78:H78"/>
    <mergeCell ref="I78:N78"/>
    <mergeCell ref="P78:P79"/>
    <mergeCell ref="Q78:Q79"/>
  </mergeCells>
  <hyperlinks>
    <hyperlink ref="A3" r:id="rId3" display="http://comtrade.un.org/" xr:uid="{3A325842-3BBE-42F8-BD6F-0A34E5E46AE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43D2-202E-42FA-B6B1-58E5A4FD1158}">
  <dimension ref="A1:AV85"/>
  <sheetViews>
    <sheetView topLeftCell="B42" workbookViewId="0">
      <selection activeCell="B78" sqref="B78:Q121"/>
    </sheetView>
  </sheetViews>
  <sheetFormatPr defaultRowHeight="13.5"/>
  <cols>
    <col min="1" max="1" width="9.140625" style="46"/>
    <col min="2" max="2" width="19.28515625" style="46" customWidth="1"/>
    <col min="3" max="3" width="23.5703125" style="46" customWidth="1"/>
    <col min="4" max="4" width="22" style="46" customWidth="1"/>
    <col min="5" max="5" width="17.28515625" style="46" customWidth="1"/>
    <col min="6" max="6" width="16.42578125" style="46" customWidth="1"/>
    <col min="7" max="7" width="15.28515625" style="46" customWidth="1"/>
    <col min="8" max="9" width="11.5703125" style="46" bestFit="1" customWidth="1"/>
    <col min="10" max="10" width="10.5703125" style="46" bestFit="1" customWidth="1"/>
    <col min="11" max="13" width="11.5703125" style="46" bestFit="1" customWidth="1"/>
    <col min="14" max="14" width="9.140625" style="46"/>
    <col min="15" max="15" width="13.42578125" style="46" bestFit="1" customWidth="1"/>
    <col min="16" max="18" width="9.140625" style="46"/>
    <col min="19" max="19" width="19.140625" style="46" bestFit="1" customWidth="1"/>
    <col min="20" max="29" width="11.28515625" style="46" bestFit="1" customWidth="1"/>
    <col min="30" max="30" width="12.85546875" style="46" bestFit="1" customWidth="1"/>
    <col min="31" max="31" width="11.28515625" style="46" bestFit="1" customWidth="1"/>
    <col min="32" max="16384" width="9.140625" style="46"/>
  </cols>
  <sheetData>
    <row r="1" spans="1:31">
      <c r="A1" s="25" t="s">
        <v>880</v>
      </c>
      <c r="B1" s="240"/>
      <c r="C1" s="240"/>
      <c r="D1" s="241">
        <f>'EX-1A SV Summary'!D32</f>
        <v>28391990</v>
      </c>
    </row>
    <row r="2" spans="1:31">
      <c r="A2" s="26" t="s">
        <v>1016</v>
      </c>
      <c r="B2" s="242"/>
      <c r="C2" s="242"/>
      <c r="D2" s="242"/>
    </row>
    <row r="3" spans="1:31">
      <c r="A3" s="243" t="s">
        <v>882</v>
      </c>
    </row>
    <row r="5" spans="1:31" ht="27">
      <c r="A5" s="29"/>
      <c r="B5" s="102" t="s">
        <v>203</v>
      </c>
      <c r="C5" s="102" t="s">
        <v>48</v>
      </c>
      <c r="D5" s="102" t="s">
        <v>204</v>
      </c>
    </row>
    <row r="6" spans="1:31">
      <c r="A6" s="29"/>
      <c r="B6" s="103">
        <f>SUMIFS(O:O,P:P,"Include",Q:Q,"QTY")*1000</f>
        <v>779192198.00000012</v>
      </c>
      <c r="C6" s="103">
        <f>SUMIFS(O:O,P:P,"Include",Q:Q,"VAL")*1000</f>
        <v>452067064</v>
      </c>
      <c r="D6" s="104">
        <f>C6/B6</f>
        <v>0.58017401247131062</v>
      </c>
    </row>
    <row r="7" spans="1:31">
      <c r="A7" s="29"/>
      <c r="B7" s="98"/>
      <c r="C7" s="26"/>
      <c r="S7" s="100" t="s">
        <v>626</v>
      </c>
      <c r="T7" s="46" t="s">
        <v>57</v>
      </c>
    </row>
    <row r="8" spans="1:31">
      <c r="A8" s="99" t="s">
        <v>740</v>
      </c>
      <c r="B8" s="99" t="s">
        <v>45</v>
      </c>
      <c r="C8" s="26"/>
    </row>
    <row r="9" spans="1:31">
      <c r="B9" s="29" t="s">
        <v>902</v>
      </c>
      <c r="C9" s="26"/>
      <c r="S9" s="100" t="s">
        <v>733</v>
      </c>
      <c r="T9" s="100" t="s">
        <v>621</v>
      </c>
      <c r="U9" s="100" t="s">
        <v>622</v>
      </c>
    </row>
    <row r="10" spans="1:31">
      <c r="A10" s="29"/>
      <c r="B10" s="134"/>
      <c r="C10" s="133"/>
      <c r="T10" s="46">
        <v>2023</v>
      </c>
      <c r="Y10" s="46">
        <v>2024</v>
      </c>
      <c r="AD10" s="46" t="s">
        <v>732</v>
      </c>
    </row>
    <row r="11" spans="1:31">
      <c r="B11" s="105"/>
      <c r="C11" s="324">
        <v>2023</v>
      </c>
      <c r="D11" s="324"/>
      <c r="E11" s="324"/>
      <c r="F11" s="324"/>
      <c r="G11" s="324"/>
      <c r="H11" s="324"/>
      <c r="I11" s="324">
        <v>2024</v>
      </c>
      <c r="J11" s="324"/>
      <c r="K11" s="324"/>
      <c r="L11" s="324"/>
      <c r="M11" s="324"/>
      <c r="N11" s="324"/>
      <c r="O11" s="112" t="s">
        <v>732</v>
      </c>
      <c r="P11" s="320" t="s">
        <v>209</v>
      </c>
      <c r="Q11" s="320" t="s">
        <v>155</v>
      </c>
      <c r="S11" s="100" t="s">
        <v>631</v>
      </c>
      <c r="T11" s="46">
        <v>7</v>
      </c>
      <c r="U11" s="46">
        <v>8</v>
      </c>
      <c r="V11" s="46">
        <v>9</v>
      </c>
      <c r="W11" s="46">
        <v>10</v>
      </c>
      <c r="X11" s="46">
        <v>12</v>
      </c>
      <c r="Y11" s="46">
        <v>1</v>
      </c>
      <c r="Z11" s="46">
        <v>2</v>
      </c>
      <c r="AA11" s="46">
        <v>3</v>
      </c>
      <c r="AB11" s="46">
        <v>4</v>
      </c>
      <c r="AC11" s="46">
        <v>5</v>
      </c>
    </row>
    <row r="12" spans="1:31">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29</v>
      </c>
      <c r="T12" s="306">
        <v>4719.2740000000003</v>
      </c>
      <c r="U12" s="306">
        <v>571.18600000000004</v>
      </c>
      <c r="V12" s="306">
        <v>16088.036</v>
      </c>
      <c r="W12" s="306">
        <v>1020.138</v>
      </c>
      <c r="X12" s="306"/>
      <c r="Y12" s="306"/>
      <c r="Z12" s="306">
        <v>3504.799</v>
      </c>
      <c r="AA12" s="306">
        <v>5726.0259999999998</v>
      </c>
      <c r="AB12" s="306"/>
      <c r="AC12" s="306">
        <v>21856.260999999999</v>
      </c>
      <c r="AD12" s="306">
        <v>53485.719999999994</v>
      </c>
      <c r="AE12" s="306"/>
    </row>
    <row r="13" spans="1:31">
      <c r="B13" s="105" t="s">
        <v>29</v>
      </c>
      <c r="C13" s="304">
        <v>4719.2740000000003</v>
      </c>
      <c r="D13" s="304">
        <v>571.18600000000004</v>
      </c>
      <c r="E13" s="304">
        <v>16088.036</v>
      </c>
      <c r="F13" s="304">
        <v>1020.138</v>
      </c>
      <c r="G13" s="304"/>
      <c r="H13" s="304"/>
      <c r="I13" s="304"/>
      <c r="J13" s="304">
        <v>3504.799</v>
      </c>
      <c r="K13" s="304">
        <v>5726.0259999999998</v>
      </c>
      <c r="L13" s="304"/>
      <c r="M13" s="304">
        <v>21856.260999999999</v>
      </c>
      <c r="N13" s="304"/>
      <c r="O13" s="304">
        <v>53485.719999999994</v>
      </c>
      <c r="P13" s="304" t="s">
        <v>210</v>
      </c>
      <c r="Q13" s="105" t="s">
        <v>744</v>
      </c>
      <c r="S13" s="46" t="s">
        <v>990</v>
      </c>
      <c r="T13" s="306"/>
      <c r="U13" s="306">
        <v>14665.683999999999</v>
      </c>
      <c r="V13" s="306">
        <v>5695.3410000000003</v>
      </c>
      <c r="W13" s="306">
        <v>28971.895</v>
      </c>
      <c r="X13" s="306"/>
      <c r="Y13" s="306"/>
      <c r="Z13" s="306"/>
      <c r="AA13" s="306"/>
      <c r="AB13" s="306"/>
      <c r="AC13" s="306"/>
      <c r="AD13" s="306">
        <v>49332.92</v>
      </c>
      <c r="AE13" s="306"/>
    </row>
    <row r="14" spans="1:31">
      <c r="B14" s="105" t="s">
        <v>990</v>
      </c>
      <c r="C14" s="304"/>
      <c r="D14" s="304">
        <v>14665.683999999999</v>
      </c>
      <c r="E14" s="304">
        <v>5695.3410000000003</v>
      </c>
      <c r="F14" s="304">
        <v>28971.895</v>
      </c>
      <c r="G14" s="304"/>
      <c r="H14" s="304"/>
      <c r="I14" s="304"/>
      <c r="J14" s="304"/>
      <c r="K14" s="304"/>
      <c r="L14" s="304"/>
      <c r="M14" s="304"/>
      <c r="N14" s="304"/>
      <c r="O14" s="304">
        <v>49332.92</v>
      </c>
      <c r="P14" s="304" t="s">
        <v>210</v>
      </c>
      <c r="Q14" s="105" t="s">
        <v>744</v>
      </c>
      <c r="S14" s="46" t="s">
        <v>30</v>
      </c>
      <c r="T14" s="306"/>
      <c r="U14" s="306"/>
      <c r="V14" s="306"/>
      <c r="W14" s="306"/>
      <c r="X14" s="306"/>
      <c r="Y14" s="306"/>
      <c r="Z14" s="306">
        <v>765.09900000000005</v>
      </c>
      <c r="AA14" s="306"/>
      <c r="AB14" s="306"/>
      <c r="AC14" s="306">
        <v>10057.123</v>
      </c>
      <c r="AD14" s="306">
        <v>10822.222</v>
      </c>
      <c r="AE14" s="306"/>
    </row>
    <row r="15" spans="1:31">
      <c r="B15" s="105" t="s">
        <v>30</v>
      </c>
      <c r="C15" s="304"/>
      <c r="D15" s="304"/>
      <c r="E15" s="304"/>
      <c r="F15" s="304"/>
      <c r="G15" s="304"/>
      <c r="H15" s="304"/>
      <c r="I15" s="304"/>
      <c r="J15" s="304">
        <v>765.09900000000005</v>
      </c>
      <c r="K15" s="304"/>
      <c r="L15" s="304"/>
      <c r="M15" s="304">
        <v>10057.123</v>
      </c>
      <c r="N15" s="304"/>
      <c r="O15" s="304">
        <v>10822.222</v>
      </c>
      <c r="P15" s="304" t="s">
        <v>211</v>
      </c>
      <c r="Q15" s="105" t="s">
        <v>744</v>
      </c>
      <c r="S15" s="46" t="s">
        <v>0</v>
      </c>
      <c r="T15" s="306"/>
      <c r="U15" s="306">
        <v>18829.293000000001</v>
      </c>
      <c r="V15" s="306"/>
      <c r="W15" s="306">
        <v>47073.233999999997</v>
      </c>
      <c r="X15" s="306">
        <v>1841.556</v>
      </c>
      <c r="Y15" s="306">
        <v>18829.293000000001</v>
      </c>
      <c r="Z15" s="306"/>
      <c r="AA15" s="306"/>
      <c r="AB15" s="306">
        <v>19247.757000000001</v>
      </c>
      <c r="AC15" s="306">
        <v>37658.6</v>
      </c>
      <c r="AD15" s="306">
        <v>143479.73300000001</v>
      </c>
      <c r="AE15" s="306"/>
    </row>
    <row r="16" spans="1:31">
      <c r="B16" s="105" t="s">
        <v>0</v>
      </c>
      <c r="C16" s="304"/>
      <c r="D16" s="304">
        <v>18829.293000000001</v>
      </c>
      <c r="E16" s="304"/>
      <c r="F16" s="304">
        <v>47073.233999999997</v>
      </c>
      <c r="G16" s="304"/>
      <c r="H16" s="304">
        <v>1841.556</v>
      </c>
      <c r="I16" s="304">
        <v>18829.293000000001</v>
      </c>
      <c r="J16" s="304"/>
      <c r="K16" s="304"/>
      <c r="L16" s="304">
        <v>19247.757000000001</v>
      </c>
      <c r="M16" s="304">
        <v>37658.6</v>
      </c>
      <c r="N16" s="304"/>
      <c r="O16" s="304">
        <v>143479.73300000001</v>
      </c>
      <c r="P16" s="304" t="s">
        <v>211</v>
      </c>
      <c r="Q16" s="105" t="s">
        <v>744</v>
      </c>
      <c r="S16" s="46" t="s">
        <v>39</v>
      </c>
      <c r="T16" s="306"/>
      <c r="U16" s="306"/>
      <c r="V16" s="306"/>
      <c r="W16" s="306"/>
      <c r="X16" s="306"/>
      <c r="Y16" s="306"/>
      <c r="Z16" s="306"/>
      <c r="AA16" s="306"/>
      <c r="AB16" s="306">
        <v>57348.264999999999</v>
      </c>
      <c r="AC16" s="306"/>
      <c r="AD16" s="306">
        <v>57348.264999999999</v>
      </c>
      <c r="AE16" s="306"/>
    </row>
    <row r="17" spans="1:31">
      <c r="B17" s="105" t="s">
        <v>39</v>
      </c>
      <c r="C17" s="304"/>
      <c r="D17" s="304"/>
      <c r="E17" s="304"/>
      <c r="F17" s="304"/>
      <c r="G17" s="304"/>
      <c r="H17" s="304"/>
      <c r="I17" s="304"/>
      <c r="J17" s="304"/>
      <c r="K17" s="304"/>
      <c r="L17" s="304">
        <v>57348.264999999999</v>
      </c>
      <c r="M17" s="304"/>
      <c r="N17" s="304"/>
      <c r="O17" s="304">
        <v>57348.264999999999</v>
      </c>
      <c r="P17" s="304" t="s">
        <v>211</v>
      </c>
      <c r="Q17" s="105" t="s">
        <v>744</v>
      </c>
      <c r="S17" s="46" t="s">
        <v>51</v>
      </c>
      <c r="T17" s="306"/>
      <c r="U17" s="306"/>
      <c r="V17" s="306"/>
      <c r="W17" s="306"/>
      <c r="X17" s="306"/>
      <c r="Y17" s="306">
        <v>4614.2169999999996</v>
      </c>
      <c r="Z17" s="306">
        <v>4323.5050000000001</v>
      </c>
      <c r="AA17" s="306"/>
      <c r="AB17" s="306"/>
      <c r="AC17" s="306"/>
      <c r="AD17" s="306">
        <v>8937.7219999999998</v>
      </c>
      <c r="AE17" s="306"/>
    </row>
    <row r="18" spans="1:31">
      <c r="B18" s="105" t="s">
        <v>51</v>
      </c>
      <c r="C18" s="304"/>
      <c r="D18" s="304"/>
      <c r="E18" s="304"/>
      <c r="F18" s="304"/>
      <c r="G18" s="304"/>
      <c r="H18" s="304"/>
      <c r="I18" s="304">
        <v>4614.2169999999996</v>
      </c>
      <c r="J18" s="304">
        <v>4323.5050000000001</v>
      </c>
      <c r="K18" s="304"/>
      <c r="L18" s="304"/>
      <c r="M18" s="304"/>
      <c r="N18" s="304"/>
      <c r="O18" s="304">
        <v>8937.7219999999998</v>
      </c>
      <c r="P18" s="304" t="s">
        <v>211</v>
      </c>
      <c r="Q18" s="105" t="s">
        <v>744</v>
      </c>
      <c r="S18" s="46" t="s">
        <v>63</v>
      </c>
      <c r="T18" s="306"/>
      <c r="U18" s="306"/>
      <c r="V18" s="306"/>
      <c r="W18" s="306"/>
      <c r="X18" s="306"/>
      <c r="Y18" s="306"/>
      <c r="Z18" s="306"/>
      <c r="AA18" s="306"/>
      <c r="AB18" s="306">
        <v>14809.306</v>
      </c>
      <c r="AC18" s="306"/>
      <c r="AD18" s="306">
        <v>14809.306</v>
      </c>
      <c r="AE18" s="306"/>
    </row>
    <row r="19" spans="1:31">
      <c r="B19" s="105" t="s">
        <v>63</v>
      </c>
      <c r="C19" s="304"/>
      <c r="D19" s="304"/>
      <c r="E19" s="304"/>
      <c r="F19" s="304"/>
      <c r="G19" s="304"/>
      <c r="H19" s="304"/>
      <c r="I19" s="304"/>
      <c r="J19" s="304"/>
      <c r="K19" s="304"/>
      <c r="L19" s="304">
        <v>14809.306</v>
      </c>
      <c r="M19" s="304"/>
      <c r="N19" s="304"/>
      <c r="O19" s="304">
        <v>14809.306</v>
      </c>
      <c r="P19" s="304" t="s">
        <v>211</v>
      </c>
      <c r="Q19" s="105" t="s">
        <v>744</v>
      </c>
      <c r="S19" s="46" t="s">
        <v>25</v>
      </c>
      <c r="T19" s="306"/>
      <c r="U19" s="306"/>
      <c r="V19" s="306"/>
      <c r="W19" s="306"/>
      <c r="X19" s="306"/>
      <c r="Y19" s="306"/>
      <c r="Z19" s="306"/>
      <c r="AA19" s="306"/>
      <c r="AB19" s="306">
        <v>7799.7110000000002</v>
      </c>
      <c r="AC19" s="306"/>
      <c r="AD19" s="306">
        <v>7799.7110000000002</v>
      </c>
      <c r="AE19" s="306"/>
    </row>
    <row r="20" spans="1:31">
      <c r="B20" s="105" t="s">
        <v>25</v>
      </c>
      <c r="C20" s="304"/>
      <c r="D20" s="304"/>
      <c r="E20" s="304"/>
      <c r="F20" s="304"/>
      <c r="G20" s="304"/>
      <c r="H20" s="304"/>
      <c r="I20" s="304"/>
      <c r="J20" s="304"/>
      <c r="K20" s="304"/>
      <c r="L20" s="304">
        <v>7799.7110000000002</v>
      </c>
      <c r="M20" s="304"/>
      <c r="N20" s="304"/>
      <c r="O20" s="304">
        <v>7799.7110000000002</v>
      </c>
      <c r="P20" s="304" t="s">
        <v>211</v>
      </c>
      <c r="Q20" s="105" t="s">
        <v>744</v>
      </c>
      <c r="S20" s="46" t="s">
        <v>713</v>
      </c>
      <c r="T20" s="306"/>
      <c r="U20" s="306"/>
      <c r="V20" s="306">
        <v>96926.324999999997</v>
      </c>
      <c r="W20" s="306"/>
      <c r="X20" s="306">
        <v>147808.848</v>
      </c>
      <c r="Y20" s="306">
        <v>96846.153999999995</v>
      </c>
      <c r="Z20" s="306"/>
      <c r="AA20" s="306">
        <v>97694.835000000006</v>
      </c>
      <c r="AB20" s="306"/>
      <c r="AC20" s="306">
        <v>96719.077000000005</v>
      </c>
      <c r="AD20" s="306">
        <v>535995.23900000006</v>
      </c>
      <c r="AE20" s="306"/>
    </row>
    <row r="21" spans="1:31">
      <c r="B21" s="105" t="s">
        <v>713</v>
      </c>
      <c r="C21" s="304"/>
      <c r="D21" s="304"/>
      <c r="E21" s="304">
        <v>96926.324999999997</v>
      </c>
      <c r="F21" s="304"/>
      <c r="G21" s="304"/>
      <c r="H21" s="304">
        <v>147808.848</v>
      </c>
      <c r="I21" s="304">
        <v>96846.153999999995</v>
      </c>
      <c r="J21" s="304"/>
      <c r="K21" s="304">
        <v>97694.835000000006</v>
      </c>
      <c r="L21" s="304"/>
      <c r="M21" s="304">
        <v>96719.077000000005</v>
      </c>
      <c r="N21" s="304"/>
      <c r="O21" s="304">
        <v>535995.23900000006</v>
      </c>
      <c r="P21" s="304" t="s">
        <v>211</v>
      </c>
      <c r="Q21" s="105" t="s">
        <v>744</v>
      </c>
      <c r="S21" s="46" t="s">
        <v>23</v>
      </c>
      <c r="T21" s="306">
        <v>4719.2740000000003</v>
      </c>
      <c r="U21" s="306">
        <v>34066.163</v>
      </c>
      <c r="V21" s="306">
        <v>118709.70299999999</v>
      </c>
      <c r="W21" s="306">
        <v>77065.267999999996</v>
      </c>
      <c r="X21" s="306">
        <v>149650.40299999999</v>
      </c>
      <c r="Y21" s="306">
        <v>120289.664</v>
      </c>
      <c r="Z21" s="306">
        <v>8593.4030000000002</v>
      </c>
      <c r="AA21" s="306">
        <v>103420.861</v>
      </c>
      <c r="AB21" s="306">
        <v>99205.039000000004</v>
      </c>
      <c r="AC21" s="306">
        <v>166291.06099999999</v>
      </c>
      <c r="AD21" s="306">
        <v>882010.83899999992</v>
      </c>
      <c r="AE21" s="306"/>
    </row>
    <row r="22" spans="1:31">
      <c r="B22" s="105" t="s">
        <v>23</v>
      </c>
      <c r="C22" s="304">
        <v>4719.2740000000003</v>
      </c>
      <c r="D22" s="304">
        <v>34066.163</v>
      </c>
      <c r="E22" s="304">
        <v>118709.70299999999</v>
      </c>
      <c r="F22" s="304">
        <v>77065.267999999996</v>
      </c>
      <c r="G22" s="304"/>
      <c r="H22" s="304">
        <v>149650.40299999999</v>
      </c>
      <c r="I22" s="304">
        <v>120289.664</v>
      </c>
      <c r="J22" s="304">
        <v>8593.4030000000002</v>
      </c>
      <c r="K22" s="304">
        <v>103420.861</v>
      </c>
      <c r="L22" s="304">
        <v>99205.039000000004</v>
      </c>
      <c r="M22" s="304">
        <v>166291.06099999999</v>
      </c>
      <c r="N22" s="304"/>
      <c r="O22" s="304">
        <v>882010.83899999992</v>
      </c>
      <c r="P22" s="304" t="s">
        <v>210</v>
      </c>
      <c r="Q22" s="105" t="s">
        <v>744</v>
      </c>
      <c r="S22" s="46" t="s">
        <v>732</v>
      </c>
      <c r="T22" s="306">
        <v>9438.5480000000007</v>
      </c>
      <c r="U22" s="306">
        <v>68132.326000000001</v>
      </c>
      <c r="V22" s="306">
        <v>237419.40499999997</v>
      </c>
      <c r="W22" s="306">
        <v>154130.53499999997</v>
      </c>
      <c r="X22" s="306">
        <v>299300.80700000003</v>
      </c>
      <c r="Y22" s="306">
        <v>240579.32799999998</v>
      </c>
      <c r="Z22" s="306">
        <v>17186.806</v>
      </c>
      <c r="AA22" s="306">
        <v>206841.72200000001</v>
      </c>
      <c r="AB22" s="306">
        <v>198410.07799999998</v>
      </c>
      <c r="AC22" s="306">
        <v>332582.12199999997</v>
      </c>
      <c r="AD22" s="306">
        <v>1764021.6769999999</v>
      </c>
      <c r="AE22" s="306"/>
    </row>
    <row r="23" spans="1:31">
      <c r="B23" s="107" t="s">
        <v>732</v>
      </c>
      <c r="C23" s="305">
        <v>9438.5480000000007</v>
      </c>
      <c r="D23" s="305">
        <v>68132.326000000001</v>
      </c>
      <c r="E23" s="305">
        <v>237419.40499999997</v>
      </c>
      <c r="F23" s="305">
        <v>154130.53499999997</v>
      </c>
      <c r="G23" s="305"/>
      <c r="H23" s="305">
        <v>299300.80700000003</v>
      </c>
      <c r="I23" s="305">
        <v>240579.32799999998</v>
      </c>
      <c r="J23" s="305">
        <v>17186.806</v>
      </c>
      <c r="K23" s="305">
        <v>206841.72200000001</v>
      </c>
      <c r="L23" s="305">
        <v>198410.07799999998</v>
      </c>
      <c r="M23" s="305">
        <v>332582.12199999997</v>
      </c>
      <c r="N23" s="305"/>
      <c r="O23" s="305">
        <v>1764021.6769999999</v>
      </c>
      <c r="P23" s="304"/>
      <c r="Q23" s="105"/>
    </row>
    <row r="24" spans="1:31">
      <c r="C24" s="306"/>
      <c r="D24" s="306"/>
      <c r="E24" s="306"/>
      <c r="F24" s="306"/>
      <c r="G24" s="306"/>
      <c r="H24" s="306"/>
      <c r="I24" s="306"/>
      <c r="J24" s="306"/>
      <c r="K24" s="306"/>
      <c r="L24" s="306"/>
      <c r="M24" s="306"/>
      <c r="N24" s="306"/>
      <c r="O24" s="306"/>
      <c r="P24" s="306"/>
    </row>
    <row r="25" spans="1:31">
      <c r="C25" s="306"/>
      <c r="D25" s="306"/>
      <c r="E25" s="306"/>
      <c r="F25" s="306"/>
      <c r="G25" s="306"/>
      <c r="H25" s="306"/>
      <c r="I25" s="306"/>
      <c r="J25" s="306"/>
      <c r="K25" s="306"/>
      <c r="L25" s="306"/>
      <c r="M25" s="306"/>
      <c r="N25" s="306"/>
      <c r="O25" s="306"/>
      <c r="P25" s="306"/>
    </row>
    <row r="26" spans="1:31">
      <c r="A26" s="99" t="s">
        <v>741</v>
      </c>
      <c r="B26" s="99" t="s">
        <v>46</v>
      </c>
      <c r="C26" s="306"/>
      <c r="D26" s="306"/>
      <c r="E26" s="306"/>
      <c r="F26" s="306"/>
      <c r="G26" s="306"/>
      <c r="H26" s="306"/>
      <c r="I26" s="306"/>
      <c r="J26" s="306"/>
      <c r="K26" s="306"/>
      <c r="L26" s="306"/>
      <c r="M26" s="306"/>
      <c r="N26" s="306"/>
      <c r="O26" s="306"/>
      <c r="P26" s="306"/>
    </row>
    <row r="27" spans="1:31">
      <c r="B27" s="29" t="s">
        <v>47</v>
      </c>
      <c r="S27" s="100" t="s">
        <v>626</v>
      </c>
      <c r="T27" s="46" t="s">
        <v>57</v>
      </c>
    </row>
    <row r="29" spans="1:31">
      <c r="B29" s="105"/>
      <c r="C29" s="324">
        <v>2023</v>
      </c>
      <c r="D29" s="324"/>
      <c r="E29" s="324"/>
      <c r="F29" s="324"/>
      <c r="G29" s="324"/>
      <c r="H29" s="324"/>
      <c r="I29" s="324">
        <v>2024</v>
      </c>
      <c r="J29" s="324"/>
      <c r="K29" s="324"/>
      <c r="L29" s="324"/>
      <c r="M29" s="324"/>
      <c r="N29" s="324"/>
      <c r="O29" s="112" t="s">
        <v>732</v>
      </c>
      <c r="P29" s="320" t="s">
        <v>209</v>
      </c>
      <c r="Q29" s="320" t="s">
        <v>155</v>
      </c>
      <c r="S29" s="100" t="s">
        <v>734</v>
      </c>
      <c r="T29" s="100" t="s">
        <v>621</v>
      </c>
      <c r="U29" s="100" t="s">
        <v>622</v>
      </c>
    </row>
    <row r="30" spans="1:31">
      <c r="B30" s="105" t="s">
        <v>631</v>
      </c>
      <c r="C30" s="113">
        <v>7</v>
      </c>
      <c r="D30" s="113">
        <v>8</v>
      </c>
      <c r="E30" s="113">
        <v>9</v>
      </c>
      <c r="F30" s="113">
        <v>10</v>
      </c>
      <c r="G30" s="113">
        <v>11</v>
      </c>
      <c r="H30" s="113">
        <v>12</v>
      </c>
      <c r="I30" s="113">
        <v>1</v>
      </c>
      <c r="J30" s="113">
        <v>2</v>
      </c>
      <c r="K30" s="113">
        <v>3</v>
      </c>
      <c r="L30" s="113">
        <v>4</v>
      </c>
      <c r="M30" s="113">
        <v>5</v>
      </c>
      <c r="N30" s="113">
        <v>6</v>
      </c>
      <c r="O30" s="113"/>
      <c r="P30" s="320"/>
      <c r="Q30" s="320"/>
      <c r="T30" s="46">
        <v>2023</v>
      </c>
      <c r="Y30" s="46">
        <v>2024</v>
      </c>
      <c r="AD30" s="46" t="s">
        <v>732</v>
      </c>
    </row>
    <row r="31" spans="1:31">
      <c r="B31" s="105" t="s">
        <v>29</v>
      </c>
      <c r="C31" s="106">
        <v>2738</v>
      </c>
      <c r="D31" s="106">
        <v>331.387</v>
      </c>
      <c r="E31" s="106">
        <v>9333.86</v>
      </c>
      <c r="F31" s="106">
        <v>591.85699999999997</v>
      </c>
      <c r="G31" s="105"/>
      <c r="H31" s="106"/>
      <c r="I31" s="106"/>
      <c r="J31" s="106">
        <v>2033.393</v>
      </c>
      <c r="K31" s="106">
        <v>3322.0909999999999</v>
      </c>
      <c r="L31" s="106"/>
      <c r="M31" s="106">
        <v>12680.434999999999</v>
      </c>
      <c r="N31" s="105"/>
      <c r="O31" s="106">
        <v>31031.023000000001</v>
      </c>
      <c r="P31" s="105" t="str">
        <f>VLOOKUP(B31,$B$13:$P$22,15,0)</f>
        <v>Exclude</v>
      </c>
      <c r="Q31" s="105" t="s">
        <v>743</v>
      </c>
      <c r="S31" s="100" t="s">
        <v>631</v>
      </c>
      <c r="T31" s="46">
        <v>7</v>
      </c>
      <c r="U31" s="46">
        <v>8</v>
      </c>
      <c r="V31" s="46">
        <v>9</v>
      </c>
      <c r="W31" s="46">
        <v>10</v>
      </c>
      <c r="X31" s="46">
        <v>12</v>
      </c>
      <c r="Y31" s="46">
        <v>1</v>
      </c>
      <c r="Z31" s="46">
        <v>2</v>
      </c>
      <c r="AA31" s="46">
        <v>3</v>
      </c>
      <c r="AB31" s="46">
        <v>4</v>
      </c>
      <c r="AC31" s="46">
        <v>5</v>
      </c>
    </row>
    <row r="32" spans="1:31">
      <c r="B32" s="105" t="s">
        <v>990</v>
      </c>
      <c r="C32" s="106"/>
      <c r="D32" s="106">
        <v>8508.6479999999992</v>
      </c>
      <c r="E32" s="106">
        <v>3304.2890000000002</v>
      </c>
      <c r="F32" s="106">
        <v>16808.741000000002</v>
      </c>
      <c r="G32" s="105"/>
      <c r="H32" s="106"/>
      <c r="I32" s="106"/>
      <c r="J32" s="106"/>
      <c r="K32" s="106"/>
      <c r="L32" s="106"/>
      <c r="M32" s="106"/>
      <c r="N32" s="105"/>
      <c r="O32" s="106">
        <v>28621.678</v>
      </c>
      <c r="P32" s="105" t="str">
        <f t="shared" ref="P32:P40" si="0">VLOOKUP(B32,$B$13:$P$22,15,0)</f>
        <v>Exclude</v>
      </c>
      <c r="Q32" s="105" t="s">
        <v>743</v>
      </c>
      <c r="S32" s="46" t="s">
        <v>29</v>
      </c>
      <c r="T32" s="101">
        <v>2738</v>
      </c>
      <c r="U32" s="101">
        <v>331.387</v>
      </c>
      <c r="V32" s="101">
        <v>9333.86</v>
      </c>
      <c r="W32" s="101">
        <v>591.85699999999997</v>
      </c>
      <c r="X32" s="101"/>
      <c r="Y32" s="101"/>
      <c r="Z32" s="101">
        <v>2033.393</v>
      </c>
      <c r="AA32" s="101">
        <v>3322.0909999999999</v>
      </c>
      <c r="AB32" s="101"/>
      <c r="AC32" s="101">
        <v>12680.434999999999</v>
      </c>
      <c r="AD32" s="101">
        <v>31031.023000000001</v>
      </c>
    </row>
    <row r="33" spans="1:48">
      <c r="B33" s="105" t="s">
        <v>30</v>
      </c>
      <c r="C33" s="106"/>
      <c r="D33" s="106"/>
      <c r="E33" s="106"/>
      <c r="F33" s="106"/>
      <c r="G33" s="105"/>
      <c r="H33" s="106"/>
      <c r="I33" s="106"/>
      <c r="J33" s="106">
        <v>443.89100000000002</v>
      </c>
      <c r="K33" s="106"/>
      <c r="L33" s="106"/>
      <c r="M33" s="106">
        <v>5834.8810000000003</v>
      </c>
      <c r="N33" s="105"/>
      <c r="O33" s="106">
        <v>6278.7719999999999</v>
      </c>
      <c r="P33" s="105" t="str">
        <f t="shared" si="0"/>
        <v>Include</v>
      </c>
      <c r="Q33" s="105" t="s">
        <v>743</v>
      </c>
      <c r="S33" s="46" t="s">
        <v>990</v>
      </c>
      <c r="T33" s="101"/>
      <c r="U33" s="101">
        <v>8508.6479999999992</v>
      </c>
      <c r="V33" s="101">
        <v>3304.2890000000002</v>
      </c>
      <c r="W33" s="101">
        <v>16808.741000000002</v>
      </c>
      <c r="X33" s="101"/>
      <c r="Y33" s="101"/>
      <c r="Z33" s="101"/>
      <c r="AA33" s="101"/>
      <c r="AB33" s="101"/>
      <c r="AC33" s="101"/>
      <c r="AD33" s="101">
        <v>28621.678</v>
      </c>
    </row>
    <row r="34" spans="1:48">
      <c r="B34" s="105" t="s">
        <v>0</v>
      </c>
      <c r="C34" s="106"/>
      <c r="D34" s="106">
        <v>10924.267</v>
      </c>
      <c r="E34" s="106"/>
      <c r="F34" s="106">
        <v>27310.667000000001</v>
      </c>
      <c r="G34" s="105"/>
      <c r="H34" s="106">
        <v>1068.423</v>
      </c>
      <c r="I34" s="106">
        <v>10924.267</v>
      </c>
      <c r="J34" s="106"/>
      <c r="K34" s="106"/>
      <c r="L34" s="106">
        <v>11167.048000000001</v>
      </c>
      <c r="M34" s="106">
        <v>21848.541000000001</v>
      </c>
      <c r="N34" s="105"/>
      <c r="O34" s="106">
        <v>83243.213000000003</v>
      </c>
      <c r="P34" s="105" t="str">
        <f t="shared" si="0"/>
        <v>Include</v>
      </c>
      <c r="Q34" s="105" t="s">
        <v>743</v>
      </c>
      <c r="S34" s="46" t="s">
        <v>30</v>
      </c>
      <c r="T34" s="101"/>
      <c r="U34" s="101"/>
      <c r="V34" s="101"/>
      <c r="W34" s="101"/>
      <c r="X34" s="101"/>
      <c r="Y34" s="101"/>
      <c r="Z34" s="101">
        <v>443.89100000000002</v>
      </c>
      <c r="AA34" s="101"/>
      <c r="AB34" s="101"/>
      <c r="AC34" s="101">
        <v>5834.8810000000003</v>
      </c>
      <c r="AD34" s="101">
        <v>6278.7719999999999</v>
      </c>
    </row>
    <row r="35" spans="1:48">
      <c r="B35" s="105" t="s">
        <v>39</v>
      </c>
      <c r="C35" s="106"/>
      <c r="D35" s="106"/>
      <c r="E35" s="106"/>
      <c r="F35" s="106"/>
      <c r="G35" s="105"/>
      <c r="H35" s="106"/>
      <c r="I35" s="106"/>
      <c r="J35" s="106"/>
      <c r="K35" s="106"/>
      <c r="L35" s="106">
        <v>33271.972999999998</v>
      </c>
      <c r="M35" s="106"/>
      <c r="N35" s="105"/>
      <c r="O35" s="106">
        <v>33271.972999999998</v>
      </c>
      <c r="P35" s="105" t="str">
        <f t="shared" si="0"/>
        <v>Include</v>
      </c>
      <c r="Q35" s="105" t="s">
        <v>743</v>
      </c>
      <c r="S35" s="46" t="s">
        <v>0</v>
      </c>
      <c r="T35" s="101"/>
      <c r="U35" s="101">
        <v>10924.267</v>
      </c>
      <c r="V35" s="101"/>
      <c r="W35" s="101">
        <v>27310.667000000001</v>
      </c>
      <c r="X35" s="101">
        <v>1068.423</v>
      </c>
      <c r="Y35" s="101">
        <v>10924.267</v>
      </c>
      <c r="Z35" s="101"/>
      <c r="AA35" s="101"/>
      <c r="AB35" s="101">
        <v>11167.048000000001</v>
      </c>
      <c r="AC35" s="101">
        <v>21848.541000000001</v>
      </c>
      <c r="AD35" s="101">
        <v>83243.213000000003</v>
      </c>
    </row>
    <row r="36" spans="1:48">
      <c r="B36" s="105" t="s">
        <v>51</v>
      </c>
      <c r="C36" s="106"/>
      <c r="D36" s="106"/>
      <c r="E36" s="106"/>
      <c r="F36" s="106"/>
      <c r="G36" s="105"/>
      <c r="H36" s="106"/>
      <c r="I36" s="106">
        <v>2677.049</v>
      </c>
      <c r="J36" s="106">
        <v>2508.3850000000002</v>
      </c>
      <c r="K36" s="106"/>
      <c r="L36" s="106"/>
      <c r="M36" s="106"/>
      <c r="N36" s="105"/>
      <c r="O36" s="106">
        <v>5185.4340000000002</v>
      </c>
      <c r="P36" s="105" t="str">
        <f t="shared" si="0"/>
        <v>Include</v>
      </c>
      <c r="Q36" s="105" t="s">
        <v>743</v>
      </c>
      <c r="S36" s="46" t="s">
        <v>39</v>
      </c>
      <c r="T36" s="101"/>
      <c r="U36" s="101"/>
      <c r="V36" s="101"/>
      <c r="W36" s="101"/>
      <c r="X36" s="101"/>
      <c r="Y36" s="101"/>
      <c r="Z36" s="101"/>
      <c r="AA36" s="101"/>
      <c r="AB36" s="101">
        <v>33271.972999999998</v>
      </c>
      <c r="AC36" s="101"/>
      <c r="AD36" s="101">
        <v>33271.972999999998</v>
      </c>
    </row>
    <row r="37" spans="1:48">
      <c r="B37" s="105" t="s">
        <v>63</v>
      </c>
      <c r="C37" s="106"/>
      <c r="D37" s="106"/>
      <c r="E37" s="106"/>
      <c r="F37" s="106"/>
      <c r="G37" s="105"/>
      <c r="H37" s="106"/>
      <c r="I37" s="106"/>
      <c r="J37" s="106"/>
      <c r="K37" s="106"/>
      <c r="L37" s="106">
        <v>8591.9750000000004</v>
      </c>
      <c r="M37" s="106"/>
      <c r="N37" s="105"/>
      <c r="O37" s="106">
        <v>8591.9750000000004</v>
      </c>
      <c r="P37" s="105" t="str">
        <f t="shared" si="0"/>
        <v>Include</v>
      </c>
      <c r="Q37" s="105" t="s">
        <v>743</v>
      </c>
      <c r="S37" s="46" t="s">
        <v>51</v>
      </c>
      <c r="T37" s="101"/>
      <c r="U37" s="101"/>
      <c r="V37" s="101"/>
      <c r="W37" s="101"/>
      <c r="X37" s="101"/>
      <c r="Y37" s="101">
        <v>2677.049</v>
      </c>
      <c r="Z37" s="101">
        <v>2508.3850000000002</v>
      </c>
      <c r="AA37" s="101"/>
      <c r="AB37" s="101"/>
      <c r="AC37" s="101"/>
      <c r="AD37" s="101">
        <v>5185.4340000000002</v>
      </c>
    </row>
    <row r="38" spans="1:48">
      <c r="B38" s="105" t="s">
        <v>25</v>
      </c>
      <c r="C38" s="106"/>
      <c r="D38" s="106"/>
      <c r="E38" s="106"/>
      <c r="F38" s="106"/>
      <c r="G38" s="105"/>
      <c r="H38" s="106"/>
      <c r="I38" s="106"/>
      <c r="J38" s="106"/>
      <c r="K38" s="106"/>
      <c r="L38" s="106">
        <v>4525.1899999999996</v>
      </c>
      <c r="M38" s="106"/>
      <c r="N38" s="105"/>
      <c r="O38" s="106">
        <v>4525.1899999999996</v>
      </c>
      <c r="P38" s="105" t="str">
        <f t="shared" si="0"/>
        <v>Include</v>
      </c>
      <c r="Q38" s="105" t="s">
        <v>743</v>
      </c>
      <c r="S38" s="46" t="s">
        <v>63</v>
      </c>
      <c r="T38" s="101"/>
      <c r="U38" s="101"/>
      <c r="V38" s="101"/>
      <c r="W38" s="101"/>
      <c r="X38" s="101"/>
      <c r="Y38" s="101"/>
      <c r="Z38" s="101"/>
      <c r="AA38" s="101"/>
      <c r="AB38" s="101">
        <v>8591.9750000000004</v>
      </c>
      <c r="AC38" s="101"/>
      <c r="AD38" s="101">
        <v>8591.9750000000004</v>
      </c>
    </row>
    <row r="39" spans="1:48">
      <c r="B39" s="105" t="s">
        <v>713</v>
      </c>
      <c r="C39" s="106"/>
      <c r="D39" s="106"/>
      <c r="E39" s="106">
        <v>56234.135000000002</v>
      </c>
      <c r="F39" s="106"/>
      <c r="G39" s="105"/>
      <c r="H39" s="106">
        <v>85754.851999999999</v>
      </c>
      <c r="I39" s="106">
        <v>56187.620999999999</v>
      </c>
      <c r="J39" s="106"/>
      <c r="K39" s="106">
        <v>56680.004000000001</v>
      </c>
      <c r="L39" s="106"/>
      <c r="M39" s="106">
        <v>56113.894999999997</v>
      </c>
      <c r="N39" s="105"/>
      <c r="O39" s="106">
        <v>310970.50700000004</v>
      </c>
      <c r="P39" s="105" t="str">
        <f t="shared" si="0"/>
        <v>Include</v>
      </c>
      <c r="Q39" s="105" t="s">
        <v>743</v>
      </c>
      <c r="S39" s="46" t="s">
        <v>25</v>
      </c>
      <c r="T39" s="101"/>
      <c r="U39" s="101"/>
      <c r="V39" s="101"/>
      <c r="W39" s="101"/>
      <c r="X39" s="101"/>
      <c r="Y39" s="101"/>
      <c r="Z39" s="101"/>
      <c r="AA39" s="101"/>
      <c r="AB39" s="101">
        <v>4525.1899999999996</v>
      </c>
      <c r="AC39" s="101"/>
      <c r="AD39" s="101">
        <v>4525.1899999999996</v>
      </c>
    </row>
    <row r="40" spans="1:48">
      <c r="B40" s="105" t="s">
        <v>23</v>
      </c>
      <c r="C40" s="106">
        <v>2738</v>
      </c>
      <c r="D40" s="106">
        <v>19764.302</v>
      </c>
      <c r="E40" s="106">
        <v>68872.284</v>
      </c>
      <c r="F40" s="106">
        <v>44711.264999999999</v>
      </c>
      <c r="G40" s="105"/>
      <c r="H40" s="106">
        <v>86823.274000000005</v>
      </c>
      <c r="I40" s="106">
        <v>69788.937000000005</v>
      </c>
      <c r="J40" s="106">
        <v>4985.6689999999999</v>
      </c>
      <c r="K40" s="106">
        <v>60002.095000000001</v>
      </c>
      <c r="L40" s="106">
        <v>57556.184999999998</v>
      </c>
      <c r="M40" s="106">
        <v>96477.751000000004</v>
      </c>
      <c r="N40" s="105"/>
      <c r="O40" s="106">
        <v>511719.76199999999</v>
      </c>
      <c r="P40" s="105" t="str">
        <f t="shared" si="0"/>
        <v>Exclude</v>
      </c>
      <c r="Q40" s="105" t="s">
        <v>743</v>
      </c>
      <c r="S40" s="46" t="s">
        <v>713</v>
      </c>
      <c r="T40" s="101"/>
      <c r="U40" s="101"/>
      <c r="V40" s="101">
        <v>56234.135000000002</v>
      </c>
      <c r="W40" s="101"/>
      <c r="X40" s="101">
        <v>85754.851999999999</v>
      </c>
      <c r="Y40" s="101">
        <v>56187.620999999999</v>
      </c>
      <c r="Z40" s="101"/>
      <c r="AA40" s="101">
        <v>56680.004000000001</v>
      </c>
      <c r="AB40" s="101"/>
      <c r="AC40" s="101">
        <v>56113.894999999997</v>
      </c>
      <c r="AD40" s="101">
        <v>310970.50700000004</v>
      </c>
    </row>
    <row r="41" spans="1:48">
      <c r="B41" s="107" t="s">
        <v>732</v>
      </c>
      <c r="C41" s="110">
        <v>5476</v>
      </c>
      <c r="D41" s="110">
        <v>39528.603999999999</v>
      </c>
      <c r="E41" s="110">
        <v>137744.568</v>
      </c>
      <c r="F41" s="110">
        <v>89422.53</v>
      </c>
      <c r="G41" s="107"/>
      <c r="H41" s="110">
        <v>173646.549</v>
      </c>
      <c r="I41" s="110">
        <v>139577.87400000001</v>
      </c>
      <c r="J41" s="110">
        <v>9971.3379999999997</v>
      </c>
      <c r="K41" s="110">
        <v>120004.19</v>
      </c>
      <c r="L41" s="110">
        <v>115112.371</v>
      </c>
      <c r="M41" s="110">
        <v>192955.50300000003</v>
      </c>
      <c r="N41" s="107"/>
      <c r="O41" s="110">
        <v>1023439.527</v>
      </c>
      <c r="P41" s="105"/>
      <c r="Q41" s="105"/>
      <c r="S41" s="46" t="s">
        <v>23</v>
      </c>
      <c r="T41" s="101">
        <v>2738</v>
      </c>
      <c r="U41" s="101">
        <v>19764.302</v>
      </c>
      <c r="V41" s="101">
        <v>68872.284</v>
      </c>
      <c r="W41" s="101">
        <v>44711.264999999999</v>
      </c>
      <c r="X41" s="101">
        <v>86823.274000000005</v>
      </c>
      <c r="Y41" s="101">
        <v>69788.937000000005</v>
      </c>
      <c r="Z41" s="101">
        <v>4985.6689999999999</v>
      </c>
      <c r="AA41" s="101">
        <v>60002.095000000001</v>
      </c>
      <c r="AB41" s="101">
        <v>57556.184999999998</v>
      </c>
      <c r="AC41" s="101">
        <v>96477.751000000004</v>
      </c>
      <c r="AD41" s="101">
        <v>511719.76199999999</v>
      </c>
    </row>
    <row r="42" spans="1:48">
      <c r="S42" s="46" t="s">
        <v>732</v>
      </c>
      <c r="T42" s="101">
        <v>5476</v>
      </c>
      <c r="U42" s="101">
        <v>39528.603999999999</v>
      </c>
      <c r="V42" s="101">
        <v>137744.568</v>
      </c>
      <c r="W42" s="101">
        <v>89422.53</v>
      </c>
      <c r="X42" s="101">
        <v>173646.549</v>
      </c>
      <c r="Y42" s="101">
        <v>139577.87400000001</v>
      </c>
      <c r="Z42" s="101">
        <v>9971.3379999999997</v>
      </c>
      <c r="AA42" s="101">
        <v>120004.19</v>
      </c>
      <c r="AB42" s="101">
        <v>115112.371</v>
      </c>
      <c r="AC42" s="101">
        <v>192955.50300000003</v>
      </c>
      <c r="AD42" s="101">
        <v>1023439.527</v>
      </c>
    </row>
    <row r="45" spans="1:48" s="121" customFormat="1" ht="9" customHeight="1"/>
    <row r="46" spans="1:48" ht="27">
      <c r="B46" s="303" t="s">
        <v>742</v>
      </c>
      <c r="L46" s="102" t="s">
        <v>730</v>
      </c>
      <c r="O46" s="102" t="s">
        <v>731</v>
      </c>
      <c r="AG46" s="102" t="s">
        <v>729</v>
      </c>
      <c r="AS46" s="102" t="s">
        <v>728</v>
      </c>
    </row>
    <row r="47" spans="1:48" s="108" customFormat="1" ht="54">
      <c r="A47" s="102" t="s">
        <v>727</v>
      </c>
      <c r="B47" s="102" t="s">
        <v>618</v>
      </c>
      <c r="C47" s="102" t="s">
        <v>619</v>
      </c>
      <c r="D47" s="102" t="s">
        <v>620</v>
      </c>
      <c r="E47" s="102" t="s">
        <v>621</v>
      </c>
      <c r="F47" s="102" t="s">
        <v>622</v>
      </c>
      <c r="G47" s="102" t="s">
        <v>623</v>
      </c>
      <c r="H47" s="102" t="s">
        <v>624</v>
      </c>
      <c r="I47" s="102" t="s">
        <v>625</v>
      </c>
      <c r="J47" s="102" t="s">
        <v>626</v>
      </c>
      <c r="K47" s="102" t="s">
        <v>627</v>
      </c>
      <c r="L47" s="102" t="s">
        <v>628</v>
      </c>
      <c r="M47" s="102" t="s">
        <v>629</v>
      </c>
      <c r="N47" s="102" t="s">
        <v>630</v>
      </c>
      <c r="O47" s="102" t="s">
        <v>631</v>
      </c>
      <c r="P47" s="102" t="s">
        <v>632</v>
      </c>
      <c r="Q47" s="102" t="s">
        <v>633</v>
      </c>
      <c r="R47" s="102" t="s">
        <v>634</v>
      </c>
      <c r="S47" s="102" t="s">
        <v>635</v>
      </c>
      <c r="T47" s="102" t="s">
        <v>636</v>
      </c>
      <c r="U47" s="102" t="s">
        <v>637</v>
      </c>
      <c r="V47" s="102" t="s">
        <v>638</v>
      </c>
      <c r="W47" s="102" t="s">
        <v>639</v>
      </c>
      <c r="X47" s="102" t="s">
        <v>640</v>
      </c>
      <c r="Y47" s="102" t="s">
        <v>641</v>
      </c>
      <c r="Z47" s="102" t="s">
        <v>642</v>
      </c>
      <c r="AA47" s="102" t="s">
        <v>643</v>
      </c>
      <c r="AB47" s="102" t="s">
        <v>644</v>
      </c>
      <c r="AC47" s="102" t="s">
        <v>645</v>
      </c>
      <c r="AD47" s="102" t="s">
        <v>646</v>
      </c>
      <c r="AE47" s="102" t="s">
        <v>647</v>
      </c>
      <c r="AF47" s="102" t="s">
        <v>648</v>
      </c>
      <c r="AG47" s="102" t="s">
        <v>649</v>
      </c>
      <c r="AH47" s="102" t="s">
        <v>650</v>
      </c>
      <c r="AI47" s="102" t="s">
        <v>651</v>
      </c>
      <c r="AJ47" s="102" t="s">
        <v>652</v>
      </c>
      <c r="AK47" s="102" t="s">
        <v>653</v>
      </c>
      <c r="AL47" s="102" t="s">
        <v>654</v>
      </c>
      <c r="AM47" s="102" t="s">
        <v>655</v>
      </c>
      <c r="AN47" s="102" t="s">
        <v>656</v>
      </c>
      <c r="AO47" s="102" t="s">
        <v>657</v>
      </c>
      <c r="AP47" s="102" t="s">
        <v>658</v>
      </c>
      <c r="AQ47" s="102" t="s">
        <v>659</v>
      </c>
      <c r="AR47" s="102" t="s">
        <v>660</v>
      </c>
      <c r="AS47" s="102" t="s">
        <v>661</v>
      </c>
      <c r="AT47" s="102" t="s">
        <v>662</v>
      </c>
      <c r="AU47" s="102" t="s">
        <v>663</v>
      </c>
      <c r="AV47" s="102" t="s">
        <v>664</v>
      </c>
    </row>
    <row r="48" spans="1:48">
      <c r="B48" s="46" t="s">
        <v>665</v>
      </c>
      <c r="C48" s="46" t="s">
        <v>666</v>
      </c>
      <c r="D48" s="46">
        <v>20240301</v>
      </c>
      <c r="E48" s="46">
        <v>2024</v>
      </c>
      <c r="F48" s="46">
        <v>3</v>
      </c>
      <c r="G48" s="46" t="s">
        <v>692</v>
      </c>
      <c r="H48" s="46">
        <v>818</v>
      </c>
      <c r="I48" s="46" t="s">
        <v>668</v>
      </c>
      <c r="J48" s="46" t="s">
        <v>57</v>
      </c>
      <c r="K48" s="46" t="s">
        <v>666</v>
      </c>
      <c r="L48" s="46" t="s">
        <v>669</v>
      </c>
      <c r="M48" s="46">
        <v>0</v>
      </c>
      <c r="N48" s="46" t="s">
        <v>670</v>
      </c>
      <c r="O48" s="46" t="s">
        <v>23</v>
      </c>
      <c r="P48" s="46">
        <v>0</v>
      </c>
      <c r="Q48" s="46" t="s">
        <v>670</v>
      </c>
      <c r="R48" s="46" t="s">
        <v>23</v>
      </c>
      <c r="S48" s="46" t="s">
        <v>671</v>
      </c>
      <c r="T48" s="46" t="s">
        <v>672</v>
      </c>
      <c r="U48" s="46" t="b">
        <v>1</v>
      </c>
      <c r="V48" s="46" t="s">
        <v>1015</v>
      </c>
      <c r="W48" s="46" t="s">
        <v>1016</v>
      </c>
      <c r="X48" s="46">
        <v>6</v>
      </c>
      <c r="Y48" s="46" t="b">
        <v>1</v>
      </c>
      <c r="Z48" s="46" t="s">
        <v>675</v>
      </c>
      <c r="AA48" s="46" t="s">
        <v>676</v>
      </c>
      <c r="AB48" s="46" t="s">
        <v>677</v>
      </c>
      <c r="AC48" s="46">
        <v>0</v>
      </c>
      <c r="AD48" s="46" t="s">
        <v>678</v>
      </c>
      <c r="AE48" s="46">
        <v>8</v>
      </c>
      <c r="AF48" s="46" t="s">
        <v>679</v>
      </c>
      <c r="AG48" s="46">
        <v>103420.861</v>
      </c>
      <c r="AH48" s="46" t="b">
        <v>1</v>
      </c>
      <c r="AI48" s="46">
        <v>-1</v>
      </c>
      <c r="AJ48" s="46" t="s">
        <v>680</v>
      </c>
      <c r="AK48" s="46">
        <v>0</v>
      </c>
      <c r="AL48" s="46" t="b">
        <v>0</v>
      </c>
      <c r="AM48" s="46">
        <v>103420.861</v>
      </c>
      <c r="AN48" s="46" t="b">
        <v>1</v>
      </c>
      <c r="AO48" s="46">
        <v>0</v>
      </c>
      <c r="AP48" s="46" t="b">
        <v>0</v>
      </c>
      <c r="AQ48" s="46">
        <v>60002.095000000001</v>
      </c>
      <c r="AS48" s="46">
        <v>60002.095000000001</v>
      </c>
      <c r="AT48" s="46">
        <v>6</v>
      </c>
      <c r="AU48" s="46" t="b">
        <v>0</v>
      </c>
      <c r="AV48" s="46" t="b">
        <v>1</v>
      </c>
    </row>
    <row r="49" spans="2:48">
      <c r="B49" s="46" t="s">
        <v>665</v>
      </c>
      <c r="C49" s="46" t="s">
        <v>666</v>
      </c>
      <c r="D49" s="46">
        <v>20240401</v>
      </c>
      <c r="E49" s="46">
        <v>2024</v>
      </c>
      <c r="F49" s="46">
        <v>4</v>
      </c>
      <c r="G49" s="46" t="s">
        <v>695</v>
      </c>
      <c r="H49" s="46">
        <v>818</v>
      </c>
      <c r="I49" s="46" t="s">
        <v>668</v>
      </c>
      <c r="J49" s="46" t="s">
        <v>57</v>
      </c>
      <c r="K49" s="46" t="s">
        <v>666</v>
      </c>
      <c r="L49" s="46" t="s">
        <v>669</v>
      </c>
      <c r="M49" s="46">
        <v>0</v>
      </c>
      <c r="N49" s="46" t="s">
        <v>670</v>
      </c>
      <c r="O49" s="46" t="s">
        <v>23</v>
      </c>
      <c r="P49" s="46">
        <v>0</v>
      </c>
      <c r="Q49" s="46" t="s">
        <v>670</v>
      </c>
      <c r="R49" s="46" t="s">
        <v>23</v>
      </c>
      <c r="S49" s="46" t="s">
        <v>671</v>
      </c>
      <c r="T49" s="46" t="s">
        <v>672</v>
      </c>
      <c r="U49" s="46" t="b">
        <v>1</v>
      </c>
      <c r="V49" s="46" t="s">
        <v>1015</v>
      </c>
      <c r="W49" s="46" t="s">
        <v>1016</v>
      </c>
      <c r="X49" s="46">
        <v>6</v>
      </c>
      <c r="Y49" s="46" t="b">
        <v>1</v>
      </c>
      <c r="Z49" s="46" t="s">
        <v>675</v>
      </c>
      <c r="AA49" s="46" t="s">
        <v>676</v>
      </c>
      <c r="AB49" s="46" t="s">
        <v>677</v>
      </c>
      <c r="AC49" s="46">
        <v>0</v>
      </c>
      <c r="AD49" s="46" t="s">
        <v>678</v>
      </c>
      <c r="AE49" s="46">
        <v>8</v>
      </c>
      <c r="AF49" s="46" t="s">
        <v>679</v>
      </c>
      <c r="AG49" s="46">
        <v>99205.039000000004</v>
      </c>
      <c r="AH49" s="46" t="b">
        <v>1</v>
      </c>
      <c r="AI49" s="46">
        <v>-1</v>
      </c>
      <c r="AJ49" s="46" t="s">
        <v>680</v>
      </c>
      <c r="AK49" s="46">
        <v>0</v>
      </c>
      <c r="AL49" s="46" t="b">
        <v>0</v>
      </c>
      <c r="AM49" s="46">
        <v>99205.039000000004</v>
      </c>
      <c r="AN49" s="46" t="b">
        <v>1</v>
      </c>
      <c r="AO49" s="46">
        <v>0</v>
      </c>
      <c r="AP49" s="46" t="b">
        <v>0</v>
      </c>
      <c r="AQ49" s="46">
        <v>57556.184999999998</v>
      </c>
      <c r="AS49" s="46">
        <v>57556.184999999998</v>
      </c>
      <c r="AT49" s="46">
        <v>6</v>
      </c>
      <c r="AU49" s="46" t="b">
        <v>0</v>
      </c>
      <c r="AV49" s="46" t="b">
        <v>1</v>
      </c>
    </row>
    <row r="50" spans="2:48">
      <c r="B50" s="46" t="s">
        <v>665</v>
      </c>
      <c r="C50" s="46" t="s">
        <v>666</v>
      </c>
      <c r="D50" s="46">
        <v>20240501</v>
      </c>
      <c r="E50" s="46">
        <v>2024</v>
      </c>
      <c r="F50" s="46">
        <v>5</v>
      </c>
      <c r="G50" s="46" t="s">
        <v>699</v>
      </c>
      <c r="H50" s="46">
        <v>818</v>
      </c>
      <c r="I50" s="46" t="s">
        <v>668</v>
      </c>
      <c r="J50" s="46" t="s">
        <v>57</v>
      </c>
      <c r="K50" s="46" t="s">
        <v>666</v>
      </c>
      <c r="L50" s="46" t="s">
        <v>669</v>
      </c>
      <c r="M50" s="46">
        <v>0</v>
      </c>
      <c r="N50" s="46" t="s">
        <v>670</v>
      </c>
      <c r="O50" s="46" t="s">
        <v>23</v>
      </c>
      <c r="P50" s="46">
        <v>0</v>
      </c>
      <c r="Q50" s="46" t="s">
        <v>670</v>
      </c>
      <c r="R50" s="46" t="s">
        <v>23</v>
      </c>
      <c r="S50" s="46" t="s">
        <v>671</v>
      </c>
      <c r="T50" s="46" t="s">
        <v>672</v>
      </c>
      <c r="U50" s="46" t="b">
        <v>1</v>
      </c>
      <c r="V50" s="46" t="s">
        <v>1015</v>
      </c>
      <c r="W50" s="46" t="s">
        <v>1016</v>
      </c>
      <c r="X50" s="46">
        <v>6</v>
      </c>
      <c r="Y50" s="46" t="b">
        <v>1</v>
      </c>
      <c r="Z50" s="46" t="s">
        <v>675</v>
      </c>
      <c r="AA50" s="46" t="s">
        <v>676</v>
      </c>
      <c r="AB50" s="46" t="s">
        <v>677</v>
      </c>
      <c r="AC50" s="46">
        <v>0</v>
      </c>
      <c r="AD50" s="46" t="s">
        <v>678</v>
      </c>
      <c r="AE50" s="46">
        <v>8</v>
      </c>
      <c r="AF50" s="46" t="s">
        <v>679</v>
      </c>
      <c r="AG50" s="46">
        <v>166291.06099999999</v>
      </c>
      <c r="AH50" s="46" t="b">
        <v>1</v>
      </c>
      <c r="AI50" s="46">
        <v>-1</v>
      </c>
      <c r="AJ50" s="46" t="s">
        <v>680</v>
      </c>
      <c r="AK50" s="46">
        <v>0</v>
      </c>
      <c r="AL50" s="46" t="b">
        <v>0</v>
      </c>
      <c r="AM50" s="46">
        <v>166291.06099999999</v>
      </c>
      <c r="AN50" s="46" t="b">
        <v>1</v>
      </c>
      <c r="AO50" s="46">
        <v>0</v>
      </c>
      <c r="AP50" s="46" t="b">
        <v>0</v>
      </c>
      <c r="AQ50" s="46">
        <v>96477.751000000004</v>
      </c>
      <c r="AS50" s="46">
        <v>96477.751000000004</v>
      </c>
      <c r="AT50" s="46">
        <v>6</v>
      </c>
      <c r="AU50" s="46" t="b">
        <v>0</v>
      </c>
      <c r="AV50" s="46" t="b">
        <v>1</v>
      </c>
    </row>
    <row r="51" spans="2:48">
      <c r="B51" s="46" t="s">
        <v>665</v>
      </c>
      <c r="C51" s="46" t="s">
        <v>666</v>
      </c>
      <c r="D51" s="46">
        <v>20240101</v>
      </c>
      <c r="E51" s="46">
        <v>2024</v>
      </c>
      <c r="F51" s="46">
        <v>1</v>
      </c>
      <c r="G51" s="46" t="s">
        <v>667</v>
      </c>
      <c r="H51" s="46">
        <v>818</v>
      </c>
      <c r="I51" s="46" t="s">
        <v>668</v>
      </c>
      <c r="J51" s="46" t="s">
        <v>57</v>
      </c>
      <c r="K51" s="46" t="s">
        <v>666</v>
      </c>
      <c r="L51" s="46" t="s">
        <v>669</v>
      </c>
      <c r="M51" s="46">
        <v>0</v>
      </c>
      <c r="N51" s="46" t="s">
        <v>670</v>
      </c>
      <c r="O51" s="46" t="s">
        <v>23</v>
      </c>
      <c r="P51" s="46">
        <v>0</v>
      </c>
      <c r="Q51" s="46" t="s">
        <v>670</v>
      </c>
      <c r="R51" s="46" t="s">
        <v>23</v>
      </c>
      <c r="S51" s="46" t="s">
        <v>671</v>
      </c>
      <c r="T51" s="46" t="s">
        <v>672</v>
      </c>
      <c r="U51" s="46" t="b">
        <v>1</v>
      </c>
      <c r="V51" s="46" t="s">
        <v>1015</v>
      </c>
      <c r="W51" s="46" t="s">
        <v>1016</v>
      </c>
      <c r="X51" s="46">
        <v>6</v>
      </c>
      <c r="Y51" s="46" t="b">
        <v>1</v>
      </c>
      <c r="Z51" s="46" t="s">
        <v>675</v>
      </c>
      <c r="AA51" s="46" t="s">
        <v>676</v>
      </c>
      <c r="AB51" s="46" t="s">
        <v>677</v>
      </c>
      <c r="AC51" s="46">
        <v>0</v>
      </c>
      <c r="AD51" s="46" t="s">
        <v>678</v>
      </c>
      <c r="AE51" s="46">
        <v>8</v>
      </c>
      <c r="AF51" s="46" t="s">
        <v>679</v>
      </c>
      <c r="AG51" s="46">
        <v>120289.664</v>
      </c>
      <c r="AH51" s="46" t="b">
        <v>1</v>
      </c>
      <c r="AI51" s="46">
        <v>-1</v>
      </c>
      <c r="AJ51" s="46" t="s">
        <v>680</v>
      </c>
      <c r="AK51" s="46">
        <v>0</v>
      </c>
      <c r="AL51" s="46" t="b">
        <v>0</v>
      </c>
      <c r="AM51" s="46">
        <v>120289.664</v>
      </c>
      <c r="AN51" s="46" t="b">
        <v>1</v>
      </c>
      <c r="AO51" s="46">
        <v>0</v>
      </c>
      <c r="AP51" s="46" t="b">
        <v>0</v>
      </c>
      <c r="AQ51" s="46">
        <v>69788.937000000005</v>
      </c>
      <c r="AS51" s="46">
        <v>69788.937000000005</v>
      </c>
      <c r="AT51" s="46">
        <v>6</v>
      </c>
      <c r="AU51" s="46" t="b">
        <v>0</v>
      </c>
      <c r="AV51" s="46" t="b">
        <v>1</v>
      </c>
    </row>
    <row r="52" spans="2:48">
      <c r="B52" s="46" t="s">
        <v>665</v>
      </c>
      <c r="C52" s="46" t="s">
        <v>666</v>
      </c>
      <c r="D52" s="46">
        <v>20240201</v>
      </c>
      <c r="E52" s="46">
        <v>2024</v>
      </c>
      <c r="F52" s="46">
        <v>2</v>
      </c>
      <c r="G52" s="46" t="s">
        <v>687</v>
      </c>
      <c r="H52" s="46">
        <v>818</v>
      </c>
      <c r="I52" s="46" t="s">
        <v>668</v>
      </c>
      <c r="J52" s="46" t="s">
        <v>57</v>
      </c>
      <c r="K52" s="46" t="s">
        <v>666</v>
      </c>
      <c r="L52" s="46" t="s">
        <v>669</v>
      </c>
      <c r="M52" s="46">
        <v>0</v>
      </c>
      <c r="N52" s="46" t="s">
        <v>670</v>
      </c>
      <c r="O52" s="46" t="s">
        <v>23</v>
      </c>
      <c r="P52" s="46">
        <v>0</v>
      </c>
      <c r="Q52" s="46" t="s">
        <v>670</v>
      </c>
      <c r="R52" s="46" t="s">
        <v>23</v>
      </c>
      <c r="S52" s="46" t="s">
        <v>671</v>
      </c>
      <c r="T52" s="46" t="s">
        <v>672</v>
      </c>
      <c r="U52" s="46" t="b">
        <v>1</v>
      </c>
      <c r="V52" s="46" t="s">
        <v>1015</v>
      </c>
      <c r="W52" s="46" t="s">
        <v>1016</v>
      </c>
      <c r="X52" s="46">
        <v>6</v>
      </c>
      <c r="Y52" s="46" t="b">
        <v>1</v>
      </c>
      <c r="Z52" s="46" t="s">
        <v>675</v>
      </c>
      <c r="AA52" s="46" t="s">
        <v>676</v>
      </c>
      <c r="AB52" s="46" t="s">
        <v>677</v>
      </c>
      <c r="AC52" s="46">
        <v>0</v>
      </c>
      <c r="AD52" s="46" t="s">
        <v>678</v>
      </c>
      <c r="AE52" s="46">
        <v>8</v>
      </c>
      <c r="AF52" s="46" t="s">
        <v>679</v>
      </c>
      <c r="AG52" s="46">
        <v>8593.4030000000002</v>
      </c>
      <c r="AH52" s="46" t="b">
        <v>1</v>
      </c>
      <c r="AI52" s="46">
        <v>-1</v>
      </c>
      <c r="AJ52" s="46" t="s">
        <v>680</v>
      </c>
      <c r="AK52" s="46">
        <v>0</v>
      </c>
      <c r="AL52" s="46" t="b">
        <v>0</v>
      </c>
      <c r="AM52" s="46">
        <v>8593.4030000000002</v>
      </c>
      <c r="AN52" s="46" t="b">
        <v>1</v>
      </c>
      <c r="AO52" s="46">
        <v>0</v>
      </c>
      <c r="AP52" s="46" t="b">
        <v>0</v>
      </c>
      <c r="AQ52" s="46">
        <v>4985.6689999999999</v>
      </c>
      <c r="AS52" s="46">
        <v>4985.6689999999999</v>
      </c>
      <c r="AT52" s="46">
        <v>6</v>
      </c>
      <c r="AU52" s="46" t="b">
        <v>0</v>
      </c>
      <c r="AV52" s="46" t="b">
        <v>1</v>
      </c>
    </row>
    <row r="53" spans="2:48">
      <c r="B53" s="46" t="s">
        <v>665</v>
      </c>
      <c r="C53" s="46" t="s">
        <v>666</v>
      </c>
      <c r="D53" s="46">
        <v>20240501</v>
      </c>
      <c r="E53" s="46">
        <v>2024</v>
      </c>
      <c r="F53" s="46">
        <v>5</v>
      </c>
      <c r="G53" s="46" t="s">
        <v>699</v>
      </c>
      <c r="H53" s="46">
        <v>818</v>
      </c>
      <c r="I53" s="46" t="s">
        <v>668</v>
      </c>
      <c r="J53" s="46" t="s">
        <v>57</v>
      </c>
      <c r="K53" s="46" t="s">
        <v>666</v>
      </c>
      <c r="L53" s="46" t="s">
        <v>669</v>
      </c>
      <c r="M53" s="46">
        <v>699</v>
      </c>
      <c r="N53" s="46" t="s">
        <v>748</v>
      </c>
      <c r="O53" s="46" t="s">
        <v>0</v>
      </c>
      <c r="P53" s="46">
        <v>0</v>
      </c>
      <c r="Q53" s="46" t="s">
        <v>670</v>
      </c>
      <c r="R53" s="46" t="s">
        <v>23</v>
      </c>
      <c r="S53" s="46" t="s">
        <v>671</v>
      </c>
      <c r="T53" s="46" t="s">
        <v>672</v>
      </c>
      <c r="U53" s="46" t="b">
        <v>1</v>
      </c>
      <c r="V53" s="46" t="s">
        <v>1015</v>
      </c>
      <c r="W53" s="46" t="s">
        <v>1016</v>
      </c>
      <c r="X53" s="46">
        <v>6</v>
      </c>
      <c r="Y53" s="46" t="b">
        <v>1</v>
      </c>
      <c r="Z53" s="46" t="s">
        <v>675</v>
      </c>
      <c r="AA53" s="46" t="s">
        <v>676</v>
      </c>
      <c r="AB53" s="46" t="s">
        <v>677</v>
      </c>
      <c r="AC53" s="46">
        <v>0</v>
      </c>
      <c r="AD53" s="46" t="s">
        <v>678</v>
      </c>
      <c r="AE53" s="46">
        <v>8</v>
      </c>
      <c r="AF53" s="46" t="s">
        <v>679</v>
      </c>
      <c r="AG53" s="46">
        <v>37658.6</v>
      </c>
      <c r="AH53" s="46" t="b">
        <v>1</v>
      </c>
      <c r="AI53" s="46">
        <v>-1</v>
      </c>
      <c r="AJ53" s="46" t="s">
        <v>680</v>
      </c>
      <c r="AK53" s="46">
        <v>0</v>
      </c>
      <c r="AL53" s="46" t="b">
        <v>0</v>
      </c>
      <c r="AM53" s="46">
        <v>37658.6</v>
      </c>
      <c r="AN53" s="46" t="b">
        <v>1</v>
      </c>
      <c r="AO53" s="46">
        <v>0</v>
      </c>
      <c r="AP53" s="46" t="b">
        <v>0</v>
      </c>
      <c r="AQ53" s="46">
        <v>21848.541000000001</v>
      </c>
      <c r="AS53" s="46">
        <v>21848.541000000001</v>
      </c>
      <c r="AT53" s="46">
        <v>6</v>
      </c>
      <c r="AU53" s="46" t="b">
        <v>1</v>
      </c>
      <c r="AV53" s="46" t="b">
        <v>0</v>
      </c>
    </row>
    <row r="54" spans="2:48">
      <c r="B54" s="46" t="s">
        <v>665</v>
      </c>
      <c r="C54" s="46" t="s">
        <v>666</v>
      </c>
      <c r="D54" s="46">
        <v>20240401</v>
      </c>
      <c r="E54" s="46">
        <v>2024</v>
      </c>
      <c r="F54" s="46">
        <v>4</v>
      </c>
      <c r="G54" s="46" t="s">
        <v>695</v>
      </c>
      <c r="H54" s="46">
        <v>818</v>
      </c>
      <c r="I54" s="46" t="s">
        <v>668</v>
      </c>
      <c r="J54" s="46" t="s">
        <v>57</v>
      </c>
      <c r="K54" s="46" t="s">
        <v>666</v>
      </c>
      <c r="L54" s="46" t="s">
        <v>669</v>
      </c>
      <c r="M54" s="46">
        <v>699</v>
      </c>
      <c r="N54" s="46" t="s">
        <v>748</v>
      </c>
      <c r="O54" s="46" t="s">
        <v>0</v>
      </c>
      <c r="P54" s="46">
        <v>0</v>
      </c>
      <c r="Q54" s="46" t="s">
        <v>670</v>
      </c>
      <c r="R54" s="46" t="s">
        <v>23</v>
      </c>
      <c r="S54" s="46" t="s">
        <v>671</v>
      </c>
      <c r="T54" s="46" t="s">
        <v>672</v>
      </c>
      <c r="U54" s="46" t="b">
        <v>1</v>
      </c>
      <c r="V54" s="46" t="s">
        <v>1015</v>
      </c>
      <c r="W54" s="46" t="s">
        <v>1016</v>
      </c>
      <c r="X54" s="46">
        <v>6</v>
      </c>
      <c r="Y54" s="46" t="b">
        <v>1</v>
      </c>
      <c r="Z54" s="46" t="s">
        <v>675</v>
      </c>
      <c r="AA54" s="46" t="s">
        <v>676</v>
      </c>
      <c r="AB54" s="46" t="s">
        <v>677</v>
      </c>
      <c r="AC54" s="46">
        <v>0</v>
      </c>
      <c r="AD54" s="46" t="s">
        <v>678</v>
      </c>
      <c r="AE54" s="46">
        <v>8</v>
      </c>
      <c r="AF54" s="46" t="s">
        <v>679</v>
      </c>
      <c r="AG54" s="46">
        <v>19247.757000000001</v>
      </c>
      <c r="AH54" s="46" t="b">
        <v>1</v>
      </c>
      <c r="AI54" s="46">
        <v>-1</v>
      </c>
      <c r="AJ54" s="46" t="s">
        <v>680</v>
      </c>
      <c r="AK54" s="46">
        <v>0</v>
      </c>
      <c r="AL54" s="46" t="b">
        <v>0</v>
      </c>
      <c r="AM54" s="46">
        <v>19247.757000000001</v>
      </c>
      <c r="AN54" s="46" t="b">
        <v>1</v>
      </c>
      <c r="AO54" s="46">
        <v>0</v>
      </c>
      <c r="AP54" s="46" t="b">
        <v>0</v>
      </c>
      <c r="AQ54" s="46">
        <v>11167.048000000001</v>
      </c>
      <c r="AS54" s="46">
        <v>11167.048000000001</v>
      </c>
      <c r="AT54" s="46">
        <v>6</v>
      </c>
      <c r="AU54" s="46" t="b">
        <v>1</v>
      </c>
      <c r="AV54" s="46" t="b">
        <v>0</v>
      </c>
    </row>
    <row r="55" spans="2:48">
      <c r="B55" s="46" t="s">
        <v>665</v>
      </c>
      <c r="C55" s="46" t="s">
        <v>666</v>
      </c>
      <c r="D55" s="46">
        <v>20240101</v>
      </c>
      <c r="E55" s="46">
        <v>2024</v>
      </c>
      <c r="F55" s="46">
        <v>1</v>
      </c>
      <c r="G55" s="46" t="s">
        <v>667</v>
      </c>
      <c r="H55" s="46">
        <v>818</v>
      </c>
      <c r="I55" s="46" t="s">
        <v>668</v>
      </c>
      <c r="J55" s="46" t="s">
        <v>57</v>
      </c>
      <c r="K55" s="46" t="s">
        <v>666</v>
      </c>
      <c r="L55" s="46" t="s">
        <v>669</v>
      </c>
      <c r="M55" s="46">
        <v>699</v>
      </c>
      <c r="N55" s="46" t="s">
        <v>748</v>
      </c>
      <c r="O55" s="46" t="s">
        <v>0</v>
      </c>
      <c r="P55" s="46">
        <v>0</v>
      </c>
      <c r="Q55" s="46" t="s">
        <v>670</v>
      </c>
      <c r="R55" s="46" t="s">
        <v>23</v>
      </c>
      <c r="S55" s="46" t="s">
        <v>671</v>
      </c>
      <c r="T55" s="46" t="s">
        <v>672</v>
      </c>
      <c r="U55" s="46" t="b">
        <v>1</v>
      </c>
      <c r="V55" s="46" t="s">
        <v>1015</v>
      </c>
      <c r="W55" s="46" t="s">
        <v>1016</v>
      </c>
      <c r="X55" s="46">
        <v>6</v>
      </c>
      <c r="Y55" s="46" t="b">
        <v>1</v>
      </c>
      <c r="Z55" s="46" t="s">
        <v>675</v>
      </c>
      <c r="AA55" s="46" t="s">
        <v>676</v>
      </c>
      <c r="AB55" s="46" t="s">
        <v>677</v>
      </c>
      <c r="AC55" s="46">
        <v>0</v>
      </c>
      <c r="AD55" s="46" t="s">
        <v>678</v>
      </c>
      <c r="AE55" s="46">
        <v>8</v>
      </c>
      <c r="AF55" s="46" t="s">
        <v>679</v>
      </c>
      <c r="AG55" s="46">
        <v>18829.293000000001</v>
      </c>
      <c r="AH55" s="46" t="b">
        <v>1</v>
      </c>
      <c r="AI55" s="46">
        <v>-1</v>
      </c>
      <c r="AJ55" s="46" t="s">
        <v>680</v>
      </c>
      <c r="AK55" s="46">
        <v>0</v>
      </c>
      <c r="AL55" s="46" t="b">
        <v>0</v>
      </c>
      <c r="AM55" s="46">
        <v>18829.293000000001</v>
      </c>
      <c r="AN55" s="46" t="b">
        <v>1</v>
      </c>
      <c r="AO55" s="46">
        <v>0</v>
      </c>
      <c r="AP55" s="46" t="b">
        <v>0</v>
      </c>
      <c r="AQ55" s="46">
        <v>10924.267</v>
      </c>
      <c r="AS55" s="46">
        <v>10924.267</v>
      </c>
      <c r="AT55" s="46">
        <v>6</v>
      </c>
      <c r="AU55" s="46" t="b">
        <v>1</v>
      </c>
      <c r="AV55" s="46" t="b">
        <v>0</v>
      </c>
    </row>
    <row r="56" spans="2:48">
      <c r="B56" s="46" t="s">
        <v>665</v>
      </c>
      <c r="C56" s="46" t="s">
        <v>666</v>
      </c>
      <c r="D56" s="46">
        <v>20240501</v>
      </c>
      <c r="E56" s="46">
        <v>2024</v>
      </c>
      <c r="F56" s="46">
        <v>5</v>
      </c>
      <c r="G56" s="46" t="s">
        <v>699</v>
      </c>
      <c r="H56" s="46">
        <v>818</v>
      </c>
      <c r="I56" s="46" t="s">
        <v>668</v>
      </c>
      <c r="J56" s="46" t="s">
        <v>57</v>
      </c>
      <c r="K56" s="46" t="s">
        <v>666</v>
      </c>
      <c r="L56" s="46" t="s">
        <v>669</v>
      </c>
      <c r="M56" s="46">
        <v>842</v>
      </c>
      <c r="N56" s="46" t="s">
        <v>713</v>
      </c>
      <c r="O56" s="46" t="s">
        <v>713</v>
      </c>
      <c r="P56" s="46">
        <v>0</v>
      </c>
      <c r="Q56" s="46" t="s">
        <v>670</v>
      </c>
      <c r="R56" s="46" t="s">
        <v>23</v>
      </c>
      <c r="S56" s="46" t="s">
        <v>671</v>
      </c>
      <c r="T56" s="46" t="s">
        <v>672</v>
      </c>
      <c r="U56" s="46" t="b">
        <v>1</v>
      </c>
      <c r="V56" s="46" t="s">
        <v>1015</v>
      </c>
      <c r="W56" s="46" t="s">
        <v>1016</v>
      </c>
      <c r="X56" s="46">
        <v>6</v>
      </c>
      <c r="Y56" s="46" t="b">
        <v>1</v>
      </c>
      <c r="Z56" s="46" t="s">
        <v>675</v>
      </c>
      <c r="AA56" s="46" t="s">
        <v>676</v>
      </c>
      <c r="AB56" s="46" t="s">
        <v>677</v>
      </c>
      <c r="AC56" s="46">
        <v>0</v>
      </c>
      <c r="AD56" s="46" t="s">
        <v>678</v>
      </c>
      <c r="AE56" s="46">
        <v>8</v>
      </c>
      <c r="AF56" s="46" t="s">
        <v>679</v>
      </c>
      <c r="AG56" s="46">
        <v>96719.077000000005</v>
      </c>
      <c r="AH56" s="46" t="b">
        <v>1</v>
      </c>
      <c r="AI56" s="46">
        <v>-1</v>
      </c>
      <c r="AJ56" s="46" t="s">
        <v>680</v>
      </c>
      <c r="AK56" s="46">
        <v>0</v>
      </c>
      <c r="AL56" s="46" t="b">
        <v>0</v>
      </c>
      <c r="AM56" s="46">
        <v>96719.077000000005</v>
      </c>
      <c r="AN56" s="46" t="b">
        <v>1</v>
      </c>
      <c r="AO56" s="46">
        <v>0</v>
      </c>
      <c r="AP56" s="46" t="b">
        <v>0</v>
      </c>
      <c r="AQ56" s="46">
        <v>56113.894999999997</v>
      </c>
      <c r="AS56" s="46">
        <v>56113.894999999997</v>
      </c>
      <c r="AT56" s="46">
        <v>6</v>
      </c>
      <c r="AU56" s="46" t="b">
        <v>1</v>
      </c>
      <c r="AV56" s="46" t="b">
        <v>0</v>
      </c>
    </row>
    <row r="57" spans="2:48">
      <c r="B57" s="46" t="s">
        <v>665</v>
      </c>
      <c r="C57" s="46" t="s">
        <v>666</v>
      </c>
      <c r="D57" s="46">
        <v>20240301</v>
      </c>
      <c r="E57" s="46">
        <v>2024</v>
      </c>
      <c r="F57" s="46">
        <v>3</v>
      </c>
      <c r="G57" s="46" t="s">
        <v>692</v>
      </c>
      <c r="H57" s="46">
        <v>818</v>
      </c>
      <c r="I57" s="46" t="s">
        <v>668</v>
      </c>
      <c r="J57" s="46" t="s">
        <v>57</v>
      </c>
      <c r="K57" s="46" t="s">
        <v>666</v>
      </c>
      <c r="L57" s="46" t="s">
        <v>669</v>
      </c>
      <c r="M57" s="46">
        <v>842</v>
      </c>
      <c r="N57" s="46" t="s">
        <v>713</v>
      </c>
      <c r="O57" s="46" t="s">
        <v>713</v>
      </c>
      <c r="P57" s="46">
        <v>0</v>
      </c>
      <c r="Q57" s="46" t="s">
        <v>670</v>
      </c>
      <c r="R57" s="46" t="s">
        <v>23</v>
      </c>
      <c r="S57" s="46" t="s">
        <v>671</v>
      </c>
      <c r="T57" s="46" t="s">
        <v>672</v>
      </c>
      <c r="U57" s="46" t="b">
        <v>1</v>
      </c>
      <c r="V57" s="46" t="s">
        <v>1015</v>
      </c>
      <c r="W57" s="46" t="s">
        <v>1016</v>
      </c>
      <c r="X57" s="46">
        <v>6</v>
      </c>
      <c r="Y57" s="46" t="b">
        <v>1</v>
      </c>
      <c r="Z57" s="46" t="s">
        <v>675</v>
      </c>
      <c r="AA57" s="46" t="s">
        <v>676</v>
      </c>
      <c r="AB57" s="46" t="s">
        <v>677</v>
      </c>
      <c r="AC57" s="46">
        <v>0</v>
      </c>
      <c r="AD57" s="46" t="s">
        <v>678</v>
      </c>
      <c r="AE57" s="46">
        <v>8</v>
      </c>
      <c r="AF57" s="46" t="s">
        <v>679</v>
      </c>
      <c r="AG57" s="46">
        <v>97694.835000000006</v>
      </c>
      <c r="AH57" s="46" t="b">
        <v>1</v>
      </c>
      <c r="AI57" s="46">
        <v>-1</v>
      </c>
      <c r="AJ57" s="46" t="s">
        <v>680</v>
      </c>
      <c r="AK57" s="46">
        <v>0</v>
      </c>
      <c r="AL57" s="46" t="b">
        <v>0</v>
      </c>
      <c r="AM57" s="46">
        <v>97694.835000000006</v>
      </c>
      <c r="AN57" s="46" t="b">
        <v>1</v>
      </c>
      <c r="AO57" s="46">
        <v>0</v>
      </c>
      <c r="AP57" s="46" t="b">
        <v>0</v>
      </c>
      <c r="AQ57" s="46">
        <v>56680.004000000001</v>
      </c>
      <c r="AS57" s="46">
        <v>56680.004000000001</v>
      </c>
      <c r="AT57" s="46">
        <v>6</v>
      </c>
      <c r="AU57" s="46" t="b">
        <v>1</v>
      </c>
      <c r="AV57" s="46" t="b">
        <v>0</v>
      </c>
    </row>
    <row r="58" spans="2:48">
      <c r="B58" s="46" t="s">
        <v>665</v>
      </c>
      <c r="C58" s="46" t="s">
        <v>666</v>
      </c>
      <c r="D58" s="46">
        <v>20240101</v>
      </c>
      <c r="E58" s="46">
        <v>2024</v>
      </c>
      <c r="F58" s="46">
        <v>1</v>
      </c>
      <c r="G58" s="46" t="s">
        <v>667</v>
      </c>
      <c r="H58" s="46">
        <v>818</v>
      </c>
      <c r="I58" s="46" t="s">
        <v>668</v>
      </c>
      <c r="J58" s="46" t="s">
        <v>57</v>
      </c>
      <c r="K58" s="46" t="s">
        <v>666</v>
      </c>
      <c r="L58" s="46" t="s">
        <v>669</v>
      </c>
      <c r="M58" s="46">
        <v>842</v>
      </c>
      <c r="N58" s="46" t="s">
        <v>713</v>
      </c>
      <c r="O58" s="46" t="s">
        <v>713</v>
      </c>
      <c r="P58" s="46">
        <v>0</v>
      </c>
      <c r="Q58" s="46" t="s">
        <v>670</v>
      </c>
      <c r="R58" s="46" t="s">
        <v>23</v>
      </c>
      <c r="S58" s="46" t="s">
        <v>671</v>
      </c>
      <c r="T58" s="46" t="s">
        <v>672</v>
      </c>
      <c r="U58" s="46" t="b">
        <v>1</v>
      </c>
      <c r="V58" s="46" t="s">
        <v>1015</v>
      </c>
      <c r="W58" s="46" t="s">
        <v>1016</v>
      </c>
      <c r="X58" s="46">
        <v>6</v>
      </c>
      <c r="Y58" s="46" t="b">
        <v>1</v>
      </c>
      <c r="Z58" s="46" t="s">
        <v>675</v>
      </c>
      <c r="AA58" s="46" t="s">
        <v>676</v>
      </c>
      <c r="AB58" s="46" t="s">
        <v>677</v>
      </c>
      <c r="AC58" s="46">
        <v>0</v>
      </c>
      <c r="AD58" s="46" t="s">
        <v>678</v>
      </c>
      <c r="AE58" s="46">
        <v>8</v>
      </c>
      <c r="AF58" s="46" t="s">
        <v>679</v>
      </c>
      <c r="AG58" s="46">
        <v>96846.153999999995</v>
      </c>
      <c r="AH58" s="46" t="b">
        <v>1</v>
      </c>
      <c r="AI58" s="46">
        <v>-1</v>
      </c>
      <c r="AJ58" s="46" t="s">
        <v>680</v>
      </c>
      <c r="AK58" s="46">
        <v>0</v>
      </c>
      <c r="AL58" s="46" t="b">
        <v>0</v>
      </c>
      <c r="AM58" s="46">
        <v>96846.153999999995</v>
      </c>
      <c r="AN58" s="46" t="b">
        <v>1</v>
      </c>
      <c r="AO58" s="46">
        <v>0</v>
      </c>
      <c r="AP58" s="46" t="b">
        <v>0</v>
      </c>
      <c r="AQ58" s="46">
        <v>56187.620999999999</v>
      </c>
      <c r="AS58" s="46">
        <v>56187.620999999999</v>
      </c>
      <c r="AT58" s="46">
        <v>6</v>
      </c>
      <c r="AU58" s="46" t="b">
        <v>1</v>
      </c>
      <c r="AV58" s="46" t="b">
        <v>0</v>
      </c>
    </row>
    <row r="59" spans="2:48">
      <c r="B59" s="46" t="s">
        <v>665</v>
      </c>
      <c r="C59" s="46" t="s">
        <v>666</v>
      </c>
      <c r="D59" s="46">
        <v>20240201</v>
      </c>
      <c r="E59" s="46">
        <v>2024</v>
      </c>
      <c r="F59" s="46">
        <v>2</v>
      </c>
      <c r="G59" s="46" t="s">
        <v>687</v>
      </c>
      <c r="H59" s="46">
        <v>818</v>
      </c>
      <c r="I59" s="46" t="s">
        <v>668</v>
      </c>
      <c r="J59" s="46" t="s">
        <v>57</v>
      </c>
      <c r="K59" s="46" t="s">
        <v>666</v>
      </c>
      <c r="L59" s="46" t="s">
        <v>669</v>
      </c>
      <c r="M59" s="46">
        <v>156</v>
      </c>
      <c r="N59" s="46" t="s">
        <v>711</v>
      </c>
      <c r="O59" s="46" t="s">
        <v>29</v>
      </c>
      <c r="P59" s="46">
        <v>0</v>
      </c>
      <c r="Q59" s="46" t="s">
        <v>670</v>
      </c>
      <c r="R59" s="46" t="s">
        <v>23</v>
      </c>
      <c r="S59" s="46" t="s">
        <v>671</v>
      </c>
      <c r="T59" s="46" t="s">
        <v>672</v>
      </c>
      <c r="U59" s="46" t="b">
        <v>1</v>
      </c>
      <c r="V59" s="46" t="s">
        <v>1015</v>
      </c>
      <c r="W59" s="46" t="s">
        <v>1016</v>
      </c>
      <c r="X59" s="46">
        <v>6</v>
      </c>
      <c r="Y59" s="46" t="b">
        <v>1</v>
      </c>
      <c r="Z59" s="46" t="s">
        <v>675</v>
      </c>
      <c r="AA59" s="46" t="s">
        <v>676</v>
      </c>
      <c r="AB59" s="46" t="s">
        <v>677</v>
      </c>
      <c r="AC59" s="46">
        <v>0</v>
      </c>
      <c r="AD59" s="46" t="s">
        <v>678</v>
      </c>
      <c r="AE59" s="46">
        <v>8</v>
      </c>
      <c r="AF59" s="46" t="s">
        <v>679</v>
      </c>
      <c r="AG59" s="46">
        <v>3504.799</v>
      </c>
      <c r="AH59" s="46" t="b">
        <v>1</v>
      </c>
      <c r="AI59" s="46">
        <v>-1</v>
      </c>
      <c r="AJ59" s="46" t="s">
        <v>680</v>
      </c>
      <c r="AK59" s="46">
        <v>0</v>
      </c>
      <c r="AL59" s="46" t="b">
        <v>0</v>
      </c>
      <c r="AM59" s="46">
        <v>3504.799</v>
      </c>
      <c r="AN59" s="46" t="b">
        <v>1</v>
      </c>
      <c r="AO59" s="46">
        <v>0</v>
      </c>
      <c r="AP59" s="46" t="b">
        <v>0</v>
      </c>
      <c r="AQ59" s="46">
        <v>2033.393</v>
      </c>
      <c r="AS59" s="46">
        <v>2033.393</v>
      </c>
      <c r="AT59" s="46">
        <v>6</v>
      </c>
      <c r="AU59" s="46" t="b">
        <v>1</v>
      </c>
      <c r="AV59" s="46" t="b">
        <v>0</v>
      </c>
    </row>
    <row r="60" spans="2:48">
      <c r="B60" s="46" t="s">
        <v>665</v>
      </c>
      <c r="C60" s="46" t="s">
        <v>666</v>
      </c>
      <c r="D60" s="46">
        <v>20240301</v>
      </c>
      <c r="E60" s="46">
        <v>2024</v>
      </c>
      <c r="F60" s="46">
        <v>3</v>
      </c>
      <c r="G60" s="46" t="s">
        <v>692</v>
      </c>
      <c r="H60" s="46">
        <v>818</v>
      </c>
      <c r="I60" s="46" t="s">
        <v>668</v>
      </c>
      <c r="J60" s="46" t="s">
        <v>57</v>
      </c>
      <c r="K60" s="46" t="s">
        <v>666</v>
      </c>
      <c r="L60" s="46" t="s">
        <v>669</v>
      </c>
      <c r="M60" s="46">
        <v>156</v>
      </c>
      <c r="N60" s="46" t="s">
        <v>711</v>
      </c>
      <c r="O60" s="46" t="s">
        <v>29</v>
      </c>
      <c r="P60" s="46">
        <v>0</v>
      </c>
      <c r="Q60" s="46" t="s">
        <v>670</v>
      </c>
      <c r="R60" s="46" t="s">
        <v>23</v>
      </c>
      <c r="S60" s="46" t="s">
        <v>671</v>
      </c>
      <c r="T60" s="46" t="s">
        <v>672</v>
      </c>
      <c r="U60" s="46" t="b">
        <v>1</v>
      </c>
      <c r="V60" s="46" t="s">
        <v>1015</v>
      </c>
      <c r="W60" s="46" t="s">
        <v>1016</v>
      </c>
      <c r="X60" s="46">
        <v>6</v>
      </c>
      <c r="Y60" s="46" t="b">
        <v>1</v>
      </c>
      <c r="Z60" s="46" t="s">
        <v>675</v>
      </c>
      <c r="AA60" s="46" t="s">
        <v>676</v>
      </c>
      <c r="AB60" s="46" t="s">
        <v>677</v>
      </c>
      <c r="AC60" s="46">
        <v>0</v>
      </c>
      <c r="AD60" s="46" t="s">
        <v>678</v>
      </c>
      <c r="AE60" s="46">
        <v>8</v>
      </c>
      <c r="AF60" s="46" t="s">
        <v>679</v>
      </c>
      <c r="AG60" s="46">
        <v>5726.0259999999998</v>
      </c>
      <c r="AH60" s="46" t="b">
        <v>1</v>
      </c>
      <c r="AI60" s="46">
        <v>-1</v>
      </c>
      <c r="AJ60" s="46" t="s">
        <v>680</v>
      </c>
      <c r="AK60" s="46">
        <v>0</v>
      </c>
      <c r="AL60" s="46" t="b">
        <v>0</v>
      </c>
      <c r="AM60" s="46">
        <v>5726.0259999999998</v>
      </c>
      <c r="AN60" s="46" t="b">
        <v>1</v>
      </c>
      <c r="AO60" s="46">
        <v>0</v>
      </c>
      <c r="AP60" s="46" t="b">
        <v>0</v>
      </c>
      <c r="AQ60" s="46">
        <v>3322.0909999999999</v>
      </c>
      <c r="AS60" s="46">
        <v>3322.0909999999999</v>
      </c>
      <c r="AT60" s="46">
        <v>6</v>
      </c>
      <c r="AU60" s="46" t="b">
        <v>1</v>
      </c>
      <c r="AV60" s="46" t="b">
        <v>0</v>
      </c>
    </row>
    <row r="61" spans="2:48">
      <c r="B61" s="46" t="s">
        <v>665</v>
      </c>
      <c r="C61" s="46" t="s">
        <v>666</v>
      </c>
      <c r="D61" s="46">
        <v>20240501</v>
      </c>
      <c r="E61" s="46">
        <v>2024</v>
      </c>
      <c r="F61" s="46">
        <v>5</v>
      </c>
      <c r="G61" s="46" t="s">
        <v>699</v>
      </c>
      <c r="H61" s="46">
        <v>818</v>
      </c>
      <c r="I61" s="46" t="s">
        <v>668</v>
      </c>
      <c r="J61" s="46" t="s">
        <v>57</v>
      </c>
      <c r="K61" s="46" t="s">
        <v>666</v>
      </c>
      <c r="L61" s="46" t="s">
        <v>669</v>
      </c>
      <c r="M61" s="46">
        <v>156</v>
      </c>
      <c r="N61" s="46" t="s">
        <v>711</v>
      </c>
      <c r="O61" s="46" t="s">
        <v>29</v>
      </c>
      <c r="P61" s="46">
        <v>0</v>
      </c>
      <c r="Q61" s="46" t="s">
        <v>670</v>
      </c>
      <c r="R61" s="46" t="s">
        <v>23</v>
      </c>
      <c r="S61" s="46" t="s">
        <v>671</v>
      </c>
      <c r="T61" s="46" t="s">
        <v>672</v>
      </c>
      <c r="U61" s="46" t="b">
        <v>1</v>
      </c>
      <c r="V61" s="46" t="s">
        <v>1015</v>
      </c>
      <c r="W61" s="46" t="s">
        <v>1016</v>
      </c>
      <c r="X61" s="46">
        <v>6</v>
      </c>
      <c r="Y61" s="46" t="b">
        <v>1</v>
      </c>
      <c r="Z61" s="46" t="s">
        <v>675</v>
      </c>
      <c r="AA61" s="46" t="s">
        <v>676</v>
      </c>
      <c r="AB61" s="46" t="s">
        <v>677</v>
      </c>
      <c r="AC61" s="46">
        <v>0</v>
      </c>
      <c r="AD61" s="46" t="s">
        <v>678</v>
      </c>
      <c r="AE61" s="46">
        <v>8</v>
      </c>
      <c r="AF61" s="46" t="s">
        <v>679</v>
      </c>
      <c r="AG61" s="46">
        <v>21856.260999999999</v>
      </c>
      <c r="AH61" s="46" t="b">
        <v>1</v>
      </c>
      <c r="AI61" s="46">
        <v>-1</v>
      </c>
      <c r="AJ61" s="46" t="s">
        <v>680</v>
      </c>
      <c r="AK61" s="46">
        <v>0</v>
      </c>
      <c r="AL61" s="46" t="b">
        <v>0</v>
      </c>
      <c r="AM61" s="46">
        <v>21856.260999999999</v>
      </c>
      <c r="AN61" s="46" t="b">
        <v>1</v>
      </c>
      <c r="AO61" s="46">
        <v>0</v>
      </c>
      <c r="AP61" s="46" t="b">
        <v>0</v>
      </c>
      <c r="AQ61" s="46">
        <v>12680.434999999999</v>
      </c>
      <c r="AS61" s="46">
        <v>12680.434999999999</v>
      </c>
      <c r="AT61" s="46">
        <v>6</v>
      </c>
      <c r="AU61" s="46" t="b">
        <v>1</v>
      </c>
      <c r="AV61" s="46" t="b">
        <v>0</v>
      </c>
    </row>
    <row r="62" spans="2:48">
      <c r="B62" s="46" t="s">
        <v>665</v>
      </c>
      <c r="C62" s="46" t="s">
        <v>666</v>
      </c>
      <c r="D62" s="46">
        <v>20240401</v>
      </c>
      <c r="E62" s="46">
        <v>2024</v>
      </c>
      <c r="F62" s="46">
        <v>4</v>
      </c>
      <c r="G62" s="46" t="s">
        <v>695</v>
      </c>
      <c r="H62" s="46">
        <v>818</v>
      </c>
      <c r="I62" s="46" t="s">
        <v>668</v>
      </c>
      <c r="J62" s="46" t="s">
        <v>57</v>
      </c>
      <c r="K62" s="46" t="s">
        <v>666</v>
      </c>
      <c r="L62" s="46" t="s">
        <v>669</v>
      </c>
      <c r="M62" s="46">
        <v>784</v>
      </c>
      <c r="N62" s="46" t="s">
        <v>694</v>
      </c>
      <c r="O62" s="46" t="s">
        <v>25</v>
      </c>
      <c r="P62" s="46">
        <v>0</v>
      </c>
      <c r="Q62" s="46" t="s">
        <v>670</v>
      </c>
      <c r="R62" s="46" t="s">
        <v>23</v>
      </c>
      <c r="S62" s="46" t="s">
        <v>671</v>
      </c>
      <c r="T62" s="46" t="s">
        <v>672</v>
      </c>
      <c r="U62" s="46" t="b">
        <v>1</v>
      </c>
      <c r="V62" s="46" t="s">
        <v>1015</v>
      </c>
      <c r="W62" s="46" t="s">
        <v>1016</v>
      </c>
      <c r="X62" s="46">
        <v>6</v>
      </c>
      <c r="Y62" s="46" t="b">
        <v>1</v>
      </c>
      <c r="Z62" s="46" t="s">
        <v>675</v>
      </c>
      <c r="AA62" s="46" t="s">
        <v>676</v>
      </c>
      <c r="AB62" s="46" t="s">
        <v>677</v>
      </c>
      <c r="AC62" s="46">
        <v>0</v>
      </c>
      <c r="AD62" s="46" t="s">
        <v>678</v>
      </c>
      <c r="AE62" s="46">
        <v>8</v>
      </c>
      <c r="AF62" s="46" t="s">
        <v>679</v>
      </c>
      <c r="AG62" s="46">
        <v>7799.7110000000002</v>
      </c>
      <c r="AH62" s="46" t="b">
        <v>1</v>
      </c>
      <c r="AI62" s="46">
        <v>-1</v>
      </c>
      <c r="AJ62" s="46" t="s">
        <v>680</v>
      </c>
      <c r="AK62" s="46">
        <v>0</v>
      </c>
      <c r="AL62" s="46" t="b">
        <v>0</v>
      </c>
      <c r="AM62" s="46">
        <v>7799.7110000000002</v>
      </c>
      <c r="AN62" s="46" t="b">
        <v>1</v>
      </c>
      <c r="AO62" s="46">
        <v>0</v>
      </c>
      <c r="AP62" s="46" t="b">
        <v>0</v>
      </c>
      <c r="AQ62" s="46">
        <v>4525.1899999999996</v>
      </c>
      <c r="AS62" s="46">
        <v>4525.1899999999996</v>
      </c>
      <c r="AT62" s="46">
        <v>6</v>
      </c>
      <c r="AU62" s="46" t="b">
        <v>1</v>
      </c>
      <c r="AV62" s="46" t="b">
        <v>0</v>
      </c>
    </row>
    <row r="63" spans="2:48">
      <c r="B63" s="46" t="s">
        <v>665</v>
      </c>
      <c r="C63" s="46" t="s">
        <v>666</v>
      </c>
      <c r="D63" s="46">
        <v>20240201</v>
      </c>
      <c r="E63" s="46">
        <v>2024</v>
      </c>
      <c r="F63" s="46">
        <v>2</v>
      </c>
      <c r="G63" s="46" t="s">
        <v>687</v>
      </c>
      <c r="H63" s="46">
        <v>818</v>
      </c>
      <c r="I63" s="46" t="s">
        <v>668</v>
      </c>
      <c r="J63" s="46" t="s">
        <v>57</v>
      </c>
      <c r="K63" s="46" t="s">
        <v>666</v>
      </c>
      <c r="L63" s="46" t="s">
        <v>669</v>
      </c>
      <c r="M63" s="46">
        <v>724</v>
      </c>
      <c r="N63" s="46" t="s">
        <v>684</v>
      </c>
      <c r="O63" s="46" t="s">
        <v>51</v>
      </c>
      <c r="P63" s="46">
        <v>0</v>
      </c>
      <c r="Q63" s="46" t="s">
        <v>670</v>
      </c>
      <c r="R63" s="46" t="s">
        <v>23</v>
      </c>
      <c r="S63" s="46" t="s">
        <v>671</v>
      </c>
      <c r="T63" s="46" t="s">
        <v>672</v>
      </c>
      <c r="U63" s="46" t="b">
        <v>1</v>
      </c>
      <c r="V63" s="46" t="s">
        <v>1015</v>
      </c>
      <c r="W63" s="46" t="s">
        <v>1016</v>
      </c>
      <c r="X63" s="46">
        <v>6</v>
      </c>
      <c r="Y63" s="46" t="b">
        <v>1</v>
      </c>
      <c r="Z63" s="46" t="s">
        <v>675</v>
      </c>
      <c r="AA63" s="46" t="s">
        <v>676</v>
      </c>
      <c r="AB63" s="46" t="s">
        <v>677</v>
      </c>
      <c r="AC63" s="46">
        <v>0</v>
      </c>
      <c r="AD63" s="46" t="s">
        <v>678</v>
      </c>
      <c r="AE63" s="46">
        <v>8</v>
      </c>
      <c r="AF63" s="46" t="s">
        <v>679</v>
      </c>
      <c r="AG63" s="46">
        <v>4323.5050000000001</v>
      </c>
      <c r="AH63" s="46" t="b">
        <v>1</v>
      </c>
      <c r="AI63" s="46">
        <v>-1</v>
      </c>
      <c r="AJ63" s="46" t="s">
        <v>680</v>
      </c>
      <c r="AK63" s="46">
        <v>0</v>
      </c>
      <c r="AL63" s="46" t="b">
        <v>0</v>
      </c>
      <c r="AM63" s="46">
        <v>4323.5050000000001</v>
      </c>
      <c r="AN63" s="46" t="b">
        <v>1</v>
      </c>
      <c r="AO63" s="46">
        <v>0</v>
      </c>
      <c r="AP63" s="46" t="b">
        <v>0</v>
      </c>
      <c r="AQ63" s="46">
        <v>2508.3850000000002</v>
      </c>
      <c r="AS63" s="46">
        <v>2508.3850000000002</v>
      </c>
      <c r="AT63" s="46">
        <v>6</v>
      </c>
      <c r="AU63" s="46" t="b">
        <v>1</v>
      </c>
      <c r="AV63" s="46" t="b">
        <v>0</v>
      </c>
    </row>
    <row r="64" spans="2:48">
      <c r="B64" s="46" t="s">
        <v>665</v>
      </c>
      <c r="C64" s="46" t="s">
        <v>666</v>
      </c>
      <c r="D64" s="46">
        <v>20240101</v>
      </c>
      <c r="E64" s="46">
        <v>2024</v>
      </c>
      <c r="F64" s="46">
        <v>1</v>
      </c>
      <c r="G64" s="46" t="s">
        <v>667</v>
      </c>
      <c r="H64" s="46">
        <v>818</v>
      </c>
      <c r="I64" s="46" t="s">
        <v>668</v>
      </c>
      <c r="J64" s="46" t="s">
        <v>57</v>
      </c>
      <c r="K64" s="46" t="s">
        <v>666</v>
      </c>
      <c r="L64" s="46" t="s">
        <v>669</v>
      </c>
      <c r="M64" s="46">
        <v>724</v>
      </c>
      <c r="N64" s="46" t="s">
        <v>684</v>
      </c>
      <c r="O64" s="46" t="s">
        <v>51</v>
      </c>
      <c r="P64" s="46">
        <v>0</v>
      </c>
      <c r="Q64" s="46" t="s">
        <v>670</v>
      </c>
      <c r="R64" s="46" t="s">
        <v>23</v>
      </c>
      <c r="S64" s="46" t="s">
        <v>671</v>
      </c>
      <c r="T64" s="46" t="s">
        <v>672</v>
      </c>
      <c r="U64" s="46" t="b">
        <v>1</v>
      </c>
      <c r="V64" s="46" t="s">
        <v>1015</v>
      </c>
      <c r="W64" s="46" t="s">
        <v>1016</v>
      </c>
      <c r="X64" s="46">
        <v>6</v>
      </c>
      <c r="Y64" s="46" t="b">
        <v>1</v>
      </c>
      <c r="Z64" s="46" t="s">
        <v>675</v>
      </c>
      <c r="AA64" s="46" t="s">
        <v>676</v>
      </c>
      <c r="AB64" s="46" t="s">
        <v>677</v>
      </c>
      <c r="AC64" s="46">
        <v>0</v>
      </c>
      <c r="AD64" s="46" t="s">
        <v>678</v>
      </c>
      <c r="AE64" s="46">
        <v>8</v>
      </c>
      <c r="AF64" s="46" t="s">
        <v>679</v>
      </c>
      <c r="AG64" s="46">
        <v>4614.2169999999996</v>
      </c>
      <c r="AH64" s="46" t="b">
        <v>1</v>
      </c>
      <c r="AI64" s="46">
        <v>-1</v>
      </c>
      <c r="AJ64" s="46" t="s">
        <v>680</v>
      </c>
      <c r="AK64" s="46">
        <v>0</v>
      </c>
      <c r="AL64" s="46" t="b">
        <v>0</v>
      </c>
      <c r="AM64" s="46">
        <v>4614.2169999999996</v>
      </c>
      <c r="AN64" s="46" t="b">
        <v>1</v>
      </c>
      <c r="AO64" s="46">
        <v>0</v>
      </c>
      <c r="AP64" s="46" t="b">
        <v>0</v>
      </c>
      <c r="AQ64" s="46">
        <v>2677.049</v>
      </c>
      <c r="AS64" s="46">
        <v>2677.049</v>
      </c>
      <c r="AT64" s="46">
        <v>6</v>
      </c>
      <c r="AU64" s="46" t="b">
        <v>1</v>
      </c>
      <c r="AV64" s="46" t="b">
        <v>0</v>
      </c>
    </row>
    <row r="65" spans="2:48">
      <c r="B65" s="46" t="s">
        <v>665</v>
      </c>
      <c r="C65" s="46" t="s">
        <v>666</v>
      </c>
      <c r="D65" s="46">
        <v>20240401</v>
      </c>
      <c r="E65" s="46">
        <v>2024</v>
      </c>
      <c r="F65" s="46">
        <v>4</v>
      </c>
      <c r="G65" s="46" t="s">
        <v>695</v>
      </c>
      <c r="H65" s="46">
        <v>818</v>
      </c>
      <c r="I65" s="46" t="s">
        <v>668</v>
      </c>
      <c r="J65" s="46" t="s">
        <v>57</v>
      </c>
      <c r="K65" s="46" t="s">
        <v>666</v>
      </c>
      <c r="L65" s="46" t="s">
        <v>669</v>
      </c>
      <c r="M65" s="46">
        <v>682</v>
      </c>
      <c r="N65" s="46" t="s">
        <v>758</v>
      </c>
      <c r="O65" s="46" t="s">
        <v>39</v>
      </c>
      <c r="P65" s="46">
        <v>0</v>
      </c>
      <c r="Q65" s="46" t="s">
        <v>670</v>
      </c>
      <c r="R65" s="46" t="s">
        <v>23</v>
      </c>
      <c r="S65" s="46" t="s">
        <v>671</v>
      </c>
      <c r="T65" s="46" t="s">
        <v>672</v>
      </c>
      <c r="U65" s="46" t="b">
        <v>1</v>
      </c>
      <c r="V65" s="46" t="s">
        <v>1015</v>
      </c>
      <c r="W65" s="46" t="s">
        <v>1016</v>
      </c>
      <c r="X65" s="46">
        <v>6</v>
      </c>
      <c r="Y65" s="46" t="b">
        <v>1</v>
      </c>
      <c r="Z65" s="46" t="s">
        <v>675</v>
      </c>
      <c r="AA65" s="46" t="s">
        <v>676</v>
      </c>
      <c r="AB65" s="46" t="s">
        <v>677</v>
      </c>
      <c r="AC65" s="46">
        <v>0</v>
      </c>
      <c r="AD65" s="46" t="s">
        <v>678</v>
      </c>
      <c r="AE65" s="46">
        <v>8</v>
      </c>
      <c r="AF65" s="46" t="s">
        <v>679</v>
      </c>
      <c r="AG65" s="46">
        <v>57348.264999999999</v>
      </c>
      <c r="AH65" s="46" t="b">
        <v>1</v>
      </c>
      <c r="AI65" s="46">
        <v>-1</v>
      </c>
      <c r="AJ65" s="46" t="s">
        <v>680</v>
      </c>
      <c r="AK65" s="46">
        <v>0</v>
      </c>
      <c r="AL65" s="46" t="b">
        <v>0</v>
      </c>
      <c r="AM65" s="46">
        <v>57348.264999999999</v>
      </c>
      <c r="AN65" s="46" t="b">
        <v>1</v>
      </c>
      <c r="AO65" s="46">
        <v>0</v>
      </c>
      <c r="AP65" s="46" t="b">
        <v>0</v>
      </c>
      <c r="AQ65" s="46">
        <v>33271.972999999998</v>
      </c>
      <c r="AS65" s="46">
        <v>33271.972999999998</v>
      </c>
      <c r="AT65" s="46">
        <v>6</v>
      </c>
      <c r="AU65" s="46" t="b">
        <v>1</v>
      </c>
      <c r="AV65" s="46" t="b">
        <v>0</v>
      </c>
    </row>
    <row r="66" spans="2:48">
      <c r="B66" s="46" t="s">
        <v>665</v>
      </c>
      <c r="C66" s="46" t="s">
        <v>666</v>
      </c>
      <c r="D66" s="46">
        <v>20240401</v>
      </c>
      <c r="E66" s="46">
        <v>2024</v>
      </c>
      <c r="F66" s="46">
        <v>4</v>
      </c>
      <c r="G66" s="46" t="s">
        <v>695</v>
      </c>
      <c r="H66" s="46">
        <v>818</v>
      </c>
      <c r="I66" s="46" t="s">
        <v>668</v>
      </c>
      <c r="J66" s="46" t="s">
        <v>57</v>
      </c>
      <c r="K66" s="46" t="s">
        <v>666</v>
      </c>
      <c r="L66" s="46" t="s">
        <v>669</v>
      </c>
      <c r="M66" s="46">
        <v>792</v>
      </c>
      <c r="N66" s="46" t="s">
        <v>691</v>
      </c>
      <c r="O66" s="46" t="s">
        <v>63</v>
      </c>
      <c r="P66" s="46">
        <v>0</v>
      </c>
      <c r="Q66" s="46" t="s">
        <v>670</v>
      </c>
      <c r="R66" s="46" t="s">
        <v>23</v>
      </c>
      <c r="S66" s="46" t="s">
        <v>671</v>
      </c>
      <c r="T66" s="46" t="s">
        <v>672</v>
      </c>
      <c r="U66" s="46" t="b">
        <v>1</v>
      </c>
      <c r="V66" s="46" t="s">
        <v>1015</v>
      </c>
      <c r="W66" s="46" t="s">
        <v>1016</v>
      </c>
      <c r="X66" s="46">
        <v>6</v>
      </c>
      <c r="Y66" s="46" t="b">
        <v>1</v>
      </c>
      <c r="Z66" s="46" t="s">
        <v>675</v>
      </c>
      <c r="AA66" s="46" t="s">
        <v>676</v>
      </c>
      <c r="AB66" s="46" t="s">
        <v>677</v>
      </c>
      <c r="AC66" s="46">
        <v>0</v>
      </c>
      <c r="AD66" s="46" t="s">
        <v>678</v>
      </c>
      <c r="AE66" s="46">
        <v>8</v>
      </c>
      <c r="AF66" s="46" t="s">
        <v>679</v>
      </c>
      <c r="AG66" s="46">
        <v>14809.306</v>
      </c>
      <c r="AH66" s="46" t="b">
        <v>1</v>
      </c>
      <c r="AI66" s="46">
        <v>-1</v>
      </c>
      <c r="AJ66" s="46" t="s">
        <v>680</v>
      </c>
      <c r="AK66" s="46">
        <v>0</v>
      </c>
      <c r="AL66" s="46" t="b">
        <v>0</v>
      </c>
      <c r="AM66" s="46">
        <v>14809.306</v>
      </c>
      <c r="AN66" s="46" t="b">
        <v>1</v>
      </c>
      <c r="AO66" s="46">
        <v>0</v>
      </c>
      <c r="AP66" s="46" t="b">
        <v>0</v>
      </c>
      <c r="AQ66" s="46">
        <v>8591.9750000000004</v>
      </c>
      <c r="AS66" s="46">
        <v>8591.9750000000004</v>
      </c>
      <c r="AT66" s="46">
        <v>6</v>
      </c>
      <c r="AU66" s="46" t="b">
        <v>1</v>
      </c>
      <c r="AV66" s="46" t="b">
        <v>0</v>
      </c>
    </row>
    <row r="67" spans="2:48">
      <c r="B67" s="46" t="s">
        <v>665</v>
      </c>
      <c r="C67" s="46" t="s">
        <v>666</v>
      </c>
      <c r="D67" s="46">
        <v>20240501</v>
      </c>
      <c r="E67" s="46">
        <v>2024</v>
      </c>
      <c r="F67" s="46">
        <v>5</v>
      </c>
      <c r="G67" s="46" t="s">
        <v>699</v>
      </c>
      <c r="H67" s="46">
        <v>818</v>
      </c>
      <c r="I67" s="46" t="s">
        <v>668</v>
      </c>
      <c r="J67" s="46" t="s">
        <v>57</v>
      </c>
      <c r="K67" s="46" t="s">
        <v>666</v>
      </c>
      <c r="L67" s="46" t="s">
        <v>669</v>
      </c>
      <c r="M67" s="46">
        <v>276</v>
      </c>
      <c r="N67" s="46" t="s">
        <v>681</v>
      </c>
      <c r="O67" s="46" t="s">
        <v>30</v>
      </c>
      <c r="P67" s="46">
        <v>0</v>
      </c>
      <c r="Q67" s="46" t="s">
        <v>670</v>
      </c>
      <c r="R67" s="46" t="s">
        <v>23</v>
      </c>
      <c r="S67" s="46" t="s">
        <v>671</v>
      </c>
      <c r="T67" s="46" t="s">
        <v>672</v>
      </c>
      <c r="U67" s="46" t="b">
        <v>1</v>
      </c>
      <c r="V67" s="46" t="s">
        <v>1015</v>
      </c>
      <c r="W67" s="46" t="s">
        <v>1016</v>
      </c>
      <c r="X67" s="46">
        <v>6</v>
      </c>
      <c r="Y67" s="46" t="b">
        <v>1</v>
      </c>
      <c r="Z67" s="46" t="s">
        <v>675</v>
      </c>
      <c r="AA67" s="46" t="s">
        <v>676</v>
      </c>
      <c r="AB67" s="46" t="s">
        <v>677</v>
      </c>
      <c r="AC67" s="46">
        <v>0</v>
      </c>
      <c r="AD67" s="46" t="s">
        <v>678</v>
      </c>
      <c r="AE67" s="46">
        <v>8</v>
      </c>
      <c r="AF67" s="46" t="s">
        <v>679</v>
      </c>
      <c r="AG67" s="46">
        <v>10057.123</v>
      </c>
      <c r="AH67" s="46" t="b">
        <v>1</v>
      </c>
      <c r="AI67" s="46">
        <v>-1</v>
      </c>
      <c r="AJ67" s="46" t="s">
        <v>680</v>
      </c>
      <c r="AK67" s="46">
        <v>0</v>
      </c>
      <c r="AL67" s="46" t="b">
        <v>0</v>
      </c>
      <c r="AM67" s="46">
        <v>10057.123</v>
      </c>
      <c r="AN67" s="46" t="b">
        <v>1</v>
      </c>
      <c r="AO67" s="46">
        <v>0</v>
      </c>
      <c r="AP67" s="46" t="b">
        <v>0</v>
      </c>
      <c r="AQ67" s="46">
        <v>5834.8810000000003</v>
      </c>
      <c r="AS67" s="46">
        <v>5834.8810000000003</v>
      </c>
      <c r="AT67" s="46">
        <v>6</v>
      </c>
      <c r="AU67" s="46" t="b">
        <v>1</v>
      </c>
      <c r="AV67" s="46" t="b">
        <v>0</v>
      </c>
    </row>
    <row r="68" spans="2:48">
      <c r="B68" s="46" t="s">
        <v>665</v>
      </c>
      <c r="C68" s="46" t="s">
        <v>666</v>
      </c>
      <c r="D68" s="46">
        <v>20240201</v>
      </c>
      <c r="E68" s="46">
        <v>2024</v>
      </c>
      <c r="F68" s="46">
        <v>2</v>
      </c>
      <c r="G68" s="46" t="s">
        <v>687</v>
      </c>
      <c r="H68" s="46">
        <v>818</v>
      </c>
      <c r="I68" s="46" t="s">
        <v>668</v>
      </c>
      <c r="J68" s="46" t="s">
        <v>57</v>
      </c>
      <c r="K68" s="46" t="s">
        <v>666</v>
      </c>
      <c r="L68" s="46" t="s">
        <v>669</v>
      </c>
      <c r="M68" s="46">
        <v>276</v>
      </c>
      <c r="N68" s="46" t="s">
        <v>681</v>
      </c>
      <c r="O68" s="46" t="s">
        <v>30</v>
      </c>
      <c r="P68" s="46">
        <v>0</v>
      </c>
      <c r="Q68" s="46" t="s">
        <v>670</v>
      </c>
      <c r="R68" s="46" t="s">
        <v>23</v>
      </c>
      <c r="S68" s="46" t="s">
        <v>671</v>
      </c>
      <c r="T68" s="46" t="s">
        <v>672</v>
      </c>
      <c r="U68" s="46" t="b">
        <v>1</v>
      </c>
      <c r="V68" s="46" t="s">
        <v>1015</v>
      </c>
      <c r="W68" s="46" t="s">
        <v>1016</v>
      </c>
      <c r="X68" s="46">
        <v>6</v>
      </c>
      <c r="Y68" s="46" t="b">
        <v>1</v>
      </c>
      <c r="Z68" s="46" t="s">
        <v>675</v>
      </c>
      <c r="AA68" s="46" t="s">
        <v>676</v>
      </c>
      <c r="AB68" s="46" t="s">
        <v>677</v>
      </c>
      <c r="AC68" s="46">
        <v>0</v>
      </c>
      <c r="AD68" s="46" t="s">
        <v>678</v>
      </c>
      <c r="AE68" s="46">
        <v>8</v>
      </c>
      <c r="AF68" s="46" t="s">
        <v>679</v>
      </c>
      <c r="AG68" s="46">
        <v>765.09900000000005</v>
      </c>
      <c r="AH68" s="46" t="b">
        <v>1</v>
      </c>
      <c r="AI68" s="46">
        <v>-1</v>
      </c>
      <c r="AJ68" s="46" t="s">
        <v>680</v>
      </c>
      <c r="AK68" s="46">
        <v>0</v>
      </c>
      <c r="AL68" s="46" t="b">
        <v>0</v>
      </c>
      <c r="AM68" s="46">
        <v>765.09900000000005</v>
      </c>
      <c r="AN68" s="46" t="b">
        <v>1</v>
      </c>
      <c r="AO68" s="46">
        <v>0</v>
      </c>
      <c r="AP68" s="46" t="b">
        <v>0</v>
      </c>
      <c r="AQ68" s="46">
        <v>443.89100000000002</v>
      </c>
      <c r="AS68" s="46">
        <v>443.89100000000002</v>
      </c>
      <c r="AT68" s="46">
        <v>6</v>
      </c>
      <c r="AU68" s="46" t="b">
        <v>1</v>
      </c>
      <c r="AV68" s="46" t="b">
        <v>0</v>
      </c>
    </row>
    <row r="69" spans="2:48">
      <c r="B69" s="46" t="s">
        <v>665</v>
      </c>
      <c r="C69" s="46" t="s">
        <v>666</v>
      </c>
      <c r="D69" s="46">
        <v>20230701</v>
      </c>
      <c r="E69" s="46">
        <v>2023</v>
      </c>
      <c r="F69" s="46">
        <v>7</v>
      </c>
      <c r="G69" s="46" t="s">
        <v>718</v>
      </c>
      <c r="H69" s="46">
        <v>818</v>
      </c>
      <c r="I69" s="46" t="s">
        <v>668</v>
      </c>
      <c r="J69" s="46" t="s">
        <v>57</v>
      </c>
      <c r="K69" s="46" t="s">
        <v>666</v>
      </c>
      <c r="L69" s="46" t="s">
        <v>669</v>
      </c>
      <c r="M69" s="46">
        <v>0</v>
      </c>
      <c r="N69" s="46" t="s">
        <v>670</v>
      </c>
      <c r="O69" s="46" t="s">
        <v>23</v>
      </c>
      <c r="P69" s="46">
        <v>0</v>
      </c>
      <c r="Q69" s="46" t="s">
        <v>670</v>
      </c>
      <c r="R69" s="46" t="s">
        <v>23</v>
      </c>
      <c r="S69" s="46" t="s">
        <v>671</v>
      </c>
      <c r="T69" s="46" t="s">
        <v>672</v>
      </c>
      <c r="U69" s="46" t="b">
        <v>1</v>
      </c>
      <c r="V69" s="46" t="s">
        <v>1015</v>
      </c>
      <c r="W69" s="46" t="s">
        <v>1016</v>
      </c>
      <c r="X69" s="46">
        <v>6</v>
      </c>
      <c r="Y69" s="46" t="b">
        <v>1</v>
      </c>
      <c r="Z69" s="46" t="s">
        <v>675</v>
      </c>
      <c r="AA69" s="46" t="s">
        <v>676</v>
      </c>
      <c r="AB69" s="46" t="s">
        <v>677</v>
      </c>
      <c r="AC69" s="46">
        <v>0</v>
      </c>
      <c r="AD69" s="46" t="s">
        <v>678</v>
      </c>
      <c r="AE69" s="46">
        <v>8</v>
      </c>
      <c r="AF69" s="46" t="s">
        <v>679</v>
      </c>
      <c r="AG69" s="46">
        <v>4719.2740000000003</v>
      </c>
      <c r="AH69" s="46" t="b">
        <v>1</v>
      </c>
      <c r="AI69" s="46">
        <v>-1</v>
      </c>
      <c r="AJ69" s="46" t="s">
        <v>680</v>
      </c>
      <c r="AK69" s="46">
        <v>0</v>
      </c>
      <c r="AL69" s="46" t="b">
        <v>0</v>
      </c>
      <c r="AM69" s="46">
        <v>4719.2740000000003</v>
      </c>
      <c r="AN69" s="46" t="b">
        <v>1</v>
      </c>
      <c r="AO69" s="46">
        <v>0</v>
      </c>
      <c r="AP69" s="46" t="b">
        <v>0</v>
      </c>
      <c r="AQ69" s="46">
        <v>2738</v>
      </c>
      <c r="AS69" s="46">
        <v>2738</v>
      </c>
      <c r="AT69" s="46">
        <v>6</v>
      </c>
      <c r="AU69" s="46" t="b">
        <v>0</v>
      </c>
      <c r="AV69" s="46" t="b">
        <v>1</v>
      </c>
    </row>
    <row r="70" spans="2:48">
      <c r="B70" s="46" t="s">
        <v>665</v>
      </c>
      <c r="C70" s="46" t="s">
        <v>666</v>
      </c>
      <c r="D70" s="46">
        <v>20230701</v>
      </c>
      <c r="E70" s="46">
        <v>2023</v>
      </c>
      <c r="F70" s="46">
        <v>7</v>
      </c>
      <c r="G70" s="46" t="s">
        <v>718</v>
      </c>
      <c r="H70" s="46">
        <v>818</v>
      </c>
      <c r="I70" s="46" t="s">
        <v>668</v>
      </c>
      <c r="J70" s="46" t="s">
        <v>57</v>
      </c>
      <c r="K70" s="46" t="s">
        <v>666</v>
      </c>
      <c r="L70" s="46" t="s">
        <v>669</v>
      </c>
      <c r="M70" s="46">
        <v>156</v>
      </c>
      <c r="N70" s="46" t="s">
        <v>711</v>
      </c>
      <c r="O70" s="46" t="s">
        <v>29</v>
      </c>
      <c r="P70" s="46">
        <v>0</v>
      </c>
      <c r="Q70" s="46" t="s">
        <v>670</v>
      </c>
      <c r="R70" s="46" t="s">
        <v>23</v>
      </c>
      <c r="S70" s="46" t="s">
        <v>671</v>
      </c>
      <c r="T70" s="46" t="s">
        <v>672</v>
      </c>
      <c r="U70" s="46" t="b">
        <v>1</v>
      </c>
      <c r="V70" s="46" t="s">
        <v>1015</v>
      </c>
      <c r="W70" s="46" t="s">
        <v>1016</v>
      </c>
      <c r="X70" s="46">
        <v>6</v>
      </c>
      <c r="Y70" s="46" t="b">
        <v>1</v>
      </c>
      <c r="Z70" s="46" t="s">
        <v>675</v>
      </c>
      <c r="AA70" s="46" t="s">
        <v>676</v>
      </c>
      <c r="AB70" s="46" t="s">
        <v>677</v>
      </c>
      <c r="AC70" s="46">
        <v>0</v>
      </c>
      <c r="AD70" s="46" t="s">
        <v>678</v>
      </c>
      <c r="AE70" s="46">
        <v>8</v>
      </c>
      <c r="AF70" s="46" t="s">
        <v>679</v>
      </c>
      <c r="AG70" s="46">
        <v>4719.2740000000003</v>
      </c>
      <c r="AH70" s="46" t="b">
        <v>1</v>
      </c>
      <c r="AI70" s="46">
        <v>-1</v>
      </c>
      <c r="AJ70" s="46" t="s">
        <v>680</v>
      </c>
      <c r="AK70" s="46">
        <v>0</v>
      </c>
      <c r="AL70" s="46" t="b">
        <v>0</v>
      </c>
      <c r="AM70" s="46">
        <v>4719.2740000000003</v>
      </c>
      <c r="AN70" s="46" t="b">
        <v>1</v>
      </c>
      <c r="AO70" s="46">
        <v>0</v>
      </c>
      <c r="AP70" s="46" t="b">
        <v>0</v>
      </c>
      <c r="AQ70" s="46">
        <v>2738</v>
      </c>
      <c r="AS70" s="46">
        <v>2738</v>
      </c>
      <c r="AT70" s="46">
        <v>6</v>
      </c>
      <c r="AU70" s="46" t="b">
        <v>1</v>
      </c>
      <c r="AV70" s="46" t="b">
        <v>0</v>
      </c>
    </row>
    <row r="71" spans="2:48">
      <c r="B71" s="46" t="s">
        <v>665</v>
      </c>
      <c r="C71" s="46" t="s">
        <v>666</v>
      </c>
      <c r="D71" s="46">
        <v>20230801</v>
      </c>
      <c r="E71" s="46">
        <v>2023</v>
      </c>
      <c r="F71" s="46">
        <v>8</v>
      </c>
      <c r="G71" s="46" t="s">
        <v>721</v>
      </c>
      <c r="H71" s="46">
        <v>818</v>
      </c>
      <c r="I71" s="46" t="s">
        <v>668</v>
      </c>
      <c r="J71" s="46" t="s">
        <v>57</v>
      </c>
      <c r="K71" s="46" t="s">
        <v>666</v>
      </c>
      <c r="L71" s="46" t="s">
        <v>669</v>
      </c>
      <c r="M71" s="46">
        <v>0</v>
      </c>
      <c r="N71" s="46" t="s">
        <v>670</v>
      </c>
      <c r="O71" s="46" t="s">
        <v>23</v>
      </c>
      <c r="P71" s="46">
        <v>0</v>
      </c>
      <c r="Q71" s="46" t="s">
        <v>670</v>
      </c>
      <c r="R71" s="46" t="s">
        <v>23</v>
      </c>
      <c r="S71" s="46" t="s">
        <v>671</v>
      </c>
      <c r="T71" s="46" t="s">
        <v>672</v>
      </c>
      <c r="U71" s="46" t="b">
        <v>1</v>
      </c>
      <c r="V71" s="46" t="s">
        <v>1015</v>
      </c>
      <c r="W71" s="46" t="s">
        <v>1016</v>
      </c>
      <c r="X71" s="46">
        <v>6</v>
      </c>
      <c r="Y71" s="46" t="b">
        <v>1</v>
      </c>
      <c r="Z71" s="46" t="s">
        <v>675</v>
      </c>
      <c r="AA71" s="46" t="s">
        <v>676</v>
      </c>
      <c r="AB71" s="46" t="s">
        <v>677</v>
      </c>
      <c r="AC71" s="46">
        <v>0</v>
      </c>
      <c r="AD71" s="46" t="s">
        <v>678</v>
      </c>
      <c r="AE71" s="46">
        <v>8</v>
      </c>
      <c r="AF71" s="46" t="s">
        <v>679</v>
      </c>
      <c r="AG71" s="46">
        <v>34066.163</v>
      </c>
      <c r="AH71" s="46" t="b">
        <v>1</v>
      </c>
      <c r="AI71" s="46">
        <v>-1</v>
      </c>
      <c r="AJ71" s="46" t="s">
        <v>680</v>
      </c>
      <c r="AK71" s="46">
        <v>0</v>
      </c>
      <c r="AL71" s="46" t="b">
        <v>0</v>
      </c>
      <c r="AM71" s="46">
        <v>34066.163</v>
      </c>
      <c r="AN71" s="46" t="b">
        <v>1</v>
      </c>
      <c r="AO71" s="46">
        <v>0</v>
      </c>
      <c r="AP71" s="46" t="b">
        <v>0</v>
      </c>
      <c r="AQ71" s="46">
        <v>19764.302</v>
      </c>
      <c r="AS71" s="46">
        <v>19764.302</v>
      </c>
      <c r="AT71" s="46">
        <v>6</v>
      </c>
      <c r="AU71" s="46" t="b">
        <v>0</v>
      </c>
      <c r="AV71" s="46" t="b">
        <v>1</v>
      </c>
    </row>
    <row r="72" spans="2:48">
      <c r="B72" s="46" t="s">
        <v>665</v>
      </c>
      <c r="C72" s="46" t="s">
        <v>666</v>
      </c>
      <c r="D72" s="46">
        <v>20230801</v>
      </c>
      <c r="E72" s="46">
        <v>2023</v>
      </c>
      <c r="F72" s="46">
        <v>8</v>
      </c>
      <c r="G72" s="46" t="s">
        <v>721</v>
      </c>
      <c r="H72" s="46">
        <v>818</v>
      </c>
      <c r="I72" s="46" t="s">
        <v>668</v>
      </c>
      <c r="J72" s="46" t="s">
        <v>57</v>
      </c>
      <c r="K72" s="46" t="s">
        <v>666</v>
      </c>
      <c r="L72" s="46" t="s">
        <v>669</v>
      </c>
      <c r="M72" s="46">
        <v>344</v>
      </c>
      <c r="N72" s="46" t="s">
        <v>989</v>
      </c>
      <c r="O72" s="46" t="s">
        <v>990</v>
      </c>
      <c r="P72" s="46">
        <v>0</v>
      </c>
      <c r="Q72" s="46" t="s">
        <v>670</v>
      </c>
      <c r="R72" s="46" t="s">
        <v>23</v>
      </c>
      <c r="S72" s="46" t="s">
        <v>671</v>
      </c>
      <c r="T72" s="46" t="s">
        <v>672</v>
      </c>
      <c r="U72" s="46" t="b">
        <v>1</v>
      </c>
      <c r="V72" s="46" t="s">
        <v>1015</v>
      </c>
      <c r="W72" s="46" t="s">
        <v>1016</v>
      </c>
      <c r="X72" s="46">
        <v>6</v>
      </c>
      <c r="Y72" s="46" t="b">
        <v>1</v>
      </c>
      <c r="Z72" s="46" t="s">
        <v>675</v>
      </c>
      <c r="AA72" s="46" t="s">
        <v>676</v>
      </c>
      <c r="AB72" s="46" t="s">
        <v>677</v>
      </c>
      <c r="AC72" s="46">
        <v>0</v>
      </c>
      <c r="AD72" s="46" t="s">
        <v>678</v>
      </c>
      <c r="AE72" s="46">
        <v>8</v>
      </c>
      <c r="AF72" s="46" t="s">
        <v>679</v>
      </c>
      <c r="AG72" s="46">
        <v>14665.683999999999</v>
      </c>
      <c r="AH72" s="46" t="b">
        <v>1</v>
      </c>
      <c r="AI72" s="46">
        <v>-1</v>
      </c>
      <c r="AJ72" s="46" t="s">
        <v>680</v>
      </c>
      <c r="AK72" s="46">
        <v>0</v>
      </c>
      <c r="AL72" s="46" t="b">
        <v>0</v>
      </c>
      <c r="AM72" s="46">
        <v>14665.683999999999</v>
      </c>
      <c r="AN72" s="46" t="b">
        <v>1</v>
      </c>
      <c r="AO72" s="46">
        <v>0</v>
      </c>
      <c r="AP72" s="46" t="b">
        <v>0</v>
      </c>
      <c r="AQ72" s="46">
        <v>8508.6479999999992</v>
      </c>
      <c r="AS72" s="46">
        <v>8508.6479999999992</v>
      </c>
      <c r="AT72" s="46">
        <v>6</v>
      </c>
      <c r="AU72" s="46" t="b">
        <v>1</v>
      </c>
      <c r="AV72" s="46" t="b">
        <v>0</v>
      </c>
    </row>
    <row r="73" spans="2:48">
      <c r="B73" s="46" t="s">
        <v>665</v>
      </c>
      <c r="C73" s="46" t="s">
        <v>666</v>
      </c>
      <c r="D73" s="46">
        <v>20230801</v>
      </c>
      <c r="E73" s="46">
        <v>2023</v>
      </c>
      <c r="F73" s="46">
        <v>8</v>
      </c>
      <c r="G73" s="46" t="s">
        <v>721</v>
      </c>
      <c r="H73" s="46">
        <v>818</v>
      </c>
      <c r="I73" s="46" t="s">
        <v>668</v>
      </c>
      <c r="J73" s="46" t="s">
        <v>57</v>
      </c>
      <c r="K73" s="46" t="s">
        <v>666</v>
      </c>
      <c r="L73" s="46" t="s">
        <v>669</v>
      </c>
      <c r="M73" s="46">
        <v>699</v>
      </c>
      <c r="N73" s="46" t="s">
        <v>748</v>
      </c>
      <c r="O73" s="46" t="s">
        <v>0</v>
      </c>
      <c r="P73" s="46">
        <v>0</v>
      </c>
      <c r="Q73" s="46" t="s">
        <v>670</v>
      </c>
      <c r="R73" s="46" t="s">
        <v>23</v>
      </c>
      <c r="S73" s="46" t="s">
        <v>671</v>
      </c>
      <c r="T73" s="46" t="s">
        <v>672</v>
      </c>
      <c r="U73" s="46" t="b">
        <v>1</v>
      </c>
      <c r="V73" s="46" t="s">
        <v>1015</v>
      </c>
      <c r="W73" s="46" t="s">
        <v>1016</v>
      </c>
      <c r="X73" s="46">
        <v>6</v>
      </c>
      <c r="Y73" s="46" t="b">
        <v>1</v>
      </c>
      <c r="Z73" s="46" t="s">
        <v>675</v>
      </c>
      <c r="AA73" s="46" t="s">
        <v>676</v>
      </c>
      <c r="AB73" s="46" t="s">
        <v>677</v>
      </c>
      <c r="AC73" s="46">
        <v>0</v>
      </c>
      <c r="AD73" s="46" t="s">
        <v>678</v>
      </c>
      <c r="AE73" s="46">
        <v>8</v>
      </c>
      <c r="AF73" s="46" t="s">
        <v>679</v>
      </c>
      <c r="AG73" s="46">
        <v>18829.293000000001</v>
      </c>
      <c r="AH73" s="46" t="b">
        <v>1</v>
      </c>
      <c r="AI73" s="46">
        <v>-1</v>
      </c>
      <c r="AJ73" s="46" t="s">
        <v>680</v>
      </c>
      <c r="AK73" s="46">
        <v>0</v>
      </c>
      <c r="AL73" s="46" t="b">
        <v>0</v>
      </c>
      <c r="AM73" s="46">
        <v>18829.293000000001</v>
      </c>
      <c r="AN73" s="46" t="b">
        <v>1</v>
      </c>
      <c r="AO73" s="46">
        <v>0</v>
      </c>
      <c r="AP73" s="46" t="b">
        <v>0</v>
      </c>
      <c r="AQ73" s="46">
        <v>10924.267</v>
      </c>
      <c r="AS73" s="46">
        <v>10924.267</v>
      </c>
      <c r="AT73" s="46">
        <v>6</v>
      </c>
      <c r="AU73" s="46" t="b">
        <v>1</v>
      </c>
      <c r="AV73" s="46" t="b">
        <v>0</v>
      </c>
    </row>
    <row r="74" spans="2:48">
      <c r="B74" s="46" t="s">
        <v>665</v>
      </c>
      <c r="C74" s="46" t="s">
        <v>666</v>
      </c>
      <c r="D74" s="46">
        <v>20230801</v>
      </c>
      <c r="E74" s="46">
        <v>2023</v>
      </c>
      <c r="F74" s="46">
        <v>8</v>
      </c>
      <c r="G74" s="46" t="s">
        <v>721</v>
      </c>
      <c r="H74" s="46">
        <v>818</v>
      </c>
      <c r="I74" s="46" t="s">
        <v>668</v>
      </c>
      <c r="J74" s="46" t="s">
        <v>57</v>
      </c>
      <c r="K74" s="46" t="s">
        <v>666</v>
      </c>
      <c r="L74" s="46" t="s">
        <v>669</v>
      </c>
      <c r="M74" s="46">
        <v>156</v>
      </c>
      <c r="N74" s="46" t="s">
        <v>711</v>
      </c>
      <c r="O74" s="46" t="s">
        <v>29</v>
      </c>
      <c r="P74" s="46">
        <v>0</v>
      </c>
      <c r="Q74" s="46" t="s">
        <v>670</v>
      </c>
      <c r="R74" s="46" t="s">
        <v>23</v>
      </c>
      <c r="S74" s="46" t="s">
        <v>671</v>
      </c>
      <c r="T74" s="46" t="s">
        <v>672</v>
      </c>
      <c r="U74" s="46" t="b">
        <v>1</v>
      </c>
      <c r="V74" s="46" t="s">
        <v>1015</v>
      </c>
      <c r="W74" s="46" t="s">
        <v>1016</v>
      </c>
      <c r="X74" s="46">
        <v>6</v>
      </c>
      <c r="Y74" s="46" t="b">
        <v>1</v>
      </c>
      <c r="Z74" s="46" t="s">
        <v>675</v>
      </c>
      <c r="AA74" s="46" t="s">
        <v>676</v>
      </c>
      <c r="AB74" s="46" t="s">
        <v>677</v>
      </c>
      <c r="AC74" s="46">
        <v>0</v>
      </c>
      <c r="AD74" s="46" t="s">
        <v>678</v>
      </c>
      <c r="AE74" s="46">
        <v>8</v>
      </c>
      <c r="AF74" s="46" t="s">
        <v>679</v>
      </c>
      <c r="AG74" s="46">
        <v>571.18600000000004</v>
      </c>
      <c r="AH74" s="46" t="b">
        <v>1</v>
      </c>
      <c r="AI74" s="46">
        <v>-1</v>
      </c>
      <c r="AJ74" s="46" t="s">
        <v>680</v>
      </c>
      <c r="AK74" s="46">
        <v>0</v>
      </c>
      <c r="AL74" s="46" t="b">
        <v>0</v>
      </c>
      <c r="AM74" s="46">
        <v>571.18600000000004</v>
      </c>
      <c r="AN74" s="46" t="b">
        <v>1</v>
      </c>
      <c r="AO74" s="46">
        <v>0</v>
      </c>
      <c r="AP74" s="46" t="b">
        <v>0</v>
      </c>
      <c r="AQ74" s="46">
        <v>331.387</v>
      </c>
      <c r="AS74" s="46">
        <v>331.387</v>
      </c>
      <c r="AT74" s="46">
        <v>6</v>
      </c>
      <c r="AU74" s="46" t="b">
        <v>1</v>
      </c>
      <c r="AV74" s="46" t="b">
        <v>0</v>
      </c>
    </row>
    <row r="75" spans="2:48">
      <c r="B75" s="46" t="s">
        <v>665</v>
      </c>
      <c r="C75" s="46" t="s">
        <v>666</v>
      </c>
      <c r="D75" s="46">
        <v>20230901</v>
      </c>
      <c r="E75" s="46">
        <v>2023</v>
      </c>
      <c r="F75" s="46">
        <v>9</v>
      </c>
      <c r="G75" s="46" t="s">
        <v>723</v>
      </c>
      <c r="H75" s="46">
        <v>818</v>
      </c>
      <c r="I75" s="46" t="s">
        <v>668</v>
      </c>
      <c r="J75" s="46" t="s">
        <v>57</v>
      </c>
      <c r="K75" s="46" t="s">
        <v>666</v>
      </c>
      <c r="L75" s="46" t="s">
        <v>669</v>
      </c>
      <c r="M75" s="46">
        <v>0</v>
      </c>
      <c r="N75" s="46" t="s">
        <v>670</v>
      </c>
      <c r="O75" s="46" t="s">
        <v>23</v>
      </c>
      <c r="P75" s="46">
        <v>0</v>
      </c>
      <c r="Q75" s="46" t="s">
        <v>670</v>
      </c>
      <c r="R75" s="46" t="s">
        <v>23</v>
      </c>
      <c r="S75" s="46" t="s">
        <v>671</v>
      </c>
      <c r="T75" s="46" t="s">
        <v>672</v>
      </c>
      <c r="U75" s="46" t="b">
        <v>1</v>
      </c>
      <c r="V75" s="46" t="s">
        <v>1015</v>
      </c>
      <c r="W75" s="46" t="s">
        <v>1016</v>
      </c>
      <c r="X75" s="46">
        <v>6</v>
      </c>
      <c r="Y75" s="46" t="b">
        <v>1</v>
      </c>
      <c r="Z75" s="46" t="s">
        <v>675</v>
      </c>
      <c r="AA75" s="46" t="s">
        <v>676</v>
      </c>
      <c r="AB75" s="46" t="s">
        <v>677</v>
      </c>
      <c r="AC75" s="46">
        <v>0</v>
      </c>
      <c r="AD75" s="46" t="s">
        <v>678</v>
      </c>
      <c r="AE75" s="46">
        <v>8</v>
      </c>
      <c r="AF75" s="46" t="s">
        <v>679</v>
      </c>
      <c r="AG75" s="46">
        <v>118709.70299999999</v>
      </c>
      <c r="AH75" s="46" t="b">
        <v>1</v>
      </c>
      <c r="AI75" s="46">
        <v>-1</v>
      </c>
      <c r="AJ75" s="46" t="s">
        <v>680</v>
      </c>
      <c r="AK75" s="46">
        <v>0</v>
      </c>
      <c r="AL75" s="46" t="b">
        <v>0</v>
      </c>
      <c r="AM75" s="46">
        <v>118709.70299999999</v>
      </c>
      <c r="AN75" s="46" t="b">
        <v>1</v>
      </c>
      <c r="AO75" s="46">
        <v>0</v>
      </c>
      <c r="AP75" s="46" t="b">
        <v>0</v>
      </c>
      <c r="AQ75" s="46">
        <v>68872.284</v>
      </c>
      <c r="AS75" s="46">
        <v>68872.284</v>
      </c>
      <c r="AT75" s="46">
        <v>6</v>
      </c>
      <c r="AU75" s="46" t="b">
        <v>0</v>
      </c>
      <c r="AV75" s="46" t="b">
        <v>1</v>
      </c>
    </row>
    <row r="76" spans="2:48">
      <c r="B76" s="46" t="s">
        <v>665</v>
      </c>
      <c r="C76" s="46" t="s">
        <v>666</v>
      </c>
      <c r="D76" s="46">
        <v>20230901</v>
      </c>
      <c r="E76" s="46">
        <v>2023</v>
      </c>
      <c r="F76" s="46">
        <v>9</v>
      </c>
      <c r="G76" s="46" t="s">
        <v>723</v>
      </c>
      <c r="H76" s="46">
        <v>818</v>
      </c>
      <c r="I76" s="46" t="s">
        <v>668</v>
      </c>
      <c r="J76" s="46" t="s">
        <v>57</v>
      </c>
      <c r="K76" s="46" t="s">
        <v>666</v>
      </c>
      <c r="L76" s="46" t="s">
        <v>669</v>
      </c>
      <c r="M76" s="46">
        <v>344</v>
      </c>
      <c r="N76" s="46" t="s">
        <v>989</v>
      </c>
      <c r="O76" s="46" t="s">
        <v>990</v>
      </c>
      <c r="P76" s="46">
        <v>0</v>
      </c>
      <c r="Q76" s="46" t="s">
        <v>670</v>
      </c>
      <c r="R76" s="46" t="s">
        <v>23</v>
      </c>
      <c r="S76" s="46" t="s">
        <v>671</v>
      </c>
      <c r="T76" s="46" t="s">
        <v>672</v>
      </c>
      <c r="U76" s="46" t="b">
        <v>1</v>
      </c>
      <c r="V76" s="46" t="s">
        <v>1015</v>
      </c>
      <c r="W76" s="46" t="s">
        <v>1016</v>
      </c>
      <c r="X76" s="46">
        <v>6</v>
      </c>
      <c r="Y76" s="46" t="b">
        <v>1</v>
      </c>
      <c r="Z76" s="46" t="s">
        <v>675</v>
      </c>
      <c r="AA76" s="46" t="s">
        <v>676</v>
      </c>
      <c r="AB76" s="46" t="s">
        <v>677</v>
      </c>
      <c r="AC76" s="46">
        <v>0</v>
      </c>
      <c r="AD76" s="46" t="s">
        <v>678</v>
      </c>
      <c r="AE76" s="46">
        <v>8</v>
      </c>
      <c r="AF76" s="46" t="s">
        <v>679</v>
      </c>
      <c r="AG76" s="46">
        <v>5695.3410000000003</v>
      </c>
      <c r="AH76" s="46" t="b">
        <v>1</v>
      </c>
      <c r="AI76" s="46">
        <v>-1</v>
      </c>
      <c r="AJ76" s="46" t="s">
        <v>680</v>
      </c>
      <c r="AK76" s="46">
        <v>0</v>
      </c>
      <c r="AL76" s="46" t="b">
        <v>0</v>
      </c>
      <c r="AM76" s="46">
        <v>5695.3410000000003</v>
      </c>
      <c r="AN76" s="46" t="b">
        <v>1</v>
      </c>
      <c r="AO76" s="46">
        <v>0</v>
      </c>
      <c r="AP76" s="46" t="b">
        <v>0</v>
      </c>
      <c r="AQ76" s="46">
        <v>3304.2890000000002</v>
      </c>
      <c r="AS76" s="46">
        <v>3304.2890000000002</v>
      </c>
      <c r="AT76" s="46">
        <v>6</v>
      </c>
      <c r="AU76" s="46" t="b">
        <v>1</v>
      </c>
      <c r="AV76" s="46" t="b">
        <v>0</v>
      </c>
    </row>
    <row r="77" spans="2:48">
      <c r="B77" s="46" t="s">
        <v>665</v>
      </c>
      <c r="C77" s="46" t="s">
        <v>666</v>
      </c>
      <c r="D77" s="46">
        <v>20230901</v>
      </c>
      <c r="E77" s="46">
        <v>2023</v>
      </c>
      <c r="F77" s="46">
        <v>9</v>
      </c>
      <c r="G77" s="46" t="s">
        <v>723</v>
      </c>
      <c r="H77" s="46">
        <v>818</v>
      </c>
      <c r="I77" s="46" t="s">
        <v>668</v>
      </c>
      <c r="J77" s="46" t="s">
        <v>57</v>
      </c>
      <c r="K77" s="46" t="s">
        <v>666</v>
      </c>
      <c r="L77" s="46" t="s">
        <v>669</v>
      </c>
      <c r="M77" s="46">
        <v>842</v>
      </c>
      <c r="N77" s="46" t="s">
        <v>713</v>
      </c>
      <c r="O77" s="46" t="s">
        <v>713</v>
      </c>
      <c r="P77" s="46">
        <v>0</v>
      </c>
      <c r="Q77" s="46" t="s">
        <v>670</v>
      </c>
      <c r="R77" s="46" t="s">
        <v>23</v>
      </c>
      <c r="S77" s="46" t="s">
        <v>671</v>
      </c>
      <c r="T77" s="46" t="s">
        <v>672</v>
      </c>
      <c r="U77" s="46" t="b">
        <v>1</v>
      </c>
      <c r="V77" s="46" t="s">
        <v>1015</v>
      </c>
      <c r="W77" s="46" t="s">
        <v>1016</v>
      </c>
      <c r="X77" s="46">
        <v>6</v>
      </c>
      <c r="Y77" s="46" t="b">
        <v>1</v>
      </c>
      <c r="Z77" s="46" t="s">
        <v>675</v>
      </c>
      <c r="AA77" s="46" t="s">
        <v>676</v>
      </c>
      <c r="AB77" s="46" t="s">
        <v>677</v>
      </c>
      <c r="AC77" s="46">
        <v>0</v>
      </c>
      <c r="AD77" s="46" t="s">
        <v>678</v>
      </c>
      <c r="AE77" s="46">
        <v>8</v>
      </c>
      <c r="AF77" s="46" t="s">
        <v>679</v>
      </c>
      <c r="AG77" s="46">
        <v>96926.324999999997</v>
      </c>
      <c r="AH77" s="46" t="b">
        <v>1</v>
      </c>
      <c r="AI77" s="46">
        <v>-1</v>
      </c>
      <c r="AJ77" s="46" t="s">
        <v>680</v>
      </c>
      <c r="AK77" s="46">
        <v>0</v>
      </c>
      <c r="AL77" s="46" t="b">
        <v>0</v>
      </c>
      <c r="AM77" s="46">
        <v>96926.324999999997</v>
      </c>
      <c r="AN77" s="46" t="b">
        <v>1</v>
      </c>
      <c r="AO77" s="46">
        <v>0</v>
      </c>
      <c r="AP77" s="46" t="b">
        <v>0</v>
      </c>
      <c r="AQ77" s="46">
        <v>56234.135000000002</v>
      </c>
      <c r="AS77" s="46">
        <v>56234.135000000002</v>
      </c>
      <c r="AT77" s="46">
        <v>6</v>
      </c>
      <c r="AU77" s="46" t="b">
        <v>1</v>
      </c>
      <c r="AV77" s="46" t="b">
        <v>0</v>
      </c>
    </row>
    <row r="78" spans="2:48">
      <c r="B78" s="46" t="s">
        <v>665</v>
      </c>
      <c r="C78" s="46" t="s">
        <v>666</v>
      </c>
      <c r="D78" s="46">
        <v>20230901</v>
      </c>
      <c r="E78" s="46">
        <v>2023</v>
      </c>
      <c r="F78" s="46">
        <v>9</v>
      </c>
      <c r="G78" s="46" t="s">
        <v>723</v>
      </c>
      <c r="H78" s="46">
        <v>818</v>
      </c>
      <c r="I78" s="46" t="s">
        <v>668</v>
      </c>
      <c r="J78" s="46" t="s">
        <v>57</v>
      </c>
      <c r="K78" s="46" t="s">
        <v>666</v>
      </c>
      <c r="L78" s="46" t="s">
        <v>669</v>
      </c>
      <c r="M78" s="46">
        <v>156</v>
      </c>
      <c r="N78" s="46" t="s">
        <v>711</v>
      </c>
      <c r="O78" s="46" t="s">
        <v>29</v>
      </c>
      <c r="P78" s="46">
        <v>0</v>
      </c>
      <c r="Q78" s="46" t="s">
        <v>670</v>
      </c>
      <c r="R78" s="46" t="s">
        <v>23</v>
      </c>
      <c r="S78" s="46" t="s">
        <v>671</v>
      </c>
      <c r="T78" s="46" t="s">
        <v>672</v>
      </c>
      <c r="U78" s="46" t="b">
        <v>1</v>
      </c>
      <c r="V78" s="46" t="s">
        <v>1015</v>
      </c>
      <c r="W78" s="46" t="s">
        <v>1016</v>
      </c>
      <c r="X78" s="46">
        <v>6</v>
      </c>
      <c r="Y78" s="46" t="b">
        <v>1</v>
      </c>
      <c r="Z78" s="46" t="s">
        <v>675</v>
      </c>
      <c r="AA78" s="46" t="s">
        <v>676</v>
      </c>
      <c r="AB78" s="46" t="s">
        <v>677</v>
      </c>
      <c r="AC78" s="46">
        <v>0</v>
      </c>
      <c r="AD78" s="46" t="s">
        <v>678</v>
      </c>
      <c r="AE78" s="46">
        <v>8</v>
      </c>
      <c r="AF78" s="46" t="s">
        <v>679</v>
      </c>
      <c r="AG78" s="46">
        <v>16088.036</v>
      </c>
      <c r="AH78" s="46" t="b">
        <v>1</v>
      </c>
      <c r="AI78" s="46">
        <v>-1</v>
      </c>
      <c r="AJ78" s="46" t="s">
        <v>680</v>
      </c>
      <c r="AK78" s="46">
        <v>0</v>
      </c>
      <c r="AL78" s="46" t="b">
        <v>0</v>
      </c>
      <c r="AM78" s="46">
        <v>16088.036</v>
      </c>
      <c r="AN78" s="46" t="b">
        <v>1</v>
      </c>
      <c r="AO78" s="46">
        <v>0</v>
      </c>
      <c r="AP78" s="46" t="b">
        <v>0</v>
      </c>
      <c r="AQ78" s="46">
        <v>9333.86</v>
      </c>
      <c r="AS78" s="46">
        <v>9333.86</v>
      </c>
      <c r="AT78" s="46">
        <v>6</v>
      </c>
      <c r="AU78" s="46" t="b">
        <v>1</v>
      </c>
      <c r="AV78" s="46" t="b">
        <v>0</v>
      </c>
    </row>
    <row r="79" spans="2:48">
      <c r="B79" s="46" t="s">
        <v>665</v>
      </c>
      <c r="C79" s="46" t="s">
        <v>666</v>
      </c>
      <c r="D79" s="46">
        <v>20231001</v>
      </c>
      <c r="E79" s="46">
        <v>2023</v>
      </c>
      <c r="F79" s="46">
        <v>10</v>
      </c>
      <c r="G79" s="46" t="s">
        <v>724</v>
      </c>
      <c r="H79" s="46">
        <v>818</v>
      </c>
      <c r="I79" s="46" t="s">
        <v>668</v>
      </c>
      <c r="J79" s="46" t="s">
        <v>57</v>
      </c>
      <c r="K79" s="46" t="s">
        <v>666</v>
      </c>
      <c r="L79" s="46" t="s">
        <v>669</v>
      </c>
      <c r="M79" s="46">
        <v>0</v>
      </c>
      <c r="N79" s="46" t="s">
        <v>670</v>
      </c>
      <c r="O79" s="46" t="s">
        <v>23</v>
      </c>
      <c r="P79" s="46">
        <v>0</v>
      </c>
      <c r="Q79" s="46" t="s">
        <v>670</v>
      </c>
      <c r="R79" s="46" t="s">
        <v>23</v>
      </c>
      <c r="S79" s="46" t="s">
        <v>671</v>
      </c>
      <c r="T79" s="46" t="s">
        <v>672</v>
      </c>
      <c r="U79" s="46" t="b">
        <v>1</v>
      </c>
      <c r="V79" s="46" t="s">
        <v>1015</v>
      </c>
      <c r="W79" s="46" t="s">
        <v>1016</v>
      </c>
      <c r="X79" s="46">
        <v>6</v>
      </c>
      <c r="Y79" s="46" t="b">
        <v>1</v>
      </c>
      <c r="Z79" s="46" t="s">
        <v>675</v>
      </c>
      <c r="AA79" s="46" t="s">
        <v>676</v>
      </c>
      <c r="AB79" s="46" t="s">
        <v>677</v>
      </c>
      <c r="AC79" s="46">
        <v>0</v>
      </c>
      <c r="AD79" s="46" t="s">
        <v>678</v>
      </c>
      <c r="AE79" s="46">
        <v>8</v>
      </c>
      <c r="AF79" s="46" t="s">
        <v>679</v>
      </c>
      <c r="AG79" s="46">
        <v>77065.267999999996</v>
      </c>
      <c r="AH79" s="46" t="b">
        <v>1</v>
      </c>
      <c r="AI79" s="46">
        <v>-1</v>
      </c>
      <c r="AJ79" s="46" t="s">
        <v>680</v>
      </c>
      <c r="AK79" s="46">
        <v>0</v>
      </c>
      <c r="AL79" s="46" t="b">
        <v>0</v>
      </c>
      <c r="AM79" s="46">
        <v>77065.267999999996</v>
      </c>
      <c r="AN79" s="46" t="b">
        <v>1</v>
      </c>
      <c r="AO79" s="46">
        <v>0</v>
      </c>
      <c r="AP79" s="46" t="b">
        <v>0</v>
      </c>
      <c r="AQ79" s="46">
        <v>44711.264999999999</v>
      </c>
      <c r="AS79" s="46">
        <v>44711.264999999999</v>
      </c>
      <c r="AT79" s="46">
        <v>6</v>
      </c>
      <c r="AU79" s="46" t="b">
        <v>0</v>
      </c>
      <c r="AV79" s="46" t="b">
        <v>1</v>
      </c>
    </row>
    <row r="80" spans="2:48">
      <c r="B80" s="46" t="s">
        <v>665</v>
      </c>
      <c r="C80" s="46" t="s">
        <v>666</v>
      </c>
      <c r="D80" s="46">
        <v>20231001</v>
      </c>
      <c r="E80" s="46">
        <v>2023</v>
      </c>
      <c r="F80" s="46">
        <v>10</v>
      </c>
      <c r="G80" s="46" t="s">
        <v>724</v>
      </c>
      <c r="H80" s="46">
        <v>818</v>
      </c>
      <c r="I80" s="46" t="s">
        <v>668</v>
      </c>
      <c r="J80" s="46" t="s">
        <v>57</v>
      </c>
      <c r="K80" s="46" t="s">
        <v>666</v>
      </c>
      <c r="L80" s="46" t="s">
        <v>669</v>
      </c>
      <c r="M80" s="46">
        <v>344</v>
      </c>
      <c r="N80" s="46" t="s">
        <v>989</v>
      </c>
      <c r="O80" s="46" t="s">
        <v>990</v>
      </c>
      <c r="P80" s="46">
        <v>0</v>
      </c>
      <c r="Q80" s="46" t="s">
        <v>670</v>
      </c>
      <c r="R80" s="46" t="s">
        <v>23</v>
      </c>
      <c r="S80" s="46" t="s">
        <v>671</v>
      </c>
      <c r="T80" s="46" t="s">
        <v>672</v>
      </c>
      <c r="U80" s="46" t="b">
        <v>1</v>
      </c>
      <c r="V80" s="46" t="s">
        <v>1015</v>
      </c>
      <c r="W80" s="46" t="s">
        <v>1016</v>
      </c>
      <c r="X80" s="46">
        <v>6</v>
      </c>
      <c r="Y80" s="46" t="b">
        <v>1</v>
      </c>
      <c r="Z80" s="46" t="s">
        <v>675</v>
      </c>
      <c r="AA80" s="46" t="s">
        <v>676</v>
      </c>
      <c r="AB80" s="46" t="s">
        <v>677</v>
      </c>
      <c r="AC80" s="46">
        <v>0</v>
      </c>
      <c r="AD80" s="46" t="s">
        <v>678</v>
      </c>
      <c r="AE80" s="46">
        <v>8</v>
      </c>
      <c r="AF80" s="46" t="s">
        <v>679</v>
      </c>
      <c r="AG80" s="46">
        <v>28971.895</v>
      </c>
      <c r="AH80" s="46" t="b">
        <v>1</v>
      </c>
      <c r="AI80" s="46">
        <v>-1</v>
      </c>
      <c r="AJ80" s="46" t="s">
        <v>680</v>
      </c>
      <c r="AK80" s="46">
        <v>0</v>
      </c>
      <c r="AL80" s="46" t="b">
        <v>0</v>
      </c>
      <c r="AM80" s="46">
        <v>28971.895</v>
      </c>
      <c r="AN80" s="46" t="b">
        <v>1</v>
      </c>
      <c r="AO80" s="46">
        <v>0</v>
      </c>
      <c r="AP80" s="46" t="b">
        <v>0</v>
      </c>
      <c r="AQ80" s="46">
        <v>16808.741000000002</v>
      </c>
      <c r="AS80" s="46">
        <v>16808.741000000002</v>
      </c>
      <c r="AT80" s="46">
        <v>6</v>
      </c>
      <c r="AU80" s="46" t="b">
        <v>1</v>
      </c>
      <c r="AV80" s="46" t="b">
        <v>0</v>
      </c>
    </row>
    <row r="81" spans="2:48">
      <c r="B81" s="46" t="s">
        <v>665</v>
      </c>
      <c r="C81" s="46" t="s">
        <v>666</v>
      </c>
      <c r="D81" s="46">
        <v>20231001</v>
      </c>
      <c r="E81" s="46">
        <v>2023</v>
      </c>
      <c r="F81" s="46">
        <v>10</v>
      </c>
      <c r="G81" s="46" t="s">
        <v>724</v>
      </c>
      <c r="H81" s="46">
        <v>818</v>
      </c>
      <c r="I81" s="46" t="s">
        <v>668</v>
      </c>
      <c r="J81" s="46" t="s">
        <v>57</v>
      </c>
      <c r="K81" s="46" t="s">
        <v>666</v>
      </c>
      <c r="L81" s="46" t="s">
        <v>669</v>
      </c>
      <c r="M81" s="46">
        <v>699</v>
      </c>
      <c r="N81" s="46" t="s">
        <v>748</v>
      </c>
      <c r="O81" s="46" t="s">
        <v>0</v>
      </c>
      <c r="P81" s="46">
        <v>0</v>
      </c>
      <c r="Q81" s="46" t="s">
        <v>670</v>
      </c>
      <c r="R81" s="46" t="s">
        <v>23</v>
      </c>
      <c r="S81" s="46" t="s">
        <v>671</v>
      </c>
      <c r="T81" s="46" t="s">
        <v>672</v>
      </c>
      <c r="U81" s="46" t="b">
        <v>1</v>
      </c>
      <c r="V81" s="46" t="s">
        <v>1015</v>
      </c>
      <c r="W81" s="46" t="s">
        <v>1016</v>
      </c>
      <c r="X81" s="46">
        <v>6</v>
      </c>
      <c r="Y81" s="46" t="b">
        <v>1</v>
      </c>
      <c r="Z81" s="46" t="s">
        <v>675</v>
      </c>
      <c r="AA81" s="46" t="s">
        <v>676</v>
      </c>
      <c r="AB81" s="46" t="s">
        <v>677</v>
      </c>
      <c r="AC81" s="46">
        <v>0</v>
      </c>
      <c r="AD81" s="46" t="s">
        <v>678</v>
      </c>
      <c r="AE81" s="46">
        <v>8</v>
      </c>
      <c r="AF81" s="46" t="s">
        <v>679</v>
      </c>
      <c r="AG81" s="46">
        <v>47073.233999999997</v>
      </c>
      <c r="AH81" s="46" t="b">
        <v>1</v>
      </c>
      <c r="AI81" s="46">
        <v>-1</v>
      </c>
      <c r="AJ81" s="46" t="s">
        <v>680</v>
      </c>
      <c r="AK81" s="46">
        <v>0</v>
      </c>
      <c r="AL81" s="46" t="b">
        <v>0</v>
      </c>
      <c r="AM81" s="46">
        <v>47073.233999999997</v>
      </c>
      <c r="AN81" s="46" t="b">
        <v>1</v>
      </c>
      <c r="AO81" s="46">
        <v>0</v>
      </c>
      <c r="AP81" s="46" t="b">
        <v>0</v>
      </c>
      <c r="AQ81" s="46">
        <v>27310.667000000001</v>
      </c>
      <c r="AS81" s="46">
        <v>27310.667000000001</v>
      </c>
      <c r="AT81" s="46">
        <v>6</v>
      </c>
      <c r="AU81" s="46" t="b">
        <v>1</v>
      </c>
      <c r="AV81" s="46" t="b">
        <v>0</v>
      </c>
    </row>
    <row r="82" spans="2:48">
      <c r="B82" s="46" t="s">
        <v>665</v>
      </c>
      <c r="C82" s="46" t="s">
        <v>666</v>
      </c>
      <c r="D82" s="46">
        <v>20231001</v>
      </c>
      <c r="E82" s="46">
        <v>2023</v>
      </c>
      <c r="F82" s="46">
        <v>10</v>
      </c>
      <c r="G82" s="46" t="s">
        <v>724</v>
      </c>
      <c r="H82" s="46">
        <v>818</v>
      </c>
      <c r="I82" s="46" t="s">
        <v>668</v>
      </c>
      <c r="J82" s="46" t="s">
        <v>57</v>
      </c>
      <c r="K82" s="46" t="s">
        <v>666</v>
      </c>
      <c r="L82" s="46" t="s">
        <v>669</v>
      </c>
      <c r="M82" s="46">
        <v>156</v>
      </c>
      <c r="N82" s="46" t="s">
        <v>711</v>
      </c>
      <c r="O82" s="46" t="s">
        <v>29</v>
      </c>
      <c r="P82" s="46">
        <v>0</v>
      </c>
      <c r="Q82" s="46" t="s">
        <v>670</v>
      </c>
      <c r="R82" s="46" t="s">
        <v>23</v>
      </c>
      <c r="S82" s="46" t="s">
        <v>671</v>
      </c>
      <c r="T82" s="46" t="s">
        <v>672</v>
      </c>
      <c r="U82" s="46" t="b">
        <v>1</v>
      </c>
      <c r="V82" s="46" t="s">
        <v>1015</v>
      </c>
      <c r="W82" s="46" t="s">
        <v>1016</v>
      </c>
      <c r="X82" s="46">
        <v>6</v>
      </c>
      <c r="Y82" s="46" t="b">
        <v>1</v>
      </c>
      <c r="Z82" s="46" t="s">
        <v>675</v>
      </c>
      <c r="AA82" s="46" t="s">
        <v>676</v>
      </c>
      <c r="AB82" s="46" t="s">
        <v>677</v>
      </c>
      <c r="AC82" s="46">
        <v>0</v>
      </c>
      <c r="AD82" s="46" t="s">
        <v>678</v>
      </c>
      <c r="AE82" s="46">
        <v>8</v>
      </c>
      <c r="AF82" s="46" t="s">
        <v>679</v>
      </c>
      <c r="AG82" s="46">
        <v>1020.138</v>
      </c>
      <c r="AH82" s="46" t="b">
        <v>1</v>
      </c>
      <c r="AI82" s="46">
        <v>-1</v>
      </c>
      <c r="AJ82" s="46" t="s">
        <v>680</v>
      </c>
      <c r="AK82" s="46">
        <v>0</v>
      </c>
      <c r="AL82" s="46" t="b">
        <v>0</v>
      </c>
      <c r="AM82" s="46">
        <v>1020.138</v>
      </c>
      <c r="AN82" s="46" t="b">
        <v>1</v>
      </c>
      <c r="AO82" s="46">
        <v>0</v>
      </c>
      <c r="AP82" s="46" t="b">
        <v>0</v>
      </c>
      <c r="AQ82" s="46">
        <v>591.85699999999997</v>
      </c>
      <c r="AS82" s="46">
        <v>591.85699999999997</v>
      </c>
      <c r="AT82" s="46">
        <v>6</v>
      </c>
      <c r="AU82" s="46" t="b">
        <v>1</v>
      </c>
      <c r="AV82" s="46" t="b">
        <v>0</v>
      </c>
    </row>
    <row r="83" spans="2:48">
      <c r="B83" s="46" t="s">
        <v>665</v>
      </c>
      <c r="C83" s="46" t="s">
        <v>666</v>
      </c>
      <c r="D83" s="46">
        <v>20231201</v>
      </c>
      <c r="E83" s="46">
        <v>2023</v>
      </c>
      <c r="F83" s="46">
        <v>12</v>
      </c>
      <c r="G83" s="46" t="s">
        <v>726</v>
      </c>
      <c r="H83" s="46">
        <v>818</v>
      </c>
      <c r="I83" s="46" t="s">
        <v>668</v>
      </c>
      <c r="J83" s="46" t="s">
        <v>57</v>
      </c>
      <c r="K83" s="46" t="s">
        <v>666</v>
      </c>
      <c r="L83" s="46" t="s">
        <v>669</v>
      </c>
      <c r="M83" s="46">
        <v>0</v>
      </c>
      <c r="N83" s="46" t="s">
        <v>670</v>
      </c>
      <c r="O83" s="46" t="s">
        <v>23</v>
      </c>
      <c r="P83" s="46">
        <v>0</v>
      </c>
      <c r="Q83" s="46" t="s">
        <v>670</v>
      </c>
      <c r="R83" s="46" t="s">
        <v>23</v>
      </c>
      <c r="S83" s="46" t="s">
        <v>671</v>
      </c>
      <c r="T83" s="46" t="s">
        <v>672</v>
      </c>
      <c r="U83" s="46" t="b">
        <v>1</v>
      </c>
      <c r="V83" s="46" t="s">
        <v>1015</v>
      </c>
      <c r="W83" s="46" t="s">
        <v>1016</v>
      </c>
      <c r="X83" s="46">
        <v>6</v>
      </c>
      <c r="Y83" s="46" t="b">
        <v>1</v>
      </c>
      <c r="Z83" s="46" t="s">
        <v>675</v>
      </c>
      <c r="AA83" s="46" t="s">
        <v>676</v>
      </c>
      <c r="AB83" s="46" t="s">
        <v>677</v>
      </c>
      <c r="AC83" s="46">
        <v>0</v>
      </c>
      <c r="AD83" s="46" t="s">
        <v>678</v>
      </c>
      <c r="AE83" s="46">
        <v>8</v>
      </c>
      <c r="AF83" s="46" t="s">
        <v>679</v>
      </c>
      <c r="AG83" s="46">
        <v>149650.40299999999</v>
      </c>
      <c r="AH83" s="46" t="b">
        <v>1</v>
      </c>
      <c r="AI83" s="46">
        <v>-1</v>
      </c>
      <c r="AJ83" s="46" t="s">
        <v>680</v>
      </c>
      <c r="AK83" s="46">
        <v>0</v>
      </c>
      <c r="AL83" s="46" t="b">
        <v>0</v>
      </c>
      <c r="AM83" s="46">
        <v>149650.40299999999</v>
      </c>
      <c r="AN83" s="46" t="b">
        <v>1</v>
      </c>
      <c r="AO83" s="46">
        <v>0</v>
      </c>
      <c r="AP83" s="46" t="b">
        <v>0</v>
      </c>
      <c r="AQ83" s="46">
        <v>86823.274000000005</v>
      </c>
      <c r="AS83" s="46">
        <v>86823.274000000005</v>
      </c>
      <c r="AT83" s="46">
        <v>6</v>
      </c>
      <c r="AU83" s="46" t="b">
        <v>0</v>
      </c>
      <c r="AV83" s="46" t="b">
        <v>1</v>
      </c>
    </row>
    <row r="84" spans="2:48">
      <c r="B84" s="46" t="s">
        <v>665</v>
      </c>
      <c r="C84" s="46" t="s">
        <v>666</v>
      </c>
      <c r="D84" s="46">
        <v>20231201</v>
      </c>
      <c r="E84" s="46">
        <v>2023</v>
      </c>
      <c r="F84" s="46">
        <v>12</v>
      </c>
      <c r="G84" s="46" t="s">
        <v>726</v>
      </c>
      <c r="H84" s="46">
        <v>818</v>
      </c>
      <c r="I84" s="46" t="s">
        <v>668</v>
      </c>
      <c r="J84" s="46" t="s">
        <v>57</v>
      </c>
      <c r="K84" s="46" t="s">
        <v>666</v>
      </c>
      <c r="L84" s="46" t="s">
        <v>669</v>
      </c>
      <c r="M84" s="46">
        <v>699</v>
      </c>
      <c r="N84" s="46" t="s">
        <v>748</v>
      </c>
      <c r="O84" s="46" t="s">
        <v>0</v>
      </c>
      <c r="P84" s="46">
        <v>0</v>
      </c>
      <c r="Q84" s="46" t="s">
        <v>670</v>
      </c>
      <c r="R84" s="46" t="s">
        <v>23</v>
      </c>
      <c r="S84" s="46" t="s">
        <v>671</v>
      </c>
      <c r="T84" s="46" t="s">
        <v>672</v>
      </c>
      <c r="U84" s="46" t="b">
        <v>1</v>
      </c>
      <c r="V84" s="46" t="s">
        <v>1015</v>
      </c>
      <c r="W84" s="46" t="s">
        <v>1016</v>
      </c>
      <c r="X84" s="46">
        <v>6</v>
      </c>
      <c r="Y84" s="46" t="b">
        <v>1</v>
      </c>
      <c r="Z84" s="46" t="s">
        <v>675</v>
      </c>
      <c r="AA84" s="46" t="s">
        <v>676</v>
      </c>
      <c r="AB84" s="46" t="s">
        <v>677</v>
      </c>
      <c r="AC84" s="46">
        <v>0</v>
      </c>
      <c r="AD84" s="46" t="s">
        <v>678</v>
      </c>
      <c r="AE84" s="46">
        <v>8</v>
      </c>
      <c r="AF84" s="46" t="s">
        <v>679</v>
      </c>
      <c r="AG84" s="46">
        <v>1841.556</v>
      </c>
      <c r="AH84" s="46" t="b">
        <v>1</v>
      </c>
      <c r="AI84" s="46">
        <v>-1</v>
      </c>
      <c r="AJ84" s="46" t="s">
        <v>680</v>
      </c>
      <c r="AK84" s="46">
        <v>0</v>
      </c>
      <c r="AL84" s="46" t="b">
        <v>0</v>
      </c>
      <c r="AM84" s="46">
        <v>1841.556</v>
      </c>
      <c r="AN84" s="46" t="b">
        <v>1</v>
      </c>
      <c r="AO84" s="46">
        <v>0</v>
      </c>
      <c r="AP84" s="46" t="b">
        <v>0</v>
      </c>
      <c r="AQ84" s="46">
        <v>1068.423</v>
      </c>
      <c r="AS84" s="46">
        <v>1068.423</v>
      </c>
      <c r="AT84" s="46">
        <v>6</v>
      </c>
      <c r="AU84" s="46" t="b">
        <v>1</v>
      </c>
      <c r="AV84" s="46" t="b">
        <v>0</v>
      </c>
    </row>
    <row r="85" spans="2:48">
      <c r="B85" s="46" t="s">
        <v>665</v>
      </c>
      <c r="C85" s="46" t="s">
        <v>666</v>
      </c>
      <c r="D85" s="46">
        <v>20231201</v>
      </c>
      <c r="E85" s="46">
        <v>2023</v>
      </c>
      <c r="F85" s="46">
        <v>12</v>
      </c>
      <c r="G85" s="46" t="s">
        <v>726</v>
      </c>
      <c r="H85" s="46">
        <v>818</v>
      </c>
      <c r="I85" s="46" t="s">
        <v>668</v>
      </c>
      <c r="J85" s="46" t="s">
        <v>57</v>
      </c>
      <c r="K85" s="46" t="s">
        <v>666</v>
      </c>
      <c r="L85" s="46" t="s">
        <v>669</v>
      </c>
      <c r="M85" s="46">
        <v>842</v>
      </c>
      <c r="N85" s="46" t="s">
        <v>713</v>
      </c>
      <c r="O85" s="46" t="s">
        <v>713</v>
      </c>
      <c r="P85" s="46">
        <v>0</v>
      </c>
      <c r="Q85" s="46" t="s">
        <v>670</v>
      </c>
      <c r="R85" s="46" t="s">
        <v>23</v>
      </c>
      <c r="S85" s="46" t="s">
        <v>671</v>
      </c>
      <c r="T85" s="46" t="s">
        <v>672</v>
      </c>
      <c r="U85" s="46" t="b">
        <v>1</v>
      </c>
      <c r="V85" s="46" t="s">
        <v>1015</v>
      </c>
      <c r="W85" s="46" t="s">
        <v>1016</v>
      </c>
      <c r="X85" s="46">
        <v>6</v>
      </c>
      <c r="Y85" s="46" t="b">
        <v>1</v>
      </c>
      <c r="Z85" s="46" t="s">
        <v>675</v>
      </c>
      <c r="AA85" s="46" t="s">
        <v>676</v>
      </c>
      <c r="AB85" s="46" t="s">
        <v>677</v>
      </c>
      <c r="AC85" s="46">
        <v>0</v>
      </c>
      <c r="AD85" s="46" t="s">
        <v>678</v>
      </c>
      <c r="AE85" s="46">
        <v>8</v>
      </c>
      <c r="AF85" s="46" t="s">
        <v>679</v>
      </c>
      <c r="AG85" s="46">
        <v>147808.848</v>
      </c>
      <c r="AH85" s="46" t="b">
        <v>1</v>
      </c>
      <c r="AI85" s="46">
        <v>-1</v>
      </c>
      <c r="AJ85" s="46" t="s">
        <v>680</v>
      </c>
      <c r="AK85" s="46">
        <v>0</v>
      </c>
      <c r="AL85" s="46" t="b">
        <v>0</v>
      </c>
      <c r="AM85" s="46">
        <v>147808.848</v>
      </c>
      <c r="AN85" s="46" t="b">
        <v>1</v>
      </c>
      <c r="AO85" s="46">
        <v>0</v>
      </c>
      <c r="AP85" s="46" t="b">
        <v>0</v>
      </c>
      <c r="AQ85" s="46">
        <v>85754.851999999999</v>
      </c>
      <c r="AS85" s="46">
        <v>85754.851999999999</v>
      </c>
      <c r="AT85" s="46">
        <v>6</v>
      </c>
      <c r="AU85" s="46" t="b">
        <v>1</v>
      </c>
      <c r="AV85" s="46" t="b">
        <v>0</v>
      </c>
    </row>
  </sheetData>
  <mergeCells count="8">
    <mergeCell ref="C11:H11"/>
    <mergeCell ref="I11:N11"/>
    <mergeCell ref="P11:P12"/>
    <mergeCell ref="Q11:Q12"/>
    <mergeCell ref="C29:H29"/>
    <mergeCell ref="I29:N29"/>
    <mergeCell ref="P29:P30"/>
    <mergeCell ref="Q29:Q30"/>
  </mergeCells>
  <hyperlinks>
    <hyperlink ref="A3" r:id="rId3" display="http://comtrade.un.org/" xr:uid="{A4B2E651-E5F9-4780-8FAE-A0E89CEB09F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421F1-6E72-40F7-AD4C-F1C26DC9EF10}">
  <dimension ref="A1:AV101"/>
  <sheetViews>
    <sheetView topLeftCell="B50" workbookViewId="0">
      <selection activeCell="B78" sqref="B78:Q121"/>
    </sheetView>
  </sheetViews>
  <sheetFormatPr defaultRowHeight="13.5"/>
  <cols>
    <col min="1" max="1" width="9.140625" style="46"/>
    <col min="2" max="3" width="24" style="46" customWidth="1"/>
    <col min="4" max="4" width="17.7109375" style="46" customWidth="1"/>
    <col min="5" max="13" width="11.5703125" style="46" bestFit="1" customWidth="1"/>
    <col min="14" max="14" width="13.28515625" style="46" bestFit="1" customWidth="1"/>
    <col min="15" max="15" width="20.5703125" style="46" customWidth="1"/>
    <col min="16" max="18" width="9.140625" style="46"/>
    <col min="19" max="19" width="19.140625" style="46" bestFit="1" customWidth="1"/>
    <col min="20" max="31" width="12" style="46" bestFit="1" customWidth="1"/>
    <col min="32" max="32" width="11" style="46" bestFit="1" customWidth="1"/>
    <col min="33" max="33" width="12" style="46" bestFit="1" customWidth="1"/>
    <col min="34" max="16384" width="9.140625" style="46"/>
  </cols>
  <sheetData>
    <row r="1" spans="1:31">
      <c r="A1" s="25" t="s">
        <v>880</v>
      </c>
      <c r="B1" s="240"/>
      <c r="C1" s="240"/>
      <c r="D1" s="241">
        <f>'EX-1A SV Summary'!D33</f>
        <v>28151100</v>
      </c>
    </row>
    <row r="2" spans="1:31">
      <c r="A2" s="26" t="s">
        <v>1019</v>
      </c>
      <c r="B2" s="242"/>
      <c r="C2" s="242"/>
      <c r="D2" s="242"/>
    </row>
    <row r="3" spans="1:31">
      <c r="A3" s="243" t="s">
        <v>882</v>
      </c>
      <c r="S3" s="100" t="s">
        <v>626</v>
      </c>
      <c r="T3" s="46" t="s">
        <v>57</v>
      </c>
    </row>
    <row r="5" spans="1:31" ht="27">
      <c r="A5" s="29"/>
      <c r="B5" s="102" t="s">
        <v>203</v>
      </c>
      <c r="C5" s="102" t="s">
        <v>48</v>
      </c>
      <c r="D5" s="102" t="s">
        <v>204</v>
      </c>
      <c r="S5" s="100" t="s">
        <v>733</v>
      </c>
      <c r="T5" s="100" t="s">
        <v>621</v>
      </c>
      <c r="U5" s="100" t="s">
        <v>622</v>
      </c>
    </row>
    <row r="6" spans="1:31">
      <c r="A6" s="29"/>
      <c r="B6" s="103">
        <f>SUMIFS(O:O,P:P,"Include",Q:Q,"QTY")*1000</f>
        <v>1652637179.9999998</v>
      </c>
      <c r="C6" s="103">
        <f>SUMIFS(O:O,P:P,"Include",Q:Q,"VAL")*1000</f>
        <v>1439692871</v>
      </c>
      <c r="D6" s="104">
        <f>C6/B6</f>
        <v>0.87114878475625257</v>
      </c>
      <c r="T6" s="46">
        <v>2023</v>
      </c>
      <c r="Z6" s="46">
        <v>2024</v>
      </c>
      <c r="AE6" s="46" t="s">
        <v>732</v>
      </c>
    </row>
    <row r="7" spans="1:31">
      <c r="A7" s="29"/>
      <c r="B7" s="98"/>
      <c r="C7" s="26"/>
      <c r="S7" s="100" t="s">
        <v>631</v>
      </c>
      <c r="T7" s="46">
        <v>7</v>
      </c>
      <c r="U7" s="46">
        <v>8</v>
      </c>
      <c r="V7" s="46">
        <v>9</v>
      </c>
      <c r="W7" s="46">
        <v>10</v>
      </c>
      <c r="X7" s="46">
        <v>11</v>
      </c>
      <c r="Y7" s="46">
        <v>12</v>
      </c>
      <c r="Z7" s="46">
        <v>1</v>
      </c>
      <c r="AA7" s="46">
        <v>2</v>
      </c>
      <c r="AB7" s="46">
        <v>4</v>
      </c>
      <c r="AC7" s="46">
        <v>5</v>
      </c>
      <c r="AD7" s="46">
        <v>6</v>
      </c>
    </row>
    <row r="8" spans="1:31">
      <c r="A8" s="99" t="s">
        <v>740</v>
      </c>
      <c r="B8" s="99" t="s">
        <v>45</v>
      </c>
      <c r="C8" s="26"/>
      <c r="S8" s="46" t="s">
        <v>120</v>
      </c>
      <c r="Z8" s="46">
        <v>36503.508000000002</v>
      </c>
      <c r="AE8" s="46">
        <v>36503.508000000002</v>
      </c>
    </row>
    <row r="9" spans="1:31">
      <c r="B9" s="29" t="s">
        <v>902</v>
      </c>
      <c r="C9" s="26"/>
      <c r="S9" s="46" t="s">
        <v>29</v>
      </c>
      <c r="T9" s="46">
        <v>57211.811999999998</v>
      </c>
      <c r="Y9" s="46">
        <v>22131.852999999999</v>
      </c>
      <c r="AB9" s="46">
        <v>22936.694</v>
      </c>
      <c r="AE9" s="46">
        <v>102280.359</v>
      </c>
    </row>
    <row r="10" spans="1:31">
      <c r="A10" s="29"/>
      <c r="B10" s="134"/>
      <c r="C10" s="133"/>
      <c r="S10" s="46" t="s">
        <v>753</v>
      </c>
      <c r="AC10" s="46">
        <v>2199.0279999999998</v>
      </c>
      <c r="AE10" s="46">
        <v>2199.0279999999998</v>
      </c>
    </row>
    <row r="11" spans="1:31">
      <c r="B11" s="105"/>
      <c r="C11" s="324">
        <v>2023</v>
      </c>
      <c r="D11" s="324"/>
      <c r="E11" s="324"/>
      <c r="F11" s="324"/>
      <c r="G11" s="324"/>
      <c r="H11" s="324"/>
      <c r="I11" s="324">
        <v>2024</v>
      </c>
      <c r="J11" s="324"/>
      <c r="K11" s="324"/>
      <c r="L11" s="324"/>
      <c r="M11" s="324"/>
      <c r="N11" s="324"/>
      <c r="O11" s="112" t="s">
        <v>732</v>
      </c>
      <c r="P11" s="320" t="s">
        <v>209</v>
      </c>
      <c r="Q11" s="320" t="s">
        <v>155</v>
      </c>
      <c r="S11" s="46" t="s">
        <v>30</v>
      </c>
      <c r="T11" s="46">
        <v>2624.0129999999999</v>
      </c>
      <c r="V11" s="46">
        <v>3909.3519999999999</v>
      </c>
      <c r="W11" s="46">
        <v>5716.1670000000004</v>
      </c>
      <c r="Y11" s="46">
        <v>797.19600000000003</v>
      </c>
      <c r="AA11" s="46">
        <v>9496.8950000000004</v>
      </c>
      <c r="AB11" s="46">
        <v>3890.7429999999999</v>
      </c>
      <c r="AE11" s="46">
        <v>26434.365999999998</v>
      </c>
    </row>
    <row r="12" spans="1:31">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0</v>
      </c>
      <c r="T12" s="46">
        <v>1643.75</v>
      </c>
      <c r="U12" s="46">
        <v>2634.6379999999999</v>
      </c>
      <c r="V12" s="46">
        <v>10790.504000000001</v>
      </c>
      <c r="W12" s="46">
        <v>62170.83</v>
      </c>
      <c r="X12" s="46">
        <v>2634.6379999999999</v>
      </c>
      <c r="Y12" s="46">
        <v>26677.682000000001</v>
      </c>
      <c r="AB12" s="46">
        <v>28429.012999999999</v>
      </c>
      <c r="AC12" s="46">
        <v>2634.5439999999999</v>
      </c>
      <c r="AD12" s="46">
        <v>8199.8009999999995</v>
      </c>
      <c r="AE12" s="46">
        <v>145815.40000000002</v>
      </c>
    </row>
    <row r="13" spans="1:31">
      <c r="B13" s="105" t="s">
        <v>120</v>
      </c>
      <c r="C13" s="304"/>
      <c r="D13" s="304"/>
      <c r="E13" s="304"/>
      <c r="F13" s="304"/>
      <c r="G13" s="304"/>
      <c r="H13" s="304"/>
      <c r="I13" s="304">
        <v>36503.508000000002</v>
      </c>
      <c r="J13" s="304"/>
      <c r="K13" s="304"/>
      <c r="L13" s="304"/>
      <c r="M13" s="304"/>
      <c r="N13" s="304"/>
      <c r="O13" s="304">
        <v>36503.508000000002</v>
      </c>
      <c r="P13" s="105" t="str">
        <f>VLOOKUP(B13,'EX-2.6 Phá bọt'!$B$13:$P$72,15,0)</f>
        <v>Include</v>
      </c>
      <c r="Q13" s="105" t="s">
        <v>744</v>
      </c>
      <c r="S13" s="46" t="s">
        <v>124</v>
      </c>
      <c r="T13" s="46">
        <v>723590.91299999994</v>
      </c>
      <c r="V13" s="46">
        <v>319879.30699999997</v>
      </c>
      <c r="Z13" s="46">
        <v>6907.2020000000002</v>
      </c>
      <c r="AE13" s="46">
        <v>1050377.422</v>
      </c>
    </row>
    <row r="14" spans="1:31">
      <c r="B14" s="105" t="s">
        <v>29</v>
      </c>
      <c r="C14" s="304">
        <v>57211.811999999998</v>
      </c>
      <c r="D14" s="304"/>
      <c r="E14" s="304"/>
      <c r="F14" s="304"/>
      <c r="G14" s="304"/>
      <c r="H14" s="304">
        <v>22131.852999999999</v>
      </c>
      <c r="I14" s="304"/>
      <c r="J14" s="304"/>
      <c r="K14" s="304"/>
      <c r="L14" s="304">
        <v>22936.694</v>
      </c>
      <c r="M14" s="304"/>
      <c r="N14" s="304"/>
      <c r="O14" s="304">
        <v>102280.359</v>
      </c>
      <c r="P14" s="105" t="str">
        <f>VLOOKUP(B14,'EX-2.6 Phá bọt'!$B$13:$P$72,15,0)</f>
        <v>Exclude</v>
      </c>
      <c r="Q14" s="105" t="s">
        <v>744</v>
      </c>
      <c r="S14" s="46" t="s">
        <v>37</v>
      </c>
      <c r="T14" s="46">
        <v>68462.441999999995</v>
      </c>
      <c r="AE14" s="46">
        <v>68462.441999999995</v>
      </c>
    </row>
    <row r="15" spans="1:31">
      <c r="B15" s="105" t="s">
        <v>753</v>
      </c>
      <c r="C15" s="304"/>
      <c r="D15" s="304"/>
      <c r="E15" s="304"/>
      <c r="F15" s="304"/>
      <c r="G15" s="304"/>
      <c r="H15" s="304"/>
      <c r="I15" s="304"/>
      <c r="J15" s="304"/>
      <c r="K15" s="304"/>
      <c r="L15" s="304"/>
      <c r="M15" s="304">
        <v>2199.0279999999998</v>
      </c>
      <c r="N15" s="304"/>
      <c r="O15" s="304">
        <v>2199.0279999999998</v>
      </c>
      <c r="P15" s="105" t="str">
        <f>VLOOKUP(B15,'EX-2.6 Phá bọt'!$B$13:$P$72,15,0)</f>
        <v>Include</v>
      </c>
      <c r="Q15" s="105" t="s">
        <v>744</v>
      </c>
      <c r="S15" s="46" t="s">
        <v>38</v>
      </c>
      <c r="T15" s="46">
        <v>70611.656000000003</v>
      </c>
      <c r="U15" s="46">
        <v>23521.382000000001</v>
      </c>
      <c r="V15" s="46">
        <v>67688.103000000003</v>
      </c>
      <c r="W15" s="46">
        <v>20616.475999999999</v>
      </c>
      <c r="X15" s="46">
        <v>85956.856</v>
      </c>
      <c r="Y15" s="46">
        <v>86107.505999999994</v>
      </c>
      <c r="Z15" s="46">
        <v>46661.169000000002</v>
      </c>
      <c r="AB15" s="46">
        <v>52579.726999999999</v>
      </c>
      <c r="AC15" s="46">
        <v>91572.043999999994</v>
      </c>
      <c r="AD15" s="46">
        <v>70404.675000000003</v>
      </c>
      <c r="AE15" s="46">
        <v>615719.59400000004</v>
      </c>
    </row>
    <row r="16" spans="1:31">
      <c r="B16" s="105" t="s">
        <v>30</v>
      </c>
      <c r="C16" s="304">
        <v>2624.0129999999999</v>
      </c>
      <c r="D16" s="304"/>
      <c r="E16" s="304">
        <v>3909.3519999999999</v>
      </c>
      <c r="F16" s="304">
        <v>5716.1670000000004</v>
      </c>
      <c r="G16" s="304"/>
      <c r="H16" s="304">
        <v>797.19600000000003</v>
      </c>
      <c r="I16" s="304"/>
      <c r="J16" s="304">
        <v>9496.8950000000004</v>
      </c>
      <c r="K16" s="304"/>
      <c r="L16" s="304">
        <v>3890.7429999999999</v>
      </c>
      <c r="M16" s="304"/>
      <c r="N16" s="304"/>
      <c r="O16" s="304">
        <v>26434.365999999998</v>
      </c>
      <c r="P16" s="105" t="str">
        <f>VLOOKUP(B16,'EX-2.6 Phá bọt'!$B$13:$P$72,15,0)</f>
        <v>Include</v>
      </c>
      <c r="Q16" s="105" t="s">
        <v>744</v>
      </c>
      <c r="S16" s="46" t="s">
        <v>39</v>
      </c>
      <c r="U16" s="46">
        <v>195192.42199999999</v>
      </c>
      <c r="X16" s="46">
        <v>26252.019</v>
      </c>
      <c r="AE16" s="46">
        <v>221444.44099999999</v>
      </c>
    </row>
    <row r="17" spans="1:31">
      <c r="B17" s="105" t="s">
        <v>0</v>
      </c>
      <c r="C17" s="304">
        <v>1643.75</v>
      </c>
      <c r="D17" s="304">
        <v>2634.6379999999999</v>
      </c>
      <c r="E17" s="304">
        <v>10790.504000000001</v>
      </c>
      <c r="F17" s="304">
        <v>62170.83</v>
      </c>
      <c r="G17" s="304">
        <v>2634.6379999999999</v>
      </c>
      <c r="H17" s="304">
        <v>26677.682000000001</v>
      </c>
      <c r="I17" s="304"/>
      <c r="J17" s="304"/>
      <c r="K17" s="304"/>
      <c r="L17" s="304">
        <v>28429.012999999999</v>
      </c>
      <c r="M17" s="304">
        <v>2634.5439999999999</v>
      </c>
      <c r="N17" s="304">
        <v>8199.8009999999995</v>
      </c>
      <c r="O17" s="304">
        <v>145815.40000000002</v>
      </c>
      <c r="P17" s="105" t="str">
        <f>VLOOKUP(B17,'EX-2.6 Phá bọt'!$B$13:$P$72,15,0)</f>
        <v>Include</v>
      </c>
      <c r="Q17" s="105" t="s">
        <v>744</v>
      </c>
      <c r="S17" s="46" t="s">
        <v>63</v>
      </c>
      <c r="T17" s="46">
        <v>45587.760999999999</v>
      </c>
      <c r="U17" s="46">
        <v>110.038</v>
      </c>
      <c r="AA17" s="46">
        <v>42168.99</v>
      </c>
      <c r="AE17" s="46">
        <v>87866.78899999999</v>
      </c>
    </row>
    <row r="18" spans="1:31">
      <c r="B18" s="105" t="s">
        <v>124</v>
      </c>
      <c r="C18" s="304">
        <v>723590.91299999994</v>
      </c>
      <c r="D18" s="304"/>
      <c r="E18" s="304">
        <v>319879.30699999997</v>
      </c>
      <c r="F18" s="304"/>
      <c r="G18" s="304"/>
      <c r="H18" s="304"/>
      <c r="I18" s="304">
        <v>6907.2020000000002</v>
      </c>
      <c r="J18" s="304"/>
      <c r="K18" s="304"/>
      <c r="L18" s="304"/>
      <c r="M18" s="304"/>
      <c r="N18" s="304"/>
      <c r="O18" s="304">
        <v>1050377.422</v>
      </c>
      <c r="P18" s="105" t="s">
        <v>211</v>
      </c>
      <c r="Q18" s="105" t="s">
        <v>744</v>
      </c>
      <c r="S18" s="46" t="s">
        <v>25</v>
      </c>
      <c r="W18" s="46">
        <v>13533.784</v>
      </c>
      <c r="AE18" s="46">
        <v>13533.784</v>
      </c>
    </row>
    <row r="19" spans="1:31">
      <c r="B19" s="105" t="s">
        <v>37</v>
      </c>
      <c r="C19" s="304">
        <v>68462.441999999995</v>
      </c>
      <c r="D19" s="304"/>
      <c r="E19" s="304"/>
      <c r="F19" s="304"/>
      <c r="G19" s="304"/>
      <c r="H19" s="304"/>
      <c r="I19" s="304"/>
      <c r="J19" s="304"/>
      <c r="K19" s="304"/>
      <c r="L19" s="304"/>
      <c r="M19" s="304"/>
      <c r="N19" s="304"/>
      <c r="O19" s="304">
        <v>68462.441999999995</v>
      </c>
      <c r="P19" s="105" t="str">
        <f>VLOOKUP(B19,'EX-2.6 Phá bọt'!$B$13:$P$72,15,0)</f>
        <v>Include</v>
      </c>
      <c r="Q19" s="105" t="s">
        <v>744</v>
      </c>
      <c r="S19" s="46" t="s">
        <v>23</v>
      </c>
      <c r="T19" s="46">
        <v>969732.34600000002</v>
      </c>
      <c r="U19" s="46">
        <v>221458.48</v>
      </c>
      <c r="V19" s="46">
        <v>402267.266</v>
      </c>
      <c r="W19" s="46">
        <v>102037.257</v>
      </c>
      <c r="X19" s="46">
        <v>114843.514</v>
      </c>
      <c r="Y19" s="46">
        <v>135714.23699999999</v>
      </c>
      <c r="Z19" s="46">
        <v>90071.877999999997</v>
      </c>
      <c r="AA19" s="46">
        <v>51665.883999999998</v>
      </c>
      <c r="AB19" s="46">
        <v>107836.177</v>
      </c>
      <c r="AC19" s="46">
        <v>96405.615999999995</v>
      </c>
      <c r="AD19" s="46">
        <v>78604.475999999995</v>
      </c>
      <c r="AE19" s="46">
        <v>2370637.1310000001</v>
      </c>
    </row>
    <row r="20" spans="1:31">
      <c r="B20" s="105" t="s">
        <v>38</v>
      </c>
      <c r="C20" s="304">
        <v>70611.656000000003</v>
      </c>
      <c r="D20" s="304">
        <v>23521.382000000001</v>
      </c>
      <c r="E20" s="304">
        <v>67688.103000000003</v>
      </c>
      <c r="F20" s="304">
        <v>20616.475999999999</v>
      </c>
      <c r="G20" s="304">
        <v>85956.856</v>
      </c>
      <c r="H20" s="304">
        <v>86107.505999999994</v>
      </c>
      <c r="I20" s="304">
        <v>46661.169000000002</v>
      </c>
      <c r="J20" s="304"/>
      <c r="K20" s="304"/>
      <c r="L20" s="304">
        <v>52579.726999999999</v>
      </c>
      <c r="M20" s="304">
        <v>91572.043999999994</v>
      </c>
      <c r="N20" s="304">
        <v>70404.675000000003</v>
      </c>
      <c r="O20" s="304">
        <v>615719.59400000004</v>
      </c>
      <c r="P20" s="105" t="str">
        <f>VLOOKUP(B20,'EX-2.6 Phá bọt'!$B$13:$P$72,15,0)</f>
        <v>Exclude</v>
      </c>
      <c r="Q20" s="105" t="s">
        <v>744</v>
      </c>
      <c r="S20" s="46" t="s">
        <v>732</v>
      </c>
      <c r="T20" s="46">
        <v>1939464.693</v>
      </c>
      <c r="U20" s="46">
        <v>442916.95999999996</v>
      </c>
      <c r="V20" s="46">
        <v>804534.53199999989</v>
      </c>
      <c r="W20" s="46">
        <v>204074.514</v>
      </c>
      <c r="X20" s="46">
        <v>229687.027</v>
      </c>
      <c r="Y20" s="46">
        <v>271428.47399999999</v>
      </c>
      <c r="Z20" s="46">
        <v>180143.75699999998</v>
      </c>
      <c r="AA20" s="46">
        <v>103331.769</v>
      </c>
      <c r="AB20" s="46">
        <v>215672.35399999999</v>
      </c>
      <c r="AC20" s="46">
        <v>192811.23199999999</v>
      </c>
      <c r="AD20" s="46">
        <v>157208.95199999999</v>
      </c>
      <c r="AE20" s="46">
        <v>4741274.2640000004</v>
      </c>
    </row>
    <row r="21" spans="1:31">
      <c r="B21" s="105" t="s">
        <v>39</v>
      </c>
      <c r="C21" s="304"/>
      <c r="D21" s="304">
        <v>195192.42199999999</v>
      </c>
      <c r="E21" s="304"/>
      <c r="F21" s="304"/>
      <c r="G21" s="304">
        <v>26252.019</v>
      </c>
      <c r="H21" s="304"/>
      <c r="I21" s="304"/>
      <c r="J21" s="304"/>
      <c r="K21" s="304"/>
      <c r="L21" s="304"/>
      <c r="M21" s="304"/>
      <c r="N21" s="304"/>
      <c r="O21" s="304">
        <v>221444.44099999999</v>
      </c>
      <c r="P21" s="105" t="str">
        <f>VLOOKUP(B21,'EX-2.6 Phá bọt'!$B$13:$P$72,15,0)</f>
        <v>Include</v>
      </c>
      <c r="Q21" s="105" t="s">
        <v>744</v>
      </c>
    </row>
    <row r="22" spans="1:31">
      <c r="B22" s="105" t="s">
        <v>63</v>
      </c>
      <c r="C22" s="304">
        <v>45587.760999999999</v>
      </c>
      <c r="D22" s="304">
        <v>110.038</v>
      </c>
      <c r="E22" s="304"/>
      <c r="F22" s="304"/>
      <c r="G22" s="304"/>
      <c r="H22" s="304"/>
      <c r="I22" s="304"/>
      <c r="J22" s="304">
        <v>42168.99</v>
      </c>
      <c r="K22" s="304"/>
      <c r="L22" s="304"/>
      <c r="M22" s="304"/>
      <c r="N22" s="304"/>
      <c r="O22" s="304">
        <v>87866.78899999999</v>
      </c>
      <c r="P22" s="105" t="str">
        <f>VLOOKUP(B22,'EX-2.6 Phá bọt'!$B$13:$P$72,15,0)</f>
        <v>Include</v>
      </c>
      <c r="Q22" s="105" t="s">
        <v>744</v>
      </c>
    </row>
    <row r="23" spans="1:31">
      <c r="B23" s="105" t="s">
        <v>25</v>
      </c>
      <c r="C23" s="304"/>
      <c r="D23" s="304"/>
      <c r="E23" s="304"/>
      <c r="F23" s="304">
        <v>13533.784</v>
      </c>
      <c r="G23" s="304"/>
      <c r="H23" s="304"/>
      <c r="I23" s="304"/>
      <c r="J23" s="304"/>
      <c r="K23" s="304"/>
      <c r="L23" s="304"/>
      <c r="M23" s="304"/>
      <c r="N23" s="304"/>
      <c r="O23" s="304">
        <v>13533.784</v>
      </c>
      <c r="P23" s="105" t="str">
        <f>VLOOKUP(B23,'EX-2.6 Phá bọt'!$B$13:$P$72,15,0)</f>
        <v>Include</v>
      </c>
      <c r="Q23" s="105" t="s">
        <v>744</v>
      </c>
    </row>
    <row r="24" spans="1:31">
      <c r="B24" s="105" t="s">
        <v>23</v>
      </c>
      <c r="C24" s="304">
        <v>969732.34600000002</v>
      </c>
      <c r="D24" s="304">
        <v>221458.48</v>
      </c>
      <c r="E24" s="304">
        <v>402267.266</v>
      </c>
      <c r="F24" s="304">
        <v>102037.257</v>
      </c>
      <c r="G24" s="304">
        <v>114843.514</v>
      </c>
      <c r="H24" s="304">
        <v>135714.23699999999</v>
      </c>
      <c r="I24" s="304">
        <v>90071.877999999997</v>
      </c>
      <c r="J24" s="304">
        <v>51665.883999999998</v>
      </c>
      <c r="K24" s="304"/>
      <c r="L24" s="304">
        <v>107836.177</v>
      </c>
      <c r="M24" s="304">
        <v>96405.615999999995</v>
      </c>
      <c r="N24" s="304">
        <v>78604.475999999995</v>
      </c>
      <c r="O24" s="304">
        <v>2370637.1310000001</v>
      </c>
      <c r="P24" s="105" t="str">
        <f>VLOOKUP(B24,'EX-2.6 Phá bọt'!$B$13:$P$72,15,0)</f>
        <v>Exclude</v>
      </c>
      <c r="Q24" s="105" t="s">
        <v>744</v>
      </c>
    </row>
    <row r="25" spans="1:31">
      <c r="B25" s="107" t="s">
        <v>732</v>
      </c>
      <c r="C25" s="305">
        <v>1939464.693</v>
      </c>
      <c r="D25" s="305">
        <v>442916.95999999996</v>
      </c>
      <c r="E25" s="305">
        <v>804534.53199999989</v>
      </c>
      <c r="F25" s="305">
        <v>204074.514</v>
      </c>
      <c r="G25" s="305">
        <v>229687.027</v>
      </c>
      <c r="H25" s="305">
        <v>271428.47399999999</v>
      </c>
      <c r="I25" s="305">
        <v>180143.75699999998</v>
      </c>
      <c r="J25" s="305">
        <v>103331.769</v>
      </c>
      <c r="K25" s="305"/>
      <c r="L25" s="305">
        <v>215672.35399999999</v>
      </c>
      <c r="M25" s="305">
        <v>192811.23199999999</v>
      </c>
      <c r="N25" s="305">
        <v>157208.95199999999</v>
      </c>
      <c r="O25" s="305">
        <v>4741274.2640000004</v>
      </c>
      <c r="P25" s="107"/>
      <c r="Q25" s="105"/>
      <c r="S25" s="100" t="s">
        <v>626</v>
      </c>
      <c r="T25" s="46" t="s">
        <v>57</v>
      </c>
    </row>
    <row r="27" spans="1:31">
      <c r="S27" s="100" t="s">
        <v>734</v>
      </c>
      <c r="T27" s="100" t="s">
        <v>621</v>
      </c>
      <c r="U27" s="100" t="s">
        <v>622</v>
      </c>
    </row>
    <row r="28" spans="1:31">
      <c r="A28" s="99" t="s">
        <v>741</v>
      </c>
      <c r="B28" s="99" t="s">
        <v>46</v>
      </c>
      <c r="T28" s="46">
        <v>2023</v>
      </c>
      <c r="Z28" s="46">
        <v>2024</v>
      </c>
      <c r="AE28" s="46" t="s">
        <v>732</v>
      </c>
    </row>
    <row r="29" spans="1:31">
      <c r="B29" s="29" t="s">
        <v>47</v>
      </c>
      <c r="S29" s="100" t="s">
        <v>631</v>
      </c>
      <c r="T29" s="46">
        <v>7</v>
      </c>
      <c r="U29" s="46">
        <v>8</v>
      </c>
      <c r="V29" s="46">
        <v>9</v>
      </c>
      <c r="W29" s="46">
        <v>10</v>
      </c>
      <c r="X29" s="46">
        <v>11</v>
      </c>
      <c r="Y29" s="46">
        <v>12</v>
      </c>
      <c r="Z29" s="46">
        <v>1</v>
      </c>
      <c r="AA29" s="46">
        <v>2</v>
      </c>
      <c r="AB29" s="46">
        <v>4</v>
      </c>
      <c r="AC29" s="46">
        <v>5</v>
      </c>
      <c r="AD29" s="46">
        <v>6</v>
      </c>
    </row>
    <row r="30" spans="1:31">
      <c r="S30" s="46" t="s">
        <v>120</v>
      </c>
      <c r="Z30" s="46">
        <v>31799.986000000001</v>
      </c>
      <c r="AE30" s="46">
        <v>31799.986000000001</v>
      </c>
    </row>
    <row r="31" spans="1:31">
      <c r="B31" s="105"/>
      <c r="C31" s="324">
        <v>2023</v>
      </c>
      <c r="D31" s="324"/>
      <c r="E31" s="324"/>
      <c r="F31" s="324"/>
      <c r="G31" s="324"/>
      <c r="H31" s="324"/>
      <c r="I31" s="324">
        <v>2024</v>
      </c>
      <c r="J31" s="324"/>
      <c r="K31" s="324"/>
      <c r="L31" s="324"/>
      <c r="M31" s="324"/>
      <c r="N31" s="324"/>
      <c r="O31" s="112" t="s">
        <v>732</v>
      </c>
      <c r="P31" s="320" t="s">
        <v>209</v>
      </c>
      <c r="Q31" s="320" t="s">
        <v>155</v>
      </c>
      <c r="S31" s="46" t="s">
        <v>29</v>
      </c>
      <c r="T31" s="46">
        <v>49840</v>
      </c>
      <c r="Y31" s="46">
        <v>19280.136999999999</v>
      </c>
      <c r="AB31" s="46">
        <v>19981.273000000001</v>
      </c>
      <c r="AE31" s="46">
        <v>89101.41</v>
      </c>
    </row>
    <row r="32" spans="1:31">
      <c r="B32" s="107" t="s">
        <v>631</v>
      </c>
      <c r="C32" s="113">
        <v>7</v>
      </c>
      <c r="D32" s="113">
        <v>8</v>
      </c>
      <c r="E32" s="113">
        <v>9</v>
      </c>
      <c r="F32" s="113">
        <v>10</v>
      </c>
      <c r="G32" s="113">
        <v>11</v>
      </c>
      <c r="H32" s="113">
        <v>12</v>
      </c>
      <c r="I32" s="113">
        <v>1</v>
      </c>
      <c r="J32" s="113">
        <v>2</v>
      </c>
      <c r="K32" s="113">
        <v>3</v>
      </c>
      <c r="L32" s="113">
        <v>4</v>
      </c>
      <c r="M32" s="113">
        <v>5</v>
      </c>
      <c r="N32" s="113">
        <v>6</v>
      </c>
      <c r="O32" s="113"/>
      <c r="P32" s="320"/>
      <c r="Q32" s="320"/>
      <c r="S32" s="46" t="s">
        <v>753</v>
      </c>
      <c r="AC32" s="46">
        <v>1915.68</v>
      </c>
      <c r="AE32" s="46">
        <v>1915.68</v>
      </c>
    </row>
    <row r="33" spans="2:31">
      <c r="B33" s="105" t="s">
        <v>120</v>
      </c>
      <c r="C33" s="304"/>
      <c r="D33" s="304"/>
      <c r="E33" s="304"/>
      <c r="F33" s="304"/>
      <c r="G33" s="304"/>
      <c r="H33" s="304"/>
      <c r="I33" s="304">
        <v>31799.986000000001</v>
      </c>
      <c r="J33" s="304"/>
      <c r="K33" s="304"/>
      <c r="L33" s="304"/>
      <c r="M33" s="304"/>
      <c r="N33" s="304"/>
      <c r="O33" s="304">
        <v>31799.986000000001</v>
      </c>
      <c r="P33" s="105" t="s">
        <v>211</v>
      </c>
      <c r="Q33" s="105" t="s">
        <v>743</v>
      </c>
      <c r="S33" s="46" t="s">
        <v>30</v>
      </c>
      <c r="T33" s="46">
        <v>2285.9050000000002</v>
      </c>
      <c r="V33" s="46">
        <v>3405.6280000000002</v>
      </c>
      <c r="W33" s="46">
        <v>4979.6319999999996</v>
      </c>
      <c r="Y33" s="46">
        <v>694.476</v>
      </c>
      <c r="AA33" s="46">
        <v>8273.2080000000005</v>
      </c>
      <c r="AB33" s="46">
        <v>3389.4160000000002</v>
      </c>
      <c r="AE33" s="46">
        <v>23028.265000000003</v>
      </c>
    </row>
    <row r="34" spans="2:31">
      <c r="B34" s="105" t="s">
        <v>29</v>
      </c>
      <c r="C34" s="304">
        <v>49840</v>
      </c>
      <c r="D34" s="304"/>
      <c r="E34" s="304"/>
      <c r="F34" s="304"/>
      <c r="G34" s="304"/>
      <c r="H34" s="304">
        <v>19280.136999999999</v>
      </c>
      <c r="I34" s="304"/>
      <c r="J34" s="304"/>
      <c r="K34" s="304"/>
      <c r="L34" s="304">
        <v>19981.273000000001</v>
      </c>
      <c r="M34" s="304"/>
      <c r="N34" s="304"/>
      <c r="O34" s="304">
        <v>89101.41</v>
      </c>
      <c r="P34" s="105" t="s">
        <v>210</v>
      </c>
      <c r="Q34" s="105" t="s">
        <v>743</v>
      </c>
      <c r="S34" s="46" t="s">
        <v>0</v>
      </c>
      <c r="T34" s="46">
        <v>1431.951</v>
      </c>
      <c r="U34" s="46">
        <v>2295.1619999999998</v>
      </c>
      <c r="V34" s="46">
        <v>9400.1350000000002</v>
      </c>
      <c r="W34" s="46">
        <v>54160.042999999998</v>
      </c>
      <c r="X34" s="46">
        <v>2295.1619999999998</v>
      </c>
      <c r="Y34" s="46">
        <v>23240.231</v>
      </c>
      <c r="AB34" s="46">
        <v>24765.9</v>
      </c>
      <c r="AC34" s="46">
        <v>2295.08</v>
      </c>
      <c r="AD34" s="46">
        <v>7143.2470000000003</v>
      </c>
      <c r="AE34" s="46">
        <v>127026.91100000001</v>
      </c>
    </row>
    <row r="35" spans="2:31">
      <c r="B35" s="105" t="s">
        <v>753</v>
      </c>
      <c r="C35" s="304"/>
      <c r="D35" s="304"/>
      <c r="E35" s="304"/>
      <c r="F35" s="304"/>
      <c r="G35" s="304"/>
      <c r="H35" s="304"/>
      <c r="I35" s="304"/>
      <c r="J35" s="304"/>
      <c r="K35" s="304"/>
      <c r="L35" s="304"/>
      <c r="M35" s="304">
        <v>1915.68</v>
      </c>
      <c r="N35" s="304"/>
      <c r="O35" s="304">
        <v>1915.68</v>
      </c>
      <c r="P35" s="105" t="s">
        <v>211</v>
      </c>
      <c r="Q35" s="105" t="s">
        <v>743</v>
      </c>
      <c r="S35" s="46" t="s">
        <v>124</v>
      </c>
      <c r="T35" s="46">
        <v>630355.34400000004</v>
      </c>
      <c r="V35" s="46">
        <v>278662.46899999998</v>
      </c>
      <c r="Z35" s="46">
        <v>6017.201</v>
      </c>
      <c r="AE35" s="46">
        <v>915035.01400000008</v>
      </c>
    </row>
    <row r="36" spans="2:31">
      <c r="B36" s="105" t="s">
        <v>30</v>
      </c>
      <c r="C36" s="304">
        <v>2285.9050000000002</v>
      </c>
      <c r="D36" s="304"/>
      <c r="E36" s="304">
        <v>3405.6280000000002</v>
      </c>
      <c r="F36" s="304">
        <v>4979.6319999999996</v>
      </c>
      <c r="G36" s="304"/>
      <c r="H36" s="304">
        <v>694.476</v>
      </c>
      <c r="I36" s="304"/>
      <c r="J36" s="304">
        <v>8273.2080000000005</v>
      </c>
      <c r="K36" s="304"/>
      <c r="L36" s="304">
        <v>3389.4160000000002</v>
      </c>
      <c r="M36" s="304"/>
      <c r="N36" s="304"/>
      <c r="O36" s="304">
        <v>23028.265000000003</v>
      </c>
      <c r="P36" s="105" t="s">
        <v>211</v>
      </c>
      <c r="Q36" s="105" t="s">
        <v>743</v>
      </c>
      <c r="S36" s="46" t="s">
        <v>37</v>
      </c>
      <c r="T36" s="46">
        <v>59640.972999999998</v>
      </c>
      <c r="AE36" s="46">
        <v>59640.972999999998</v>
      </c>
    </row>
    <row r="37" spans="2:31">
      <c r="B37" s="105" t="s">
        <v>0</v>
      </c>
      <c r="C37" s="304">
        <v>1431.951</v>
      </c>
      <c r="D37" s="304">
        <v>2295.1619999999998</v>
      </c>
      <c r="E37" s="304">
        <v>9400.1350000000002</v>
      </c>
      <c r="F37" s="304">
        <v>54160.042999999998</v>
      </c>
      <c r="G37" s="304">
        <v>2295.1619999999998</v>
      </c>
      <c r="H37" s="304">
        <v>23240.231</v>
      </c>
      <c r="I37" s="304"/>
      <c r="J37" s="304"/>
      <c r="K37" s="304"/>
      <c r="L37" s="304">
        <v>24765.9</v>
      </c>
      <c r="M37" s="304">
        <v>2295.08</v>
      </c>
      <c r="N37" s="304">
        <v>7143.2470000000003</v>
      </c>
      <c r="O37" s="304">
        <v>127026.91100000001</v>
      </c>
      <c r="P37" s="105" t="s">
        <v>211</v>
      </c>
      <c r="Q37" s="105" t="s">
        <v>743</v>
      </c>
      <c r="S37" s="46" t="s">
        <v>38</v>
      </c>
      <c r="T37" s="46">
        <v>61513.258000000002</v>
      </c>
      <c r="U37" s="46">
        <v>20490.623</v>
      </c>
      <c r="V37" s="46">
        <v>58966.408000000003</v>
      </c>
      <c r="W37" s="46">
        <v>17960.018</v>
      </c>
      <c r="X37" s="46">
        <v>74881.210999999996</v>
      </c>
      <c r="Y37" s="46">
        <v>75012.448999999993</v>
      </c>
      <c r="Z37" s="46">
        <v>40648.82</v>
      </c>
      <c r="AB37" s="46">
        <v>45804.766000000003</v>
      </c>
      <c r="AC37" s="46">
        <v>79772.875</v>
      </c>
      <c r="AD37" s="46">
        <v>61332.947</v>
      </c>
      <c r="AE37" s="46">
        <v>536383.375</v>
      </c>
    </row>
    <row r="38" spans="2:31">
      <c r="B38" s="105" t="s">
        <v>124</v>
      </c>
      <c r="C38" s="304">
        <v>630355.34400000004</v>
      </c>
      <c r="D38" s="304"/>
      <c r="E38" s="304">
        <v>278662.46899999998</v>
      </c>
      <c r="F38" s="304"/>
      <c r="G38" s="304"/>
      <c r="H38" s="304"/>
      <c r="I38" s="304">
        <v>6017.201</v>
      </c>
      <c r="J38" s="304"/>
      <c r="K38" s="304"/>
      <c r="L38" s="304"/>
      <c r="M38" s="304"/>
      <c r="N38" s="304"/>
      <c r="O38" s="304">
        <v>915035.01400000008</v>
      </c>
      <c r="P38" s="105" t="s">
        <v>211</v>
      </c>
      <c r="Q38" s="105" t="s">
        <v>743</v>
      </c>
      <c r="S38" s="46" t="s">
        <v>39</v>
      </c>
      <c r="U38" s="46">
        <v>170041.641</v>
      </c>
      <c r="X38" s="46">
        <v>22869.414000000001</v>
      </c>
      <c r="AE38" s="46">
        <v>192911.05499999999</v>
      </c>
    </row>
    <row r="39" spans="2:31">
      <c r="B39" s="105" t="s">
        <v>37</v>
      </c>
      <c r="C39" s="304">
        <v>59640.972999999998</v>
      </c>
      <c r="D39" s="304"/>
      <c r="E39" s="304"/>
      <c r="F39" s="304"/>
      <c r="G39" s="304"/>
      <c r="H39" s="304"/>
      <c r="I39" s="304"/>
      <c r="J39" s="304"/>
      <c r="K39" s="304"/>
      <c r="L39" s="304"/>
      <c r="M39" s="304"/>
      <c r="N39" s="304"/>
      <c r="O39" s="304">
        <v>59640.972999999998</v>
      </c>
      <c r="P39" s="105" t="s">
        <v>211</v>
      </c>
      <c r="Q39" s="105" t="s">
        <v>743</v>
      </c>
      <c r="S39" s="46" t="s">
        <v>63</v>
      </c>
      <c r="T39" s="46">
        <v>39713.722999999998</v>
      </c>
      <c r="U39" s="46">
        <v>95.86</v>
      </c>
      <c r="AA39" s="46">
        <v>36735.464</v>
      </c>
      <c r="AE39" s="46">
        <v>76545.046999999991</v>
      </c>
    </row>
    <row r="40" spans="2:31">
      <c r="B40" s="105" t="s">
        <v>38</v>
      </c>
      <c r="C40" s="304">
        <v>61513.258000000002</v>
      </c>
      <c r="D40" s="304">
        <v>20490.623</v>
      </c>
      <c r="E40" s="304">
        <v>58966.408000000003</v>
      </c>
      <c r="F40" s="304">
        <v>17960.018</v>
      </c>
      <c r="G40" s="304">
        <v>74881.210999999996</v>
      </c>
      <c r="H40" s="304">
        <v>75012.448999999993</v>
      </c>
      <c r="I40" s="304">
        <v>40648.82</v>
      </c>
      <c r="J40" s="304"/>
      <c r="K40" s="304"/>
      <c r="L40" s="304">
        <v>45804.766000000003</v>
      </c>
      <c r="M40" s="304">
        <v>79772.875</v>
      </c>
      <c r="N40" s="304">
        <v>61332.947</v>
      </c>
      <c r="O40" s="304">
        <v>536383.375</v>
      </c>
      <c r="P40" s="105" t="s">
        <v>210</v>
      </c>
      <c r="Q40" s="105" t="s">
        <v>743</v>
      </c>
      <c r="S40" s="46" t="s">
        <v>25</v>
      </c>
      <c r="W40" s="46">
        <v>11789.94</v>
      </c>
      <c r="AE40" s="46">
        <v>11789.94</v>
      </c>
    </row>
    <row r="41" spans="2:31">
      <c r="B41" s="105" t="s">
        <v>39</v>
      </c>
      <c r="C41" s="304"/>
      <c r="D41" s="304">
        <v>170041.641</v>
      </c>
      <c r="E41" s="304"/>
      <c r="F41" s="304"/>
      <c r="G41" s="304">
        <v>22869.414000000001</v>
      </c>
      <c r="H41" s="304"/>
      <c r="I41" s="304"/>
      <c r="J41" s="304"/>
      <c r="K41" s="304"/>
      <c r="L41" s="304"/>
      <c r="M41" s="304"/>
      <c r="N41" s="304"/>
      <c r="O41" s="304">
        <v>192911.05499999999</v>
      </c>
      <c r="P41" s="105" t="s">
        <v>211</v>
      </c>
      <c r="Q41" s="105" t="s">
        <v>743</v>
      </c>
      <c r="S41" s="46" t="s">
        <v>23</v>
      </c>
      <c r="T41" s="46">
        <v>844781.15300000005</v>
      </c>
      <c r="U41" s="46">
        <v>192923.285</v>
      </c>
      <c r="V41" s="46">
        <v>350434.63900000002</v>
      </c>
      <c r="W41" s="46">
        <v>88889.631999999998</v>
      </c>
      <c r="X41" s="46">
        <v>100045.787</v>
      </c>
      <c r="Y41" s="46">
        <v>118227.292</v>
      </c>
      <c r="Z41" s="46">
        <v>78466.006999999998</v>
      </c>
      <c r="AA41" s="46">
        <v>45008.671999999999</v>
      </c>
      <c r="AB41" s="46">
        <v>93941.354000000007</v>
      </c>
      <c r="AC41" s="46">
        <v>83983.634999999995</v>
      </c>
      <c r="AD41" s="46">
        <v>68476.194000000003</v>
      </c>
      <c r="AE41" s="46">
        <v>2065177.65</v>
      </c>
    </row>
    <row r="42" spans="2:31">
      <c r="B42" s="105" t="s">
        <v>63</v>
      </c>
      <c r="C42" s="304">
        <v>39713.722999999998</v>
      </c>
      <c r="D42" s="304">
        <v>95.86</v>
      </c>
      <c r="E42" s="304"/>
      <c r="F42" s="304"/>
      <c r="G42" s="304"/>
      <c r="H42" s="304"/>
      <c r="I42" s="304"/>
      <c r="J42" s="304">
        <v>36735.464</v>
      </c>
      <c r="K42" s="304"/>
      <c r="L42" s="304"/>
      <c r="M42" s="304"/>
      <c r="N42" s="304"/>
      <c r="O42" s="304">
        <v>76545.046999999991</v>
      </c>
      <c r="P42" s="105" t="s">
        <v>211</v>
      </c>
      <c r="Q42" s="105" t="s">
        <v>743</v>
      </c>
      <c r="S42" s="46" t="s">
        <v>732</v>
      </c>
      <c r="T42" s="46">
        <v>1689562.307</v>
      </c>
      <c r="U42" s="46">
        <v>385846.571</v>
      </c>
      <c r="V42" s="46">
        <v>700869.27899999998</v>
      </c>
      <c r="W42" s="46">
        <v>177779.26500000001</v>
      </c>
      <c r="X42" s="46">
        <v>200091.57399999999</v>
      </c>
      <c r="Y42" s="46">
        <v>236454.58499999999</v>
      </c>
      <c r="Z42" s="46">
        <v>156932.014</v>
      </c>
      <c r="AA42" s="46">
        <v>90017.343999999997</v>
      </c>
      <c r="AB42" s="46">
        <v>187882.70900000003</v>
      </c>
      <c r="AC42" s="46">
        <v>167967.27</v>
      </c>
      <c r="AD42" s="46">
        <v>136952.38800000001</v>
      </c>
      <c r="AE42" s="46">
        <v>4130355.3059999999</v>
      </c>
    </row>
    <row r="43" spans="2:31">
      <c r="B43" s="105" t="s">
        <v>25</v>
      </c>
      <c r="C43" s="304"/>
      <c r="D43" s="304"/>
      <c r="E43" s="304"/>
      <c r="F43" s="304">
        <v>11789.94</v>
      </c>
      <c r="G43" s="304"/>
      <c r="H43" s="304"/>
      <c r="I43" s="304"/>
      <c r="J43" s="304"/>
      <c r="K43" s="304"/>
      <c r="L43" s="304"/>
      <c r="M43" s="304"/>
      <c r="N43" s="304"/>
      <c r="O43" s="304">
        <v>11789.94</v>
      </c>
      <c r="P43" s="105" t="s">
        <v>211</v>
      </c>
      <c r="Q43" s="105" t="s">
        <v>743</v>
      </c>
    </row>
    <row r="44" spans="2:31">
      <c r="B44" s="105" t="s">
        <v>23</v>
      </c>
      <c r="C44" s="304">
        <v>844781.15300000005</v>
      </c>
      <c r="D44" s="304">
        <v>192923.285</v>
      </c>
      <c r="E44" s="304">
        <v>350434.63900000002</v>
      </c>
      <c r="F44" s="304">
        <v>88889.631999999998</v>
      </c>
      <c r="G44" s="304">
        <v>100045.787</v>
      </c>
      <c r="H44" s="304">
        <v>118227.292</v>
      </c>
      <c r="I44" s="304">
        <v>78466.006999999998</v>
      </c>
      <c r="J44" s="304">
        <v>45008.671999999999</v>
      </c>
      <c r="K44" s="304"/>
      <c r="L44" s="304">
        <v>93941.354000000007</v>
      </c>
      <c r="M44" s="304">
        <v>83983.634999999995</v>
      </c>
      <c r="N44" s="304">
        <v>68476.194000000003</v>
      </c>
      <c r="O44" s="304">
        <v>2065177.65</v>
      </c>
      <c r="P44" s="105" t="s">
        <v>210</v>
      </c>
      <c r="Q44" s="105" t="s">
        <v>743</v>
      </c>
    </row>
    <row r="45" spans="2:31">
      <c r="B45" s="107" t="s">
        <v>732</v>
      </c>
      <c r="C45" s="305">
        <v>1689562.307</v>
      </c>
      <c r="D45" s="305">
        <v>385846.571</v>
      </c>
      <c r="E45" s="305">
        <v>700869.27899999998</v>
      </c>
      <c r="F45" s="305">
        <v>177779.26500000001</v>
      </c>
      <c r="G45" s="305">
        <v>200091.57399999999</v>
      </c>
      <c r="H45" s="305">
        <v>236454.58499999999</v>
      </c>
      <c r="I45" s="305">
        <v>156932.014</v>
      </c>
      <c r="J45" s="305">
        <v>90017.343999999997</v>
      </c>
      <c r="K45" s="305"/>
      <c r="L45" s="305">
        <v>187882.70900000003</v>
      </c>
      <c r="M45" s="305">
        <v>167967.27</v>
      </c>
      <c r="N45" s="305">
        <v>136952.38800000001</v>
      </c>
      <c r="O45" s="305">
        <v>4130355.3059999999</v>
      </c>
      <c r="P45" s="105"/>
      <c r="Q45" s="105"/>
    </row>
    <row r="48" spans="2:31" s="121" customFormat="1" ht="9" customHeight="1"/>
    <row r="49" spans="1:48" ht="27">
      <c r="B49" s="303" t="s">
        <v>742</v>
      </c>
      <c r="L49" s="102" t="s">
        <v>730</v>
      </c>
      <c r="O49" s="102" t="s">
        <v>731</v>
      </c>
      <c r="AG49" s="102" t="s">
        <v>729</v>
      </c>
      <c r="AS49" s="102" t="s">
        <v>728</v>
      </c>
    </row>
    <row r="50" spans="1:48" s="108" customFormat="1" ht="54">
      <c r="A50" s="102" t="s">
        <v>727</v>
      </c>
      <c r="B50" s="102" t="s">
        <v>618</v>
      </c>
      <c r="C50" s="102" t="s">
        <v>619</v>
      </c>
      <c r="D50" s="102" t="s">
        <v>620</v>
      </c>
      <c r="E50" s="102" t="s">
        <v>621</v>
      </c>
      <c r="F50" s="102" t="s">
        <v>622</v>
      </c>
      <c r="G50" s="102" t="s">
        <v>623</v>
      </c>
      <c r="H50" s="102" t="s">
        <v>624</v>
      </c>
      <c r="I50" s="102" t="s">
        <v>625</v>
      </c>
      <c r="J50" s="102" t="s">
        <v>626</v>
      </c>
      <c r="K50" s="102" t="s">
        <v>627</v>
      </c>
      <c r="L50" s="102" t="s">
        <v>628</v>
      </c>
      <c r="M50" s="102" t="s">
        <v>629</v>
      </c>
      <c r="N50" s="102" t="s">
        <v>630</v>
      </c>
      <c r="O50" s="102" t="s">
        <v>631</v>
      </c>
      <c r="P50" s="102" t="s">
        <v>632</v>
      </c>
      <c r="Q50" s="102" t="s">
        <v>633</v>
      </c>
      <c r="R50" s="102" t="s">
        <v>634</v>
      </c>
      <c r="S50" s="102" t="s">
        <v>635</v>
      </c>
      <c r="T50" s="102" t="s">
        <v>636</v>
      </c>
      <c r="U50" s="102" t="s">
        <v>637</v>
      </c>
      <c r="V50" s="102" t="s">
        <v>638</v>
      </c>
      <c r="W50" s="102" t="s">
        <v>639</v>
      </c>
      <c r="X50" s="102" t="s">
        <v>640</v>
      </c>
      <c r="Y50" s="102" t="s">
        <v>641</v>
      </c>
      <c r="Z50" s="102" t="s">
        <v>642</v>
      </c>
      <c r="AA50" s="102" t="s">
        <v>643</v>
      </c>
      <c r="AB50" s="102" t="s">
        <v>644</v>
      </c>
      <c r="AC50" s="102" t="s">
        <v>645</v>
      </c>
      <c r="AD50" s="102" t="s">
        <v>646</v>
      </c>
      <c r="AE50" s="102" t="s">
        <v>647</v>
      </c>
      <c r="AF50" s="102" t="s">
        <v>648</v>
      </c>
      <c r="AG50" s="102" t="s">
        <v>649</v>
      </c>
      <c r="AH50" s="102" t="s">
        <v>650</v>
      </c>
      <c r="AI50" s="102" t="s">
        <v>651</v>
      </c>
      <c r="AJ50" s="102" t="s">
        <v>652</v>
      </c>
      <c r="AK50" s="102" t="s">
        <v>653</v>
      </c>
      <c r="AL50" s="102" t="s">
        <v>654</v>
      </c>
      <c r="AM50" s="102" t="s">
        <v>655</v>
      </c>
      <c r="AN50" s="102" t="s">
        <v>656</v>
      </c>
      <c r="AO50" s="102" t="s">
        <v>657</v>
      </c>
      <c r="AP50" s="102" t="s">
        <v>658</v>
      </c>
      <c r="AQ50" s="102" t="s">
        <v>659</v>
      </c>
      <c r="AR50" s="102" t="s">
        <v>660</v>
      </c>
      <c r="AS50" s="102" t="s">
        <v>661</v>
      </c>
      <c r="AT50" s="102" t="s">
        <v>662</v>
      </c>
      <c r="AU50" s="102" t="s">
        <v>663</v>
      </c>
      <c r="AV50" s="102" t="s">
        <v>664</v>
      </c>
    </row>
    <row r="51" spans="1:48">
      <c r="B51" s="46" t="s">
        <v>665</v>
      </c>
      <c r="C51" s="46" t="s">
        <v>666</v>
      </c>
      <c r="D51" s="46">
        <v>20230701</v>
      </c>
      <c r="E51" s="46">
        <v>2023</v>
      </c>
      <c r="F51" s="46">
        <v>7</v>
      </c>
      <c r="G51" s="46" t="s">
        <v>718</v>
      </c>
      <c r="H51" s="46">
        <v>818</v>
      </c>
      <c r="I51" s="46" t="s">
        <v>668</v>
      </c>
      <c r="J51" s="46" t="s">
        <v>57</v>
      </c>
      <c r="K51" s="46" t="s">
        <v>666</v>
      </c>
      <c r="L51" s="46" t="s">
        <v>669</v>
      </c>
      <c r="M51" s="46">
        <v>414</v>
      </c>
      <c r="N51" s="46" t="s">
        <v>1017</v>
      </c>
      <c r="O51" s="46" t="s">
        <v>124</v>
      </c>
      <c r="P51" s="46">
        <v>0</v>
      </c>
      <c r="Q51" s="46" t="s">
        <v>670</v>
      </c>
      <c r="R51" s="46" t="s">
        <v>23</v>
      </c>
      <c r="S51" s="46" t="s">
        <v>671</v>
      </c>
      <c r="T51" s="46" t="s">
        <v>672</v>
      </c>
      <c r="U51" s="46" t="b">
        <v>1</v>
      </c>
      <c r="V51" s="46" t="s">
        <v>1018</v>
      </c>
      <c r="W51" s="46" t="s">
        <v>1019</v>
      </c>
      <c r="X51" s="46">
        <v>6</v>
      </c>
      <c r="Y51" s="46" t="b">
        <v>1</v>
      </c>
      <c r="Z51" s="46" t="s">
        <v>675</v>
      </c>
      <c r="AA51" s="46" t="s">
        <v>676</v>
      </c>
      <c r="AB51" s="46" t="s">
        <v>677</v>
      </c>
      <c r="AC51" s="46">
        <v>0</v>
      </c>
      <c r="AD51" s="46" t="s">
        <v>678</v>
      </c>
      <c r="AE51" s="46">
        <v>8</v>
      </c>
      <c r="AF51" s="46" t="s">
        <v>679</v>
      </c>
      <c r="AG51" s="46">
        <v>723590.91299999994</v>
      </c>
      <c r="AH51" s="46" t="b">
        <v>1</v>
      </c>
      <c r="AI51" s="46">
        <v>-1</v>
      </c>
      <c r="AJ51" s="46" t="s">
        <v>680</v>
      </c>
      <c r="AK51" s="46">
        <v>0</v>
      </c>
      <c r="AL51" s="46" t="b">
        <v>0</v>
      </c>
      <c r="AM51" s="46">
        <v>723590.91299999994</v>
      </c>
      <c r="AN51" s="46" t="b">
        <v>1</v>
      </c>
      <c r="AO51" s="46">
        <v>0</v>
      </c>
      <c r="AP51" s="46" t="b">
        <v>0</v>
      </c>
      <c r="AQ51" s="46">
        <v>630355.34400000004</v>
      </c>
      <c r="AS51" s="46">
        <v>630355.34400000004</v>
      </c>
      <c r="AT51" s="46">
        <v>6</v>
      </c>
      <c r="AU51" s="46" t="b">
        <v>1</v>
      </c>
      <c r="AV51" s="46" t="b">
        <v>0</v>
      </c>
    </row>
    <row r="52" spans="1:48">
      <c r="B52" s="46" t="s">
        <v>665</v>
      </c>
      <c r="C52" s="46" t="s">
        <v>666</v>
      </c>
      <c r="D52" s="46">
        <v>20230701</v>
      </c>
      <c r="E52" s="46">
        <v>2023</v>
      </c>
      <c r="F52" s="46">
        <v>7</v>
      </c>
      <c r="G52" s="46" t="s">
        <v>718</v>
      </c>
      <c r="H52" s="46">
        <v>818</v>
      </c>
      <c r="I52" s="46" t="s">
        <v>668</v>
      </c>
      <c r="J52" s="46" t="s">
        <v>57</v>
      </c>
      <c r="K52" s="46" t="s">
        <v>666</v>
      </c>
      <c r="L52" s="46" t="s">
        <v>669</v>
      </c>
      <c r="M52" s="46">
        <v>634</v>
      </c>
      <c r="N52" s="46" t="s">
        <v>993</v>
      </c>
      <c r="O52" s="46" t="s">
        <v>37</v>
      </c>
      <c r="P52" s="46">
        <v>0</v>
      </c>
      <c r="Q52" s="46" t="s">
        <v>670</v>
      </c>
      <c r="R52" s="46" t="s">
        <v>23</v>
      </c>
      <c r="S52" s="46" t="s">
        <v>671</v>
      </c>
      <c r="T52" s="46" t="s">
        <v>672</v>
      </c>
      <c r="U52" s="46" t="b">
        <v>1</v>
      </c>
      <c r="V52" s="46" t="s">
        <v>1018</v>
      </c>
      <c r="W52" s="46" t="s">
        <v>1019</v>
      </c>
      <c r="X52" s="46">
        <v>6</v>
      </c>
      <c r="Y52" s="46" t="b">
        <v>1</v>
      </c>
      <c r="Z52" s="46" t="s">
        <v>675</v>
      </c>
      <c r="AA52" s="46" t="s">
        <v>676</v>
      </c>
      <c r="AB52" s="46" t="s">
        <v>677</v>
      </c>
      <c r="AC52" s="46">
        <v>0</v>
      </c>
      <c r="AD52" s="46" t="s">
        <v>678</v>
      </c>
      <c r="AE52" s="46">
        <v>8</v>
      </c>
      <c r="AF52" s="46" t="s">
        <v>679</v>
      </c>
      <c r="AG52" s="46">
        <v>68462.441999999995</v>
      </c>
      <c r="AH52" s="46" t="b">
        <v>1</v>
      </c>
      <c r="AI52" s="46">
        <v>-1</v>
      </c>
      <c r="AJ52" s="46" t="s">
        <v>680</v>
      </c>
      <c r="AK52" s="46">
        <v>0</v>
      </c>
      <c r="AL52" s="46" t="b">
        <v>0</v>
      </c>
      <c r="AM52" s="46">
        <v>68462.441999999995</v>
      </c>
      <c r="AN52" s="46" t="b">
        <v>1</v>
      </c>
      <c r="AO52" s="46">
        <v>0</v>
      </c>
      <c r="AP52" s="46" t="b">
        <v>0</v>
      </c>
      <c r="AQ52" s="46">
        <v>59640.972999999998</v>
      </c>
      <c r="AS52" s="46">
        <v>59640.972999999998</v>
      </c>
      <c r="AT52" s="46">
        <v>6</v>
      </c>
      <c r="AU52" s="46" t="b">
        <v>1</v>
      </c>
      <c r="AV52" s="46" t="b">
        <v>0</v>
      </c>
    </row>
    <row r="53" spans="1:48">
      <c r="B53" s="46" t="s">
        <v>665</v>
      </c>
      <c r="C53" s="46" t="s">
        <v>666</v>
      </c>
      <c r="D53" s="46">
        <v>20230701</v>
      </c>
      <c r="E53" s="46">
        <v>2023</v>
      </c>
      <c r="F53" s="46">
        <v>7</v>
      </c>
      <c r="G53" s="46" t="s">
        <v>718</v>
      </c>
      <c r="H53" s="46">
        <v>818</v>
      </c>
      <c r="I53" s="46" t="s">
        <v>668</v>
      </c>
      <c r="J53" s="46" t="s">
        <v>57</v>
      </c>
      <c r="K53" s="46" t="s">
        <v>666</v>
      </c>
      <c r="L53" s="46" t="s">
        <v>669</v>
      </c>
      <c r="M53" s="46">
        <v>792</v>
      </c>
      <c r="N53" s="46" t="s">
        <v>691</v>
      </c>
      <c r="O53" s="46" t="s">
        <v>63</v>
      </c>
      <c r="P53" s="46">
        <v>0</v>
      </c>
      <c r="Q53" s="46" t="s">
        <v>670</v>
      </c>
      <c r="R53" s="46" t="s">
        <v>23</v>
      </c>
      <c r="S53" s="46" t="s">
        <v>671</v>
      </c>
      <c r="T53" s="46" t="s">
        <v>672</v>
      </c>
      <c r="U53" s="46" t="b">
        <v>1</v>
      </c>
      <c r="V53" s="46" t="s">
        <v>1018</v>
      </c>
      <c r="W53" s="46" t="s">
        <v>1019</v>
      </c>
      <c r="X53" s="46">
        <v>6</v>
      </c>
      <c r="Y53" s="46" t="b">
        <v>1</v>
      </c>
      <c r="Z53" s="46" t="s">
        <v>675</v>
      </c>
      <c r="AA53" s="46" t="s">
        <v>676</v>
      </c>
      <c r="AB53" s="46" t="s">
        <v>677</v>
      </c>
      <c r="AC53" s="46">
        <v>0</v>
      </c>
      <c r="AD53" s="46" t="s">
        <v>678</v>
      </c>
      <c r="AE53" s="46">
        <v>8</v>
      </c>
      <c r="AF53" s="46" t="s">
        <v>679</v>
      </c>
      <c r="AG53" s="46">
        <v>45587.760999999999</v>
      </c>
      <c r="AH53" s="46" t="b">
        <v>1</v>
      </c>
      <c r="AI53" s="46">
        <v>-1</v>
      </c>
      <c r="AJ53" s="46" t="s">
        <v>680</v>
      </c>
      <c r="AK53" s="46">
        <v>0</v>
      </c>
      <c r="AL53" s="46" t="b">
        <v>0</v>
      </c>
      <c r="AM53" s="46">
        <v>45587.760999999999</v>
      </c>
      <c r="AN53" s="46" t="b">
        <v>1</v>
      </c>
      <c r="AO53" s="46">
        <v>0</v>
      </c>
      <c r="AP53" s="46" t="b">
        <v>0</v>
      </c>
      <c r="AQ53" s="46">
        <v>39713.722999999998</v>
      </c>
      <c r="AS53" s="46">
        <v>39713.722999999998</v>
      </c>
      <c r="AT53" s="46">
        <v>6</v>
      </c>
      <c r="AU53" s="46" t="b">
        <v>1</v>
      </c>
      <c r="AV53" s="46" t="b">
        <v>0</v>
      </c>
    </row>
    <row r="54" spans="1:48">
      <c r="B54" s="46" t="s">
        <v>665</v>
      </c>
      <c r="C54" s="46" t="s">
        <v>666</v>
      </c>
      <c r="D54" s="46">
        <v>20230701</v>
      </c>
      <c r="E54" s="46">
        <v>2023</v>
      </c>
      <c r="F54" s="46">
        <v>7</v>
      </c>
      <c r="G54" s="46" t="s">
        <v>718</v>
      </c>
      <c r="H54" s="46">
        <v>818</v>
      </c>
      <c r="I54" s="46" t="s">
        <v>668</v>
      </c>
      <c r="J54" s="46" t="s">
        <v>57</v>
      </c>
      <c r="K54" s="46" t="s">
        <v>666</v>
      </c>
      <c r="L54" s="46" t="s">
        <v>669</v>
      </c>
      <c r="M54" s="46">
        <v>276</v>
      </c>
      <c r="N54" s="46" t="s">
        <v>681</v>
      </c>
      <c r="O54" s="46" t="s">
        <v>30</v>
      </c>
      <c r="P54" s="46">
        <v>0</v>
      </c>
      <c r="Q54" s="46" t="s">
        <v>670</v>
      </c>
      <c r="R54" s="46" t="s">
        <v>23</v>
      </c>
      <c r="S54" s="46" t="s">
        <v>671</v>
      </c>
      <c r="T54" s="46" t="s">
        <v>672</v>
      </c>
      <c r="U54" s="46" t="b">
        <v>1</v>
      </c>
      <c r="V54" s="46" t="s">
        <v>1018</v>
      </c>
      <c r="W54" s="46" t="s">
        <v>1019</v>
      </c>
      <c r="X54" s="46">
        <v>6</v>
      </c>
      <c r="Y54" s="46" t="b">
        <v>1</v>
      </c>
      <c r="Z54" s="46" t="s">
        <v>675</v>
      </c>
      <c r="AA54" s="46" t="s">
        <v>676</v>
      </c>
      <c r="AB54" s="46" t="s">
        <v>677</v>
      </c>
      <c r="AC54" s="46">
        <v>0</v>
      </c>
      <c r="AD54" s="46" t="s">
        <v>678</v>
      </c>
      <c r="AE54" s="46">
        <v>8</v>
      </c>
      <c r="AF54" s="46" t="s">
        <v>679</v>
      </c>
      <c r="AG54" s="46">
        <v>2624.0129999999999</v>
      </c>
      <c r="AH54" s="46" t="b">
        <v>1</v>
      </c>
      <c r="AI54" s="46">
        <v>-1</v>
      </c>
      <c r="AJ54" s="46" t="s">
        <v>680</v>
      </c>
      <c r="AK54" s="46">
        <v>0</v>
      </c>
      <c r="AL54" s="46" t="b">
        <v>0</v>
      </c>
      <c r="AM54" s="46">
        <v>2624.0129999999999</v>
      </c>
      <c r="AN54" s="46" t="b">
        <v>1</v>
      </c>
      <c r="AO54" s="46">
        <v>0</v>
      </c>
      <c r="AP54" s="46" t="b">
        <v>0</v>
      </c>
      <c r="AQ54" s="46">
        <v>2285.9050000000002</v>
      </c>
      <c r="AS54" s="46">
        <v>2285.9050000000002</v>
      </c>
      <c r="AT54" s="46">
        <v>6</v>
      </c>
      <c r="AU54" s="46" t="b">
        <v>1</v>
      </c>
      <c r="AV54" s="46" t="b">
        <v>0</v>
      </c>
    </row>
    <row r="55" spans="1:48">
      <c r="B55" s="46" t="s">
        <v>665</v>
      </c>
      <c r="C55" s="46" t="s">
        <v>666</v>
      </c>
      <c r="D55" s="46">
        <v>20230701</v>
      </c>
      <c r="E55" s="46">
        <v>2023</v>
      </c>
      <c r="F55" s="46">
        <v>7</v>
      </c>
      <c r="G55" s="46" t="s">
        <v>718</v>
      </c>
      <c r="H55" s="46">
        <v>818</v>
      </c>
      <c r="I55" s="46" t="s">
        <v>668</v>
      </c>
      <c r="J55" s="46" t="s">
        <v>57</v>
      </c>
      <c r="K55" s="46" t="s">
        <v>666</v>
      </c>
      <c r="L55" s="46" t="s">
        <v>669</v>
      </c>
      <c r="M55" s="46">
        <v>0</v>
      </c>
      <c r="N55" s="46" t="s">
        <v>670</v>
      </c>
      <c r="O55" s="46" t="s">
        <v>23</v>
      </c>
      <c r="P55" s="46">
        <v>0</v>
      </c>
      <c r="Q55" s="46" t="s">
        <v>670</v>
      </c>
      <c r="R55" s="46" t="s">
        <v>23</v>
      </c>
      <c r="S55" s="46" t="s">
        <v>671</v>
      </c>
      <c r="T55" s="46" t="s">
        <v>672</v>
      </c>
      <c r="U55" s="46" t="b">
        <v>1</v>
      </c>
      <c r="V55" s="46" t="s">
        <v>1018</v>
      </c>
      <c r="W55" s="46" t="s">
        <v>1019</v>
      </c>
      <c r="X55" s="46">
        <v>6</v>
      </c>
      <c r="Y55" s="46" t="b">
        <v>1</v>
      </c>
      <c r="Z55" s="46" t="s">
        <v>675</v>
      </c>
      <c r="AA55" s="46" t="s">
        <v>676</v>
      </c>
      <c r="AB55" s="46" t="s">
        <v>677</v>
      </c>
      <c r="AC55" s="46">
        <v>0</v>
      </c>
      <c r="AD55" s="46" t="s">
        <v>678</v>
      </c>
      <c r="AE55" s="46">
        <v>8</v>
      </c>
      <c r="AF55" s="46" t="s">
        <v>679</v>
      </c>
      <c r="AG55" s="46">
        <v>969732.34600000002</v>
      </c>
      <c r="AH55" s="46" t="b">
        <v>1</v>
      </c>
      <c r="AI55" s="46">
        <v>-1</v>
      </c>
      <c r="AJ55" s="46" t="s">
        <v>680</v>
      </c>
      <c r="AK55" s="46">
        <v>0</v>
      </c>
      <c r="AL55" s="46" t="b">
        <v>0</v>
      </c>
      <c r="AM55" s="46">
        <v>969732.34600000002</v>
      </c>
      <c r="AN55" s="46" t="b">
        <v>1</v>
      </c>
      <c r="AO55" s="46">
        <v>0</v>
      </c>
      <c r="AP55" s="46" t="b">
        <v>0</v>
      </c>
      <c r="AQ55" s="46">
        <v>844781.15300000005</v>
      </c>
      <c r="AS55" s="46">
        <v>844781.15300000005</v>
      </c>
      <c r="AT55" s="46">
        <v>6</v>
      </c>
      <c r="AU55" s="46" t="b">
        <v>0</v>
      </c>
      <c r="AV55" s="46" t="b">
        <v>1</v>
      </c>
    </row>
    <row r="56" spans="1:48">
      <c r="B56" s="46" t="s">
        <v>665</v>
      </c>
      <c r="C56" s="46" t="s">
        <v>666</v>
      </c>
      <c r="D56" s="46">
        <v>20230701</v>
      </c>
      <c r="E56" s="46">
        <v>2023</v>
      </c>
      <c r="F56" s="46">
        <v>7</v>
      </c>
      <c r="G56" s="46" t="s">
        <v>718</v>
      </c>
      <c r="H56" s="46">
        <v>818</v>
      </c>
      <c r="I56" s="46" t="s">
        <v>668</v>
      </c>
      <c r="J56" s="46" t="s">
        <v>57</v>
      </c>
      <c r="K56" s="46" t="s">
        <v>666</v>
      </c>
      <c r="L56" s="46" t="s">
        <v>669</v>
      </c>
      <c r="M56" s="46">
        <v>643</v>
      </c>
      <c r="N56" s="46" t="s">
        <v>761</v>
      </c>
      <c r="O56" s="46" t="s">
        <v>38</v>
      </c>
      <c r="P56" s="46">
        <v>0</v>
      </c>
      <c r="Q56" s="46" t="s">
        <v>670</v>
      </c>
      <c r="R56" s="46" t="s">
        <v>23</v>
      </c>
      <c r="S56" s="46" t="s">
        <v>671</v>
      </c>
      <c r="T56" s="46" t="s">
        <v>672</v>
      </c>
      <c r="U56" s="46" t="b">
        <v>1</v>
      </c>
      <c r="V56" s="46" t="s">
        <v>1018</v>
      </c>
      <c r="W56" s="46" t="s">
        <v>1019</v>
      </c>
      <c r="X56" s="46">
        <v>6</v>
      </c>
      <c r="Y56" s="46" t="b">
        <v>1</v>
      </c>
      <c r="Z56" s="46" t="s">
        <v>675</v>
      </c>
      <c r="AA56" s="46" t="s">
        <v>676</v>
      </c>
      <c r="AB56" s="46" t="s">
        <v>677</v>
      </c>
      <c r="AC56" s="46">
        <v>0</v>
      </c>
      <c r="AD56" s="46" t="s">
        <v>678</v>
      </c>
      <c r="AE56" s="46">
        <v>8</v>
      </c>
      <c r="AF56" s="46" t="s">
        <v>679</v>
      </c>
      <c r="AG56" s="46">
        <v>70611.656000000003</v>
      </c>
      <c r="AH56" s="46" t="b">
        <v>1</v>
      </c>
      <c r="AI56" s="46">
        <v>-1</v>
      </c>
      <c r="AJ56" s="46" t="s">
        <v>680</v>
      </c>
      <c r="AK56" s="46">
        <v>0</v>
      </c>
      <c r="AL56" s="46" t="b">
        <v>0</v>
      </c>
      <c r="AM56" s="46">
        <v>70611.656000000003</v>
      </c>
      <c r="AN56" s="46" t="b">
        <v>1</v>
      </c>
      <c r="AO56" s="46">
        <v>0</v>
      </c>
      <c r="AP56" s="46" t="b">
        <v>0</v>
      </c>
      <c r="AQ56" s="46">
        <v>61513.258000000002</v>
      </c>
      <c r="AS56" s="46">
        <v>61513.258000000002</v>
      </c>
      <c r="AT56" s="46">
        <v>6</v>
      </c>
      <c r="AU56" s="46" t="b">
        <v>1</v>
      </c>
      <c r="AV56" s="46" t="b">
        <v>0</v>
      </c>
    </row>
    <row r="57" spans="1:48">
      <c r="B57" s="46" t="s">
        <v>665</v>
      </c>
      <c r="C57" s="46" t="s">
        <v>666</v>
      </c>
      <c r="D57" s="46">
        <v>20230701</v>
      </c>
      <c r="E57" s="46">
        <v>2023</v>
      </c>
      <c r="F57" s="46">
        <v>7</v>
      </c>
      <c r="G57" s="46" t="s">
        <v>718</v>
      </c>
      <c r="H57" s="46">
        <v>818</v>
      </c>
      <c r="I57" s="46" t="s">
        <v>668</v>
      </c>
      <c r="J57" s="46" t="s">
        <v>57</v>
      </c>
      <c r="K57" s="46" t="s">
        <v>666</v>
      </c>
      <c r="L57" s="46" t="s">
        <v>669</v>
      </c>
      <c r="M57" s="46">
        <v>699</v>
      </c>
      <c r="N57" s="46" t="s">
        <v>748</v>
      </c>
      <c r="O57" s="46" t="s">
        <v>0</v>
      </c>
      <c r="P57" s="46">
        <v>0</v>
      </c>
      <c r="Q57" s="46" t="s">
        <v>670</v>
      </c>
      <c r="R57" s="46" t="s">
        <v>23</v>
      </c>
      <c r="S57" s="46" t="s">
        <v>671</v>
      </c>
      <c r="T57" s="46" t="s">
        <v>672</v>
      </c>
      <c r="U57" s="46" t="b">
        <v>1</v>
      </c>
      <c r="V57" s="46" t="s">
        <v>1018</v>
      </c>
      <c r="W57" s="46" t="s">
        <v>1019</v>
      </c>
      <c r="X57" s="46">
        <v>6</v>
      </c>
      <c r="Y57" s="46" t="b">
        <v>1</v>
      </c>
      <c r="Z57" s="46" t="s">
        <v>675</v>
      </c>
      <c r="AA57" s="46" t="s">
        <v>676</v>
      </c>
      <c r="AB57" s="46" t="s">
        <v>677</v>
      </c>
      <c r="AC57" s="46">
        <v>0</v>
      </c>
      <c r="AD57" s="46" t="s">
        <v>678</v>
      </c>
      <c r="AE57" s="46">
        <v>8</v>
      </c>
      <c r="AF57" s="46" t="s">
        <v>679</v>
      </c>
      <c r="AG57" s="46">
        <v>1643.75</v>
      </c>
      <c r="AH57" s="46" t="b">
        <v>1</v>
      </c>
      <c r="AI57" s="46">
        <v>-1</v>
      </c>
      <c r="AJ57" s="46" t="s">
        <v>680</v>
      </c>
      <c r="AK57" s="46">
        <v>0</v>
      </c>
      <c r="AL57" s="46" t="b">
        <v>0</v>
      </c>
      <c r="AM57" s="46">
        <v>1643.75</v>
      </c>
      <c r="AN57" s="46" t="b">
        <v>1</v>
      </c>
      <c r="AO57" s="46">
        <v>0</v>
      </c>
      <c r="AP57" s="46" t="b">
        <v>0</v>
      </c>
      <c r="AQ57" s="46">
        <v>1431.951</v>
      </c>
      <c r="AS57" s="46">
        <v>1431.951</v>
      </c>
      <c r="AT57" s="46">
        <v>6</v>
      </c>
      <c r="AU57" s="46" t="b">
        <v>1</v>
      </c>
      <c r="AV57" s="46" t="b">
        <v>0</v>
      </c>
    </row>
    <row r="58" spans="1:48">
      <c r="B58" s="46" t="s">
        <v>665</v>
      </c>
      <c r="C58" s="46" t="s">
        <v>666</v>
      </c>
      <c r="D58" s="46">
        <v>20230701</v>
      </c>
      <c r="E58" s="46">
        <v>2023</v>
      </c>
      <c r="F58" s="46">
        <v>7</v>
      </c>
      <c r="G58" s="46" t="s">
        <v>718</v>
      </c>
      <c r="H58" s="46">
        <v>818</v>
      </c>
      <c r="I58" s="46" t="s">
        <v>668</v>
      </c>
      <c r="J58" s="46" t="s">
        <v>57</v>
      </c>
      <c r="K58" s="46" t="s">
        <v>666</v>
      </c>
      <c r="L58" s="46" t="s">
        <v>669</v>
      </c>
      <c r="M58" s="46">
        <v>156</v>
      </c>
      <c r="N58" s="46" t="s">
        <v>711</v>
      </c>
      <c r="O58" s="46" t="s">
        <v>29</v>
      </c>
      <c r="P58" s="46">
        <v>0</v>
      </c>
      <c r="Q58" s="46" t="s">
        <v>670</v>
      </c>
      <c r="R58" s="46" t="s">
        <v>23</v>
      </c>
      <c r="S58" s="46" t="s">
        <v>671</v>
      </c>
      <c r="T58" s="46" t="s">
        <v>672</v>
      </c>
      <c r="U58" s="46" t="b">
        <v>1</v>
      </c>
      <c r="V58" s="46" t="s">
        <v>1018</v>
      </c>
      <c r="W58" s="46" t="s">
        <v>1019</v>
      </c>
      <c r="X58" s="46">
        <v>6</v>
      </c>
      <c r="Y58" s="46" t="b">
        <v>1</v>
      </c>
      <c r="Z58" s="46" t="s">
        <v>675</v>
      </c>
      <c r="AA58" s="46" t="s">
        <v>676</v>
      </c>
      <c r="AB58" s="46" t="s">
        <v>677</v>
      </c>
      <c r="AC58" s="46">
        <v>0</v>
      </c>
      <c r="AD58" s="46" t="s">
        <v>678</v>
      </c>
      <c r="AE58" s="46">
        <v>8</v>
      </c>
      <c r="AF58" s="46" t="s">
        <v>679</v>
      </c>
      <c r="AG58" s="46">
        <v>57211.811999999998</v>
      </c>
      <c r="AH58" s="46" t="b">
        <v>1</v>
      </c>
      <c r="AI58" s="46">
        <v>-1</v>
      </c>
      <c r="AJ58" s="46" t="s">
        <v>680</v>
      </c>
      <c r="AK58" s="46">
        <v>0</v>
      </c>
      <c r="AL58" s="46" t="b">
        <v>0</v>
      </c>
      <c r="AM58" s="46">
        <v>57211.811999999998</v>
      </c>
      <c r="AN58" s="46" t="b">
        <v>1</v>
      </c>
      <c r="AO58" s="46">
        <v>0</v>
      </c>
      <c r="AP58" s="46" t="b">
        <v>0</v>
      </c>
      <c r="AQ58" s="46">
        <v>49840</v>
      </c>
      <c r="AS58" s="46">
        <v>49840</v>
      </c>
      <c r="AT58" s="46">
        <v>6</v>
      </c>
      <c r="AU58" s="46" t="b">
        <v>1</v>
      </c>
      <c r="AV58" s="46" t="b">
        <v>0</v>
      </c>
    </row>
    <row r="59" spans="1:48">
      <c r="B59" s="46" t="s">
        <v>665</v>
      </c>
      <c r="C59" s="46" t="s">
        <v>666</v>
      </c>
      <c r="D59" s="46">
        <v>20230801</v>
      </c>
      <c r="E59" s="46">
        <v>2023</v>
      </c>
      <c r="F59" s="46">
        <v>8</v>
      </c>
      <c r="G59" s="46" t="s">
        <v>721</v>
      </c>
      <c r="H59" s="46">
        <v>818</v>
      </c>
      <c r="I59" s="46" t="s">
        <v>668</v>
      </c>
      <c r="J59" s="46" t="s">
        <v>57</v>
      </c>
      <c r="K59" s="46" t="s">
        <v>666</v>
      </c>
      <c r="L59" s="46" t="s">
        <v>669</v>
      </c>
      <c r="M59" s="46">
        <v>792</v>
      </c>
      <c r="N59" s="46" t="s">
        <v>691</v>
      </c>
      <c r="O59" s="46" t="s">
        <v>63</v>
      </c>
      <c r="P59" s="46">
        <v>0</v>
      </c>
      <c r="Q59" s="46" t="s">
        <v>670</v>
      </c>
      <c r="R59" s="46" t="s">
        <v>23</v>
      </c>
      <c r="S59" s="46" t="s">
        <v>671</v>
      </c>
      <c r="T59" s="46" t="s">
        <v>672</v>
      </c>
      <c r="U59" s="46" t="b">
        <v>1</v>
      </c>
      <c r="V59" s="46" t="s">
        <v>1018</v>
      </c>
      <c r="W59" s="46" t="s">
        <v>1019</v>
      </c>
      <c r="X59" s="46">
        <v>6</v>
      </c>
      <c r="Y59" s="46" t="b">
        <v>1</v>
      </c>
      <c r="Z59" s="46" t="s">
        <v>675</v>
      </c>
      <c r="AA59" s="46" t="s">
        <v>676</v>
      </c>
      <c r="AB59" s="46" t="s">
        <v>677</v>
      </c>
      <c r="AC59" s="46">
        <v>0</v>
      </c>
      <c r="AD59" s="46" t="s">
        <v>678</v>
      </c>
      <c r="AE59" s="46">
        <v>8</v>
      </c>
      <c r="AF59" s="46" t="s">
        <v>679</v>
      </c>
      <c r="AG59" s="46">
        <v>110.038</v>
      </c>
      <c r="AH59" s="46" t="b">
        <v>1</v>
      </c>
      <c r="AI59" s="46">
        <v>-1</v>
      </c>
      <c r="AJ59" s="46" t="s">
        <v>680</v>
      </c>
      <c r="AK59" s="46">
        <v>0</v>
      </c>
      <c r="AL59" s="46" t="b">
        <v>0</v>
      </c>
      <c r="AM59" s="46">
        <v>110.038</v>
      </c>
      <c r="AN59" s="46" t="b">
        <v>1</v>
      </c>
      <c r="AO59" s="46">
        <v>0</v>
      </c>
      <c r="AP59" s="46" t="b">
        <v>0</v>
      </c>
      <c r="AQ59" s="46">
        <v>95.86</v>
      </c>
      <c r="AS59" s="46">
        <v>95.86</v>
      </c>
      <c r="AT59" s="46">
        <v>6</v>
      </c>
      <c r="AU59" s="46" t="b">
        <v>1</v>
      </c>
      <c r="AV59" s="46" t="b">
        <v>0</v>
      </c>
    </row>
    <row r="60" spans="1:48">
      <c r="B60" s="46" t="s">
        <v>665</v>
      </c>
      <c r="C60" s="46" t="s">
        <v>666</v>
      </c>
      <c r="D60" s="46">
        <v>20230801</v>
      </c>
      <c r="E60" s="46">
        <v>2023</v>
      </c>
      <c r="F60" s="46">
        <v>8</v>
      </c>
      <c r="G60" s="46" t="s">
        <v>721</v>
      </c>
      <c r="H60" s="46">
        <v>818</v>
      </c>
      <c r="I60" s="46" t="s">
        <v>668</v>
      </c>
      <c r="J60" s="46" t="s">
        <v>57</v>
      </c>
      <c r="K60" s="46" t="s">
        <v>666</v>
      </c>
      <c r="L60" s="46" t="s">
        <v>669</v>
      </c>
      <c r="M60" s="46">
        <v>0</v>
      </c>
      <c r="N60" s="46" t="s">
        <v>670</v>
      </c>
      <c r="O60" s="46" t="s">
        <v>23</v>
      </c>
      <c r="P60" s="46">
        <v>0</v>
      </c>
      <c r="Q60" s="46" t="s">
        <v>670</v>
      </c>
      <c r="R60" s="46" t="s">
        <v>23</v>
      </c>
      <c r="S60" s="46" t="s">
        <v>671</v>
      </c>
      <c r="T60" s="46" t="s">
        <v>672</v>
      </c>
      <c r="U60" s="46" t="b">
        <v>1</v>
      </c>
      <c r="V60" s="46" t="s">
        <v>1018</v>
      </c>
      <c r="W60" s="46" t="s">
        <v>1019</v>
      </c>
      <c r="X60" s="46">
        <v>6</v>
      </c>
      <c r="Y60" s="46" t="b">
        <v>1</v>
      </c>
      <c r="Z60" s="46" t="s">
        <v>675</v>
      </c>
      <c r="AA60" s="46" t="s">
        <v>676</v>
      </c>
      <c r="AB60" s="46" t="s">
        <v>677</v>
      </c>
      <c r="AC60" s="46">
        <v>0</v>
      </c>
      <c r="AD60" s="46" t="s">
        <v>678</v>
      </c>
      <c r="AE60" s="46">
        <v>8</v>
      </c>
      <c r="AF60" s="46" t="s">
        <v>679</v>
      </c>
      <c r="AG60" s="46">
        <v>221458.48</v>
      </c>
      <c r="AH60" s="46" t="b">
        <v>1</v>
      </c>
      <c r="AI60" s="46">
        <v>-1</v>
      </c>
      <c r="AJ60" s="46" t="s">
        <v>680</v>
      </c>
      <c r="AK60" s="46">
        <v>0</v>
      </c>
      <c r="AL60" s="46" t="b">
        <v>0</v>
      </c>
      <c r="AM60" s="46">
        <v>221458.48</v>
      </c>
      <c r="AN60" s="46" t="b">
        <v>1</v>
      </c>
      <c r="AO60" s="46">
        <v>0</v>
      </c>
      <c r="AP60" s="46" t="b">
        <v>0</v>
      </c>
      <c r="AQ60" s="46">
        <v>192923.285</v>
      </c>
      <c r="AS60" s="46">
        <v>192923.285</v>
      </c>
      <c r="AT60" s="46">
        <v>6</v>
      </c>
      <c r="AU60" s="46" t="b">
        <v>0</v>
      </c>
      <c r="AV60" s="46" t="b">
        <v>1</v>
      </c>
    </row>
    <row r="61" spans="1:48">
      <c r="B61" s="46" t="s">
        <v>665</v>
      </c>
      <c r="C61" s="46" t="s">
        <v>666</v>
      </c>
      <c r="D61" s="46">
        <v>20230801</v>
      </c>
      <c r="E61" s="46">
        <v>2023</v>
      </c>
      <c r="F61" s="46">
        <v>8</v>
      </c>
      <c r="G61" s="46" t="s">
        <v>721</v>
      </c>
      <c r="H61" s="46">
        <v>818</v>
      </c>
      <c r="I61" s="46" t="s">
        <v>668</v>
      </c>
      <c r="J61" s="46" t="s">
        <v>57</v>
      </c>
      <c r="K61" s="46" t="s">
        <v>666</v>
      </c>
      <c r="L61" s="46" t="s">
        <v>669</v>
      </c>
      <c r="M61" s="46">
        <v>643</v>
      </c>
      <c r="N61" s="46" t="s">
        <v>761</v>
      </c>
      <c r="O61" s="46" t="s">
        <v>38</v>
      </c>
      <c r="P61" s="46">
        <v>0</v>
      </c>
      <c r="Q61" s="46" t="s">
        <v>670</v>
      </c>
      <c r="R61" s="46" t="s">
        <v>23</v>
      </c>
      <c r="S61" s="46" t="s">
        <v>671</v>
      </c>
      <c r="T61" s="46" t="s">
        <v>672</v>
      </c>
      <c r="U61" s="46" t="b">
        <v>1</v>
      </c>
      <c r="V61" s="46" t="s">
        <v>1018</v>
      </c>
      <c r="W61" s="46" t="s">
        <v>1019</v>
      </c>
      <c r="X61" s="46">
        <v>6</v>
      </c>
      <c r="Y61" s="46" t="b">
        <v>1</v>
      </c>
      <c r="Z61" s="46" t="s">
        <v>675</v>
      </c>
      <c r="AA61" s="46" t="s">
        <v>676</v>
      </c>
      <c r="AB61" s="46" t="s">
        <v>677</v>
      </c>
      <c r="AC61" s="46">
        <v>0</v>
      </c>
      <c r="AD61" s="46" t="s">
        <v>678</v>
      </c>
      <c r="AE61" s="46">
        <v>8</v>
      </c>
      <c r="AF61" s="46" t="s">
        <v>679</v>
      </c>
      <c r="AG61" s="46">
        <v>23521.382000000001</v>
      </c>
      <c r="AH61" s="46" t="b">
        <v>1</v>
      </c>
      <c r="AI61" s="46">
        <v>-1</v>
      </c>
      <c r="AJ61" s="46" t="s">
        <v>680</v>
      </c>
      <c r="AK61" s="46">
        <v>0</v>
      </c>
      <c r="AL61" s="46" t="b">
        <v>0</v>
      </c>
      <c r="AM61" s="46">
        <v>23521.382000000001</v>
      </c>
      <c r="AN61" s="46" t="b">
        <v>1</v>
      </c>
      <c r="AO61" s="46">
        <v>0</v>
      </c>
      <c r="AP61" s="46" t="b">
        <v>0</v>
      </c>
      <c r="AQ61" s="46">
        <v>20490.623</v>
      </c>
      <c r="AS61" s="46">
        <v>20490.623</v>
      </c>
      <c r="AT61" s="46">
        <v>6</v>
      </c>
      <c r="AU61" s="46" t="b">
        <v>1</v>
      </c>
      <c r="AV61" s="46" t="b">
        <v>0</v>
      </c>
    </row>
    <row r="62" spans="1:48">
      <c r="B62" s="46" t="s">
        <v>665</v>
      </c>
      <c r="C62" s="46" t="s">
        <v>666</v>
      </c>
      <c r="D62" s="46">
        <v>20230801</v>
      </c>
      <c r="E62" s="46">
        <v>2023</v>
      </c>
      <c r="F62" s="46">
        <v>8</v>
      </c>
      <c r="G62" s="46" t="s">
        <v>721</v>
      </c>
      <c r="H62" s="46">
        <v>818</v>
      </c>
      <c r="I62" s="46" t="s">
        <v>668</v>
      </c>
      <c r="J62" s="46" t="s">
        <v>57</v>
      </c>
      <c r="K62" s="46" t="s">
        <v>666</v>
      </c>
      <c r="L62" s="46" t="s">
        <v>669</v>
      </c>
      <c r="M62" s="46">
        <v>699</v>
      </c>
      <c r="N62" s="46" t="s">
        <v>748</v>
      </c>
      <c r="O62" s="46" t="s">
        <v>0</v>
      </c>
      <c r="P62" s="46">
        <v>0</v>
      </c>
      <c r="Q62" s="46" t="s">
        <v>670</v>
      </c>
      <c r="R62" s="46" t="s">
        <v>23</v>
      </c>
      <c r="S62" s="46" t="s">
        <v>671</v>
      </c>
      <c r="T62" s="46" t="s">
        <v>672</v>
      </c>
      <c r="U62" s="46" t="b">
        <v>1</v>
      </c>
      <c r="V62" s="46" t="s">
        <v>1018</v>
      </c>
      <c r="W62" s="46" t="s">
        <v>1019</v>
      </c>
      <c r="X62" s="46">
        <v>6</v>
      </c>
      <c r="Y62" s="46" t="b">
        <v>1</v>
      </c>
      <c r="Z62" s="46" t="s">
        <v>675</v>
      </c>
      <c r="AA62" s="46" t="s">
        <v>676</v>
      </c>
      <c r="AB62" s="46" t="s">
        <v>677</v>
      </c>
      <c r="AC62" s="46">
        <v>0</v>
      </c>
      <c r="AD62" s="46" t="s">
        <v>678</v>
      </c>
      <c r="AE62" s="46">
        <v>8</v>
      </c>
      <c r="AF62" s="46" t="s">
        <v>679</v>
      </c>
      <c r="AG62" s="46">
        <v>2634.6379999999999</v>
      </c>
      <c r="AH62" s="46" t="b">
        <v>1</v>
      </c>
      <c r="AI62" s="46">
        <v>-1</v>
      </c>
      <c r="AJ62" s="46" t="s">
        <v>680</v>
      </c>
      <c r="AK62" s="46">
        <v>0</v>
      </c>
      <c r="AL62" s="46" t="b">
        <v>0</v>
      </c>
      <c r="AM62" s="46">
        <v>2634.6379999999999</v>
      </c>
      <c r="AN62" s="46" t="b">
        <v>1</v>
      </c>
      <c r="AO62" s="46">
        <v>0</v>
      </c>
      <c r="AP62" s="46" t="b">
        <v>0</v>
      </c>
      <c r="AQ62" s="46">
        <v>2295.1619999999998</v>
      </c>
      <c r="AS62" s="46">
        <v>2295.1619999999998</v>
      </c>
      <c r="AT62" s="46">
        <v>6</v>
      </c>
      <c r="AU62" s="46" t="b">
        <v>1</v>
      </c>
      <c r="AV62" s="46" t="b">
        <v>0</v>
      </c>
    </row>
    <row r="63" spans="1:48">
      <c r="B63" s="46" t="s">
        <v>665</v>
      </c>
      <c r="C63" s="46" t="s">
        <v>666</v>
      </c>
      <c r="D63" s="46">
        <v>20230801</v>
      </c>
      <c r="E63" s="46">
        <v>2023</v>
      </c>
      <c r="F63" s="46">
        <v>8</v>
      </c>
      <c r="G63" s="46" t="s">
        <v>721</v>
      </c>
      <c r="H63" s="46">
        <v>818</v>
      </c>
      <c r="I63" s="46" t="s">
        <v>668</v>
      </c>
      <c r="J63" s="46" t="s">
        <v>57</v>
      </c>
      <c r="K63" s="46" t="s">
        <v>666</v>
      </c>
      <c r="L63" s="46" t="s">
        <v>669</v>
      </c>
      <c r="M63" s="46">
        <v>682</v>
      </c>
      <c r="N63" s="46" t="s">
        <v>758</v>
      </c>
      <c r="O63" s="46" t="s">
        <v>39</v>
      </c>
      <c r="P63" s="46">
        <v>0</v>
      </c>
      <c r="Q63" s="46" t="s">
        <v>670</v>
      </c>
      <c r="R63" s="46" t="s">
        <v>23</v>
      </c>
      <c r="S63" s="46" t="s">
        <v>671</v>
      </c>
      <c r="T63" s="46" t="s">
        <v>672</v>
      </c>
      <c r="U63" s="46" t="b">
        <v>1</v>
      </c>
      <c r="V63" s="46" t="s">
        <v>1018</v>
      </c>
      <c r="W63" s="46" t="s">
        <v>1019</v>
      </c>
      <c r="X63" s="46">
        <v>6</v>
      </c>
      <c r="Y63" s="46" t="b">
        <v>1</v>
      </c>
      <c r="Z63" s="46" t="s">
        <v>675</v>
      </c>
      <c r="AA63" s="46" t="s">
        <v>676</v>
      </c>
      <c r="AB63" s="46" t="s">
        <v>677</v>
      </c>
      <c r="AC63" s="46">
        <v>0</v>
      </c>
      <c r="AD63" s="46" t="s">
        <v>678</v>
      </c>
      <c r="AE63" s="46">
        <v>8</v>
      </c>
      <c r="AF63" s="46" t="s">
        <v>679</v>
      </c>
      <c r="AG63" s="46">
        <v>195192.42199999999</v>
      </c>
      <c r="AH63" s="46" t="b">
        <v>1</v>
      </c>
      <c r="AI63" s="46">
        <v>-1</v>
      </c>
      <c r="AJ63" s="46" t="s">
        <v>680</v>
      </c>
      <c r="AK63" s="46">
        <v>0</v>
      </c>
      <c r="AL63" s="46" t="b">
        <v>0</v>
      </c>
      <c r="AM63" s="46">
        <v>195192.42199999999</v>
      </c>
      <c r="AN63" s="46" t="b">
        <v>1</v>
      </c>
      <c r="AO63" s="46">
        <v>0</v>
      </c>
      <c r="AP63" s="46" t="b">
        <v>0</v>
      </c>
      <c r="AQ63" s="46">
        <v>170041.641</v>
      </c>
      <c r="AS63" s="46">
        <v>170041.641</v>
      </c>
      <c r="AT63" s="46">
        <v>6</v>
      </c>
      <c r="AU63" s="46" t="b">
        <v>1</v>
      </c>
      <c r="AV63" s="46" t="b">
        <v>0</v>
      </c>
    </row>
    <row r="64" spans="1:48">
      <c r="B64" s="46" t="s">
        <v>665</v>
      </c>
      <c r="C64" s="46" t="s">
        <v>666</v>
      </c>
      <c r="D64" s="46">
        <v>20230901</v>
      </c>
      <c r="E64" s="46">
        <v>2023</v>
      </c>
      <c r="F64" s="46">
        <v>9</v>
      </c>
      <c r="G64" s="46" t="s">
        <v>723</v>
      </c>
      <c r="H64" s="46">
        <v>818</v>
      </c>
      <c r="I64" s="46" t="s">
        <v>668</v>
      </c>
      <c r="J64" s="46" t="s">
        <v>57</v>
      </c>
      <c r="K64" s="46" t="s">
        <v>666</v>
      </c>
      <c r="L64" s="46" t="s">
        <v>669</v>
      </c>
      <c r="M64" s="46">
        <v>276</v>
      </c>
      <c r="N64" s="46" t="s">
        <v>681</v>
      </c>
      <c r="O64" s="46" t="s">
        <v>30</v>
      </c>
      <c r="P64" s="46">
        <v>0</v>
      </c>
      <c r="Q64" s="46" t="s">
        <v>670</v>
      </c>
      <c r="R64" s="46" t="s">
        <v>23</v>
      </c>
      <c r="S64" s="46" t="s">
        <v>671</v>
      </c>
      <c r="T64" s="46" t="s">
        <v>672</v>
      </c>
      <c r="U64" s="46" t="b">
        <v>1</v>
      </c>
      <c r="V64" s="46" t="s">
        <v>1018</v>
      </c>
      <c r="W64" s="46" t="s">
        <v>1019</v>
      </c>
      <c r="X64" s="46">
        <v>6</v>
      </c>
      <c r="Y64" s="46" t="b">
        <v>1</v>
      </c>
      <c r="Z64" s="46" t="s">
        <v>675</v>
      </c>
      <c r="AA64" s="46" t="s">
        <v>676</v>
      </c>
      <c r="AB64" s="46" t="s">
        <v>677</v>
      </c>
      <c r="AC64" s="46">
        <v>0</v>
      </c>
      <c r="AD64" s="46" t="s">
        <v>678</v>
      </c>
      <c r="AE64" s="46">
        <v>8</v>
      </c>
      <c r="AF64" s="46" t="s">
        <v>679</v>
      </c>
      <c r="AG64" s="46">
        <v>3909.3519999999999</v>
      </c>
      <c r="AH64" s="46" t="b">
        <v>1</v>
      </c>
      <c r="AI64" s="46">
        <v>-1</v>
      </c>
      <c r="AJ64" s="46" t="s">
        <v>680</v>
      </c>
      <c r="AK64" s="46">
        <v>0</v>
      </c>
      <c r="AL64" s="46" t="b">
        <v>0</v>
      </c>
      <c r="AM64" s="46">
        <v>3909.3519999999999</v>
      </c>
      <c r="AN64" s="46" t="b">
        <v>1</v>
      </c>
      <c r="AO64" s="46">
        <v>0</v>
      </c>
      <c r="AP64" s="46" t="b">
        <v>0</v>
      </c>
      <c r="AQ64" s="46">
        <v>3405.6280000000002</v>
      </c>
      <c r="AS64" s="46">
        <v>3405.6280000000002</v>
      </c>
      <c r="AT64" s="46">
        <v>6</v>
      </c>
      <c r="AU64" s="46" t="b">
        <v>1</v>
      </c>
      <c r="AV64" s="46" t="b">
        <v>0</v>
      </c>
    </row>
    <row r="65" spans="2:48">
      <c r="B65" s="46" t="s">
        <v>665</v>
      </c>
      <c r="C65" s="46" t="s">
        <v>666</v>
      </c>
      <c r="D65" s="46">
        <v>20230901</v>
      </c>
      <c r="E65" s="46">
        <v>2023</v>
      </c>
      <c r="F65" s="46">
        <v>9</v>
      </c>
      <c r="G65" s="46" t="s">
        <v>723</v>
      </c>
      <c r="H65" s="46">
        <v>818</v>
      </c>
      <c r="I65" s="46" t="s">
        <v>668</v>
      </c>
      <c r="J65" s="46" t="s">
        <v>57</v>
      </c>
      <c r="K65" s="46" t="s">
        <v>666</v>
      </c>
      <c r="L65" s="46" t="s">
        <v>669</v>
      </c>
      <c r="M65" s="46">
        <v>0</v>
      </c>
      <c r="N65" s="46" t="s">
        <v>670</v>
      </c>
      <c r="O65" s="46" t="s">
        <v>23</v>
      </c>
      <c r="P65" s="46">
        <v>0</v>
      </c>
      <c r="Q65" s="46" t="s">
        <v>670</v>
      </c>
      <c r="R65" s="46" t="s">
        <v>23</v>
      </c>
      <c r="S65" s="46" t="s">
        <v>671</v>
      </c>
      <c r="T65" s="46" t="s">
        <v>672</v>
      </c>
      <c r="U65" s="46" t="b">
        <v>1</v>
      </c>
      <c r="V65" s="46" t="s">
        <v>1018</v>
      </c>
      <c r="W65" s="46" t="s">
        <v>1019</v>
      </c>
      <c r="X65" s="46">
        <v>6</v>
      </c>
      <c r="Y65" s="46" t="b">
        <v>1</v>
      </c>
      <c r="Z65" s="46" t="s">
        <v>675</v>
      </c>
      <c r="AA65" s="46" t="s">
        <v>676</v>
      </c>
      <c r="AB65" s="46" t="s">
        <v>677</v>
      </c>
      <c r="AC65" s="46">
        <v>0</v>
      </c>
      <c r="AD65" s="46" t="s">
        <v>678</v>
      </c>
      <c r="AE65" s="46">
        <v>8</v>
      </c>
      <c r="AF65" s="46" t="s">
        <v>679</v>
      </c>
      <c r="AG65" s="46">
        <v>402267.266</v>
      </c>
      <c r="AH65" s="46" t="b">
        <v>1</v>
      </c>
      <c r="AI65" s="46">
        <v>-1</v>
      </c>
      <c r="AJ65" s="46" t="s">
        <v>680</v>
      </c>
      <c r="AK65" s="46">
        <v>0</v>
      </c>
      <c r="AL65" s="46" t="b">
        <v>0</v>
      </c>
      <c r="AM65" s="46">
        <v>402267.266</v>
      </c>
      <c r="AN65" s="46" t="b">
        <v>1</v>
      </c>
      <c r="AO65" s="46">
        <v>0</v>
      </c>
      <c r="AP65" s="46" t="b">
        <v>0</v>
      </c>
      <c r="AQ65" s="46">
        <v>350434.63900000002</v>
      </c>
      <c r="AS65" s="46">
        <v>350434.63900000002</v>
      </c>
      <c r="AT65" s="46">
        <v>6</v>
      </c>
      <c r="AU65" s="46" t="b">
        <v>0</v>
      </c>
      <c r="AV65" s="46" t="b">
        <v>1</v>
      </c>
    </row>
    <row r="66" spans="2:48">
      <c r="B66" s="46" t="s">
        <v>665</v>
      </c>
      <c r="C66" s="46" t="s">
        <v>666</v>
      </c>
      <c r="D66" s="46">
        <v>20230901</v>
      </c>
      <c r="E66" s="46">
        <v>2023</v>
      </c>
      <c r="F66" s="46">
        <v>9</v>
      </c>
      <c r="G66" s="46" t="s">
        <v>723</v>
      </c>
      <c r="H66" s="46">
        <v>818</v>
      </c>
      <c r="I66" s="46" t="s">
        <v>668</v>
      </c>
      <c r="J66" s="46" t="s">
        <v>57</v>
      </c>
      <c r="K66" s="46" t="s">
        <v>666</v>
      </c>
      <c r="L66" s="46" t="s">
        <v>669</v>
      </c>
      <c r="M66" s="46">
        <v>643</v>
      </c>
      <c r="N66" s="46" t="s">
        <v>761</v>
      </c>
      <c r="O66" s="46" t="s">
        <v>38</v>
      </c>
      <c r="P66" s="46">
        <v>0</v>
      </c>
      <c r="Q66" s="46" t="s">
        <v>670</v>
      </c>
      <c r="R66" s="46" t="s">
        <v>23</v>
      </c>
      <c r="S66" s="46" t="s">
        <v>671</v>
      </c>
      <c r="T66" s="46" t="s">
        <v>672</v>
      </c>
      <c r="U66" s="46" t="b">
        <v>1</v>
      </c>
      <c r="V66" s="46" t="s">
        <v>1018</v>
      </c>
      <c r="W66" s="46" t="s">
        <v>1019</v>
      </c>
      <c r="X66" s="46">
        <v>6</v>
      </c>
      <c r="Y66" s="46" t="b">
        <v>1</v>
      </c>
      <c r="Z66" s="46" t="s">
        <v>675</v>
      </c>
      <c r="AA66" s="46" t="s">
        <v>676</v>
      </c>
      <c r="AB66" s="46" t="s">
        <v>677</v>
      </c>
      <c r="AC66" s="46">
        <v>0</v>
      </c>
      <c r="AD66" s="46" t="s">
        <v>678</v>
      </c>
      <c r="AE66" s="46">
        <v>8</v>
      </c>
      <c r="AF66" s="46" t="s">
        <v>679</v>
      </c>
      <c r="AG66" s="46">
        <v>67688.103000000003</v>
      </c>
      <c r="AH66" s="46" t="b">
        <v>1</v>
      </c>
      <c r="AI66" s="46">
        <v>-1</v>
      </c>
      <c r="AJ66" s="46" t="s">
        <v>680</v>
      </c>
      <c r="AK66" s="46">
        <v>0</v>
      </c>
      <c r="AL66" s="46" t="b">
        <v>0</v>
      </c>
      <c r="AM66" s="46">
        <v>67688.103000000003</v>
      </c>
      <c r="AN66" s="46" t="b">
        <v>1</v>
      </c>
      <c r="AO66" s="46">
        <v>0</v>
      </c>
      <c r="AP66" s="46" t="b">
        <v>0</v>
      </c>
      <c r="AQ66" s="46">
        <v>58966.408000000003</v>
      </c>
      <c r="AS66" s="46">
        <v>58966.408000000003</v>
      </c>
      <c r="AT66" s="46">
        <v>6</v>
      </c>
      <c r="AU66" s="46" t="b">
        <v>1</v>
      </c>
      <c r="AV66" s="46" t="b">
        <v>0</v>
      </c>
    </row>
    <row r="67" spans="2:48">
      <c r="B67" s="46" t="s">
        <v>665</v>
      </c>
      <c r="C67" s="46" t="s">
        <v>666</v>
      </c>
      <c r="D67" s="46">
        <v>20230901</v>
      </c>
      <c r="E67" s="46">
        <v>2023</v>
      </c>
      <c r="F67" s="46">
        <v>9</v>
      </c>
      <c r="G67" s="46" t="s">
        <v>723</v>
      </c>
      <c r="H67" s="46">
        <v>818</v>
      </c>
      <c r="I67" s="46" t="s">
        <v>668</v>
      </c>
      <c r="J67" s="46" t="s">
        <v>57</v>
      </c>
      <c r="K67" s="46" t="s">
        <v>666</v>
      </c>
      <c r="L67" s="46" t="s">
        <v>669</v>
      </c>
      <c r="M67" s="46">
        <v>699</v>
      </c>
      <c r="N67" s="46" t="s">
        <v>748</v>
      </c>
      <c r="O67" s="46" t="s">
        <v>0</v>
      </c>
      <c r="P67" s="46">
        <v>0</v>
      </c>
      <c r="Q67" s="46" t="s">
        <v>670</v>
      </c>
      <c r="R67" s="46" t="s">
        <v>23</v>
      </c>
      <c r="S67" s="46" t="s">
        <v>671</v>
      </c>
      <c r="T67" s="46" t="s">
        <v>672</v>
      </c>
      <c r="U67" s="46" t="b">
        <v>1</v>
      </c>
      <c r="V67" s="46" t="s">
        <v>1018</v>
      </c>
      <c r="W67" s="46" t="s">
        <v>1019</v>
      </c>
      <c r="X67" s="46">
        <v>6</v>
      </c>
      <c r="Y67" s="46" t="b">
        <v>1</v>
      </c>
      <c r="Z67" s="46" t="s">
        <v>675</v>
      </c>
      <c r="AA67" s="46" t="s">
        <v>676</v>
      </c>
      <c r="AB67" s="46" t="s">
        <v>677</v>
      </c>
      <c r="AC67" s="46">
        <v>0</v>
      </c>
      <c r="AD67" s="46" t="s">
        <v>678</v>
      </c>
      <c r="AE67" s="46">
        <v>8</v>
      </c>
      <c r="AF67" s="46" t="s">
        <v>679</v>
      </c>
      <c r="AG67" s="46">
        <v>10790.504000000001</v>
      </c>
      <c r="AH67" s="46" t="b">
        <v>1</v>
      </c>
      <c r="AI67" s="46">
        <v>-1</v>
      </c>
      <c r="AJ67" s="46" t="s">
        <v>680</v>
      </c>
      <c r="AK67" s="46">
        <v>0</v>
      </c>
      <c r="AL67" s="46" t="b">
        <v>0</v>
      </c>
      <c r="AM67" s="46">
        <v>10790.504000000001</v>
      </c>
      <c r="AN67" s="46" t="b">
        <v>1</v>
      </c>
      <c r="AO67" s="46">
        <v>0</v>
      </c>
      <c r="AP67" s="46" t="b">
        <v>0</v>
      </c>
      <c r="AQ67" s="46">
        <v>9400.1350000000002</v>
      </c>
      <c r="AS67" s="46">
        <v>9400.1350000000002</v>
      </c>
      <c r="AT67" s="46">
        <v>6</v>
      </c>
      <c r="AU67" s="46" t="b">
        <v>1</v>
      </c>
      <c r="AV67" s="46" t="b">
        <v>0</v>
      </c>
    </row>
    <row r="68" spans="2:48">
      <c r="B68" s="46" t="s">
        <v>665</v>
      </c>
      <c r="C68" s="46" t="s">
        <v>666</v>
      </c>
      <c r="D68" s="46">
        <v>20230901</v>
      </c>
      <c r="E68" s="46">
        <v>2023</v>
      </c>
      <c r="F68" s="46">
        <v>9</v>
      </c>
      <c r="G68" s="46" t="s">
        <v>723</v>
      </c>
      <c r="H68" s="46">
        <v>818</v>
      </c>
      <c r="I68" s="46" t="s">
        <v>668</v>
      </c>
      <c r="J68" s="46" t="s">
        <v>57</v>
      </c>
      <c r="K68" s="46" t="s">
        <v>666</v>
      </c>
      <c r="L68" s="46" t="s">
        <v>669</v>
      </c>
      <c r="M68" s="46">
        <v>414</v>
      </c>
      <c r="N68" s="46" t="s">
        <v>1017</v>
      </c>
      <c r="O68" s="46" t="s">
        <v>124</v>
      </c>
      <c r="P68" s="46">
        <v>0</v>
      </c>
      <c r="Q68" s="46" t="s">
        <v>670</v>
      </c>
      <c r="R68" s="46" t="s">
        <v>23</v>
      </c>
      <c r="S68" s="46" t="s">
        <v>671</v>
      </c>
      <c r="T68" s="46" t="s">
        <v>672</v>
      </c>
      <c r="U68" s="46" t="b">
        <v>1</v>
      </c>
      <c r="V68" s="46" t="s">
        <v>1018</v>
      </c>
      <c r="W68" s="46" t="s">
        <v>1019</v>
      </c>
      <c r="X68" s="46">
        <v>6</v>
      </c>
      <c r="Y68" s="46" t="b">
        <v>1</v>
      </c>
      <c r="Z68" s="46" t="s">
        <v>675</v>
      </c>
      <c r="AA68" s="46" t="s">
        <v>676</v>
      </c>
      <c r="AB68" s="46" t="s">
        <v>677</v>
      </c>
      <c r="AC68" s="46">
        <v>0</v>
      </c>
      <c r="AD68" s="46" t="s">
        <v>678</v>
      </c>
      <c r="AE68" s="46">
        <v>8</v>
      </c>
      <c r="AF68" s="46" t="s">
        <v>679</v>
      </c>
      <c r="AG68" s="46">
        <v>319879.30699999997</v>
      </c>
      <c r="AH68" s="46" t="b">
        <v>1</v>
      </c>
      <c r="AI68" s="46">
        <v>-1</v>
      </c>
      <c r="AJ68" s="46" t="s">
        <v>680</v>
      </c>
      <c r="AK68" s="46">
        <v>0</v>
      </c>
      <c r="AL68" s="46" t="b">
        <v>0</v>
      </c>
      <c r="AM68" s="46">
        <v>319879.30699999997</v>
      </c>
      <c r="AN68" s="46" t="b">
        <v>1</v>
      </c>
      <c r="AO68" s="46">
        <v>0</v>
      </c>
      <c r="AP68" s="46" t="b">
        <v>0</v>
      </c>
      <c r="AQ68" s="46">
        <v>278662.46899999998</v>
      </c>
      <c r="AS68" s="46">
        <v>278662.46899999998</v>
      </c>
      <c r="AT68" s="46">
        <v>6</v>
      </c>
      <c r="AU68" s="46" t="b">
        <v>1</v>
      </c>
      <c r="AV68" s="46" t="b">
        <v>0</v>
      </c>
    </row>
    <row r="69" spans="2:48">
      <c r="B69" s="46" t="s">
        <v>665</v>
      </c>
      <c r="C69" s="46" t="s">
        <v>666</v>
      </c>
      <c r="D69" s="46">
        <v>20231001</v>
      </c>
      <c r="E69" s="46">
        <v>2023</v>
      </c>
      <c r="F69" s="46">
        <v>10</v>
      </c>
      <c r="G69" s="46" t="s">
        <v>724</v>
      </c>
      <c r="H69" s="46">
        <v>818</v>
      </c>
      <c r="I69" s="46" t="s">
        <v>668</v>
      </c>
      <c r="J69" s="46" t="s">
        <v>57</v>
      </c>
      <c r="K69" s="46" t="s">
        <v>666</v>
      </c>
      <c r="L69" s="46" t="s">
        <v>669</v>
      </c>
      <c r="M69" s="46">
        <v>276</v>
      </c>
      <c r="N69" s="46" t="s">
        <v>681</v>
      </c>
      <c r="O69" s="46" t="s">
        <v>30</v>
      </c>
      <c r="P69" s="46">
        <v>0</v>
      </c>
      <c r="Q69" s="46" t="s">
        <v>670</v>
      </c>
      <c r="R69" s="46" t="s">
        <v>23</v>
      </c>
      <c r="S69" s="46" t="s">
        <v>671</v>
      </c>
      <c r="T69" s="46" t="s">
        <v>672</v>
      </c>
      <c r="U69" s="46" t="b">
        <v>1</v>
      </c>
      <c r="V69" s="46" t="s">
        <v>1018</v>
      </c>
      <c r="W69" s="46" t="s">
        <v>1019</v>
      </c>
      <c r="X69" s="46">
        <v>6</v>
      </c>
      <c r="Y69" s="46" t="b">
        <v>1</v>
      </c>
      <c r="Z69" s="46" t="s">
        <v>675</v>
      </c>
      <c r="AA69" s="46" t="s">
        <v>676</v>
      </c>
      <c r="AB69" s="46" t="s">
        <v>677</v>
      </c>
      <c r="AC69" s="46">
        <v>0</v>
      </c>
      <c r="AD69" s="46" t="s">
        <v>678</v>
      </c>
      <c r="AE69" s="46">
        <v>8</v>
      </c>
      <c r="AF69" s="46" t="s">
        <v>679</v>
      </c>
      <c r="AG69" s="46">
        <v>5716.1670000000004</v>
      </c>
      <c r="AH69" s="46" t="b">
        <v>1</v>
      </c>
      <c r="AI69" s="46">
        <v>-1</v>
      </c>
      <c r="AJ69" s="46" t="s">
        <v>680</v>
      </c>
      <c r="AK69" s="46">
        <v>0</v>
      </c>
      <c r="AL69" s="46" t="b">
        <v>0</v>
      </c>
      <c r="AM69" s="46">
        <v>5716.1670000000004</v>
      </c>
      <c r="AN69" s="46" t="b">
        <v>1</v>
      </c>
      <c r="AO69" s="46">
        <v>0</v>
      </c>
      <c r="AP69" s="46" t="b">
        <v>0</v>
      </c>
      <c r="AQ69" s="46">
        <v>4979.6319999999996</v>
      </c>
      <c r="AS69" s="46">
        <v>4979.6319999999996</v>
      </c>
      <c r="AT69" s="46">
        <v>6</v>
      </c>
      <c r="AU69" s="46" t="b">
        <v>1</v>
      </c>
      <c r="AV69" s="46" t="b">
        <v>0</v>
      </c>
    </row>
    <row r="70" spans="2:48">
      <c r="B70" s="46" t="s">
        <v>665</v>
      </c>
      <c r="C70" s="46" t="s">
        <v>666</v>
      </c>
      <c r="D70" s="46">
        <v>20231001</v>
      </c>
      <c r="E70" s="46">
        <v>2023</v>
      </c>
      <c r="F70" s="46">
        <v>10</v>
      </c>
      <c r="G70" s="46" t="s">
        <v>724</v>
      </c>
      <c r="H70" s="46">
        <v>818</v>
      </c>
      <c r="I70" s="46" t="s">
        <v>668</v>
      </c>
      <c r="J70" s="46" t="s">
        <v>57</v>
      </c>
      <c r="K70" s="46" t="s">
        <v>666</v>
      </c>
      <c r="L70" s="46" t="s">
        <v>669</v>
      </c>
      <c r="M70" s="46">
        <v>0</v>
      </c>
      <c r="N70" s="46" t="s">
        <v>670</v>
      </c>
      <c r="O70" s="46" t="s">
        <v>23</v>
      </c>
      <c r="P70" s="46">
        <v>0</v>
      </c>
      <c r="Q70" s="46" t="s">
        <v>670</v>
      </c>
      <c r="R70" s="46" t="s">
        <v>23</v>
      </c>
      <c r="S70" s="46" t="s">
        <v>671</v>
      </c>
      <c r="T70" s="46" t="s">
        <v>672</v>
      </c>
      <c r="U70" s="46" t="b">
        <v>1</v>
      </c>
      <c r="V70" s="46" t="s">
        <v>1018</v>
      </c>
      <c r="W70" s="46" t="s">
        <v>1019</v>
      </c>
      <c r="X70" s="46">
        <v>6</v>
      </c>
      <c r="Y70" s="46" t="b">
        <v>1</v>
      </c>
      <c r="Z70" s="46" t="s">
        <v>675</v>
      </c>
      <c r="AA70" s="46" t="s">
        <v>676</v>
      </c>
      <c r="AB70" s="46" t="s">
        <v>677</v>
      </c>
      <c r="AC70" s="46">
        <v>0</v>
      </c>
      <c r="AD70" s="46" t="s">
        <v>678</v>
      </c>
      <c r="AE70" s="46">
        <v>8</v>
      </c>
      <c r="AF70" s="46" t="s">
        <v>679</v>
      </c>
      <c r="AG70" s="46">
        <v>102037.257</v>
      </c>
      <c r="AH70" s="46" t="b">
        <v>1</v>
      </c>
      <c r="AI70" s="46">
        <v>-1</v>
      </c>
      <c r="AJ70" s="46" t="s">
        <v>680</v>
      </c>
      <c r="AK70" s="46">
        <v>0</v>
      </c>
      <c r="AL70" s="46" t="b">
        <v>0</v>
      </c>
      <c r="AM70" s="46">
        <v>102037.257</v>
      </c>
      <c r="AN70" s="46" t="b">
        <v>1</v>
      </c>
      <c r="AO70" s="46">
        <v>0</v>
      </c>
      <c r="AP70" s="46" t="b">
        <v>0</v>
      </c>
      <c r="AQ70" s="46">
        <v>88889.631999999998</v>
      </c>
      <c r="AS70" s="46">
        <v>88889.631999999998</v>
      </c>
      <c r="AT70" s="46">
        <v>6</v>
      </c>
      <c r="AU70" s="46" t="b">
        <v>0</v>
      </c>
      <c r="AV70" s="46" t="b">
        <v>1</v>
      </c>
    </row>
    <row r="71" spans="2:48">
      <c r="B71" s="46" t="s">
        <v>665</v>
      </c>
      <c r="C71" s="46" t="s">
        <v>666</v>
      </c>
      <c r="D71" s="46">
        <v>20231001</v>
      </c>
      <c r="E71" s="46">
        <v>2023</v>
      </c>
      <c r="F71" s="46">
        <v>10</v>
      </c>
      <c r="G71" s="46" t="s">
        <v>724</v>
      </c>
      <c r="H71" s="46">
        <v>818</v>
      </c>
      <c r="I71" s="46" t="s">
        <v>668</v>
      </c>
      <c r="J71" s="46" t="s">
        <v>57</v>
      </c>
      <c r="K71" s="46" t="s">
        <v>666</v>
      </c>
      <c r="L71" s="46" t="s">
        <v>669</v>
      </c>
      <c r="M71" s="46">
        <v>643</v>
      </c>
      <c r="N71" s="46" t="s">
        <v>761</v>
      </c>
      <c r="O71" s="46" t="s">
        <v>38</v>
      </c>
      <c r="P71" s="46">
        <v>0</v>
      </c>
      <c r="Q71" s="46" t="s">
        <v>670</v>
      </c>
      <c r="R71" s="46" t="s">
        <v>23</v>
      </c>
      <c r="S71" s="46" t="s">
        <v>671</v>
      </c>
      <c r="T71" s="46" t="s">
        <v>672</v>
      </c>
      <c r="U71" s="46" t="b">
        <v>1</v>
      </c>
      <c r="V71" s="46" t="s">
        <v>1018</v>
      </c>
      <c r="W71" s="46" t="s">
        <v>1019</v>
      </c>
      <c r="X71" s="46">
        <v>6</v>
      </c>
      <c r="Y71" s="46" t="b">
        <v>1</v>
      </c>
      <c r="Z71" s="46" t="s">
        <v>675</v>
      </c>
      <c r="AA71" s="46" t="s">
        <v>676</v>
      </c>
      <c r="AB71" s="46" t="s">
        <v>677</v>
      </c>
      <c r="AC71" s="46">
        <v>0</v>
      </c>
      <c r="AD71" s="46" t="s">
        <v>678</v>
      </c>
      <c r="AE71" s="46">
        <v>8</v>
      </c>
      <c r="AF71" s="46" t="s">
        <v>679</v>
      </c>
      <c r="AG71" s="46">
        <v>20616.475999999999</v>
      </c>
      <c r="AH71" s="46" t="b">
        <v>1</v>
      </c>
      <c r="AI71" s="46">
        <v>-1</v>
      </c>
      <c r="AJ71" s="46" t="s">
        <v>680</v>
      </c>
      <c r="AK71" s="46">
        <v>0</v>
      </c>
      <c r="AL71" s="46" t="b">
        <v>0</v>
      </c>
      <c r="AM71" s="46">
        <v>20616.475999999999</v>
      </c>
      <c r="AN71" s="46" t="b">
        <v>1</v>
      </c>
      <c r="AO71" s="46">
        <v>0</v>
      </c>
      <c r="AP71" s="46" t="b">
        <v>0</v>
      </c>
      <c r="AQ71" s="46">
        <v>17960.018</v>
      </c>
      <c r="AS71" s="46">
        <v>17960.018</v>
      </c>
      <c r="AT71" s="46">
        <v>6</v>
      </c>
      <c r="AU71" s="46" t="b">
        <v>1</v>
      </c>
      <c r="AV71" s="46" t="b">
        <v>0</v>
      </c>
    </row>
    <row r="72" spans="2:48">
      <c r="B72" s="46" t="s">
        <v>665</v>
      </c>
      <c r="C72" s="46" t="s">
        <v>666</v>
      </c>
      <c r="D72" s="46">
        <v>20231001</v>
      </c>
      <c r="E72" s="46">
        <v>2023</v>
      </c>
      <c r="F72" s="46">
        <v>10</v>
      </c>
      <c r="G72" s="46" t="s">
        <v>724</v>
      </c>
      <c r="H72" s="46">
        <v>818</v>
      </c>
      <c r="I72" s="46" t="s">
        <v>668</v>
      </c>
      <c r="J72" s="46" t="s">
        <v>57</v>
      </c>
      <c r="K72" s="46" t="s">
        <v>666</v>
      </c>
      <c r="L72" s="46" t="s">
        <v>669</v>
      </c>
      <c r="M72" s="46">
        <v>699</v>
      </c>
      <c r="N72" s="46" t="s">
        <v>748</v>
      </c>
      <c r="O72" s="46" t="s">
        <v>0</v>
      </c>
      <c r="P72" s="46">
        <v>0</v>
      </c>
      <c r="Q72" s="46" t="s">
        <v>670</v>
      </c>
      <c r="R72" s="46" t="s">
        <v>23</v>
      </c>
      <c r="S72" s="46" t="s">
        <v>671</v>
      </c>
      <c r="T72" s="46" t="s">
        <v>672</v>
      </c>
      <c r="U72" s="46" t="b">
        <v>1</v>
      </c>
      <c r="V72" s="46" t="s">
        <v>1018</v>
      </c>
      <c r="W72" s="46" t="s">
        <v>1019</v>
      </c>
      <c r="X72" s="46">
        <v>6</v>
      </c>
      <c r="Y72" s="46" t="b">
        <v>1</v>
      </c>
      <c r="Z72" s="46" t="s">
        <v>675</v>
      </c>
      <c r="AA72" s="46" t="s">
        <v>676</v>
      </c>
      <c r="AB72" s="46" t="s">
        <v>677</v>
      </c>
      <c r="AC72" s="46">
        <v>0</v>
      </c>
      <c r="AD72" s="46" t="s">
        <v>678</v>
      </c>
      <c r="AE72" s="46">
        <v>8</v>
      </c>
      <c r="AF72" s="46" t="s">
        <v>679</v>
      </c>
      <c r="AG72" s="46">
        <v>62170.83</v>
      </c>
      <c r="AH72" s="46" t="b">
        <v>1</v>
      </c>
      <c r="AI72" s="46">
        <v>-1</v>
      </c>
      <c r="AJ72" s="46" t="s">
        <v>680</v>
      </c>
      <c r="AK72" s="46">
        <v>0</v>
      </c>
      <c r="AL72" s="46" t="b">
        <v>0</v>
      </c>
      <c r="AM72" s="46">
        <v>62170.83</v>
      </c>
      <c r="AN72" s="46" t="b">
        <v>1</v>
      </c>
      <c r="AO72" s="46">
        <v>0</v>
      </c>
      <c r="AP72" s="46" t="b">
        <v>0</v>
      </c>
      <c r="AQ72" s="46">
        <v>54160.042999999998</v>
      </c>
      <c r="AS72" s="46">
        <v>54160.042999999998</v>
      </c>
      <c r="AT72" s="46">
        <v>6</v>
      </c>
      <c r="AU72" s="46" t="b">
        <v>1</v>
      </c>
      <c r="AV72" s="46" t="b">
        <v>0</v>
      </c>
    </row>
    <row r="73" spans="2:48">
      <c r="B73" s="46" t="s">
        <v>665</v>
      </c>
      <c r="C73" s="46" t="s">
        <v>666</v>
      </c>
      <c r="D73" s="46">
        <v>20231001</v>
      </c>
      <c r="E73" s="46">
        <v>2023</v>
      </c>
      <c r="F73" s="46">
        <v>10</v>
      </c>
      <c r="G73" s="46" t="s">
        <v>724</v>
      </c>
      <c r="H73" s="46">
        <v>818</v>
      </c>
      <c r="I73" s="46" t="s">
        <v>668</v>
      </c>
      <c r="J73" s="46" t="s">
        <v>57</v>
      </c>
      <c r="K73" s="46" t="s">
        <v>666</v>
      </c>
      <c r="L73" s="46" t="s">
        <v>669</v>
      </c>
      <c r="M73" s="46">
        <v>784</v>
      </c>
      <c r="N73" s="46" t="s">
        <v>694</v>
      </c>
      <c r="O73" s="46" t="s">
        <v>25</v>
      </c>
      <c r="P73" s="46">
        <v>0</v>
      </c>
      <c r="Q73" s="46" t="s">
        <v>670</v>
      </c>
      <c r="R73" s="46" t="s">
        <v>23</v>
      </c>
      <c r="S73" s="46" t="s">
        <v>671</v>
      </c>
      <c r="T73" s="46" t="s">
        <v>672</v>
      </c>
      <c r="U73" s="46" t="b">
        <v>1</v>
      </c>
      <c r="V73" s="46" t="s">
        <v>1018</v>
      </c>
      <c r="W73" s="46" t="s">
        <v>1019</v>
      </c>
      <c r="X73" s="46">
        <v>6</v>
      </c>
      <c r="Y73" s="46" t="b">
        <v>1</v>
      </c>
      <c r="Z73" s="46" t="s">
        <v>675</v>
      </c>
      <c r="AA73" s="46" t="s">
        <v>676</v>
      </c>
      <c r="AB73" s="46" t="s">
        <v>677</v>
      </c>
      <c r="AC73" s="46">
        <v>0</v>
      </c>
      <c r="AD73" s="46" t="s">
        <v>678</v>
      </c>
      <c r="AE73" s="46">
        <v>8</v>
      </c>
      <c r="AF73" s="46" t="s">
        <v>679</v>
      </c>
      <c r="AG73" s="46">
        <v>13533.784</v>
      </c>
      <c r="AH73" s="46" t="b">
        <v>1</v>
      </c>
      <c r="AI73" s="46">
        <v>-1</v>
      </c>
      <c r="AJ73" s="46" t="s">
        <v>680</v>
      </c>
      <c r="AK73" s="46">
        <v>0</v>
      </c>
      <c r="AL73" s="46" t="b">
        <v>0</v>
      </c>
      <c r="AM73" s="46">
        <v>13533.784</v>
      </c>
      <c r="AN73" s="46" t="b">
        <v>1</v>
      </c>
      <c r="AO73" s="46">
        <v>0</v>
      </c>
      <c r="AP73" s="46" t="b">
        <v>0</v>
      </c>
      <c r="AQ73" s="46">
        <v>11789.94</v>
      </c>
      <c r="AS73" s="46">
        <v>11789.94</v>
      </c>
      <c r="AT73" s="46">
        <v>6</v>
      </c>
      <c r="AU73" s="46" t="b">
        <v>1</v>
      </c>
      <c r="AV73" s="46" t="b">
        <v>0</v>
      </c>
    </row>
    <row r="74" spans="2:48">
      <c r="B74" s="46" t="s">
        <v>665</v>
      </c>
      <c r="C74" s="46" t="s">
        <v>666</v>
      </c>
      <c r="D74" s="46">
        <v>20231101</v>
      </c>
      <c r="E74" s="46">
        <v>2023</v>
      </c>
      <c r="F74" s="46">
        <v>11</v>
      </c>
      <c r="G74" s="46" t="s">
        <v>725</v>
      </c>
      <c r="H74" s="46">
        <v>818</v>
      </c>
      <c r="I74" s="46" t="s">
        <v>668</v>
      </c>
      <c r="J74" s="46" t="s">
        <v>57</v>
      </c>
      <c r="K74" s="46" t="s">
        <v>666</v>
      </c>
      <c r="L74" s="46" t="s">
        <v>669</v>
      </c>
      <c r="M74" s="46">
        <v>0</v>
      </c>
      <c r="N74" s="46" t="s">
        <v>670</v>
      </c>
      <c r="O74" s="46" t="s">
        <v>23</v>
      </c>
      <c r="P74" s="46">
        <v>0</v>
      </c>
      <c r="Q74" s="46" t="s">
        <v>670</v>
      </c>
      <c r="R74" s="46" t="s">
        <v>23</v>
      </c>
      <c r="S74" s="46" t="s">
        <v>671</v>
      </c>
      <c r="T74" s="46" t="s">
        <v>672</v>
      </c>
      <c r="U74" s="46" t="b">
        <v>1</v>
      </c>
      <c r="V74" s="46" t="s">
        <v>1018</v>
      </c>
      <c r="W74" s="46" t="s">
        <v>1019</v>
      </c>
      <c r="X74" s="46">
        <v>6</v>
      </c>
      <c r="Y74" s="46" t="b">
        <v>1</v>
      </c>
      <c r="Z74" s="46" t="s">
        <v>675</v>
      </c>
      <c r="AA74" s="46" t="s">
        <v>676</v>
      </c>
      <c r="AB74" s="46" t="s">
        <v>677</v>
      </c>
      <c r="AC74" s="46">
        <v>0</v>
      </c>
      <c r="AD74" s="46" t="s">
        <v>678</v>
      </c>
      <c r="AE74" s="46">
        <v>8</v>
      </c>
      <c r="AF74" s="46" t="s">
        <v>679</v>
      </c>
      <c r="AG74" s="46">
        <v>114843.514</v>
      </c>
      <c r="AH74" s="46" t="b">
        <v>1</v>
      </c>
      <c r="AI74" s="46">
        <v>-1</v>
      </c>
      <c r="AJ74" s="46" t="s">
        <v>680</v>
      </c>
      <c r="AK74" s="46">
        <v>0</v>
      </c>
      <c r="AL74" s="46" t="b">
        <v>0</v>
      </c>
      <c r="AM74" s="46">
        <v>114843.514</v>
      </c>
      <c r="AN74" s="46" t="b">
        <v>1</v>
      </c>
      <c r="AO74" s="46">
        <v>0</v>
      </c>
      <c r="AP74" s="46" t="b">
        <v>0</v>
      </c>
      <c r="AQ74" s="46">
        <v>100045.787</v>
      </c>
      <c r="AS74" s="46">
        <v>100045.787</v>
      </c>
      <c r="AT74" s="46">
        <v>6</v>
      </c>
      <c r="AU74" s="46" t="b">
        <v>0</v>
      </c>
      <c r="AV74" s="46" t="b">
        <v>1</v>
      </c>
    </row>
    <row r="75" spans="2:48">
      <c r="B75" s="46" t="s">
        <v>665</v>
      </c>
      <c r="C75" s="46" t="s">
        <v>666</v>
      </c>
      <c r="D75" s="46">
        <v>20231101</v>
      </c>
      <c r="E75" s="46">
        <v>2023</v>
      </c>
      <c r="F75" s="46">
        <v>11</v>
      </c>
      <c r="G75" s="46" t="s">
        <v>725</v>
      </c>
      <c r="H75" s="46">
        <v>818</v>
      </c>
      <c r="I75" s="46" t="s">
        <v>668</v>
      </c>
      <c r="J75" s="46" t="s">
        <v>57</v>
      </c>
      <c r="K75" s="46" t="s">
        <v>666</v>
      </c>
      <c r="L75" s="46" t="s">
        <v>669</v>
      </c>
      <c r="M75" s="46">
        <v>643</v>
      </c>
      <c r="N75" s="46" t="s">
        <v>761</v>
      </c>
      <c r="O75" s="46" t="s">
        <v>38</v>
      </c>
      <c r="P75" s="46">
        <v>0</v>
      </c>
      <c r="Q75" s="46" t="s">
        <v>670</v>
      </c>
      <c r="R75" s="46" t="s">
        <v>23</v>
      </c>
      <c r="S75" s="46" t="s">
        <v>671</v>
      </c>
      <c r="T75" s="46" t="s">
        <v>672</v>
      </c>
      <c r="U75" s="46" t="b">
        <v>1</v>
      </c>
      <c r="V75" s="46" t="s">
        <v>1018</v>
      </c>
      <c r="W75" s="46" t="s">
        <v>1019</v>
      </c>
      <c r="X75" s="46">
        <v>6</v>
      </c>
      <c r="Y75" s="46" t="b">
        <v>1</v>
      </c>
      <c r="Z75" s="46" t="s">
        <v>675</v>
      </c>
      <c r="AA75" s="46" t="s">
        <v>676</v>
      </c>
      <c r="AB75" s="46" t="s">
        <v>677</v>
      </c>
      <c r="AC75" s="46">
        <v>0</v>
      </c>
      <c r="AD75" s="46" t="s">
        <v>678</v>
      </c>
      <c r="AE75" s="46">
        <v>8</v>
      </c>
      <c r="AF75" s="46" t="s">
        <v>679</v>
      </c>
      <c r="AG75" s="46">
        <v>85956.856</v>
      </c>
      <c r="AH75" s="46" t="b">
        <v>1</v>
      </c>
      <c r="AI75" s="46">
        <v>-1</v>
      </c>
      <c r="AJ75" s="46" t="s">
        <v>680</v>
      </c>
      <c r="AK75" s="46">
        <v>0</v>
      </c>
      <c r="AL75" s="46" t="b">
        <v>0</v>
      </c>
      <c r="AM75" s="46">
        <v>85956.856</v>
      </c>
      <c r="AN75" s="46" t="b">
        <v>1</v>
      </c>
      <c r="AO75" s="46">
        <v>0</v>
      </c>
      <c r="AP75" s="46" t="b">
        <v>0</v>
      </c>
      <c r="AQ75" s="46">
        <v>74881.210999999996</v>
      </c>
      <c r="AS75" s="46">
        <v>74881.210999999996</v>
      </c>
      <c r="AT75" s="46">
        <v>6</v>
      </c>
      <c r="AU75" s="46" t="b">
        <v>1</v>
      </c>
      <c r="AV75" s="46" t="b">
        <v>0</v>
      </c>
    </row>
    <row r="76" spans="2:48">
      <c r="B76" s="46" t="s">
        <v>665</v>
      </c>
      <c r="C76" s="46" t="s">
        <v>666</v>
      </c>
      <c r="D76" s="46">
        <v>20231101</v>
      </c>
      <c r="E76" s="46">
        <v>2023</v>
      </c>
      <c r="F76" s="46">
        <v>11</v>
      </c>
      <c r="G76" s="46" t="s">
        <v>725</v>
      </c>
      <c r="H76" s="46">
        <v>818</v>
      </c>
      <c r="I76" s="46" t="s">
        <v>668</v>
      </c>
      <c r="J76" s="46" t="s">
        <v>57</v>
      </c>
      <c r="K76" s="46" t="s">
        <v>666</v>
      </c>
      <c r="L76" s="46" t="s">
        <v>669</v>
      </c>
      <c r="M76" s="46">
        <v>699</v>
      </c>
      <c r="N76" s="46" t="s">
        <v>748</v>
      </c>
      <c r="O76" s="46" t="s">
        <v>0</v>
      </c>
      <c r="P76" s="46">
        <v>0</v>
      </c>
      <c r="Q76" s="46" t="s">
        <v>670</v>
      </c>
      <c r="R76" s="46" t="s">
        <v>23</v>
      </c>
      <c r="S76" s="46" t="s">
        <v>671</v>
      </c>
      <c r="T76" s="46" t="s">
        <v>672</v>
      </c>
      <c r="U76" s="46" t="b">
        <v>1</v>
      </c>
      <c r="V76" s="46" t="s">
        <v>1018</v>
      </c>
      <c r="W76" s="46" t="s">
        <v>1019</v>
      </c>
      <c r="X76" s="46">
        <v>6</v>
      </c>
      <c r="Y76" s="46" t="b">
        <v>1</v>
      </c>
      <c r="Z76" s="46" t="s">
        <v>675</v>
      </c>
      <c r="AA76" s="46" t="s">
        <v>676</v>
      </c>
      <c r="AB76" s="46" t="s">
        <v>677</v>
      </c>
      <c r="AC76" s="46">
        <v>0</v>
      </c>
      <c r="AD76" s="46" t="s">
        <v>678</v>
      </c>
      <c r="AE76" s="46">
        <v>8</v>
      </c>
      <c r="AF76" s="46" t="s">
        <v>679</v>
      </c>
      <c r="AG76" s="46">
        <v>2634.6379999999999</v>
      </c>
      <c r="AH76" s="46" t="b">
        <v>1</v>
      </c>
      <c r="AI76" s="46">
        <v>-1</v>
      </c>
      <c r="AJ76" s="46" t="s">
        <v>680</v>
      </c>
      <c r="AK76" s="46">
        <v>0</v>
      </c>
      <c r="AL76" s="46" t="b">
        <v>0</v>
      </c>
      <c r="AM76" s="46">
        <v>2634.6379999999999</v>
      </c>
      <c r="AN76" s="46" t="b">
        <v>1</v>
      </c>
      <c r="AO76" s="46">
        <v>0</v>
      </c>
      <c r="AP76" s="46" t="b">
        <v>0</v>
      </c>
      <c r="AQ76" s="46">
        <v>2295.1619999999998</v>
      </c>
      <c r="AS76" s="46">
        <v>2295.1619999999998</v>
      </c>
      <c r="AT76" s="46">
        <v>6</v>
      </c>
      <c r="AU76" s="46" t="b">
        <v>1</v>
      </c>
      <c r="AV76" s="46" t="b">
        <v>0</v>
      </c>
    </row>
    <row r="77" spans="2:48">
      <c r="B77" s="46" t="s">
        <v>665</v>
      </c>
      <c r="C77" s="46" t="s">
        <v>666</v>
      </c>
      <c r="D77" s="46">
        <v>20231101</v>
      </c>
      <c r="E77" s="46">
        <v>2023</v>
      </c>
      <c r="F77" s="46">
        <v>11</v>
      </c>
      <c r="G77" s="46" t="s">
        <v>725</v>
      </c>
      <c r="H77" s="46">
        <v>818</v>
      </c>
      <c r="I77" s="46" t="s">
        <v>668</v>
      </c>
      <c r="J77" s="46" t="s">
        <v>57</v>
      </c>
      <c r="K77" s="46" t="s">
        <v>666</v>
      </c>
      <c r="L77" s="46" t="s">
        <v>669</v>
      </c>
      <c r="M77" s="46">
        <v>682</v>
      </c>
      <c r="N77" s="46" t="s">
        <v>758</v>
      </c>
      <c r="O77" s="46" t="s">
        <v>39</v>
      </c>
      <c r="P77" s="46">
        <v>0</v>
      </c>
      <c r="Q77" s="46" t="s">
        <v>670</v>
      </c>
      <c r="R77" s="46" t="s">
        <v>23</v>
      </c>
      <c r="S77" s="46" t="s">
        <v>671</v>
      </c>
      <c r="T77" s="46" t="s">
        <v>672</v>
      </c>
      <c r="U77" s="46" t="b">
        <v>1</v>
      </c>
      <c r="V77" s="46" t="s">
        <v>1018</v>
      </c>
      <c r="W77" s="46" t="s">
        <v>1019</v>
      </c>
      <c r="X77" s="46">
        <v>6</v>
      </c>
      <c r="Y77" s="46" t="b">
        <v>1</v>
      </c>
      <c r="Z77" s="46" t="s">
        <v>675</v>
      </c>
      <c r="AA77" s="46" t="s">
        <v>676</v>
      </c>
      <c r="AB77" s="46" t="s">
        <v>677</v>
      </c>
      <c r="AC77" s="46">
        <v>0</v>
      </c>
      <c r="AD77" s="46" t="s">
        <v>678</v>
      </c>
      <c r="AE77" s="46">
        <v>8</v>
      </c>
      <c r="AF77" s="46" t="s">
        <v>679</v>
      </c>
      <c r="AG77" s="46">
        <v>26252.019</v>
      </c>
      <c r="AH77" s="46" t="b">
        <v>1</v>
      </c>
      <c r="AI77" s="46">
        <v>-1</v>
      </c>
      <c r="AJ77" s="46" t="s">
        <v>680</v>
      </c>
      <c r="AK77" s="46">
        <v>0</v>
      </c>
      <c r="AL77" s="46" t="b">
        <v>0</v>
      </c>
      <c r="AM77" s="46">
        <v>26252.019</v>
      </c>
      <c r="AN77" s="46" t="b">
        <v>1</v>
      </c>
      <c r="AO77" s="46">
        <v>0</v>
      </c>
      <c r="AP77" s="46" t="b">
        <v>0</v>
      </c>
      <c r="AQ77" s="46">
        <v>22869.414000000001</v>
      </c>
      <c r="AS77" s="46">
        <v>22869.414000000001</v>
      </c>
      <c r="AT77" s="46">
        <v>6</v>
      </c>
      <c r="AU77" s="46" t="b">
        <v>1</v>
      </c>
      <c r="AV77" s="46" t="b">
        <v>0</v>
      </c>
    </row>
    <row r="78" spans="2:48">
      <c r="B78" s="46" t="s">
        <v>665</v>
      </c>
      <c r="C78" s="46" t="s">
        <v>666</v>
      </c>
      <c r="D78" s="46">
        <v>20231201</v>
      </c>
      <c r="E78" s="46">
        <v>2023</v>
      </c>
      <c r="F78" s="46">
        <v>12</v>
      </c>
      <c r="G78" s="46" t="s">
        <v>726</v>
      </c>
      <c r="H78" s="46">
        <v>818</v>
      </c>
      <c r="I78" s="46" t="s">
        <v>668</v>
      </c>
      <c r="J78" s="46" t="s">
        <v>57</v>
      </c>
      <c r="K78" s="46" t="s">
        <v>666</v>
      </c>
      <c r="L78" s="46" t="s">
        <v>669</v>
      </c>
      <c r="M78" s="46">
        <v>276</v>
      </c>
      <c r="N78" s="46" t="s">
        <v>681</v>
      </c>
      <c r="O78" s="46" t="s">
        <v>30</v>
      </c>
      <c r="P78" s="46">
        <v>0</v>
      </c>
      <c r="Q78" s="46" t="s">
        <v>670</v>
      </c>
      <c r="R78" s="46" t="s">
        <v>23</v>
      </c>
      <c r="S78" s="46" t="s">
        <v>671</v>
      </c>
      <c r="T78" s="46" t="s">
        <v>672</v>
      </c>
      <c r="U78" s="46" t="b">
        <v>1</v>
      </c>
      <c r="V78" s="46" t="s">
        <v>1018</v>
      </c>
      <c r="W78" s="46" t="s">
        <v>1019</v>
      </c>
      <c r="X78" s="46">
        <v>6</v>
      </c>
      <c r="Y78" s="46" t="b">
        <v>1</v>
      </c>
      <c r="Z78" s="46" t="s">
        <v>675</v>
      </c>
      <c r="AA78" s="46" t="s">
        <v>676</v>
      </c>
      <c r="AB78" s="46" t="s">
        <v>677</v>
      </c>
      <c r="AC78" s="46">
        <v>0</v>
      </c>
      <c r="AD78" s="46" t="s">
        <v>678</v>
      </c>
      <c r="AE78" s="46">
        <v>8</v>
      </c>
      <c r="AF78" s="46" t="s">
        <v>679</v>
      </c>
      <c r="AG78" s="46">
        <v>797.19600000000003</v>
      </c>
      <c r="AH78" s="46" t="b">
        <v>1</v>
      </c>
      <c r="AI78" s="46">
        <v>-1</v>
      </c>
      <c r="AJ78" s="46" t="s">
        <v>680</v>
      </c>
      <c r="AK78" s="46">
        <v>0</v>
      </c>
      <c r="AL78" s="46" t="b">
        <v>0</v>
      </c>
      <c r="AM78" s="46">
        <v>797.19600000000003</v>
      </c>
      <c r="AN78" s="46" t="b">
        <v>1</v>
      </c>
      <c r="AO78" s="46">
        <v>0</v>
      </c>
      <c r="AP78" s="46" t="b">
        <v>0</v>
      </c>
      <c r="AQ78" s="46">
        <v>694.476</v>
      </c>
      <c r="AS78" s="46">
        <v>694.476</v>
      </c>
      <c r="AT78" s="46">
        <v>6</v>
      </c>
      <c r="AU78" s="46" t="b">
        <v>1</v>
      </c>
      <c r="AV78" s="46" t="b">
        <v>0</v>
      </c>
    </row>
    <row r="79" spans="2:48">
      <c r="B79" s="46" t="s">
        <v>665</v>
      </c>
      <c r="C79" s="46" t="s">
        <v>666</v>
      </c>
      <c r="D79" s="46">
        <v>20231201</v>
      </c>
      <c r="E79" s="46">
        <v>2023</v>
      </c>
      <c r="F79" s="46">
        <v>12</v>
      </c>
      <c r="G79" s="46" t="s">
        <v>726</v>
      </c>
      <c r="H79" s="46">
        <v>818</v>
      </c>
      <c r="I79" s="46" t="s">
        <v>668</v>
      </c>
      <c r="J79" s="46" t="s">
        <v>57</v>
      </c>
      <c r="K79" s="46" t="s">
        <v>666</v>
      </c>
      <c r="L79" s="46" t="s">
        <v>669</v>
      </c>
      <c r="M79" s="46">
        <v>0</v>
      </c>
      <c r="N79" s="46" t="s">
        <v>670</v>
      </c>
      <c r="O79" s="46" t="s">
        <v>23</v>
      </c>
      <c r="P79" s="46">
        <v>0</v>
      </c>
      <c r="Q79" s="46" t="s">
        <v>670</v>
      </c>
      <c r="R79" s="46" t="s">
        <v>23</v>
      </c>
      <c r="S79" s="46" t="s">
        <v>671</v>
      </c>
      <c r="T79" s="46" t="s">
        <v>672</v>
      </c>
      <c r="U79" s="46" t="b">
        <v>1</v>
      </c>
      <c r="V79" s="46" t="s">
        <v>1018</v>
      </c>
      <c r="W79" s="46" t="s">
        <v>1019</v>
      </c>
      <c r="X79" s="46">
        <v>6</v>
      </c>
      <c r="Y79" s="46" t="b">
        <v>1</v>
      </c>
      <c r="Z79" s="46" t="s">
        <v>675</v>
      </c>
      <c r="AA79" s="46" t="s">
        <v>676</v>
      </c>
      <c r="AB79" s="46" t="s">
        <v>677</v>
      </c>
      <c r="AC79" s="46">
        <v>0</v>
      </c>
      <c r="AD79" s="46" t="s">
        <v>678</v>
      </c>
      <c r="AE79" s="46">
        <v>8</v>
      </c>
      <c r="AF79" s="46" t="s">
        <v>679</v>
      </c>
      <c r="AG79" s="46">
        <v>135714.23699999999</v>
      </c>
      <c r="AH79" s="46" t="b">
        <v>1</v>
      </c>
      <c r="AI79" s="46">
        <v>-1</v>
      </c>
      <c r="AJ79" s="46" t="s">
        <v>680</v>
      </c>
      <c r="AK79" s="46">
        <v>0</v>
      </c>
      <c r="AL79" s="46" t="b">
        <v>0</v>
      </c>
      <c r="AM79" s="46">
        <v>135714.23699999999</v>
      </c>
      <c r="AN79" s="46" t="b">
        <v>1</v>
      </c>
      <c r="AO79" s="46">
        <v>0</v>
      </c>
      <c r="AP79" s="46" t="b">
        <v>0</v>
      </c>
      <c r="AQ79" s="46">
        <v>118227.292</v>
      </c>
      <c r="AS79" s="46">
        <v>118227.292</v>
      </c>
      <c r="AT79" s="46">
        <v>6</v>
      </c>
      <c r="AU79" s="46" t="b">
        <v>0</v>
      </c>
      <c r="AV79" s="46" t="b">
        <v>1</v>
      </c>
    </row>
    <row r="80" spans="2:48">
      <c r="B80" s="46" t="s">
        <v>665</v>
      </c>
      <c r="C80" s="46" t="s">
        <v>666</v>
      </c>
      <c r="D80" s="46">
        <v>20231201</v>
      </c>
      <c r="E80" s="46">
        <v>2023</v>
      </c>
      <c r="F80" s="46">
        <v>12</v>
      </c>
      <c r="G80" s="46" t="s">
        <v>726</v>
      </c>
      <c r="H80" s="46">
        <v>818</v>
      </c>
      <c r="I80" s="46" t="s">
        <v>668</v>
      </c>
      <c r="J80" s="46" t="s">
        <v>57</v>
      </c>
      <c r="K80" s="46" t="s">
        <v>666</v>
      </c>
      <c r="L80" s="46" t="s">
        <v>669</v>
      </c>
      <c r="M80" s="46">
        <v>643</v>
      </c>
      <c r="N80" s="46" t="s">
        <v>761</v>
      </c>
      <c r="O80" s="46" t="s">
        <v>38</v>
      </c>
      <c r="P80" s="46">
        <v>0</v>
      </c>
      <c r="Q80" s="46" t="s">
        <v>670</v>
      </c>
      <c r="R80" s="46" t="s">
        <v>23</v>
      </c>
      <c r="S80" s="46" t="s">
        <v>671</v>
      </c>
      <c r="T80" s="46" t="s">
        <v>672</v>
      </c>
      <c r="U80" s="46" t="b">
        <v>1</v>
      </c>
      <c r="V80" s="46" t="s">
        <v>1018</v>
      </c>
      <c r="W80" s="46" t="s">
        <v>1019</v>
      </c>
      <c r="X80" s="46">
        <v>6</v>
      </c>
      <c r="Y80" s="46" t="b">
        <v>1</v>
      </c>
      <c r="Z80" s="46" t="s">
        <v>675</v>
      </c>
      <c r="AA80" s="46" t="s">
        <v>676</v>
      </c>
      <c r="AB80" s="46" t="s">
        <v>677</v>
      </c>
      <c r="AC80" s="46">
        <v>0</v>
      </c>
      <c r="AD80" s="46" t="s">
        <v>678</v>
      </c>
      <c r="AE80" s="46">
        <v>8</v>
      </c>
      <c r="AF80" s="46" t="s">
        <v>679</v>
      </c>
      <c r="AG80" s="46">
        <v>86107.505999999994</v>
      </c>
      <c r="AH80" s="46" t="b">
        <v>1</v>
      </c>
      <c r="AI80" s="46">
        <v>-1</v>
      </c>
      <c r="AJ80" s="46" t="s">
        <v>680</v>
      </c>
      <c r="AK80" s="46">
        <v>0</v>
      </c>
      <c r="AL80" s="46" t="b">
        <v>0</v>
      </c>
      <c r="AM80" s="46">
        <v>86107.505999999994</v>
      </c>
      <c r="AN80" s="46" t="b">
        <v>1</v>
      </c>
      <c r="AO80" s="46">
        <v>0</v>
      </c>
      <c r="AP80" s="46" t="b">
        <v>0</v>
      </c>
      <c r="AQ80" s="46">
        <v>75012.448999999993</v>
      </c>
      <c r="AS80" s="46">
        <v>75012.448999999993</v>
      </c>
      <c r="AT80" s="46">
        <v>6</v>
      </c>
      <c r="AU80" s="46" t="b">
        <v>1</v>
      </c>
      <c r="AV80" s="46" t="b">
        <v>0</v>
      </c>
    </row>
    <row r="81" spans="2:48">
      <c r="B81" s="46" t="s">
        <v>665</v>
      </c>
      <c r="C81" s="46" t="s">
        <v>666</v>
      </c>
      <c r="D81" s="46">
        <v>20231201</v>
      </c>
      <c r="E81" s="46">
        <v>2023</v>
      </c>
      <c r="F81" s="46">
        <v>12</v>
      </c>
      <c r="G81" s="46" t="s">
        <v>726</v>
      </c>
      <c r="H81" s="46">
        <v>818</v>
      </c>
      <c r="I81" s="46" t="s">
        <v>668</v>
      </c>
      <c r="J81" s="46" t="s">
        <v>57</v>
      </c>
      <c r="K81" s="46" t="s">
        <v>666</v>
      </c>
      <c r="L81" s="46" t="s">
        <v>669</v>
      </c>
      <c r="M81" s="46">
        <v>699</v>
      </c>
      <c r="N81" s="46" t="s">
        <v>748</v>
      </c>
      <c r="O81" s="46" t="s">
        <v>0</v>
      </c>
      <c r="P81" s="46">
        <v>0</v>
      </c>
      <c r="Q81" s="46" t="s">
        <v>670</v>
      </c>
      <c r="R81" s="46" t="s">
        <v>23</v>
      </c>
      <c r="S81" s="46" t="s">
        <v>671</v>
      </c>
      <c r="T81" s="46" t="s">
        <v>672</v>
      </c>
      <c r="U81" s="46" t="b">
        <v>1</v>
      </c>
      <c r="V81" s="46" t="s">
        <v>1018</v>
      </c>
      <c r="W81" s="46" t="s">
        <v>1019</v>
      </c>
      <c r="X81" s="46">
        <v>6</v>
      </c>
      <c r="Y81" s="46" t="b">
        <v>1</v>
      </c>
      <c r="Z81" s="46" t="s">
        <v>675</v>
      </c>
      <c r="AA81" s="46" t="s">
        <v>676</v>
      </c>
      <c r="AB81" s="46" t="s">
        <v>677</v>
      </c>
      <c r="AC81" s="46">
        <v>0</v>
      </c>
      <c r="AD81" s="46" t="s">
        <v>678</v>
      </c>
      <c r="AE81" s="46">
        <v>8</v>
      </c>
      <c r="AF81" s="46" t="s">
        <v>679</v>
      </c>
      <c r="AG81" s="46">
        <v>26677.682000000001</v>
      </c>
      <c r="AH81" s="46" t="b">
        <v>1</v>
      </c>
      <c r="AI81" s="46">
        <v>-1</v>
      </c>
      <c r="AJ81" s="46" t="s">
        <v>680</v>
      </c>
      <c r="AK81" s="46">
        <v>0</v>
      </c>
      <c r="AL81" s="46" t="b">
        <v>0</v>
      </c>
      <c r="AM81" s="46">
        <v>26677.682000000001</v>
      </c>
      <c r="AN81" s="46" t="b">
        <v>1</v>
      </c>
      <c r="AO81" s="46">
        <v>0</v>
      </c>
      <c r="AP81" s="46" t="b">
        <v>0</v>
      </c>
      <c r="AQ81" s="46">
        <v>23240.231</v>
      </c>
      <c r="AS81" s="46">
        <v>23240.231</v>
      </c>
      <c r="AT81" s="46">
        <v>6</v>
      </c>
      <c r="AU81" s="46" t="b">
        <v>1</v>
      </c>
      <c r="AV81" s="46" t="b">
        <v>0</v>
      </c>
    </row>
    <row r="82" spans="2:48">
      <c r="B82" s="46" t="s">
        <v>665</v>
      </c>
      <c r="C82" s="46" t="s">
        <v>666</v>
      </c>
      <c r="D82" s="46">
        <v>20231201</v>
      </c>
      <c r="E82" s="46">
        <v>2023</v>
      </c>
      <c r="F82" s="46">
        <v>12</v>
      </c>
      <c r="G82" s="46" t="s">
        <v>726</v>
      </c>
      <c r="H82" s="46">
        <v>818</v>
      </c>
      <c r="I82" s="46" t="s">
        <v>668</v>
      </c>
      <c r="J82" s="46" t="s">
        <v>57</v>
      </c>
      <c r="K82" s="46" t="s">
        <v>666</v>
      </c>
      <c r="L82" s="46" t="s">
        <v>669</v>
      </c>
      <c r="M82" s="46">
        <v>156</v>
      </c>
      <c r="N82" s="46" t="s">
        <v>711</v>
      </c>
      <c r="O82" s="46" t="s">
        <v>29</v>
      </c>
      <c r="P82" s="46">
        <v>0</v>
      </c>
      <c r="Q82" s="46" t="s">
        <v>670</v>
      </c>
      <c r="R82" s="46" t="s">
        <v>23</v>
      </c>
      <c r="S82" s="46" t="s">
        <v>671</v>
      </c>
      <c r="T82" s="46" t="s">
        <v>672</v>
      </c>
      <c r="U82" s="46" t="b">
        <v>1</v>
      </c>
      <c r="V82" s="46" t="s">
        <v>1018</v>
      </c>
      <c r="W82" s="46" t="s">
        <v>1019</v>
      </c>
      <c r="X82" s="46">
        <v>6</v>
      </c>
      <c r="Y82" s="46" t="b">
        <v>1</v>
      </c>
      <c r="Z82" s="46" t="s">
        <v>675</v>
      </c>
      <c r="AA82" s="46" t="s">
        <v>676</v>
      </c>
      <c r="AB82" s="46" t="s">
        <v>677</v>
      </c>
      <c r="AC82" s="46">
        <v>0</v>
      </c>
      <c r="AD82" s="46" t="s">
        <v>678</v>
      </c>
      <c r="AE82" s="46">
        <v>8</v>
      </c>
      <c r="AF82" s="46" t="s">
        <v>679</v>
      </c>
      <c r="AG82" s="46">
        <v>22131.852999999999</v>
      </c>
      <c r="AH82" s="46" t="b">
        <v>1</v>
      </c>
      <c r="AI82" s="46">
        <v>-1</v>
      </c>
      <c r="AJ82" s="46" t="s">
        <v>680</v>
      </c>
      <c r="AK82" s="46">
        <v>0</v>
      </c>
      <c r="AL82" s="46" t="b">
        <v>0</v>
      </c>
      <c r="AM82" s="46">
        <v>22131.852999999999</v>
      </c>
      <c r="AN82" s="46" t="b">
        <v>1</v>
      </c>
      <c r="AO82" s="46">
        <v>0</v>
      </c>
      <c r="AP82" s="46" t="b">
        <v>0</v>
      </c>
      <c r="AQ82" s="46">
        <v>19280.136999999999</v>
      </c>
      <c r="AS82" s="46">
        <v>19280.136999999999</v>
      </c>
      <c r="AT82" s="46">
        <v>6</v>
      </c>
      <c r="AU82" s="46" t="b">
        <v>1</v>
      </c>
      <c r="AV82" s="46" t="b">
        <v>0</v>
      </c>
    </row>
    <row r="83" spans="2:48">
      <c r="B83" s="46" t="s">
        <v>665</v>
      </c>
      <c r="C83" s="46" t="s">
        <v>666</v>
      </c>
      <c r="D83" s="46">
        <v>20240601</v>
      </c>
      <c r="E83" s="46">
        <v>2024</v>
      </c>
      <c r="F83" s="46">
        <v>6</v>
      </c>
      <c r="G83" s="46" t="s">
        <v>700</v>
      </c>
      <c r="H83" s="46">
        <v>818</v>
      </c>
      <c r="I83" s="46" t="s">
        <v>668</v>
      </c>
      <c r="J83" s="46" t="s">
        <v>57</v>
      </c>
      <c r="K83" s="46" t="s">
        <v>666</v>
      </c>
      <c r="L83" s="46" t="s">
        <v>669</v>
      </c>
      <c r="M83" s="46">
        <v>0</v>
      </c>
      <c r="N83" s="46" t="s">
        <v>670</v>
      </c>
      <c r="O83" s="46" t="s">
        <v>23</v>
      </c>
      <c r="P83" s="46">
        <v>0</v>
      </c>
      <c r="Q83" s="46" t="s">
        <v>670</v>
      </c>
      <c r="R83" s="46" t="s">
        <v>23</v>
      </c>
      <c r="S83" s="46" t="s">
        <v>671</v>
      </c>
      <c r="T83" s="46" t="s">
        <v>672</v>
      </c>
      <c r="U83" s="46" t="b">
        <v>1</v>
      </c>
      <c r="V83" s="46" t="s">
        <v>1018</v>
      </c>
      <c r="W83" s="46" t="s">
        <v>1019</v>
      </c>
      <c r="X83" s="46">
        <v>6</v>
      </c>
      <c r="Y83" s="46" t="b">
        <v>1</v>
      </c>
      <c r="Z83" s="46" t="s">
        <v>675</v>
      </c>
      <c r="AA83" s="46" t="s">
        <v>676</v>
      </c>
      <c r="AB83" s="46" t="s">
        <v>677</v>
      </c>
      <c r="AC83" s="46">
        <v>0</v>
      </c>
      <c r="AD83" s="46" t="s">
        <v>678</v>
      </c>
      <c r="AE83" s="46">
        <v>8</v>
      </c>
      <c r="AF83" s="46" t="s">
        <v>679</v>
      </c>
      <c r="AG83" s="46">
        <v>78604.475999999995</v>
      </c>
      <c r="AH83" s="46" t="b">
        <v>1</v>
      </c>
      <c r="AI83" s="46">
        <v>-1</v>
      </c>
      <c r="AJ83" s="46" t="s">
        <v>680</v>
      </c>
      <c r="AK83" s="46">
        <v>0</v>
      </c>
      <c r="AL83" s="46" t="b">
        <v>0</v>
      </c>
      <c r="AM83" s="46">
        <v>78604.475999999995</v>
      </c>
      <c r="AN83" s="46" t="b">
        <v>1</v>
      </c>
      <c r="AO83" s="46">
        <v>0</v>
      </c>
      <c r="AP83" s="46" t="b">
        <v>0</v>
      </c>
      <c r="AQ83" s="46">
        <v>68476.194000000003</v>
      </c>
      <c r="AS83" s="46">
        <v>68476.194000000003</v>
      </c>
      <c r="AT83" s="46">
        <v>6</v>
      </c>
      <c r="AU83" s="46" t="b">
        <v>0</v>
      </c>
      <c r="AV83" s="46" t="b">
        <v>1</v>
      </c>
    </row>
    <row r="84" spans="2:48">
      <c r="B84" s="46" t="s">
        <v>665</v>
      </c>
      <c r="C84" s="46" t="s">
        <v>666</v>
      </c>
      <c r="D84" s="46">
        <v>20240201</v>
      </c>
      <c r="E84" s="46">
        <v>2024</v>
      </c>
      <c r="F84" s="46">
        <v>2</v>
      </c>
      <c r="G84" s="46" t="s">
        <v>687</v>
      </c>
      <c r="H84" s="46">
        <v>818</v>
      </c>
      <c r="I84" s="46" t="s">
        <v>668</v>
      </c>
      <c r="J84" s="46" t="s">
        <v>57</v>
      </c>
      <c r="K84" s="46" t="s">
        <v>666</v>
      </c>
      <c r="L84" s="46" t="s">
        <v>669</v>
      </c>
      <c r="M84" s="46">
        <v>0</v>
      </c>
      <c r="N84" s="46" t="s">
        <v>670</v>
      </c>
      <c r="O84" s="46" t="s">
        <v>23</v>
      </c>
      <c r="P84" s="46">
        <v>0</v>
      </c>
      <c r="Q84" s="46" t="s">
        <v>670</v>
      </c>
      <c r="R84" s="46" t="s">
        <v>23</v>
      </c>
      <c r="S84" s="46" t="s">
        <v>671</v>
      </c>
      <c r="T84" s="46" t="s">
        <v>672</v>
      </c>
      <c r="U84" s="46" t="b">
        <v>1</v>
      </c>
      <c r="V84" s="46" t="s">
        <v>1018</v>
      </c>
      <c r="W84" s="46" t="s">
        <v>1019</v>
      </c>
      <c r="X84" s="46">
        <v>6</v>
      </c>
      <c r="Y84" s="46" t="b">
        <v>1</v>
      </c>
      <c r="Z84" s="46" t="s">
        <v>675</v>
      </c>
      <c r="AA84" s="46" t="s">
        <v>676</v>
      </c>
      <c r="AB84" s="46" t="s">
        <v>677</v>
      </c>
      <c r="AC84" s="46">
        <v>0</v>
      </c>
      <c r="AD84" s="46" t="s">
        <v>678</v>
      </c>
      <c r="AE84" s="46">
        <v>8</v>
      </c>
      <c r="AF84" s="46" t="s">
        <v>679</v>
      </c>
      <c r="AG84" s="46">
        <v>51665.883999999998</v>
      </c>
      <c r="AH84" s="46" t="b">
        <v>1</v>
      </c>
      <c r="AI84" s="46">
        <v>-1</v>
      </c>
      <c r="AJ84" s="46" t="s">
        <v>680</v>
      </c>
      <c r="AK84" s="46">
        <v>0</v>
      </c>
      <c r="AL84" s="46" t="b">
        <v>0</v>
      </c>
      <c r="AM84" s="46">
        <v>51665.883999999998</v>
      </c>
      <c r="AN84" s="46" t="b">
        <v>1</v>
      </c>
      <c r="AO84" s="46">
        <v>0</v>
      </c>
      <c r="AP84" s="46" t="b">
        <v>0</v>
      </c>
      <c r="AQ84" s="46">
        <v>45008.671999999999</v>
      </c>
      <c r="AS84" s="46">
        <v>45008.671999999999</v>
      </c>
      <c r="AT84" s="46">
        <v>6</v>
      </c>
      <c r="AU84" s="46" t="b">
        <v>0</v>
      </c>
      <c r="AV84" s="46" t="b">
        <v>1</v>
      </c>
    </row>
    <row r="85" spans="2:48">
      <c r="B85" s="46" t="s">
        <v>665</v>
      </c>
      <c r="C85" s="46" t="s">
        <v>666</v>
      </c>
      <c r="D85" s="46">
        <v>20240401</v>
      </c>
      <c r="E85" s="46">
        <v>2024</v>
      </c>
      <c r="F85" s="46">
        <v>4</v>
      </c>
      <c r="G85" s="46" t="s">
        <v>695</v>
      </c>
      <c r="H85" s="46">
        <v>818</v>
      </c>
      <c r="I85" s="46" t="s">
        <v>668</v>
      </c>
      <c r="J85" s="46" t="s">
        <v>57</v>
      </c>
      <c r="K85" s="46" t="s">
        <v>666</v>
      </c>
      <c r="L85" s="46" t="s">
        <v>669</v>
      </c>
      <c r="M85" s="46">
        <v>0</v>
      </c>
      <c r="N85" s="46" t="s">
        <v>670</v>
      </c>
      <c r="O85" s="46" t="s">
        <v>23</v>
      </c>
      <c r="P85" s="46">
        <v>0</v>
      </c>
      <c r="Q85" s="46" t="s">
        <v>670</v>
      </c>
      <c r="R85" s="46" t="s">
        <v>23</v>
      </c>
      <c r="S85" s="46" t="s">
        <v>671</v>
      </c>
      <c r="T85" s="46" t="s">
        <v>672</v>
      </c>
      <c r="U85" s="46" t="b">
        <v>1</v>
      </c>
      <c r="V85" s="46" t="s">
        <v>1018</v>
      </c>
      <c r="W85" s="46" t="s">
        <v>1019</v>
      </c>
      <c r="X85" s="46">
        <v>6</v>
      </c>
      <c r="Y85" s="46" t="b">
        <v>1</v>
      </c>
      <c r="Z85" s="46" t="s">
        <v>675</v>
      </c>
      <c r="AA85" s="46" t="s">
        <v>676</v>
      </c>
      <c r="AB85" s="46" t="s">
        <v>677</v>
      </c>
      <c r="AC85" s="46">
        <v>0</v>
      </c>
      <c r="AD85" s="46" t="s">
        <v>678</v>
      </c>
      <c r="AE85" s="46">
        <v>8</v>
      </c>
      <c r="AF85" s="46" t="s">
        <v>679</v>
      </c>
      <c r="AG85" s="46">
        <v>107836.177</v>
      </c>
      <c r="AH85" s="46" t="b">
        <v>1</v>
      </c>
      <c r="AI85" s="46">
        <v>-1</v>
      </c>
      <c r="AJ85" s="46" t="s">
        <v>680</v>
      </c>
      <c r="AK85" s="46">
        <v>0</v>
      </c>
      <c r="AL85" s="46" t="b">
        <v>0</v>
      </c>
      <c r="AM85" s="46">
        <v>107836.177</v>
      </c>
      <c r="AN85" s="46" t="b">
        <v>1</v>
      </c>
      <c r="AO85" s="46">
        <v>0</v>
      </c>
      <c r="AP85" s="46" t="b">
        <v>0</v>
      </c>
      <c r="AQ85" s="46">
        <v>93941.354000000007</v>
      </c>
      <c r="AS85" s="46">
        <v>93941.354000000007</v>
      </c>
      <c r="AT85" s="46">
        <v>6</v>
      </c>
      <c r="AU85" s="46" t="b">
        <v>0</v>
      </c>
      <c r="AV85" s="46" t="b">
        <v>1</v>
      </c>
    </row>
    <row r="86" spans="2:48">
      <c r="B86" s="46" t="s">
        <v>665</v>
      </c>
      <c r="C86" s="46" t="s">
        <v>666</v>
      </c>
      <c r="D86" s="46">
        <v>20240501</v>
      </c>
      <c r="E86" s="46">
        <v>2024</v>
      </c>
      <c r="F86" s="46">
        <v>5</v>
      </c>
      <c r="G86" s="46" t="s">
        <v>699</v>
      </c>
      <c r="H86" s="46">
        <v>818</v>
      </c>
      <c r="I86" s="46" t="s">
        <v>668</v>
      </c>
      <c r="J86" s="46" t="s">
        <v>57</v>
      </c>
      <c r="K86" s="46" t="s">
        <v>666</v>
      </c>
      <c r="L86" s="46" t="s">
        <v>669</v>
      </c>
      <c r="M86" s="46">
        <v>0</v>
      </c>
      <c r="N86" s="46" t="s">
        <v>670</v>
      </c>
      <c r="O86" s="46" t="s">
        <v>23</v>
      </c>
      <c r="P86" s="46">
        <v>0</v>
      </c>
      <c r="Q86" s="46" t="s">
        <v>670</v>
      </c>
      <c r="R86" s="46" t="s">
        <v>23</v>
      </c>
      <c r="S86" s="46" t="s">
        <v>671</v>
      </c>
      <c r="T86" s="46" t="s">
        <v>672</v>
      </c>
      <c r="U86" s="46" t="b">
        <v>1</v>
      </c>
      <c r="V86" s="46" t="s">
        <v>1018</v>
      </c>
      <c r="W86" s="46" t="s">
        <v>1019</v>
      </c>
      <c r="X86" s="46">
        <v>6</v>
      </c>
      <c r="Y86" s="46" t="b">
        <v>1</v>
      </c>
      <c r="Z86" s="46" t="s">
        <v>675</v>
      </c>
      <c r="AA86" s="46" t="s">
        <v>676</v>
      </c>
      <c r="AB86" s="46" t="s">
        <v>677</v>
      </c>
      <c r="AC86" s="46">
        <v>0</v>
      </c>
      <c r="AD86" s="46" t="s">
        <v>678</v>
      </c>
      <c r="AE86" s="46">
        <v>8</v>
      </c>
      <c r="AF86" s="46" t="s">
        <v>679</v>
      </c>
      <c r="AG86" s="46">
        <v>96405.615999999995</v>
      </c>
      <c r="AH86" s="46" t="b">
        <v>1</v>
      </c>
      <c r="AI86" s="46">
        <v>-1</v>
      </c>
      <c r="AJ86" s="46" t="s">
        <v>680</v>
      </c>
      <c r="AK86" s="46">
        <v>0</v>
      </c>
      <c r="AL86" s="46" t="b">
        <v>0</v>
      </c>
      <c r="AM86" s="46">
        <v>96405.615999999995</v>
      </c>
      <c r="AN86" s="46" t="b">
        <v>1</v>
      </c>
      <c r="AO86" s="46">
        <v>0</v>
      </c>
      <c r="AP86" s="46" t="b">
        <v>0</v>
      </c>
      <c r="AQ86" s="46">
        <v>83983.634999999995</v>
      </c>
      <c r="AS86" s="46">
        <v>83983.634999999995</v>
      </c>
      <c r="AT86" s="46">
        <v>6</v>
      </c>
      <c r="AU86" s="46" t="b">
        <v>0</v>
      </c>
      <c r="AV86" s="46" t="b">
        <v>1</v>
      </c>
    </row>
    <row r="87" spans="2:48">
      <c r="B87" s="46" t="s">
        <v>665</v>
      </c>
      <c r="C87" s="46" t="s">
        <v>666</v>
      </c>
      <c r="D87" s="46">
        <v>20240101</v>
      </c>
      <c r="E87" s="46">
        <v>2024</v>
      </c>
      <c r="F87" s="46">
        <v>1</v>
      </c>
      <c r="G87" s="46" t="s">
        <v>667</v>
      </c>
      <c r="H87" s="46">
        <v>818</v>
      </c>
      <c r="I87" s="46" t="s">
        <v>668</v>
      </c>
      <c r="J87" s="46" t="s">
        <v>57</v>
      </c>
      <c r="K87" s="46" t="s">
        <v>666</v>
      </c>
      <c r="L87" s="46" t="s">
        <v>669</v>
      </c>
      <c r="M87" s="46">
        <v>0</v>
      </c>
      <c r="N87" s="46" t="s">
        <v>670</v>
      </c>
      <c r="O87" s="46" t="s">
        <v>23</v>
      </c>
      <c r="P87" s="46">
        <v>0</v>
      </c>
      <c r="Q87" s="46" t="s">
        <v>670</v>
      </c>
      <c r="R87" s="46" t="s">
        <v>23</v>
      </c>
      <c r="S87" s="46" t="s">
        <v>671</v>
      </c>
      <c r="T87" s="46" t="s">
        <v>672</v>
      </c>
      <c r="U87" s="46" t="b">
        <v>1</v>
      </c>
      <c r="V87" s="46" t="s">
        <v>1018</v>
      </c>
      <c r="W87" s="46" t="s">
        <v>1019</v>
      </c>
      <c r="X87" s="46">
        <v>6</v>
      </c>
      <c r="Y87" s="46" t="b">
        <v>1</v>
      </c>
      <c r="Z87" s="46" t="s">
        <v>675</v>
      </c>
      <c r="AA87" s="46" t="s">
        <v>676</v>
      </c>
      <c r="AB87" s="46" t="s">
        <v>677</v>
      </c>
      <c r="AC87" s="46">
        <v>0</v>
      </c>
      <c r="AD87" s="46" t="s">
        <v>678</v>
      </c>
      <c r="AE87" s="46">
        <v>8</v>
      </c>
      <c r="AF87" s="46" t="s">
        <v>679</v>
      </c>
      <c r="AG87" s="46">
        <v>90071.877999999997</v>
      </c>
      <c r="AH87" s="46" t="b">
        <v>1</v>
      </c>
      <c r="AI87" s="46">
        <v>-1</v>
      </c>
      <c r="AJ87" s="46" t="s">
        <v>680</v>
      </c>
      <c r="AK87" s="46">
        <v>0</v>
      </c>
      <c r="AL87" s="46" t="b">
        <v>0</v>
      </c>
      <c r="AM87" s="46">
        <v>90071.877999999997</v>
      </c>
      <c r="AN87" s="46" t="b">
        <v>1</v>
      </c>
      <c r="AO87" s="46">
        <v>0</v>
      </c>
      <c r="AP87" s="46" t="b">
        <v>0</v>
      </c>
      <c r="AQ87" s="46">
        <v>78466.006999999998</v>
      </c>
      <c r="AS87" s="46">
        <v>78466.006999999998</v>
      </c>
      <c r="AT87" s="46">
        <v>6</v>
      </c>
      <c r="AU87" s="46" t="b">
        <v>0</v>
      </c>
      <c r="AV87" s="46" t="b">
        <v>1</v>
      </c>
    </row>
    <row r="88" spans="2:48">
      <c r="B88" s="46" t="s">
        <v>665</v>
      </c>
      <c r="C88" s="46" t="s">
        <v>666</v>
      </c>
      <c r="D88" s="46">
        <v>20240401</v>
      </c>
      <c r="E88" s="46">
        <v>2024</v>
      </c>
      <c r="F88" s="46">
        <v>4</v>
      </c>
      <c r="G88" s="46" t="s">
        <v>695</v>
      </c>
      <c r="H88" s="46">
        <v>818</v>
      </c>
      <c r="I88" s="46" t="s">
        <v>668</v>
      </c>
      <c r="J88" s="46" t="s">
        <v>57</v>
      </c>
      <c r="K88" s="46" t="s">
        <v>666</v>
      </c>
      <c r="L88" s="46" t="s">
        <v>669</v>
      </c>
      <c r="M88" s="46">
        <v>643</v>
      </c>
      <c r="N88" s="46" t="s">
        <v>761</v>
      </c>
      <c r="O88" s="46" t="s">
        <v>38</v>
      </c>
      <c r="P88" s="46">
        <v>0</v>
      </c>
      <c r="Q88" s="46" t="s">
        <v>670</v>
      </c>
      <c r="R88" s="46" t="s">
        <v>23</v>
      </c>
      <c r="S88" s="46" t="s">
        <v>671</v>
      </c>
      <c r="T88" s="46" t="s">
        <v>672</v>
      </c>
      <c r="U88" s="46" t="b">
        <v>1</v>
      </c>
      <c r="V88" s="46" t="s">
        <v>1018</v>
      </c>
      <c r="W88" s="46" t="s">
        <v>1019</v>
      </c>
      <c r="X88" s="46">
        <v>6</v>
      </c>
      <c r="Y88" s="46" t="b">
        <v>1</v>
      </c>
      <c r="Z88" s="46" t="s">
        <v>675</v>
      </c>
      <c r="AA88" s="46" t="s">
        <v>676</v>
      </c>
      <c r="AB88" s="46" t="s">
        <v>677</v>
      </c>
      <c r="AC88" s="46">
        <v>0</v>
      </c>
      <c r="AD88" s="46" t="s">
        <v>678</v>
      </c>
      <c r="AE88" s="46">
        <v>8</v>
      </c>
      <c r="AF88" s="46" t="s">
        <v>679</v>
      </c>
      <c r="AG88" s="46">
        <v>52579.726999999999</v>
      </c>
      <c r="AH88" s="46" t="b">
        <v>1</v>
      </c>
      <c r="AI88" s="46">
        <v>-1</v>
      </c>
      <c r="AJ88" s="46" t="s">
        <v>680</v>
      </c>
      <c r="AK88" s="46">
        <v>0</v>
      </c>
      <c r="AL88" s="46" t="b">
        <v>0</v>
      </c>
      <c r="AM88" s="46">
        <v>52579.726999999999</v>
      </c>
      <c r="AN88" s="46" t="b">
        <v>1</v>
      </c>
      <c r="AO88" s="46">
        <v>0</v>
      </c>
      <c r="AP88" s="46" t="b">
        <v>0</v>
      </c>
      <c r="AQ88" s="46">
        <v>45804.766000000003</v>
      </c>
      <c r="AS88" s="46">
        <v>45804.766000000003</v>
      </c>
      <c r="AT88" s="46">
        <v>6</v>
      </c>
      <c r="AU88" s="46" t="b">
        <v>1</v>
      </c>
      <c r="AV88" s="46" t="b">
        <v>0</v>
      </c>
    </row>
    <row r="89" spans="2:48">
      <c r="B89" s="46" t="s">
        <v>665</v>
      </c>
      <c r="C89" s="46" t="s">
        <v>666</v>
      </c>
      <c r="D89" s="46">
        <v>20240501</v>
      </c>
      <c r="E89" s="46">
        <v>2024</v>
      </c>
      <c r="F89" s="46">
        <v>5</v>
      </c>
      <c r="G89" s="46" t="s">
        <v>699</v>
      </c>
      <c r="H89" s="46">
        <v>818</v>
      </c>
      <c r="I89" s="46" t="s">
        <v>668</v>
      </c>
      <c r="J89" s="46" t="s">
        <v>57</v>
      </c>
      <c r="K89" s="46" t="s">
        <v>666</v>
      </c>
      <c r="L89" s="46" t="s">
        <v>669</v>
      </c>
      <c r="M89" s="46">
        <v>643</v>
      </c>
      <c r="N89" s="46" t="s">
        <v>761</v>
      </c>
      <c r="O89" s="46" t="s">
        <v>38</v>
      </c>
      <c r="P89" s="46">
        <v>0</v>
      </c>
      <c r="Q89" s="46" t="s">
        <v>670</v>
      </c>
      <c r="R89" s="46" t="s">
        <v>23</v>
      </c>
      <c r="S89" s="46" t="s">
        <v>671</v>
      </c>
      <c r="T89" s="46" t="s">
        <v>672</v>
      </c>
      <c r="U89" s="46" t="b">
        <v>1</v>
      </c>
      <c r="V89" s="46" t="s">
        <v>1018</v>
      </c>
      <c r="W89" s="46" t="s">
        <v>1019</v>
      </c>
      <c r="X89" s="46">
        <v>6</v>
      </c>
      <c r="Y89" s="46" t="b">
        <v>1</v>
      </c>
      <c r="Z89" s="46" t="s">
        <v>675</v>
      </c>
      <c r="AA89" s="46" t="s">
        <v>676</v>
      </c>
      <c r="AB89" s="46" t="s">
        <v>677</v>
      </c>
      <c r="AC89" s="46">
        <v>0</v>
      </c>
      <c r="AD89" s="46" t="s">
        <v>678</v>
      </c>
      <c r="AE89" s="46">
        <v>8</v>
      </c>
      <c r="AF89" s="46" t="s">
        <v>679</v>
      </c>
      <c r="AG89" s="46">
        <v>91572.043999999994</v>
      </c>
      <c r="AH89" s="46" t="b">
        <v>1</v>
      </c>
      <c r="AI89" s="46">
        <v>-1</v>
      </c>
      <c r="AJ89" s="46" t="s">
        <v>680</v>
      </c>
      <c r="AK89" s="46">
        <v>0</v>
      </c>
      <c r="AL89" s="46" t="b">
        <v>0</v>
      </c>
      <c r="AM89" s="46">
        <v>91572.043999999994</v>
      </c>
      <c r="AN89" s="46" t="b">
        <v>1</v>
      </c>
      <c r="AO89" s="46">
        <v>0</v>
      </c>
      <c r="AP89" s="46" t="b">
        <v>0</v>
      </c>
      <c r="AQ89" s="46">
        <v>79772.875</v>
      </c>
      <c r="AS89" s="46">
        <v>79772.875</v>
      </c>
      <c r="AT89" s="46">
        <v>6</v>
      </c>
      <c r="AU89" s="46" t="b">
        <v>1</v>
      </c>
      <c r="AV89" s="46" t="b">
        <v>0</v>
      </c>
    </row>
    <row r="90" spans="2:48">
      <c r="B90" s="46" t="s">
        <v>665</v>
      </c>
      <c r="C90" s="46" t="s">
        <v>666</v>
      </c>
      <c r="D90" s="46">
        <v>20240601</v>
      </c>
      <c r="E90" s="46">
        <v>2024</v>
      </c>
      <c r="F90" s="46">
        <v>6</v>
      </c>
      <c r="G90" s="46" t="s">
        <v>700</v>
      </c>
      <c r="H90" s="46">
        <v>818</v>
      </c>
      <c r="I90" s="46" t="s">
        <v>668</v>
      </c>
      <c r="J90" s="46" t="s">
        <v>57</v>
      </c>
      <c r="K90" s="46" t="s">
        <v>666</v>
      </c>
      <c r="L90" s="46" t="s">
        <v>669</v>
      </c>
      <c r="M90" s="46">
        <v>643</v>
      </c>
      <c r="N90" s="46" t="s">
        <v>761</v>
      </c>
      <c r="O90" s="46" t="s">
        <v>38</v>
      </c>
      <c r="P90" s="46">
        <v>0</v>
      </c>
      <c r="Q90" s="46" t="s">
        <v>670</v>
      </c>
      <c r="R90" s="46" t="s">
        <v>23</v>
      </c>
      <c r="S90" s="46" t="s">
        <v>671</v>
      </c>
      <c r="T90" s="46" t="s">
        <v>672</v>
      </c>
      <c r="U90" s="46" t="b">
        <v>1</v>
      </c>
      <c r="V90" s="46" t="s">
        <v>1018</v>
      </c>
      <c r="W90" s="46" t="s">
        <v>1019</v>
      </c>
      <c r="X90" s="46">
        <v>6</v>
      </c>
      <c r="Y90" s="46" t="b">
        <v>1</v>
      </c>
      <c r="Z90" s="46" t="s">
        <v>675</v>
      </c>
      <c r="AA90" s="46" t="s">
        <v>676</v>
      </c>
      <c r="AB90" s="46" t="s">
        <v>677</v>
      </c>
      <c r="AC90" s="46">
        <v>0</v>
      </c>
      <c r="AD90" s="46" t="s">
        <v>678</v>
      </c>
      <c r="AE90" s="46">
        <v>8</v>
      </c>
      <c r="AF90" s="46" t="s">
        <v>679</v>
      </c>
      <c r="AG90" s="46">
        <v>70404.675000000003</v>
      </c>
      <c r="AH90" s="46" t="b">
        <v>1</v>
      </c>
      <c r="AI90" s="46">
        <v>-1</v>
      </c>
      <c r="AJ90" s="46" t="s">
        <v>680</v>
      </c>
      <c r="AK90" s="46">
        <v>0</v>
      </c>
      <c r="AL90" s="46" t="b">
        <v>0</v>
      </c>
      <c r="AM90" s="46">
        <v>70404.675000000003</v>
      </c>
      <c r="AN90" s="46" t="b">
        <v>1</v>
      </c>
      <c r="AO90" s="46">
        <v>0</v>
      </c>
      <c r="AP90" s="46" t="b">
        <v>0</v>
      </c>
      <c r="AQ90" s="46">
        <v>61332.947</v>
      </c>
      <c r="AS90" s="46">
        <v>61332.947</v>
      </c>
      <c r="AT90" s="46">
        <v>6</v>
      </c>
      <c r="AU90" s="46" t="b">
        <v>1</v>
      </c>
      <c r="AV90" s="46" t="b">
        <v>0</v>
      </c>
    </row>
    <row r="91" spans="2:48">
      <c r="B91" s="46" t="s">
        <v>665</v>
      </c>
      <c r="C91" s="46" t="s">
        <v>666</v>
      </c>
      <c r="D91" s="46">
        <v>20240101</v>
      </c>
      <c r="E91" s="46">
        <v>2024</v>
      </c>
      <c r="F91" s="46">
        <v>1</v>
      </c>
      <c r="G91" s="46" t="s">
        <v>667</v>
      </c>
      <c r="H91" s="46">
        <v>818</v>
      </c>
      <c r="I91" s="46" t="s">
        <v>668</v>
      </c>
      <c r="J91" s="46" t="s">
        <v>57</v>
      </c>
      <c r="K91" s="46" t="s">
        <v>666</v>
      </c>
      <c r="L91" s="46" t="s">
        <v>669</v>
      </c>
      <c r="M91" s="46">
        <v>643</v>
      </c>
      <c r="N91" s="46" t="s">
        <v>761</v>
      </c>
      <c r="O91" s="46" t="s">
        <v>38</v>
      </c>
      <c r="P91" s="46">
        <v>0</v>
      </c>
      <c r="Q91" s="46" t="s">
        <v>670</v>
      </c>
      <c r="R91" s="46" t="s">
        <v>23</v>
      </c>
      <c r="S91" s="46" t="s">
        <v>671</v>
      </c>
      <c r="T91" s="46" t="s">
        <v>672</v>
      </c>
      <c r="U91" s="46" t="b">
        <v>1</v>
      </c>
      <c r="V91" s="46" t="s">
        <v>1018</v>
      </c>
      <c r="W91" s="46" t="s">
        <v>1019</v>
      </c>
      <c r="X91" s="46">
        <v>6</v>
      </c>
      <c r="Y91" s="46" t="b">
        <v>1</v>
      </c>
      <c r="Z91" s="46" t="s">
        <v>675</v>
      </c>
      <c r="AA91" s="46" t="s">
        <v>676</v>
      </c>
      <c r="AB91" s="46" t="s">
        <v>677</v>
      </c>
      <c r="AC91" s="46">
        <v>0</v>
      </c>
      <c r="AD91" s="46" t="s">
        <v>678</v>
      </c>
      <c r="AE91" s="46">
        <v>8</v>
      </c>
      <c r="AF91" s="46" t="s">
        <v>679</v>
      </c>
      <c r="AG91" s="46">
        <v>46661.169000000002</v>
      </c>
      <c r="AH91" s="46" t="b">
        <v>1</v>
      </c>
      <c r="AI91" s="46">
        <v>-1</v>
      </c>
      <c r="AJ91" s="46" t="s">
        <v>680</v>
      </c>
      <c r="AK91" s="46">
        <v>0</v>
      </c>
      <c r="AL91" s="46" t="b">
        <v>0</v>
      </c>
      <c r="AM91" s="46">
        <v>46661.169000000002</v>
      </c>
      <c r="AN91" s="46" t="b">
        <v>1</v>
      </c>
      <c r="AO91" s="46">
        <v>0</v>
      </c>
      <c r="AP91" s="46" t="b">
        <v>0</v>
      </c>
      <c r="AQ91" s="46">
        <v>40648.82</v>
      </c>
      <c r="AS91" s="46">
        <v>40648.82</v>
      </c>
      <c r="AT91" s="46">
        <v>6</v>
      </c>
      <c r="AU91" s="46" t="b">
        <v>1</v>
      </c>
      <c r="AV91" s="46" t="b">
        <v>0</v>
      </c>
    </row>
    <row r="92" spans="2:48">
      <c r="B92" s="46" t="s">
        <v>665</v>
      </c>
      <c r="C92" s="46" t="s">
        <v>666</v>
      </c>
      <c r="D92" s="46">
        <v>20240101</v>
      </c>
      <c r="E92" s="46">
        <v>2024</v>
      </c>
      <c r="F92" s="46">
        <v>1</v>
      </c>
      <c r="G92" s="46" t="s">
        <v>667</v>
      </c>
      <c r="H92" s="46">
        <v>818</v>
      </c>
      <c r="I92" s="46" t="s">
        <v>668</v>
      </c>
      <c r="J92" s="46" t="s">
        <v>57</v>
      </c>
      <c r="K92" s="46" t="s">
        <v>666</v>
      </c>
      <c r="L92" s="46" t="s">
        <v>669</v>
      </c>
      <c r="M92" s="46">
        <v>32</v>
      </c>
      <c r="N92" s="46" t="s">
        <v>986</v>
      </c>
      <c r="O92" s="46" t="s">
        <v>120</v>
      </c>
      <c r="P92" s="46">
        <v>0</v>
      </c>
      <c r="Q92" s="46" t="s">
        <v>670</v>
      </c>
      <c r="R92" s="46" t="s">
        <v>23</v>
      </c>
      <c r="S92" s="46" t="s">
        <v>671</v>
      </c>
      <c r="T92" s="46" t="s">
        <v>672</v>
      </c>
      <c r="U92" s="46" t="b">
        <v>1</v>
      </c>
      <c r="V92" s="46" t="s">
        <v>1018</v>
      </c>
      <c r="W92" s="46" t="s">
        <v>1019</v>
      </c>
      <c r="X92" s="46">
        <v>6</v>
      </c>
      <c r="Y92" s="46" t="b">
        <v>1</v>
      </c>
      <c r="Z92" s="46" t="s">
        <v>675</v>
      </c>
      <c r="AA92" s="46" t="s">
        <v>676</v>
      </c>
      <c r="AB92" s="46" t="s">
        <v>677</v>
      </c>
      <c r="AC92" s="46">
        <v>0</v>
      </c>
      <c r="AD92" s="46" t="s">
        <v>678</v>
      </c>
      <c r="AE92" s="46">
        <v>8</v>
      </c>
      <c r="AF92" s="46" t="s">
        <v>679</v>
      </c>
      <c r="AG92" s="46">
        <v>36503.508000000002</v>
      </c>
      <c r="AH92" s="46" t="b">
        <v>1</v>
      </c>
      <c r="AI92" s="46">
        <v>-1</v>
      </c>
      <c r="AJ92" s="46" t="s">
        <v>680</v>
      </c>
      <c r="AK92" s="46">
        <v>0</v>
      </c>
      <c r="AL92" s="46" t="b">
        <v>0</v>
      </c>
      <c r="AM92" s="46">
        <v>36503.508000000002</v>
      </c>
      <c r="AN92" s="46" t="b">
        <v>1</v>
      </c>
      <c r="AO92" s="46">
        <v>0</v>
      </c>
      <c r="AP92" s="46" t="b">
        <v>0</v>
      </c>
      <c r="AQ92" s="46">
        <v>31799.986000000001</v>
      </c>
      <c r="AS92" s="46">
        <v>31799.986000000001</v>
      </c>
      <c r="AT92" s="46">
        <v>6</v>
      </c>
      <c r="AU92" s="46" t="b">
        <v>1</v>
      </c>
      <c r="AV92" s="46" t="b">
        <v>0</v>
      </c>
    </row>
    <row r="93" spans="2:48">
      <c r="B93" s="46" t="s">
        <v>665</v>
      </c>
      <c r="C93" s="46" t="s">
        <v>666</v>
      </c>
      <c r="D93" s="46">
        <v>20240401</v>
      </c>
      <c r="E93" s="46">
        <v>2024</v>
      </c>
      <c r="F93" s="46">
        <v>4</v>
      </c>
      <c r="G93" s="46" t="s">
        <v>695</v>
      </c>
      <c r="H93" s="46">
        <v>818</v>
      </c>
      <c r="I93" s="46" t="s">
        <v>668</v>
      </c>
      <c r="J93" s="46" t="s">
        <v>57</v>
      </c>
      <c r="K93" s="46" t="s">
        <v>666</v>
      </c>
      <c r="L93" s="46" t="s">
        <v>669</v>
      </c>
      <c r="M93" s="46">
        <v>699</v>
      </c>
      <c r="N93" s="46" t="s">
        <v>748</v>
      </c>
      <c r="O93" s="46" t="s">
        <v>0</v>
      </c>
      <c r="P93" s="46">
        <v>0</v>
      </c>
      <c r="Q93" s="46" t="s">
        <v>670</v>
      </c>
      <c r="R93" s="46" t="s">
        <v>23</v>
      </c>
      <c r="S93" s="46" t="s">
        <v>671</v>
      </c>
      <c r="T93" s="46" t="s">
        <v>672</v>
      </c>
      <c r="U93" s="46" t="b">
        <v>1</v>
      </c>
      <c r="V93" s="46" t="s">
        <v>1018</v>
      </c>
      <c r="W93" s="46" t="s">
        <v>1019</v>
      </c>
      <c r="X93" s="46">
        <v>6</v>
      </c>
      <c r="Y93" s="46" t="b">
        <v>1</v>
      </c>
      <c r="Z93" s="46" t="s">
        <v>675</v>
      </c>
      <c r="AA93" s="46" t="s">
        <v>676</v>
      </c>
      <c r="AB93" s="46" t="s">
        <v>677</v>
      </c>
      <c r="AC93" s="46">
        <v>0</v>
      </c>
      <c r="AD93" s="46" t="s">
        <v>678</v>
      </c>
      <c r="AE93" s="46">
        <v>8</v>
      </c>
      <c r="AF93" s="46" t="s">
        <v>679</v>
      </c>
      <c r="AG93" s="46">
        <v>28429.012999999999</v>
      </c>
      <c r="AH93" s="46" t="b">
        <v>1</v>
      </c>
      <c r="AI93" s="46">
        <v>-1</v>
      </c>
      <c r="AJ93" s="46" t="s">
        <v>680</v>
      </c>
      <c r="AK93" s="46">
        <v>0</v>
      </c>
      <c r="AL93" s="46" t="b">
        <v>0</v>
      </c>
      <c r="AM93" s="46">
        <v>28429.012999999999</v>
      </c>
      <c r="AN93" s="46" t="b">
        <v>1</v>
      </c>
      <c r="AO93" s="46">
        <v>0</v>
      </c>
      <c r="AP93" s="46" t="b">
        <v>0</v>
      </c>
      <c r="AQ93" s="46">
        <v>24765.9</v>
      </c>
      <c r="AS93" s="46">
        <v>24765.9</v>
      </c>
      <c r="AT93" s="46">
        <v>6</v>
      </c>
      <c r="AU93" s="46" t="b">
        <v>1</v>
      </c>
      <c r="AV93" s="46" t="b">
        <v>0</v>
      </c>
    </row>
    <row r="94" spans="2:48">
      <c r="B94" s="46" t="s">
        <v>665</v>
      </c>
      <c r="C94" s="46" t="s">
        <v>666</v>
      </c>
      <c r="D94" s="46">
        <v>20240501</v>
      </c>
      <c r="E94" s="46">
        <v>2024</v>
      </c>
      <c r="F94" s="46">
        <v>5</v>
      </c>
      <c r="G94" s="46" t="s">
        <v>699</v>
      </c>
      <c r="H94" s="46">
        <v>818</v>
      </c>
      <c r="I94" s="46" t="s">
        <v>668</v>
      </c>
      <c r="J94" s="46" t="s">
        <v>57</v>
      </c>
      <c r="K94" s="46" t="s">
        <v>666</v>
      </c>
      <c r="L94" s="46" t="s">
        <v>669</v>
      </c>
      <c r="M94" s="46">
        <v>699</v>
      </c>
      <c r="N94" s="46" t="s">
        <v>748</v>
      </c>
      <c r="O94" s="46" t="s">
        <v>0</v>
      </c>
      <c r="P94" s="46">
        <v>0</v>
      </c>
      <c r="Q94" s="46" t="s">
        <v>670</v>
      </c>
      <c r="R94" s="46" t="s">
        <v>23</v>
      </c>
      <c r="S94" s="46" t="s">
        <v>671</v>
      </c>
      <c r="T94" s="46" t="s">
        <v>672</v>
      </c>
      <c r="U94" s="46" t="b">
        <v>1</v>
      </c>
      <c r="V94" s="46" t="s">
        <v>1018</v>
      </c>
      <c r="W94" s="46" t="s">
        <v>1019</v>
      </c>
      <c r="X94" s="46">
        <v>6</v>
      </c>
      <c r="Y94" s="46" t="b">
        <v>1</v>
      </c>
      <c r="Z94" s="46" t="s">
        <v>675</v>
      </c>
      <c r="AA94" s="46" t="s">
        <v>676</v>
      </c>
      <c r="AB94" s="46" t="s">
        <v>677</v>
      </c>
      <c r="AC94" s="46">
        <v>0</v>
      </c>
      <c r="AD94" s="46" t="s">
        <v>678</v>
      </c>
      <c r="AE94" s="46">
        <v>8</v>
      </c>
      <c r="AF94" s="46" t="s">
        <v>679</v>
      </c>
      <c r="AG94" s="46">
        <v>2634.5439999999999</v>
      </c>
      <c r="AH94" s="46" t="b">
        <v>1</v>
      </c>
      <c r="AI94" s="46">
        <v>-1</v>
      </c>
      <c r="AJ94" s="46" t="s">
        <v>680</v>
      </c>
      <c r="AK94" s="46">
        <v>0</v>
      </c>
      <c r="AL94" s="46" t="b">
        <v>0</v>
      </c>
      <c r="AM94" s="46">
        <v>2634.5439999999999</v>
      </c>
      <c r="AN94" s="46" t="b">
        <v>1</v>
      </c>
      <c r="AO94" s="46">
        <v>0</v>
      </c>
      <c r="AP94" s="46" t="b">
        <v>0</v>
      </c>
      <c r="AQ94" s="46">
        <v>2295.08</v>
      </c>
      <c r="AS94" s="46">
        <v>2295.08</v>
      </c>
      <c r="AT94" s="46">
        <v>6</v>
      </c>
      <c r="AU94" s="46" t="b">
        <v>1</v>
      </c>
      <c r="AV94" s="46" t="b">
        <v>0</v>
      </c>
    </row>
    <row r="95" spans="2:48">
      <c r="B95" s="46" t="s">
        <v>665</v>
      </c>
      <c r="C95" s="46" t="s">
        <v>666</v>
      </c>
      <c r="D95" s="46">
        <v>20240601</v>
      </c>
      <c r="E95" s="46">
        <v>2024</v>
      </c>
      <c r="F95" s="46">
        <v>6</v>
      </c>
      <c r="G95" s="46" t="s">
        <v>700</v>
      </c>
      <c r="H95" s="46">
        <v>818</v>
      </c>
      <c r="I95" s="46" t="s">
        <v>668</v>
      </c>
      <c r="J95" s="46" t="s">
        <v>57</v>
      </c>
      <c r="K95" s="46" t="s">
        <v>666</v>
      </c>
      <c r="L95" s="46" t="s">
        <v>669</v>
      </c>
      <c r="M95" s="46">
        <v>699</v>
      </c>
      <c r="N95" s="46" t="s">
        <v>748</v>
      </c>
      <c r="O95" s="46" t="s">
        <v>0</v>
      </c>
      <c r="P95" s="46">
        <v>0</v>
      </c>
      <c r="Q95" s="46" t="s">
        <v>670</v>
      </c>
      <c r="R95" s="46" t="s">
        <v>23</v>
      </c>
      <c r="S95" s="46" t="s">
        <v>671</v>
      </c>
      <c r="T95" s="46" t="s">
        <v>672</v>
      </c>
      <c r="U95" s="46" t="b">
        <v>1</v>
      </c>
      <c r="V95" s="46" t="s">
        <v>1018</v>
      </c>
      <c r="W95" s="46" t="s">
        <v>1019</v>
      </c>
      <c r="X95" s="46">
        <v>6</v>
      </c>
      <c r="Y95" s="46" t="b">
        <v>1</v>
      </c>
      <c r="Z95" s="46" t="s">
        <v>675</v>
      </c>
      <c r="AA95" s="46" t="s">
        <v>676</v>
      </c>
      <c r="AB95" s="46" t="s">
        <v>677</v>
      </c>
      <c r="AC95" s="46">
        <v>0</v>
      </c>
      <c r="AD95" s="46" t="s">
        <v>678</v>
      </c>
      <c r="AE95" s="46">
        <v>8</v>
      </c>
      <c r="AF95" s="46" t="s">
        <v>679</v>
      </c>
      <c r="AG95" s="46">
        <v>8199.8009999999995</v>
      </c>
      <c r="AH95" s="46" t="b">
        <v>1</v>
      </c>
      <c r="AI95" s="46">
        <v>-1</v>
      </c>
      <c r="AJ95" s="46" t="s">
        <v>680</v>
      </c>
      <c r="AK95" s="46">
        <v>0</v>
      </c>
      <c r="AL95" s="46" t="b">
        <v>0</v>
      </c>
      <c r="AM95" s="46">
        <v>8199.8009999999995</v>
      </c>
      <c r="AN95" s="46" t="b">
        <v>1</v>
      </c>
      <c r="AO95" s="46">
        <v>0</v>
      </c>
      <c r="AP95" s="46" t="b">
        <v>0</v>
      </c>
      <c r="AQ95" s="46">
        <v>7143.2470000000003</v>
      </c>
      <c r="AS95" s="46">
        <v>7143.2470000000003</v>
      </c>
      <c r="AT95" s="46">
        <v>6</v>
      </c>
      <c r="AU95" s="46" t="b">
        <v>1</v>
      </c>
      <c r="AV95" s="46" t="b">
        <v>0</v>
      </c>
    </row>
    <row r="96" spans="2:48">
      <c r="B96" s="46" t="s">
        <v>665</v>
      </c>
      <c r="C96" s="46" t="s">
        <v>666</v>
      </c>
      <c r="D96" s="46">
        <v>20240401</v>
      </c>
      <c r="E96" s="46">
        <v>2024</v>
      </c>
      <c r="F96" s="46">
        <v>4</v>
      </c>
      <c r="G96" s="46" t="s">
        <v>695</v>
      </c>
      <c r="H96" s="46">
        <v>818</v>
      </c>
      <c r="I96" s="46" t="s">
        <v>668</v>
      </c>
      <c r="J96" s="46" t="s">
        <v>57</v>
      </c>
      <c r="K96" s="46" t="s">
        <v>666</v>
      </c>
      <c r="L96" s="46" t="s">
        <v>669</v>
      </c>
      <c r="M96" s="46">
        <v>156</v>
      </c>
      <c r="N96" s="46" t="s">
        <v>711</v>
      </c>
      <c r="O96" s="46" t="s">
        <v>29</v>
      </c>
      <c r="P96" s="46">
        <v>0</v>
      </c>
      <c r="Q96" s="46" t="s">
        <v>670</v>
      </c>
      <c r="R96" s="46" t="s">
        <v>23</v>
      </c>
      <c r="S96" s="46" t="s">
        <v>671</v>
      </c>
      <c r="T96" s="46" t="s">
        <v>672</v>
      </c>
      <c r="U96" s="46" t="b">
        <v>1</v>
      </c>
      <c r="V96" s="46" t="s">
        <v>1018</v>
      </c>
      <c r="W96" s="46" t="s">
        <v>1019</v>
      </c>
      <c r="X96" s="46">
        <v>6</v>
      </c>
      <c r="Y96" s="46" t="b">
        <v>1</v>
      </c>
      <c r="Z96" s="46" t="s">
        <v>675</v>
      </c>
      <c r="AA96" s="46" t="s">
        <v>676</v>
      </c>
      <c r="AB96" s="46" t="s">
        <v>677</v>
      </c>
      <c r="AC96" s="46">
        <v>0</v>
      </c>
      <c r="AD96" s="46" t="s">
        <v>678</v>
      </c>
      <c r="AE96" s="46">
        <v>8</v>
      </c>
      <c r="AF96" s="46" t="s">
        <v>679</v>
      </c>
      <c r="AG96" s="46">
        <v>22936.694</v>
      </c>
      <c r="AH96" s="46" t="b">
        <v>1</v>
      </c>
      <c r="AI96" s="46">
        <v>-1</v>
      </c>
      <c r="AJ96" s="46" t="s">
        <v>680</v>
      </c>
      <c r="AK96" s="46">
        <v>0</v>
      </c>
      <c r="AL96" s="46" t="b">
        <v>0</v>
      </c>
      <c r="AM96" s="46">
        <v>22936.694</v>
      </c>
      <c r="AN96" s="46" t="b">
        <v>1</v>
      </c>
      <c r="AO96" s="46">
        <v>0</v>
      </c>
      <c r="AP96" s="46" t="b">
        <v>0</v>
      </c>
      <c r="AQ96" s="46">
        <v>19981.273000000001</v>
      </c>
      <c r="AS96" s="46">
        <v>19981.273000000001</v>
      </c>
      <c r="AT96" s="46">
        <v>6</v>
      </c>
      <c r="AU96" s="46" t="b">
        <v>1</v>
      </c>
      <c r="AV96" s="46" t="b">
        <v>0</v>
      </c>
    </row>
    <row r="97" spans="2:48">
      <c r="B97" s="46" t="s">
        <v>665</v>
      </c>
      <c r="C97" s="46" t="s">
        <v>666</v>
      </c>
      <c r="D97" s="46">
        <v>20240101</v>
      </c>
      <c r="E97" s="46">
        <v>2024</v>
      </c>
      <c r="F97" s="46">
        <v>1</v>
      </c>
      <c r="G97" s="46" t="s">
        <v>667</v>
      </c>
      <c r="H97" s="46">
        <v>818</v>
      </c>
      <c r="I97" s="46" t="s">
        <v>668</v>
      </c>
      <c r="J97" s="46" t="s">
        <v>57</v>
      </c>
      <c r="K97" s="46" t="s">
        <v>666</v>
      </c>
      <c r="L97" s="46" t="s">
        <v>669</v>
      </c>
      <c r="M97" s="46">
        <v>414</v>
      </c>
      <c r="N97" s="46" t="s">
        <v>1017</v>
      </c>
      <c r="O97" s="46" t="s">
        <v>124</v>
      </c>
      <c r="P97" s="46">
        <v>0</v>
      </c>
      <c r="Q97" s="46" t="s">
        <v>670</v>
      </c>
      <c r="R97" s="46" t="s">
        <v>23</v>
      </c>
      <c r="S97" s="46" t="s">
        <v>671</v>
      </c>
      <c r="T97" s="46" t="s">
        <v>672</v>
      </c>
      <c r="U97" s="46" t="b">
        <v>1</v>
      </c>
      <c r="V97" s="46" t="s">
        <v>1018</v>
      </c>
      <c r="W97" s="46" t="s">
        <v>1019</v>
      </c>
      <c r="X97" s="46">
        <v>6</v>
      </c>
      <c r="Y97" s="46" t="b">
        <v>1</v>
      </c>
      <c r="Z97" s="46" t="s">
        <v>675</v>
      </c>
      <c r="AA97" s="46" t="s">
        <v>676</v>
      </c>
      <c r="AB97" s="46" t="s">
        <v>677</v>
      </c>
      <c r="AC97" s="46">
        <v>0</v>
      </c>
      <c r="AD97" s="46" t="s">
        <v>678</v>
      </c>
      <c r="AE97" s="46">
        <v>8</v>
      </c>
      <c r="AF97" s="46" t="s">
        <v>679</v>
      </c>
      <c r="AG97" s="46">
        <v>6907.2020000000002</v>
      </c>
      <c r="AH97" s="46" t="b">
        <v>1</v>
      </c>
      <c r="AI97" s="46">
        <v>-1</v>
      </c>
      <c r="AJ97" s="46" t="s">
        <v>680</v>
      </c>
      <c r="AK97" s="46">
        <v>0</v>
      </c>
      <c r="AL97" s="46" t="b">
        <v>0</v>
      </c>
      <c r="AM97" s="46">
        <v>6907.2020000000002</v>
      </c>
      <c r="AN97" s="46" t="b">
        <v>1</v>
      </c>
      <c r="AO97" s="46">
        <v>0</v>
      </c>
      <c r="AP97" s="46" t="b">
        <v>0</v>
      </c>
      <c r="AQ97" s="46">
        <v>6017.201</v>
      </c>
      <c r="AS97" s="46">
        <v>6017.201</v>
      </c>
      <c r="AT97" s="46">
        <v>6</v>
      </c>
      <c r="AU97" s="46" t="b">
        <v>1</v>
      </c>
      <c r="AV97" s="46" t="b">
        <v>0</v>
      </c>
    </row>
    <row r="98" spans="2:48">
      <c r="B98" s="46" t="s">
        <v>665</v>
      </c>
      <c r="C98" s="46" t="s">
        <v>666</v>
      </c>
      <c r="D98" s="46">
        <v>20240201</v>
      </c>
      <c r="E98" s="46">
        <v>2024</v>
      </c>
      <c r="F98" s="46">
        <v>2</v>
      </c>
      <c r="G98" s="46" t="s">
        <v>687</v>
      </c>
      <c r="H98" s="46">
        <v>818</v>
      </c>
      <c r="I98" s="46" t="s">
        <v>668</v>
      </c>
      <c r="J98" s="46" t="s">
        <v>57</v>
      </c>
      <c r="K98" s="46" t="s">
        <v>666</v>
      </c>
      <c r="L98" s="46" t="s">
        <v>669</v>
      </c>
      <c r="M98" s="46">
        <v>792</v>
      </c>
      <c r="N98" s="46" t="s">
        <v>691</v>
      </c>
      <c r="O98" s="46" t="s">
        <v>63</v>
      </c>
      <c r="P98" s="46">
        <v>0</v>
      </c>
      <c r="Q98" s="46" t="s">
        <v>670</v>
      </c>
      <c r="R98" s="46" t="s">
        <v>23</v>
      </c>
      <c r="S98" s="46" t="s">
        <v>671</v>
      </c>
      <c r="T98" s="46" t="s">
        <v>672</v>
      </c>
      <c r="U98" s="46" t="b">
        <v>1</v>
      </c>
      <c r="V98" s="46" t="s">
        <v>1018</v>
      </c>
      <c r="W98" s="46" t="s">
        <v>1019</v>
      </c>
      <c r="X98" s="46">
        <v>6</v>
      </c>
      <c r="Y98" s="46" t="b">
        <v>1</v>
      </c>
      <c r="Z98" s="46" t="s">
        <v>675</v>
      </c>
      <c r="AA98" s="46" t="s">
        <v>676</v>
      </c>
      <c r="AB98" s="46" t="s">
        <v>677</v>
      </c>
      <c r="AC98" s="46">
        <v>0</v>
      </c>
      <c r="AD98" s="46" t="s">
        <v>678</v>
      </c>
      <c r="AE98" s="46">
        <v>8</v>
      </c>
      <c r="AF98" s="46" t="s">
        <v>679</v>
      </c>
      <c r="AG98" s="46">
        <v>42168.99</v>
      </c>
      <c r="AH98" s="46" t="b">
        <v>1</v>
      </c>
      <c r="AI98" s="46">
        <v>-1</v>
      </c>
      <c r="AJ98" s="46" t="s">
        <v>680</v>
      </c>
      <c r="AK98" s="46">
        <v>0</v>
      </c>
      <c r="AL98" s="46" t="b">
        <v>0</v>
      </c>
      <c r="AM98" s="46">
        <v>42168.99</v>
      </c>
      <c r="AN98" s="46" t="b">
        <v>1</v>
      </c>
      <c r="AO98" s="46">
        <v>0</v>
      </c>
      <c r="AP98" s="46" t="b">
        <v>0</v>
      </c>
      <c r="AQ98" s="46">
        <v>36735.464</v>
      </c>
      <c r="AS98" s="46">
        <v>36735.464</v>
      </c>
      <c r="AT98" s="46">
        <v>6</v>
      </c>
      <c r="AU98" s="46" t="b">
        <v>1</v>
      </c>
      <c r="AV98" s="46" t="b">
        <v>0</v>
      </c>
    </row>
    <row r="99" spans="2:48">
      <c r="B99" s="46" t="s">
        <v>665</v>
      </c>
      <c r="C99" s="46" t="s">
        <v>666</v>
      </c>
      <c r="D99" s="46">
        <v>20240201</v>
      </c>
      <c r="E99" s="46">
        <v>2024</v>
      </c>
      <c r="F99" s="46">
        <v>2</v>
      </c>
      <c r="G99" s="46" t="s">
        <v>687</v>
      </c>
      <c r="H99" s="46">
        <v>818</v>
      </c>
      <c r="I99" s="46" t="s">
        <v>668</v>
      </c>
      <c r="J99" s="46" t="s">
        <v>57</v>
      </c>
      <c r="K99" s="46" t="s">
        <v>666</v>
      </c>
      <c r="L99" s="46" t="s">
        <v>669</v>
      </c>
      <c r="M99" s="46">
        <v>276</v>
      </c>
      <c r="N99" s="46" t="s">
        <v>681</v>
      </c>
      <c r="O99" s="46" t="s">
        <v>30</v>
      </c>
      <c r="P99" s="46">
        <v>0</v>
      </c>
      <c r="Q99" s="46" t="s">
        <v>670</v>
      </c>
      <c r="R99" s="46" t="s">
        <v>23</v>
      </c>
      <c r="S99" s="46" t="s">
        <v>671</v>
      </c>
      <c r="T99" s="46" t="s">
        <v>672</v>
      </c>
      <c r="U99" s="46" t="b">
        <v>1</v>
      </c>
      <c r="V99" s="46" t="s">
        <v>1018</v>
      </c>
      <c r="W99" s="46" t="s">
        <v>1019</v>
      </c>
      <c r="X99" s="46">
        <v>6</v>
      </c>
      <c r="Y99" s="46" t="b">
        <v>1</v>
      </c>
      <c r="Z99" s="46" t="s">
        <v>675</v>
      </c>
      <c r="AA99" s="46" t="s">
        <v>676</v>
      </c>
      <c r="AB99" s="46" t="s">
        <v>677</v>
      </c>
      <c r="AC99" s="46">
        <v>0</v>
      </c>
      <c r="AD99" s="46" t="s">
        <v>678</v>
      </c>
      <c r="AE99" s="46">
        <v>8</v>
      </c>
      <c r="AF99" s="46" t="s">
        <v>679</v>
      </c>
      <c r="AG99" s="46">
        <v>9496.8950000000004</v>
      </c>
      <c r="AH99" s="46" t="b">
        <v>1</v>
      </c>
      <c r="AI99" s="46">
        <v>-1</v>
      </c>
      <c r="AJ99" s="46" t="s">
        <v>680</v>
      </c>
      <c r="AK99" s="46">
        <v>0</v>
      </c>
      <c r="AL99" s="46" t="b">
        <v>0</v>
      </c>
      <c r="AM99" s="46">
        <v>9496.8950000000004</v>
      </c>
      <c r="AN99" s="46" t="b">
        <v>1</v>
      </c>
      <c r="AO99" s="46">
        <v>0</v>
      </c>
      <c r="AP99" s="46" t="b">
        <v>0</v>
      </c>
      <c r="AQ99" s="46">
        <v>8273.2080000000005</v>
      </c>
      <c r="AS99" s="46">
        <v>8273.2080000000005</v>
      </c>
      <c r="AT99" s="46">
        <v>6</v>
      </c>
      <c r="AU99" s="46" t="b">
        <v>1</v>
      </c>
      <c r="AV99" s="46" t="b">
        <v>0</v>
      </c>
    </row>
    <row r="100" spans="2:48">
      <c r="B100" s="46" t="s">
        <v>665</v>
      </c>
      <c r="C100" s="46" t="s">
        <v>666</v>
      </c>
      <c r="D100" s="46">
        <v>20240401</v>
      </c>
      <c r="E100" s="46">
        <v>2024</v>
      </c>
      <c r="F100" s="46">
        <v>4</v>
      </c>
      <c r="G100" s="46" t="s">
        <v>695</v>
      </c>
      <c r="H100" s="46">
        <v>818</v>
      </c>
      <c r="I100" s="46" t="s">
        <v>668</v>
      </c>
      <c r="J100" s="46" t="s">
        <v>57</v>
      </c>
      <c r="K100" s="46" t="s">
        <v>666</v>
      </c>
      <c r="L100" s="46" t="s">
        <v>669</v>
      </c>
      <c r="M100" s="46">
        <v>276</v>
      </c>
      <c r="N100" s="46" t="s">
        <v>681</v>
      </c>
      <c r="O100" s="46" t="s">
        <v>30</v>
      </c>
      <c r="P100" s="46">
        <v>0</v>
      </c>
      <c r="Q100" s="46" t="s">
        <v>670</v>
      </c>
      <c r="R100" s="46" t="s">
        <v>23</v>
      </c>
      <c r="S100" s="46" t="s">
        <v>671</v>
      </c>
      <c r="T100" s="46" t="s">
        <v>672</v>
      </c>
      <c r="U100" s="46" t="b">
        <v>1</v>
      </c>
      <c r="V100" s="46" t="s">
        <v>1018</v>
      </c>
      <c r="W100" s="46" t="s">
        <v>1019</v>
      </c>
      <c r="X100" s="46">
        <v>6</v>
      </c>
      <c r="Y100" s="46" t="b">
        <v>1</v>
      </c>
      <c r="Z100" s="46" t="s">
        <v>675</v>
      </c>
      <c r="AA100" s="46" t="s">
        <v>676</v>
      </c>
      <c r="AB100" s="46" t="s">
        <v>677</v>
      </c>
      <c r="AC100" s="46">
        <v>0</v>
      </c>
      <c r="AD100" s="46" t="s">
        <v>678</v>
      </c>
      <c r="AE100" s="46">
        <v>8</v>
      </c>
      <c r="AF100" s="46" t="s">
        <v>679</v>
      </c>
      <c r="AG100" s="46">
        <v>3890.7429999999999</v>
      </c>
      <c r="AH100" s="46" t="b">
        <v>1</v>
      </c>
      <c r="AI100" s="46">
        <v>-1</v>
      </c>
      <c r="AJ100" s="46" t="s">
        <v>680</v>
      </c>
      <c r="AK100" s="46">
        <v>0</v>
      </c>
      <c r="AL100" s="46" t="b">
        <v>0</v>
      </c>
      <c r="AM100" s="46">
        <v>3890.7429999999999</v>
      </c>
      <c r="AN100" s="46" t="b">
        <v>1</v>
      </c>
      <c r="AO100" s="46">
        <v>0</v>
      </c>
      <c r="AP100" s="46" t="b">
        <v>0</v>
      </c>
      <c r="AQ100" s="46">
        <v>3389.4160000000002</v>
      </c>
      <c r="AS100" s="46">
        <v>3389.4160000000002</v>
      </c>
      <c r="AT100" s="46">
        <v>6</v>
      </c>
      <c r="AU100" s="46" t="b">
        <v>1</v>
      </c>
      <c r="AV100" s="46" t="b">
        <v>0</v>
      </c>
    </row>
    <row r="101" spans="2:48">
      <c r="B101" s="46" t="s">
        <v>665</v>
      </c>
      <c r="C101" s="46" t="s">
        <v>666</v>
      </c>
      <c r="D101" s="46">
        <v>20240501</v>
      </c>
      <c r="E101" s="46">
        <v>2024</v>
      </c>
      <c r="F101" s="46">
        <v>5</v>
      </c>
      <c r="G101" s="46" t="s">
        <v>699</v>
      </c>
      <c r="H101" s="46">
        <v>818</v>
      </c>
      <c r="I101" s="46" t="s">
        <v>668</v>
      </c>
      <c r="J101" s="46" t="s">
        <v>57</v>
      </c>
      <c r="K101" s="46" t="s">
        <v>666</v>
      </c>
      <c r="L101" s="46" t="s">
        <v>669</v>
      </c>
      <c r="M101" s="46">
        <v>203</v>
      </c>
      <c r="N101" s="46" t="s">
        <v>752</v>
      </c>
      <c r="O101" s="46" t="s">
        <v>753</v>
      </c>
      <c r="P101" s="46">
        <v>0</v>
      </c>
      <c r="Q101" s="46" t="s">
        <v>670</v>
      </c>
      <c r="R101" s="46" t="s">
        <v>23</v>
      </c>
      <c r="S101" s="46" t="s">
        <v>671</v>
      </c>
      <c r="T101" s="46" t="s">
        <v>672</v>
      </c>
      <c r="U101" s="46" t="b">
        <v>1</v>
      </c>
      <c r="V101" s="46" t="s">
        <v>1018</v>
      </c>
      <c r="W101" s="46" t="s">
        <v>1019</v>
      </c>
      <c r="X101" s="46">
        <v>6</v>
      </c>
      <c r="Y101" s="46" t="b">
        <v>1</v>
      </c>
      <c r="Z101" s="46" t="s">
        <v>675</v>
      </c>
      <c r="AA101" s="46" t="s">
        <v>676</v>
      </c>
      <c r="AB101" s="46" t="s">
        <v>677</v>
      </c>
      <c r="AC101" s="46">
        <v>0</v>
      </c>
      <c r="AD101" s="46" t="s">
        <v>678</v>
      </c>
      <c r="AE101" s="46">
        <v>8</v>
      </c>
      <c r="AF101" s="46" t="s">
        <v>679</v>
      </c>
      <c r="AG101" s="46">
        <v>2199.0279999999998</v>
      </c>
      <c r="AH101" s="46" t="b">
        <v>1</v>
      </c>
      <c r="AI101" s="46">
        <v>-1</v>
      </c>
      <c r="AJ101" s="46" t="s">
        <v>680</v>
      </c>
      <c r="AK101" s="46">
        <v>0</v>
      </c>
      <c r="AL101" s="46" t="b">
        <v>0</v>
      </c>
      <c r="AM101" s="46">
        <v>2199.0279999999998</v>
      </c>
      <c r="AN101" s="46" t="b">
        <v>1</v>
      </c>
      <c r="AO101" s="46">
        <v>0</v>
      </c>
      <c r="AP101" s="46" t="b">
        <v>0</v>
      </c>
      <c r="AQ101" s="46">
        <v>1915.68</v>
      </c>
      <c r="AS101" s="46">
        <v>1915.68</v>
      </c>
      <c r="AT101" s="46">
        <v>6</v>
      </c>
      <c r="AU101" s="46" t="b">
        <v>1</v>
      </c>
      <c r="AV101" s="46" t="b">
        <v>0</v>
      </c>
    </row>
  </sheetData>
  <mergeCells count="8">
    <mergeCell ref="C31:H31"/>
    <mergeCell ref="I31:N31"/>
    <mergeCell ref="P31:P32"/>
    <mergeCell ref="Q31:Q32"/>
    <mergeCell ref="C11:H11"/>
    <mergeCell ref="I11:N11"/>
    <mergeCell ref="P11:P12"/>
    <mergeCell ref="Q11:Q12"/>
  </mergeCells>
  <hyperlinks>
    <hyperlink ref="A3" r:id="rId3" display="http://comtrade.un.org/" xr:uid="{8E661165-2810-4C0F-8BCF-4A660820831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780B-F44F-4652-8E71-45CF6E9D5035}">
  <dimension ref="A1:AV72"/>
  <sheetViews>
    <sheetView topLeftCell="B29" workbookViewId="0">
      <selection activeCell="B78" sqref="B78:Q121"/>
    </sheetView>
  </sheetViews>
  <sheetFormatPr defaultRowHeight="13.5"/>
  <cols>
    <col min="1" max="1" width="9.140625" style="46"/>
    <col min="2" max="2" width="18.42578125" style="46" customWidth="1"/>
    <col min="3" max="3" width="22.42578125" style="46" customWidth="1"/>
    <col min="4" max="4" width="28" style="46" customWidth="1"/>
    <col min="5" max="6" width="10.5703125" style="46" bestFit="1" customWidth="1"/>
    <col min="7" max="7" width="13.28515625" style="46" bestFit="1" customWidth="1"/>
    <col min="8" max="8" width="11.5703125" style="46" bestFit="1" customWidth="1"/>
    <col min="9" max="10" width="10.5703125" style="46" bestFit="1" customWidth="1"/>
    <col min="11" max="11" width="9.5703125" style="46" bestFit="1" customWidth="1"/>
    <col min="12" max="13" width="10.5703125" style="46" bestFit="1" customWidth="1"/>
    <col min="14" max="14" width="11.5703125" style="46" bestFit="1" customWidth="1"/>
    <col min="15" max="15" width="17.140625" style="46" customWidth="1"/>
    <col min="16" max="18" width="9.140625" style="46"/>
    <col min="19" max="19" width="19.140625" style="46" bestFit="1" customWidth="1"/>
    <col min="20" max="30" width="11.140625" style="46" bestFit="1" customWidth="1"/>
    <col min="31" max="31" width="12.85546875" style="46" bestFit="1" customWidth="1"/>
    <col min="32" max="32" width="11.28515625" style="46" bestFit="1" customWidth="1"/>
    <col min="33" max="16384" width="9.140625" style="46"/>
  </cols>
  <sheetData>
    <row r="1" spans="1:31">
      <c r="A1" s="25" t="s">
        <v>880</v>
      </c>
      <c r="B1" s="240"/>
      <c r="C1" s="240"/>
      <c r="D1" s="241">
        <f>'EX-1A SV Summary'!D34</f>
        <v>28151200</v>
      </c>
    </row>
    <row r="2" spans="1:31">
      <c r="A2" s="26" t="s">
        <v>1020</v>
      </c>
      <c r="B2" s="242"/>
      <c r="C2" s="242"/>
      <c r="D2" s="242"/>
    </row>
    <row r="3" spans="1:31">
      <c r="A3" s="243" t="s">
        <v>882</v>
      </c>
    </row>
    <row r="4" spans="1:31">
      <c r="S4" s="100" t="s">
        <v>626</v>
      </c>
      <c r="T4" s="46" t="s">
        <v>57</v>
      </c>
    </row>
    <row r="5" spans="1:31" ht="27">
      <c r="A5" s="29"/>
      <c r="B5" s="102" t="s">
        <v>203</v>
      </c>
      <c r="C5" s="102" t="s">
        <v>48</v>
      </c>
      <c r="D5" s="102" t="s">
        <v>204</v>
      </c>
    </row>
    <row r="6" spans="1:31">
      <c r="A6" s="29"/>
      <c r="B6" s="103">
        <f>SUMIFS(O:O,P:P,"Include",Q:Q,"QTY")*1000</f>
        <v>795693144</v>
      </c>
      <c r="C6" s="103">
        <f>SUMIFS(O:O,P:P,"Include",Q:Q,"VAL")*1000</f>
        <v>359488551</v>
      </c>
      <c r="D6" s="104">
        <f>C6/B6</f>
        <v>0.45179294770950046</v>
      </c>
      <c r="S6" s="100" t="s">
        <v>733</v>
      </c>
      <c r="T6" s="100" t="s">
        <v>621</v>
      </c>
      <c r="U6" s="100" t="s">
        <v>622</v>
      </c>
    </row>
    <row r="7" spans="1:31">
      <c r="T7" s="46">
        <v>2023</v>
      </c>
      <c r="Y7" s="46">
        <v>2024</v>
      </c>
      <c r="AE7" s="46" t="s">
        <v>732</v>
      </c>
    </row>
    <row r="8" spans="1:31">
      <c r="A8" s="99" t="s">
        <v>740</v>
      </c>
      <c r="B8" s="99" t="s">
        <v>45</v>
      </c>
      <c r="C8" s="26"/>
      <c r="S8" s="100" t="s">
        <v>631</v>
      </c>
      <c r="T8" s="46">
        <v>7</v>
      </c>
      <c r="U8" s="46">
        <v>9</v>
      </c>
      <c r="V8" s="46">
        <v>10</v>
      </c>
      <c r="W8" s="46">
        <v>11</v>
      </c>
      <c r="X8" s="46">
        <v>12</v>
      </c>
      <c r="Y8" s="46">
        <v>1</v>
      </c>
      <c r="Z8" s="46">
        <v>2</v>
      </c>
      <c r="AA8" s="46">
        <v>3</v>
      </c>
      <c r="AB8" s="46">
        <v>4</v>
      </c>
      <c r="AC8" s="46">
        <v>5</v>
      </c>
      <c r="AD8" s="46">
        <v>6</v>
      </c>
    </row>
    <row r="9" spans="1:31">
      <c r="B9" s="29" t="s">
        <v>902</v>
      </c>
      <c r="C9" s="26"/>
      <c r="S9" s="46" t="s">
        <v>74</v>
      </c>
      <c r="X9" s="46">
        <v>62437.163</v>
      </c>
      <c r="AE9" s="46">
        <v>62437.163</v>
      </c>
    </row>
    <row r="10" spans="1:31">
      <c r="A10" s="29"/>
      <c r="B10" s="134"/>
      <c r="C10" s="133"/>
      <c r="S10" s="46" t="s">
        <v>29</v>
      </c>
      <c r="W10" s="46">
        <v>81921.150999999998</v>
      </c>
      <c r="AE10" s="46">
        <v>81921.150999999998</v>
      </c>
    </row>
    <row r="11" spans="1:31">
      <c r="B11" s="105"/>
      <c r="C11" s="324">
        <v>2023</v>
      </c>
      <c r="D11" s="324"/>
      <c r="E11" s="324"/>
      <c r="F11" s="324"/>
      <c r="G11" s="324"/>
      <c r="H11" s="324"/>
      <c r="I11" s="324">
        <v>2024</v>
      </c>
      <c r="J11" s="324"/>
      <c r="K11" s="324"/>
      <c r="L11" s="324"/>
      <c r="M11" s="324"/>
      <c r="N11" s="324"/>
      <c r="O11" s="112" t="s">
        <v>732</v>
      </c>
      <c r="P11" s="320" t="s">
        <v>209</v>
      </c>
      <c r="Q11" s="320" t="s">
        <v>155</v>
      </c>
      <c r="S11" s="46" t="s">
        <v>69</v>
      </c>
      <c r="T11" s="46">
        <v>16461.191999999999</v>
      </c>
      <c r="W11" s="46">
        <v>29373.832999999999</v>
      </c>
      <c r="Z11" s="46">
        <v>10941.394</v>
      </c>
      <c r="AE11" s="46">
        <v>56776.418999999994</v>
      </c>
    </row>
    <row r="12" spans="1:31">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30</v>
      </c>
      <c r="T12" s="46">
        <v>17293.401999999998</v>
      </c>
      <c r="U12" s="46">
        <v>31307.829000000002</v>
      </c>
      <c r="V12" s="46">
        <v>32420.385999999999</v>
      </c>
      <c r="W12" s="46">
        <v>23508.444</v>
      </c>
      <c r="Y12" s="46">
        <v>24042.014999999999</v>
      </c>
      <c r="Z12" s="46">
        <v>17959.815999999999</v>
      </c>
      <c r="AB12" s="46">
        <v>19307.728999999999</v>
      </c>
      <c r="AC12" s="46">
        <v>10615.54</v>
      </c>
      <c r="AD12" s="46">
        <v>19649.486000000001</v>
      </c>
      <c r="AE12" s="46">
        <v>196104.647</v>
      </c>
    </row>
    <row r="13" spans="1:31">
      <c r="B13" s="105" t="s">
        <v>74</v>
      </c>
      <c r="C13" s="304"/>
      <c r="D13" s="304"/>
      <c r="E13" s="304"/>
      <c r="F13" s="304"/>
      <c r="G13" s="304"/>
      <c r="H13" s="304">
        <v>62437.163</v>
      </c>
      <c r="I13" s="304"/>
      <c r="J13" s="304"/>
      <c r="K13" s="304"/>
      <c r="L13" s="304"/>
      <c r="M13" s="304"/>
      <c r="N13" s="304"/>
      <c r="O13" s="304">
        <v>62437.163</v>
      </c>
      <c r="P13" s="105" t="s">
        <v>211</v>
      </c>
      <c r="Q13" s="105" t="s">
        <v>744</v>
      </c>
      <c r="S13" s="46" t="s">
        <v>124</v>
      </c>
      <c r="W13" s="46">
        <v>421895.489</v>
      </c>
      <c r="AE13" s="46">
        <v>421895.489</v>
      </c>
    </row>
    <row r="14" spans="1:31">
      <c r="B14" s="105" t="s">
        <v>29</v>
      </c>
      <c r="C14" s="304"/>
      <c r="D14" s="304"/>
      <c r="E14" s="304"/>
      <c r="F14" s="304"/>
      <c r="G14" s="304">
        <v>81921.150999999998</v>
      </c>
      <c r="H14" s="304"/>
      <c r="I14" s="304"/>
      <c r="J14" s="304"/>
      <c r="K14" s="304"/>
      <c r="L14" s="304"/>
      <c r="M14" s="304"/>
      <c r="N14" s="304"/>
      <c r="O14" s="304">
        <v>81921.150999999998</v>
      </c>
      <c r="P14" s="105" t="s">
        <v>210</v>
      </c>
      <c r="Q14" s="105" t="s">
        <v>744</v>
      </c>
      <c r="S14" s="46" t="s">
        <v>63</v>
      </c>
      <c r="AA14" s="46">
        <v>2221.6959999999999</v>
      </c>
      <c r="AD14" s="46">
        <v>52435.817999999999</v>
      </c>
      <c r="AE14" s="46">
        <v>54657.513999999996</v>
      </c>
    </row>
    <row r="15" spans="1:31">
      <c r="B15" s="105" t="s">
        <v>69</v>
      </c>
      <c r="C15" s="304">
        <v>16461.191999999999</v>
      </c>
      <c r="D15" s="304"/>
      <c r="E15" s="304"/>
      <c r="F15" s="304"/>
      <c r="G15" s="304">
        <v>29373.832999999999</v>
      </c>
      <c r="H15" s="304"/>
      <c r="I15" s="304"/>
      <c r="J15" s="304">
        <v>10941.394</v>
      </c>
      <c r="K15" s="304"/>
      <c r="L15" s="304"/>
      <c r="M15" s="304"/>
      <c r="N15" s="304"/>
      <c r="O15" s="304">
        <v>56776.418999999994</v>
      </c>
      <c r="P15" s="105" t="s">
        <v>211</v>
      </c>
      <c r="Q15" s="105" t="s">
        <v>744</v>
      </c>
      <c r="S15" s="46" t="s">
        <v>25</v>
      </c>
      <c r="AB15" s="46">
        <v>3821.9119999999998</v>
      </c>
      <c r="AE15" s="46">
        <v>3821.9119999999998</v>
      </c>
    </row>
    <row r="16" spans="1:31">
      <c r="B16" s="105" t="s">
        <v>30</v>
      </c>
      <c r="C16" s="304">
        <v>17293.401999999998</v>
      </c>
      <c r="D16" s="304"/>
      <c r="E16" s="304">
        <v>31307.829000000002</v>
      </c>
      <c r="F16" s="304">
        <v>32420.385999999999</v>
      </c>
      <c r="G16" s="304">
        <v>23508.444</v>
      </c>
      <c r="H16" s="304"/>
      <c r="I16" s="304">
        <v>24042.014999999999</v>
      </c>
      <c r="J16" s="304">
        <v>17959.815999999999</v>
      </c>
      <c r="K16" s="304"/>
      <c r="L16" s="304">
        <v>19307.728999999999</v>
      </c>
      <c r="M16" s="304">
        <v>10615.54</v>
      </c>
      <c r="N16" s="304">
        <v>19649.486000000001</v>
      </c>
      <c r="O16" s="304">
        <v>196104.647</v>
      </c>
      <c r="P16" s="105" t="s">
        <v>211</v>
      </c>
      <c r="Q16" s="105" t="s">
        <v>744</v>
      </c>
      <c r="S16" s="46" t="s">
        <v>23</v>
      </c>
      <c r="T16" s="46">
        <v>33754.593999999997</v>
      </c>
      <c r="U16" s="46">
        <v>31307.829000000002</v>
      </c>
      <c r="V16" s="46">
        <v>32420.385999999999</v>
      </c>
      <c r="W16" s="46">
        <v>556698.91700000002</v>
      </c>
      <c r="X16" s="46">
        <v>62437.163</v>
      </c>
      <c r="Y16" s="46">
        <v>24042.014999999999</v>
      </c>
      <c r="Z16" s="46">
        <v>28901.21</v>
      </c>
      <c r="AA16" s="46">
        <v>2221.6959999999999</v>
      </c>
      <c r="AB16" s="46">
        <v>23129.641</v>
      </c>
      <c r="AC16" s="46">
        <v>10615.54</v>
      </c>
      <c r="AD16" s="46">
        <v>72085.304000000004</v>
      </c>
      <c r="AE16" s="46">
        <v>877614.29499999993</v>
      </c>
    </row>
    <row r="17" spans="1:31">
      <c r="B17" s="105" t="s">
        <v>124</v>
      </c>
      <c r="C17" s="304"/>
      <c r="D17" s="304"/>
      <c r="E17" s="304"/>
      <c r="F17" s="304"/>
      <c r="G17" s="304">
        <v>421895.489</v>
      </c>
      <c r="H17" s="304"/>
      <c r="I17" s="304"/>
      <c r="J17" s="304"/>
      <c r="K17" s="304"/>
      <c r="L17" s="304"/>
      <c r="M17" s="304"/>
      <c r="N17" s="304"/>
      <c r="O17" s="304">
        <v>421895.489</v>
      </c>
      <c r="P17" s="105" t="s">
        <v>211</v>
      </c>
      <c r="Q17" s="105" t="s">
        <v>744</v>
      </c>
      <c r="S17" s="46" t="s">
        <v>732</v>
      </c>
      <c r="T17" s="46">
        <v>67509.187999999995</v>
      </c>
      <c r="U17" s="46">
        <v>62615.658000000003</v>
      </c>
      <c r="V17" s="46">
        <v>64840.771999999997</v>
      </c>
      <c r="W17" s="46">
        <v>1113397.834</v>
      </c>
      <c r="X17" s="46">
        <v>124874.326</v>
      </c>
      <c r="Y17" s="46">
        <v>48084.03</v>
      </c>
      <c r="Z17" s="46">
        <v>57802.42</v>
      </c>
      <c r="AA17" s="46">
        <v>4443.3919999999998</v>
      </c>
      <c r="AB17" s="46">
        <v>46259.281999999999</v>
      </c>
      <c r="AC17" s="46">
        <v>21231.08</v>
      </c>
      <c r="AD17" s="46">
        <v>144170.60800000001</v>
      </c>
      <c r="AE17" s="101">
        <v>1755228.5899999999</v>
      </c>
    </row>
    <row r="18" spans="1:31">
      <c r="B18" s="105" t="s">
        <v>63</v>
      </c>
      <c r="C18" s="304"/>
      <c r="D18" s="304"/>
      <c r="E18" s="304"/>
      <c r="F18" s="304"/>
      <c r="G18" s="304"/>
      <c r="H18" s="304"/>
      <c r="I18" s="304"/>
      <c r="J18" s="304"/>
      <c r="K18" s="304">
        <v>2221.6959999999999</v>
      </c>
      <c r="L18" s="304"/>
      <c r="M18" s="304"/>
      <c r="N18" s="304">
        <v>52435.817999999999</v>
      </c>
      <c r="O18" s="304">
        <v>54657.513999999996</v>
      </c>
      <c r="P18" s="105" t="s">
        <v>211</v>
      </c>
      <c r="Q18" s="105" t="s">
        <v>744</v>
      </c>
    </row>
    <row r="19" spans="1:31">
      <c r="B19" s="105" t="s">
        <v>25</v>
      </c>
      <c r="C19" s="304"/>
      <c r="D19" s="304"/>
      <c r="E19" s="304"/>
      <c r="F19" s="304"/>
      <c r="G19" s="304"/>
      <c r="H19" s="304"/>
      <c r="I19" s="304"/>
      <c r="J19" s="304"/>
      <c r="K19" s="304"/>
      <c r="L19" s="304">
        <v>3821.9119999999998</v>
      </c>
      <c r="M19" s="304"/>
      <c r="N19" s="304"/>
      <c r="O19" s="304">
        <v>3821.9119999999998</v>
      </c>
      <c r="P19" s="105" t="s">
        <v>211</v>
      </c>
      <c r="Q19" s="105" t="s">
        <v>744</v>
      </c>
    </row>
    <row r="20" spans="1:31">
      <c r="B20" s="105" t="s">
        <v>23</v>
      </c>
      <c r="C20" s="304">
        <v>33754.593999999997</v>
      </c>
      <c r="D20" s="304"/>
      <c r="E20" s="304">
        <v>31307.829000000002</v>
      </c>
      <c r="F20" s="304">
        <v>32420.385999999999</v>
      </c>
      <c r="G20" s="304">
        <v>556698.91700000002</v>
      </c>
      <c r="H20" s="304">
        <v>62437.163</v>
      </c>
      <c r="I20" s="304">
        <v>24042.014999999999</v>
      </c>
      <c r="J20" s="304">
        <v>28901.21</v>
      </c>
      <c r="K20" s="304">
        <v>2221.6959999999999</v>
      </c>
      <c r="L20" s="304">
        <v>23129.641</v>
      </c>
      <c r="M20" s="304">
        <v>10615.54</v>
      </c>
      <c r="N20" s="304">
        <v>72085.304000000004</v>
      </c>
      <c r="O20" s="304">
        <v>877614.29499999993</v>
      </c>
      <c r="P20" s="105" t="s">
        <v>210</v>
      </c>
      <c r="Q20" s="105" t="s">
        <v>744</v>
      </c>
    </row>
    <row r="21" spans="1:31">
      <c r="B21" s="105" t="s">
        <v>732</v>
      </c>
      <c r="C21" s="304">
        <v>67509.187999999995</v>
      </c>
      <c r="D21" s="304"/>
      <c r="E21" s="304">
        <v>62615.658000000003</v>
      </c>
      <c r="F21" s="304">
        <v>64840.771999999997</v>
      </c>
      <c r="G21" s="304">
        <v>1113397.834</v>
      </c>
      <c r="H21" s="304">
        <v>124874.326</v>
      </c>
      <c r="I21" s="304">
        <v>48084.03</v>
      </c>
      <c r="J21" s="304">
        <v>57802.42</v>
      </c>
      <c r="K21" s="304">
        <v>4443.3919999999998</v>
      </c>
      <c r="L21" s="304">
        <v>46259.281999999999</v>
      </c>
      <c r="M21" s="304">
        <v>21231.08</v>
      </c>
      <c r="N21" s="304">
        <v>144170.60800000001</v>
      </c>
      <c r="O21" s="304">
        <v>1755228.5899999999</v>
      </c>
      <c r="P21" s="105"/>
      <c r="Q21" s="105"/>
    </row>
    <row r="22" spans="1:31">
      <c r="C22" s="306"/>
      <c r="D22" s="306"/>
      <c r="E22" s="306"/>
      <c r="F22" s="306"/>
      <c r="G22" s="306"/>
      <c r="H22" s="306"/>
      <c r="I22" s="306"/>
      <c r="J22" s="306"/>
      <c r="K22" s="306"/>
      <c r="L22" s="306"/>
      <c r="M22" s="306"/>
      <c r="N22" s="306"/>
      <c r="O22" s="306"/>
    </row>
    <row r="23" spans="1:31">
      <c r="C23" s="306"/>
      <c r="D23" s="306"/>
      <c r="E23" s="306"/>
      <c r="F23" s="306"/>
      <c r="G23" s="306"/>
      <c r="H23" s="306"/>
      <c r="I23" s="306"/>
      <c r="J23" s="306"/>
      <c r="K23" s="306"/>
      <c r="L23" s="306"/>
      <c r="M23" s="306"/>
      <c r="N23" s="306"/>
      <c r="O23" s="306"/>
    </row>
    <row r="24" spans="1:31">
      <c r="A24" s="99" t="s">
        <v>741</v>
      </c>
      <c r="B24" s="99" t="s">
        <v>46</v>
      </c>
    </row>
    <row r="25" spans="1:31">
      <c r="B25" s="29" t="s">
        <v>47</v>
      </c>
      <c r="S25" s="100" t="s">
        <v>626</v>
      </c>
      <c r="T25" s="46" t="s">
        <v>57</v>
      </c>
    </row>
    <row r="27" spans="1:31">
      <c r="B27" s="105"/>
      <c r="C27" s="324">
        <v>2023</v>
      </c>
      <c r="D27" s="324"/>
      <c r="E27" s="324"/>
      <c r="F27" s="324"/>
      <c r="G27" s="324"/>
      <c r="H27" s="324"/>
      <c r="I27" s="324">
        <v>2024</v>
      </c>
      <c r="J27" s="324"/>
      <c r="K27" s="324"/>
      <c r="L27" s="324"/>
      <c r="M27" s="324"/>
      <c r="N27" s="324"/>
      <c r="O27" s="112" t="s">
        <v>732</v>
      </c>
      <c r="P27" s="320" t="s">
        <v>209</v>
      </c>
      <c r="Q27" s="320" t="s">
        <v>155</v>
      </c>
      <c r="S27" s="100" t="s">
        <v>734</v>
      </c>
      <c r="T27" s="100" t="s">
        <v>621</v>
      </c>
      <c r="U27" s="100" t="s">
        <v>622</v>
      </c>
    </row>
    <row r="28" spans="1:31">
      <c r="B28" s="107" t="s">
        <v>631</v>
      </c>
      <c r="C28" s="113">
        <v>7</v>
      </c>
      <c r="D28" s="113">
        <v>8</v>
      </c>
      <c r="E28" s="113">
        <v>9</v>
      </c>
      <c r="F28" s="113">
        <v>10</v>
      </c>
      <c r="G28" s="113">
        <v>11</v>
      </c>
      <c r="H28" s="113">
        <v>12</v>
      </c>
      <c r="I28" s="113">
        <v>1</v>
      </c>
      <c r="J28" s="113">
        <v>2</v>
      </c>
      <c r="K28" s="113">
        <v>3</v>
      </c>
      <c r="L28" s="113">
        <v>4</v>
      </c>
      <c r="M28" s="113">
        <v>5</v>
      </c>
      <c r="N28" s="113">
        <v>6</v>
      </c>
      <c r="O28" s="113"/>
      <c r="P28" s="320"/>
      <c r="Q28" s="320"/>
      <c r="T28" s="46">
        <v>2023</v>
      </c>
      <c r="Y28" s="46">
        <v>2024</v>
      </c>
      <c r="AE28" s="46" t="s">
        <v>732</v>
      </c>
    </row>
    <row r="29" spans="1:31">
      <c r="B29" s="105" t="s">
        <v>74</v>
      </c>
      <c r="C29" s="304"/>
      <c r="D29" s="304"/>
      <c r="E29" s="304"/>
      <c r="F29" s="304"/>
      <c r="G29" s="304"/>
      <c r="H29" s="304">
        <v>28208.67</v>
      </c>
      <c r="I29" s="304"/>
      <c r="J29" s="304"/>
      <c r="K29" s="304"/>
      <c r="L29" s="304"/>
      <c r="M29" s="304"/>
      <c r="N29" s="304"/>
      <c r="O29" s="304">
        <v>28208.67</v>
      </c>
      <c r="P29" s="105" t="s">
        <v>211</v>
      </c>
      <c r="Q29" s="105" t="s">
        <v>743</v>
      </c>
      <c r="S29" s="100" t="s">
        <v>631</v>
      </c>
      <c r="T29" s="46">
        <v>7</v>
      </c>
      <c r="U29" s="46">
        <v>9</v>
      </c>
      <c r="V29" s="46">
        <v>10</v>
      </c>
      <c r="W29" s="46">
        <v>11</v>
      </c>
      <c r="X29" s="46">
        <v>12</v>
      </c>
      <c r="Y29" s="46">
        <v>1</v>
      </c>
      <c r="Z29" s="46">
        <v>2</v>
      </c>
      <c r="AA29" s="46">
        <v>3</v>
      </c>
      <c r="AB29" s="46">
        <v>4</v>
      </c>
      <c r="AC29" s="46">
        <v>5</v>
      </c>
      <c r="AD29" s="46">
        <v>6</v>
      </c>
    </row>
    <row r="30" spans="1:31">
      <c r="B30" s="105" t="s">
        <v>29</v>
      </c>
      <c r="C30" s="304"/>
      <c r="D30" s="304"/>
      <c r="E30" s="304"/>
      <c r="F30" s="304"/>
      <c r="G30" s="304">
        <v>37011.398000000001</v>
      </c>
      <c r="H30" s="304"/>
      <c r="I30" s="304"/>
      <c r="J30" s="304"/>
      <c r="K30" s="304"/>
      <c r="L30" s="304"/>
      <c r="M30" s="304"/>
      <c r="N30" s="304"/>
      <c r="O30" s="304">
        <v>37011.398000000001</v>
      </c>
      <c r="P30" s="105" t="s">
        <v>210</v>
      </c>
      <c r="Q30" s="105" t="s">
        <v>743</v>
      </c>
      <c r="S30" s="46" t="s">
        <v>74</v>
      </c>
      <c r="X30" s="46">
        <v>28208.67</v>
      </c>
      <c r="AE30" s="46">
        <v>28208.67</v>
      </c>
    </row>
    <row r="31" spans="1:31">
      <c r="B31" s="105" t="s">
        <v>69</v>
      </c>
      <c r="C31" s="304">
        <v>7437.05</v>
      </c>
      <c r="D31" s="304"/>
      <c r="E31" s="304"/>
      <c r="F31" s="304"/>
      <c r="G31" s="304">
        <v>13270.891</v>
      </c>
      <c r="H31" s="304"/>
      <c r="I31" s="304"/>
      <c r="J31" s="304">
        <v>4943.2449999999999</v>
      </c>
      <c r="K31" s="304"/>
      <c r="L31" s="304"/>
      <c r="M31" s="304"/>
      <c r="N31" s="304"/>
      <c r="O31" s="304">
        <v>25651.185999999998</v>
      </c>
      <c r="P31" s="105" t="s">
        <v>211</v>
      </c>
      <c r="Q31" s="105" t="s">
        <v>743</v>
      </c>
      <c r="S31" s="46" t="s">
        <v>29</v>
      </c>
      <c r="W31" s="46">
        <v>37011.398000000001</v>
      </c>
      <c r="AE31" s="46">
        <v>37011.398000000001</v>
      </c>
    </row>
    <row r="32" spans="1:31">
      <c r="B32" s="105" t="s">
        <v>30</v>
      </c>
      <c r="C32" s="304">
        <v>7813.0370000000003</v>
      </c>
      <c r="D32" s="304"/>
      <c r="E32" s="304">
        <v>14144.656000000001</v>
      </c>
      <c r="F32" s="304">
        <v>14647.302</v>
      </c>
      <c r="G32" s="304">
        <v>10620.949000000001</v>
      </c>
      <c r="H32" s="304"/>
      <c r="I32" s="304">
        <v>10862.013000000001</v>
      </c>
      <c r="J32" s="304">
        <v>8114.1180000000004</v>
      </c>
      <c r="K32" s="304"/>
      <c r="L32" s="304">
        <v>8723.0959999999995</v>
      </c>
      <c r="M32" s="304">
        <v>4796.0259999999998</v>
      </c>
      <c r="N32" s="304">
        <v>8877.4989999999998</v>
      </c>
      <c r="O32" s="304">
        <v>88598.695999999996</v>
      </c>
      <c r="P32" s="105" t="s">
        <v>211</v>
      </c>
      <c r="Q32" s="105" t="s">
        <v>743</v>
      </c>
      <c r="S32" s="46" t="s">
        <v>69</v>
      </c>
      <c r="T32" s="46">
        <v>7437.05</v>
      </c>
      <c r="W32" s="46">
        <v>13270.891</v>
      </c>
      <c r="Z32" s="46">
        <v>4943.2449999999999</v>
      </c>
      <c r="AE32" s="46">
        <v>25651.185999999998</v>
      </c>
    </row>
    <row r="33" spans="1:48">
      <c r="B33" s="105" t="s">
        <v>124</v>
      </c>
      <c r="C33" s="304"/>
      <c r="D33" s="304"/>
      <c r="E33" s="304"/>
      <c r="F33" s="304"/>
      <c r="G33" s="304">
        <v>190609.40599999999</v>
      </c>
      <c r="H33" s="304"/>
      <c r="I33" s="304"/>
      <c r="J33" s="304"/>
      <c r="K33" s="304"/>
      <c r="L33" s="304"/>
      <c r="M33" s="304"/>
      <c r="N33" s="304"/>
      <c r="O33" s="304">
        <v>190609.40599999999</v>
      </c>
      <c r="P33" s="105" t="s">
        <v>211</v>
      </c>
      <c r="Q33" s="105" t="s">
        <v>743</v>
      </c>
      <c r="S33" s="46" t="s">
        <v>30</v>
      </c>
      <c r="T33" s="46">
        <v>7813.0370000000003</v>
      </c>
      <c r="U33" s="46">
        <v>14144.656000000001</v>
      </c>
      <c r="V33" s="46">
        <v>14647.302</v>
      </c>
      <c r="W33" s="46">
        <v>10620.949000000001</v>
      </c>
      <c r="Y33" s="46">
        <v>10862.013000000001</v>
      </c>
      <c r="Z33" s="46">
        <v>8114.1180000000004</v>
      </c>
      <c r="AB33" s="46">
        <v>8723.0959999999995</v>
      </c>
      <c r="AC33" s="46">
        <v>4796.0259999999998</v>
      </c>
      <c r="AD33" s="46">
        <v>8877.4989999999998</v>
      </c>
      <c r="AE33" s="46">
        <v>88598.695999999996</v>
      </c>
    </row>
    <row r="34" spans="1:48">
      <c r="B34" s="105" t="s">
        <v>63</v>
      </c>
      <c r="C34" s="304"/>
      <c r="D34" s="304"/>
      <c r="E34" s="304"/>
      <c r="F34" s="304"/>
      <c r="G34" s="304"/>
      <c r="H34" s="304"/>
      <c r="I34" s="304"/>
      <c r="J34" s="304"/>
      <c r="K34" s="304">
        <v>1003.747</v>
      </c>
      <c r="L34" s="304"/>
      <c r="M34" s="304"/>
      <c r="N34" s="304">
        <v>23690.133000000002</v>
      </c>
      <c r="O34" s="304">
        <v>24693.88</v>
      </c>
      <c r="P34" s="105" t="s">
        <v>211</v>
      </c>
      <c r="Q34" s="105" t="s">
        <v>743</v>
      </c>
      <c r="S34" s="46" t="s">
        <v>124</v>
      </c>
      <c r="W34" s="46">
        <v>190609.40599999999</v>
      </c>
      <c r="AE34" s="46">
        <v>190609.40599999999</v>
      </c>
    </row>
    <row r="35" spans="1:48">
      <c r="B35" s="105" t="s">
        <v>25</v>
      </c>
      <c r="C35" s="304"/>
      <c r="D35" s="304"/>
      <c r="E35" s="304"/>
      <c r="F35" s="304"/>
      <c r="G35" s="304"/>
      <c r="H35" s="304"/>
      <c r="I35" s="304"/>
      <c r="J35" s="304"/>
      <c r="K35" s="304"/>
      <c r="L35" s="304">
        <v>1726.713</v>
      </c>
      <c r="M35" s="304"/>
      <c r="N35" s="304"/>
      <c r="O35" s="304">
        <v>1726.713</v>
      </c>
      <c r="P35" s="105" t="s">
        <v>211</v>
      </c>
      <c r="Q35" s="105" t="s">
        <v>743</v>
      </c>
      <c r="S35" s="46" t="s">
        <v>63</v>
      </c>
      <c r="AA35" s="46">
        <v>1003.747</v>
      </c>
      <c r="AD35" s="46">
        <v>23690.133000000002</v>
      </c>
      <c r="AE35" s="46">
        <v>24693.88</v>
      </c>
    </row>
    <row r="36" spans="1:48">
      <c r="B36" s="105" t="s">
        <v>23</v>
      </c>
      <c r="C36" s="304">
        <v>15250.087</v>
      </c>
      <c r="D36" s="304"/>
      <c r="E36" s="304">
        <v>14144.656000000001</v>
      </c>
      <c r="F36" s="304">
        <v>14647.302</v>
      </c>
      <c r="G36" s="304">
        <v>251512.64499999999</v>
      </c>
      <c r="H36" s="304">
        <v>28208.67</v>
      </c>
      <c r="I36" s="304">
        <v>10862.013000000001</v>
      </c>
      <c r="J36" s="304">
        <v>13057.362999999999</v>
      </c>
      <c r="K36" s="304">
        <v>1003.747</v>
      </c>
      <c r="L36" s="304">
        <v>10449.808999999999</v>
      </c>
      <c r="M36" s="304">
        <v>4796.0259999999998</v>
      </c>
      <c r="N36" s="304">
        <v>32567.632000000001</v>
      </c>
      <c r="O36" s="304">
        <v>396499.94999999995</v>
      </c>
      <c r="P36" s="105" t="s">
        <v>210</v>
      </c>
      <c r="Q36" s="105" t="s">
        <v>743</v>
      </c>
      <c r="S36" s="46" t="s">
        <v>25</v>
      </c>
      <c r="AB36" s="46">
        <v>1726.713</v>
      </c>
      <c r="AE36" s="46">
        <v>1726.713</v>
      </c>
    </row>
    <row r="37" spans="1:48">
      <c r="B37" s="105" t="s">
        <v>732</v>
      </c>
      <c r="C37" s="304">
        <v>30500.173999999999</v>
      </c>
      <c r="D37" s="304"/>
      <c r="E37" s="304">
        <v>28289.312000000002</v>
      </c>
      <c r="F37" s="304">
        <v>29294.603999999999</v>
      </c>
      <c r="G37" s="304">
        <v>503025.28899999999</v>
      </c>
      <c r="H37" s="304">
        <v>56417.34</v>
      </c>
      <c r="I37" s="304">
        <v>21724.026000000002</v>
      </c>
      <c r="J37" s="304">
        <v>26114.726000000002</v>
      </c>
      <c r="K37" s="304">
        <v>2007.4939999999999</v>
      </c>
      <c r="L37" s="304">
        <v>20899.617999999999</v>
      </c>
      <c r="M37" s="304">
        <v>9592.0519999999997</v>
      </c>
      <c r="N37" s="304">
        <v>65135.264000000003</v>
      </c>
      <c r="O37" s="304">
        <v>792999.89899999998</v>
      </c>
      <c r="P37" s="105"/>
      <c r="Q37" s="105"/>
      <c r="S37" s="46" t="s">
        <v>23</v>
      </c>
      <c r="T37" s="46">
        <v>15250.087</v>
      </c>
      <c r="U37" s="46">
        <v>14144.656000000001</v>
      </c>
      <c r="V37" s="46">
        <v>14647.302</v>
      </c>
      <c r="W37" s="46">
        <v>251512.64499999999</v>
      </c>
      <c r="X37" s="46">
        <v>28208.67</v>
      </c>
      <c r="Y37" s="46">
        <v>10862.013000000001</v>
      </c>
      <c r="Z37" s="46">
        <v>13057.362999999999</v>
      </c>
      <c r="AA37" s="46">
        <v>1003.747</v>
      </c>
      <c r="AB37" s="46">
        <v>10449.808999999999</v>
      </c>
      <c r="AC37" s="46">
        <v>4796.0259999999998</v>
      </c>
      <c r="AD37" s="46">
        <v>32567.632000000001</v>
      </c>
      <c r="AE37" s="46">
        <v>396499.94999999995</v>
      </c>
    </row>
    <row r="38" spans="1:48">
      <c r="S38" s="46" t="s">
        <v>732</v>
      </c>
      <c r="T38" s="46">
        <v>30500.173999999999</v>
      </c>
      <c r="U38" s="46">
        <v>28289.312000000002</v>
      </c>
      <c r="V38" s="46">
        <v>29294.603999999999</v>
      </c>
      <c r="W38" s="46">
        <v>503025.28899999999</v>
      </c>
      <c r="X38" s="46">
        <v>56417.34</v>
      </c>
      <c r="Y38" s="46">
        <v>21724.026000000002</v>
      </c>
      <c r="Z38" s="46">
        <v>26114.726000000002</v>
      </c>
      <c r="AA38" s="46">
        <v>2007.4939999999999</v>
      </c>
      <c r="AB38" s="46">
        <v>20899.617999999999</v>
      </c>
      <c r="AC38" s="46">
        <v>9592.0519999999997</v>
      </c>
      <c r="AD38" s="46">
        <v>65135.264000000003</v>
      </c>
      <c r="AE38" s="101">
        <v>792999.89899999998</v>
      </c>
    </row>
    <row r="41" spans="1:48" s="121" customFormat="1" ht="9" customHeight="1"/>
    <row r="42" spans="1:48" ht="27">
      <c r="B42" s="303" t="s">
        <v>742</v>
      </c>
      <c r="L42" s="102" t="s">
        <v>730</v>
      </c>
      <c r="O42" s="102" t="s">
        <v>731</v>
      </c>
      <c r="AG42" s="102" t="s">
        <v>729</v>
      </c>
      <c r="AS42" s="102" t="s">
        <v>728</v>
      </c>
    </row>
    <row r="43" spans="1:48" s="108" customFormat="1" ht="54">
      <c r="A43" s="102" t="s">
        <v>727</v>
      </c>
      <c r="B43" s="102" t="s">
        <v>618</v>
      </c>
      <c r="C43" s="102" t="s">
        <v>619</v>
      </c>
      <c r="D43" s="102" t="s">
        <v>620</v>
      </c>
      <c r="E43" s="102" t="s">
        <v>621</v>
      </c>
      <c r="F43" s="102" t="s">
        <v>622</v>
      </c>
      <c r="G43" s="102" t="s">
        <v>623</v>
      </c>
      <c r="H43" s="102" t="s">
        <v>624</v>
      </c>
      <c r="I43" s="102" t="s">
        <v>625</v>
      </c>
      <c r="J43" s="102" t="s">
        <v>626</v>
      </c>
      <c r="K43" s="102" t="s">
        <v>627</v>
      </c>
      <c r="L43" s="102" t="s">
        <v>628</v>
      </c>
      <c r="M43" s="102" t="s">
        <v>629</v>
      </c>
      <c r="N43" s="102" t="s">
        <v>630</v>
      </c>
      <c r="O43" s="102" t="s">
        <v>631</v>
      </c>
      <c r="P43" s="102" t="s">
        <v>632</v>
      </c>
      <c r="Q43" s="102" t="s">
        <v>633</v>
      </c>
      <c r="R43" s="102" t="s">
        <v>634</v>
      </c>
      <c r="S43" s="102" t="s">
        <v>635</v>
      </c>
      <c r="T43" s="102" t="s">
        <v>636</v>
      </c>
      <c r="U43" s="102" t="s">
        <v>637</v>
      </c>
      <c r="V43" s="102" t="s">
        <v>638</v>
      </c>
      <c r="W43" s="102" t="s">
        <v>639</v>
      </c>
      <c r="X43" s="102" t="s">
        <v>640</v>
      </c>
      <c r="Y43" s="102" t="s">
        <v>641</v>
      </c>
      <c r="Z43" s="102" t="s">
        <v>642</v>
      </c>
      <c r="AA43" s="102" t="s">
        <v>643</v>
      </c>
      <c r="AB43" s="102" t="s">
        <v>644</v>
      </c>
      <c r="AC43" s="102" t="s">
        <v>645</v>
      </c>
      <c r="AD43" s="102" t="s">
        <v>646</v>
      </c>
      <c r="AE43" s="102" t="s">
        <v>647</v>
      </c>
      <c r="AF43" s="102" t="s">
        <v>648</v>
      </c>
      <c r="AG43" s="102" t="s">
        <v>649</v>
      </c>
      <c r="AH43" s="102" t="s">
        <v>650</v>
      </c>
      <c r="AI43" s="102" t="s">
        <v>651</v>
      </c>
      <c r="AJ43" s="102" t="s">
        <v>652</v>
      </c>
      <c r="AK43" s="102" t="s">
        <v>653</v>
      </c>
      <c r="AL43" s="102" t="s">
        <v>654</v>
      </c>
      <c r="AM43" s="102" t="s">
        <v>655</v>
      </c>
      <c r="AN43" s="102" t="s">
        <v>656</v>
      </c>
      <c r="AO43" s="102" t="s">
        <v>657</v>
      </c>
      <c r="AP43" s="102" t="s">
        <v>658</v>
      </c>
      <c r="AQ43" s="102" t="s">
        <v>659</v>
      </c>
      <c r="AR43" s="102" t="s">
        <v>660</v>
      </c>
      <c r="AS43" s="102" t="s">
        <v>661</v>
      </c>
      <c r="AT43" s="102" t="s">
        <v>662</v>
      </c>
      <c r="AU43" s="102" t="s">
        <v>663</v>
      </c>
      <c r="AV43" s="102" t="s">
        <v>664</v>
      </c>
    </row>
    <row r="44" spans="1:48">
      <c r="B44" s="46" t="s">
        <v>665</v>
      </c>
      <c r="C44" s="46" t="s">
        <v>666</v>
      </c>
      <c r="D44" s="46">
        <v>20230701</v>
      </c>
      <c r="E44" s="46">
        <v>2023</v>
      </c>
      <c r="F44" s="46">
        <v>7</v>
      </c>
      <c r="G44" s="46" t="s">
        <v>718</v>
      </c>
      <c r="H44" s="46">
        <v>818</v>
      </c>
      <c r="I44" s="46" t="s">
        <v>668</v>
      </c>
      <c r="J44" s="46" t="s">
        <v>57</v>
      </c>
      <c r="K44" s="46" t="s">
        <v>666</v>
      </c>
      <c r="L44" s="46" t="s">
        <v>669</v>
      </c>
      <c r="M44" s="46">
        <v>0</v>
      </c>
      <c r="N44" s="46" t="s">
        <v>670</v>
      </c>
      <c r="O44" s="46" t="s">
        <v>23</v>
      </c>
      <c r="P44" s="46">
        <v>0</v>
      </c>
      <c r="Q44" s="46" t="s">
        <v>670</v>
      </c>
      <c r="R44" s="46" t="s">
        <v>23</v>
      </c>
      <c r="S44" s="46" t="s">
        <v>671</v>
      </c>
      <c r="T44" s="46" t="s">
        <v>672</v>
      </c>
      <c r="U44" s="46" t="b">
        <v>1</v>
      </c>
      <c r="V44" s="46" t="s">
        <v>1021</v>
      </c>
      <c r="W44" s="46" t="s">
        <v>1020</v>
      </c>
      <c r="X44" s="46">
        <v>6</v>
      </c>
      <c r="Y44" s="46" t="b">
        <v>1</v>
      </c>
      <c r="Z44" s="46" t="s">
        <v>675</v>
      </c>
      <c r="AA44" s="46" t="s">
        <v>676</v>
      </c>
      <c r="AB44" s="46" t="s">
        <v>677</v>
      </c>
      <c r="AC44" s="46">
        <v>0</v>
      </c>
      <c r="AD44" s="46" t="s">
        <v>678</v>
      </c>
      <c r="AE44" s="46">
        <v>8</v>
      </c>
      <c r="AF44" s="46" t="s">
        <v>679</v>
      </c>
      <c r="AG44" s="46">
        <v>33754.593999999997</v>
      </c>
      <c r="AH44" s="46" t="b">
        <v>1</v>
      </c>
      <c r="AI44" s="46">
        <v>-1</v>
      </c>
      <c r="AJ44" s="46" t="s">
        <v>680</v>
      </c>
      <c r="AK44" s="46">
        <v>0</v>
      </c>
      <c r="AL44" s="46" t="b">
        <v>0</v>
      </c>
      <c r="AM44" s="46">
        <v>33754.593999999997</v>
      </c>
      <c r="AN44" s="46" t="b">
        <v>1</v>
      </c>
      <c r="AO44" s="46">
        <v>0</v>
      </c>
      <c r="AP44" s="46" t="b">
        <v>0</v>
      </c>
      <c r="AQ44" s="46">
        <v>15250.087</v>
      </c>
      <c r="AS44" s="46">
        <v>15250.087</v>
      </c>
      <c r="AT44" s="46">
        <v>6</v>
      </c>
      <c r="AU44" s="46" t="b">
        <v>0</v>
      </c>
      <c r="AV44" s="46" t="b">
        <v>1</v>
      </c>
    </row>
    <row r="45" spans="1:48">
      <c r="B45" s="46" t="s">
        <v>665</v>
      </c>
      <c r="C45" s="46" t="s">
        <v>666</v>
      </c>
      <c r="D45" s="46">
        <v>20230701</v>
      </c>
      <c r="E45" s="46">
        <v>2023</v>
      </c>
      <c r="F45" s="46">
        <v>7</v>
      </c>
      <c r="G45" s="46" t="s">
        <v>718</v>
      </c>
      <c r="H45" s="46">
        <v>818</v>
      </c>
      <c r="I45" s="46" t="s">
        <v>668</v>
      </c>
      <c r="J45" s="46" t="s">
        <v>57</v>
      </c>
      <c r="K45" s="46" t="s">
        <v>666</v>
      </c>
      <c r="L45" s="46" t="s">
        <v>669</v>
      </c>
      <c r="M45" s="46">
        <v>251</v>
      </c>
      <c r="N45" s="46" t="s">
        <v>688</v>
      </c>
      <c r="O45" s="46" t="s">
        <v>69</v>
      </c>
      <c r="P45" s="46">
        <v>0</v>
      </c>
      <c r="Q45" s="46" t="s">
        <v>670</v>
      </c>
      <c r="R45" s="46" t="s">
        <v>23</v>
      </c>
      <c r="S45" s="46" t="s">
        <v>671</v>
      </c>
      <c r="T45" s="46" t="s">
        <v>672</v>
      </c>
      <c r="U45" s="46" t="b">
        <v>1</v>
      </c>
      <c r="V45" s="46" t="s">
        <v>1021</v>
      </c>
      <c r="W45" s="46" t="s">
        <v>1020</v>
      </c>
      <c r="X45" s="46">
        <v>6</v>
      </c>
      <c r="Y45" s="46" t="b">
        <v>1</v>
      </c>
      <c r="Z45" s="46" t="s">
        <v>675</v>
      </c>
      <c r="AA45" s="46" t="s">
        <v>676</v>
      </c>
      <c r="AB45" s="46" t="s">
        <v>677</v>
      </c>
      <c r="AC45" s="46">
        <v>0</v>
      </c>
      <c r="AD45" s="46" t="s">
        <v>678</v>
      </c>
      <c r="AE45" s="46">
        <v>8</v>
      </c>
      <c r="AF45" s="46" t="s">
        <v>679</v>
      </c>
      <c r="AG45" s="46">
        <v>16461.191999999999</v>
      </c>
      <c r="AH45" s="46" t="b">
        <v>1</v>
      </c>
      <c r="AI45" s="46">
        <v>-1</v>
      </c>
      <c r="AJ45" s="46" t="s">
        <v>680</v>
      </c>
      <c r="AK45" s="46">
        <v>0</v>
      </c>
      <c r="AL45" s="46" t="b">
        <v>0</v>
      </c>
      <c r="AM45" s="46">
        <v>16461.191999999999</v>
      </c>
      <c r="AN45" s="46" t="b">
        <v>1</v>
      </c>
      <c r="AO45" s="46">
        <v>0</v>
      </c>
      <c r="AP45" s="46" t="b">
        <v>0</v>
      </c>
      <c r="AQ45" s="46">
        <v>7437.05</v>
      </c>
      <c r="AS45" s="46">
        <v>7437.05</v>
      </c>
      <c r="AT45" s="46">
        <v>6</v>
      </c>
      <c r="AU45" s="46" t="b">
        <v>1</v>
      </c>
      <c r="AV45" s="46" t="b">
        <v>0</v>
      </c>
    </row>
    <row r="46" spans="1:48">
      <c r="B46" s="46" t="s">
        <v>665</v>
      </c>
      <c r="C46" s="46" t="s">
        <v>666</v>
      </c>
      <c r="D46" s="46">
        <v>20230701</v>
      </c>
      <c r="E46" s="46">
        <v>2023</v>
      </c>
      <c r="F46" s="46">
        <v>7</v>
      </c>
      <c r="G46" s="46" t="s">
        <v>718</v>
      </c>
      <c r="H46" s="46">
        <v>818</v>
      </c>
      <c r="I46" s="46" t="s">
        <v>668</v>
      </c>
      <c r="J46" s="46" t="s">
        <v>57</v>
      </c>
      <c r="K46" s="46" t="s">
        <v>666</v>
      </c>
      <c r="L46" s="46" t="s">
        <v>669</v>
      </c>
      <c r="M46" s="46">
        <v>276</v>
      </c>
      <c r="N46" s="46" t="s">
        <v>681</v>
      </c>
      <c r="O46" s="46" t="s">
        <v>30</v>
      </c>
      <c r="P46" s="46">
        <v>0</v>
      </c>
      <c r="Q46" s="46" t="s">
        <v>670</v>
      </c>
      <c r="R46" s="46" t="s">
        <v>23</v>
      </c>
      <c r="S46" s="46" t="s">
        <v>671</v>
      </c>
      <c r="T46" s="46" t="s">
        <v>672</v>
      </c>
      <c r="U46" s="46" t="b">
        <v>1</v>
      </c>
      <c r="V46" s="46" t="s">
        <v>1021</v>
      </c>
      <c r="W46" s="46" t="s">
        <v>1020</v>
      </c>
      <c r="X46" s="46">
        <v>6</v>
      </c>
      <c r="Y46" s="46" t="b">
        <v>1</v>
      </c>
      <c r="Z46" s="46" t="s">
        <v>675</v>
      </c>
      <c r="AA46" s="46" t="s">
        <v>676</v>
      </c>
      <c r="AB46" s="46" t="s">
        <v>677</v>
      </c>
      <c r="AC46" s="46">
        <v>0</v>
      </c>
      <c r="AD46" s="46" t="s">
        <v>678</v>
      </c>
      <c r="AE46" s="46">
        <v>8</v>
      </c>
      <c r="AF46" s="46" t="s">
        <v>679</v>
      </c>
      <c r="AG46" s="46">
        <v>17293.401999999998</v>
      </c>
      <c r="AH46" s="46" t="b">
        <v>1</v>
      </c>
      <c r="AI46" s="46">
        <v>-1</v>
      </c>
      <c r="AJ46" s="46" t="s">
        <v>680</v>
      </c>
      <c r="AK46" s="46">
        <v>0</v>
      </c>
      <c r="AL46" s="46" t="b">
        <v>0</v>
      </c>
      <c r="AM46" s="46">
        <v>17293.401999999998</v>
      </c>
      <c r="AN46" s="46" t="b">
        <v>1</v>
      </c>
      <c r="AO46" s="46">
        <v>0</v>
      </c>
      <c r="AP46" s="46" t="b">
        <v>0</v>
      </c>
      <c r="AQ46" s="46">
        <v>7813.0370000000003</v>
      </c>
      <c r="AS46" s="46">
        <v>7813.0370000000003</v>
      </c>
      <c r="AT46" s="46">
        <v>6</v>
      </c>
      <c r="AU46" s="46" t="b">
        <v>1</v>
      </c>
      <c r="AV46" s="46" t="b">
        <v>0</v>
      </c>
    </row>
    <row r="47" spans="1:48">
      <c r="B47" s="46" t="s">
        <v>665</v>
      </c>
      <c r="C47" s="46" t="s">
        <v>666</v>
      </c>
      <c r="D47" s="46">
        <v>20230901</v>
      </c>
      <c r="E47" s="46">
        <v>2023</v>
      </c>
      <c r="F47" s="46">
        <v>9</v>
      </c>
      <c r="G47" s="46" t="s">
        <v>723</v>
      </c>
      <c r="H47" s="46">
        <v>818</v>
      </c>
      <c r="I47" s="46" t="s">
        <v>668</v>
      </c>
      <c r="J47" s="46" t="s">
        <v>57</v>
      </c>
      <c r="K47" s="46" t="s">
        <v>666</v>
      </c>
      <c r="L47" s="46" t="s">
        <v>669</v>
      </c>
      <c r="M47" s="46">
        <v>0</v>
      </c>
      <c r="N47" s="46" t="s">
        <v>670</v>
      </c>
      <c r="O47" s="46" t="s">
        <v>23</v>
      </c>
      <c r="P47" s="46">
        <v>0</v>
      </c>
      <c r="Q47" s="46" t="s">
        <v>670</v>
      </c>
      <c r="R47" s="46" t="s">
        <v>23</v>
      </c>
      <c r="S47" s="46" t="s">
        <v>671</v>
      </c>
      <c r="T47" s="46" t="s">
        <v>672</v>
      </c>
      <c r="U47" s="46" t="b">
        <v>1</v>
      </c>
      <c r="V47" s="46" t="s">
        <v>1021</v>
      </c>
      <c r="W47" s="46" t="s">
        <v>1020</v>
      </c>
      <c r="X47" s="46">
        <v>6</v>
      </c>
      <c r="Y47" s="46" t="b">
        <v>1</v>
      </c>
      <c r="Z47" s="46" t="s">
        <v>675</v>
      </c>
      <c r="AA47" s="46" t="s">
        <v>676</v>
      </c>
      <c r="AB47" s="46" t="s">
        <v>677</v>
      </c>
      <c r="AC47" s="46">
        <v>0</v>
      </c>
      <c r="AD47" s="46" t="s">
        <v>678</v>
      </c>
      <c r="AE47" s="46">
        <v>8</v>
      </c>
      <c r="AF47" s="46" t="s">
        <v>679</v>
      </c>
      <c r="AG47" s="46">
        <v>31307.829000000002</v>
      </c>
      <c r="AH47" s="46" t="b">
        <v>1</v>
      </c>
      <c r="AI47" s="46">
        <v>-1</v>
      </c>
      <c r="AJ47" s="46" t="s">
        <v>680</v>
      </c>
      <c r="AK47" s="46">
        <v>0</v>
      </c>
      <c r="AL47" s="46" t="b">
        <v>0</v>
      </c>
      <c r="AM47" s="46">
        <v>31307.829000000002</v>
      </c>
      <c r="AN47" s="46" t="b">
        <v>1</v>
      </c>
      <c r="AO47" s="46">
        <v>0</v>
      </c>
      <c r="AP47" s="46" t="b">
        <v>0</v>
      </c>
      <c r="AQ47" s="46">
        <v>14144.656000000001</v>
      </c>
      <c r="AS47" s="46">
        <v>14144.656000000001</v>
      </c>
      <c r="AT47" s="46">
        <v>6</v>
      </c>
      <c r="AU47" s="46" t="b">
        <v>0</v>
      </c>
      <c r="AV47" s="46" t="b">
        <v>1</v>
      </c>
    </row>
    <row r="48" spans="1:48">
      <c r="B48" s="46" t="s">
        <v>665</v>
      </c>
      <c r="C48" s="46" t="s">
        <v>666</v>
      </c>
      <c r="D48" s="46">
        <v>20230901</v>
      </c>
      <c r="E48" s="46">
        <v>2023</v>
      </c>
      <c r="F48" s="46">
        <v>9</v>
      </c>
      <c r="G48" s="46" t="s">
        <v>723</v>
      </c>
      <c r="H48" s="46">
        <v>818</v>
      </c>
      <c r="I48" s="46" t="s">
        <v>668</v>
      </c>
      <c r="J48" s="46" t="s">
        <v>57</v>
      </c>
      <c r="K48" s="46" t="s">
        <v>666</v>
      </c>
      <c r="L48" s="46" t="s">
        <v>669</v>
      </c>
      <c r="M48" s="46">
        <v>276</v>
      </c>
      <c r="N48" s="46" t="s">
        <v>681</v>
      </c>
      <c r="O48" s="46" t="s">
        <v>30</v>
      </c>
      <c r="P48" s="46">
        <v>0</v>
      </c>
      <c r="Q48" s="46" t="s">
        <v>670</v>
      </c>
      <c r="R48" s="46" t="s">
        <v>23</v>
      </c>
      <c r="S48" s="46" t="s">
        <v>671</v>
      </c>
      <c r="T48" s="46" t="s">
        <v>672</v>
      </c>
      <c r="U48" s="46" t="b">
        <v>1</v>
      </c>
      <c r="V48" s="46" t="s">
        <v>1021</v>
      </c>
      <c r="W48" s="46" t="s">
        <v>1020</v>
      </c>
      <c r="X48" s="46">
        <v>6</v>
      </c>
      <c r="Y48" s="46" t="b">
        <v>1</v>
      </c>
      <c r="Z48" s="46" t="s">
        <v>675</v>
      </c>
      <c r="AA48" s="46" t="s">
        <v>676</v>
      </c>
      <c r="AB48" s="46" t="s">
        <v>677</v>
      </c>
      <c r="AC48" s="46">
        <v>0</v>
      </c>
      <c r="AD48" s="46" t="s">
        <v>678</v>
      </c>
      <c r="AE48" s="46">
        <v>8</v>
      </c>
      <c r="AF48" s="46" t="s">
        <v>679</v>
      </c>
      <c r="AG48" s="46">
        <v>31307.829000000002</v>
      </c>
      <c r="AH48" s="46" t="b">
        <v>1</v>
      </c>
      <c r="AI48" s="46">
        <v>-1</v>
      </c>
      <c r="AJ48" s="46" t="s">
        <v>680</v>
      </c>
      <c r="AK48" s="46">
        <v>0</v>
      </c>
      <c r="AL48" s="46" t="b">
        <v>0</v>
      </c>
      <c r="AM48" s="46">
        <v>31307.829000000002</v>
      </c>
      <c r="AN48" s="46" t="b">
        <v>1</v>
      </c>
      <c r="AO48" s="46">
        <v>0</v>
      </c>
      <c r="AP48" s="46" t="b">
        <v>0</v>
      </c>
      <c r="AQ48" s="46">
        <v>14144.656000000001</v>
      </c>
      <c r="AS48" s="46">
        <v>14144.656000000001</v>
      </c>
      <c r="AT48" s="46">
        <v>6</v>
      </c>
      <c r="AU48" s="46" t="b">
        <v>1</v>
      </c>
      <c r="AV48" s="46" t="b">
        <v>0</v>
      </c>
    </row>
    <row r="49" spans="2:48">
      <c r="B49" s="46" t="s">
        <v>665</v>
      </c>
      <c r="C49" s="46" t="s">
        <v>666</v>
      </c>
      <c r="D49" s="46">
        <v>20231001</v>
      </c>
      <c r="E49" s="46">
        <v>2023</v>
      </c>
      <c r="F49" s="46">
        <v>10</v>
      </c>
      <c r="G49" s="46" t="s">
        <v>724</v>
      </c>
      <c r="H49" s="46">
        <v>818</v>
      </c>
      <c r="I49" s="46" t="s">
        <v>668</v>
      </c>
      <c r="J49" s="46" t="s">
        <v>57</v>
      </c>
      <c r="K49" s="46" t="s">
        <v>666</v>
      </c>
      <c r="L49" s="46" t="s">
        <v>669</v>
      </c>
      <c r="M49" s="46">
        <v>0</v>
      </c>
      <c r="N49" s="46" t="s">
        <v>670</v>
      </c>
      <c r="O49" s="46" t="s">
        <v>23</v>
      </c>
      <c r="P49" s="46">
        <v>0</v>
      </c>
      <c r="Q49" s="46" t="s">
        <v>670</v>
      </c>
      <c r="R49" s="46" t="s">
        <v>23</v>
      </c>
      <c r="S49" s="46" t="s">
        <v>671</v>
      </c>
      <c r="T49" s="46" t="s">
        <v>672</v>
      </c>
      <c r="U49" s="46" t="b">
        <v>1</v>
      </c>
      <c r="V49" s="46" t="s">
        <v>1021</v>
      </c>
      <c r="W49" s="46" t="s">
        <v>1020</v>
      </c>
      <c r="X49" s="46">
        <v>6</v>
      </c>
      <c r="Y49" s="46" t="b">
        <v>1</v>
      </c>
      <c r="Z49" s="46" t="s">
        <v>675</v>
      </c>
      <c r="AA49" s="46" t="s">
        <v>676</v>
      </c>
      <c r="AB49" s="46" t="s">
        <v>677</v>
      </c>
      <c r="AC49" s="46">
        <v>0</v>
      </c>
      <c r="AD49" s="46" t="s">
        <v>678</v>
      </c>
      <c r="AE49" s="46">
        <v>8</v>
      </c>
      <c r="AF49" s="46" t="s">
        <v>679</v>
      </c>
      <c r="AG49" s="46">
        <v>32420.385999999999</v>
      </c>
      <c r="AH49" s="46" t="b">
        <v>1</v>
      </c>
      <c r="AI49" s="46">
        <v>-1</v>
      </c>
      <c r="AJ49" s="46" t="s">
        <v>680</v>
      </c>
      <c r="AK49" s="46">
        <v>0</v>
      </c>
      <c r="AL49" s="46" t="b">
        <v>0</v>
      </c>
      <c r="AM49" s="46">
        <v>32420.385999999999</v>
      </c>
      <c r="AN49" s="46" t="b">
        <v>1</v>
      </c>
      <c r="AO49" s="46">
        <v>0</v>
      </c>
      <c r="AP49" s="46" t="b">
        <v>0</v>
      </c>
      <c r="AQ49" s="46">
        <v>14647.302</v>
      </c>
      <c r="AS49" s="46">
        <v>14647.302</v>
      </c>
      <c r="AT49" s="46">
        <v>6</v>
      </c>
      <c r="AU49" s="46" t="b">
        <v>0</v>
      </c>
      <c r="AV49" s="46" t="b">
        <v>1</v>
      </c>
    </row>
    <row r="50" spans="2:48">
      <c r="B50" s="46" t="s">
        <v>665</v>
      </c>
      <c r="C50" s="46" t="s">
        <v>666</v>
      </c>
      <c r="D50" s="46">
        <v>20231001</v>
      </c>
      <c r="E50" s="46">
        <v>2023</v>
      </c>
      <c r="F50" s="46">
        <v>10</v>
      </c>
      <c r="G50" s="46" t="s">
        <v>724</v>
      </c>
      <c r="H50" s="46">
        <v>818</v>
      </c>
      <c r="I50" s="46" t="s">
        <v>668</v>
      </c>
      <c r="J50" s="46" t="s">
        <v>57</v>
      </c>
      <c r="K50" s="46" t="s">
        <v>666</v>
      </c>
      <c r="L50" s="46" t="s">
        <v>669</v>
      </c>
      <c r="M50" s="46">
        <v>276</v>
      </c>
      <c r="N50" s="46" t="s">
        <v>681</v>
      </c>
      <c r="O50" s="46" t="s">
        <v>30</v>
      </c>
      <c r="P50" s="46">
        <v>0</v>
      </c>
      <c r="Q50" s="46" t="s">
        <v>670</v>
      </c>
      <c r="R50" s="46" t="s">
        <v>23</v>
      </c>
      <c r="S50" s="46" t="s">
        <v>671</v>
      </c>
      <c r="T50" s="46" t="s">
        <v>672</v>
      </c>
      <c r="U50" s="46" t="b">
        <v>1</v>
      </c>
      <c r="V50" s="46" t="s">
        <v>1021</v>
      </c>
      <c r="W50" s="46" t="s">
        <v>1020</v>
      </c>
      <c r="X50" s="46">
        <v>6</v>
      </c>
      <c r="Y50" s="46" t="b">
        <v>1</v>
      </c>
      <c r="Z50" s="46" t="s">
        <v>675</v>
      </c>
      <c r="AA50" s="46" t="s">
        <v>676</v>
      </c>
      <c r="AB50" s="46" t="s">
        <v>677</v>
      </c>
      <c r="AC50" s="46">
        <v>0</v>
      </c>
      <c r="AD50" s="46" t="s">
        <v>678</v>
      </c>
      <c r="AE50" s="46">
        <v>8</v>
      </c>
      <c r="AF50" s="46" t="s">
        <v>679</v>
      </c>
      <c r="AG50" s="46">
        <v>32420.385999999999</v>
      </c>
      <c r="AH50" s="46" t="b">
        <v>1</v>
      </c>
      <c r="AI50" s="46">
        <v>-1</v>
      </c>
      <c r="AJ50" s="46" t="s">
        <v>680</v>
      </c>
      <c r="AK50" s="46">
        <v>0</v>
      </c>
      <c r="AL50" s="46" t="b">
        <v>0</v>
      </c>
      <c r="AM50" s="46">
        <v>32420.385999999999</v>
      </c>
      <c r="AN50" s="46" t="b">
        <v>1</v>
      </c>
      <c r="AO50" s="46">
        <v>0</v>
      </c>
      <c r="AP50" s="46" t="b">
        <v>0</v>
      </c>
      <c r="AQ50" s="46">
        <v>14647.302</v>
      </c>
      <c r="AS50" s="46">
        <v>14647.302</v>
      </c>
      <c r="AT50" s="46">
        <v>6</v>
      </c>
      <c r="AU50" s="46" t="b">
        <v>1</v>
      </c>
      <c r="AV50" s="46" t="b">
        <v>0</v>
      </c>
    </row>
    <row r="51" spans="2:48">
      <c r="B51" s="46" t="s">
        <v>665</v>
      </c>
      <c r="C51" s="46" t="s">
        <v>666</v>
      </c>
      <c r="D51" s="46">
        <v>20231101</v>
      </c>
      <c r="E51" s="46">
        <v>2023</v>
      </c>
      <c r="F51" s="46">
        <v>11</v>
      </c>
      <c r="G51" s="46" t="s">
        <v>725</v>
      </c>
      <c r="H51" s="46">
        <v>818</v>
      </c>
      <c r="I51" s="46" t="s">
        <v>668</v>
      </c>
      <c r="J51" s="46" t="s">
        <v>57</v>
      </c>
      <c r="K51" s="46" t="s">
        <v>666</v>
      </c>
      <c r="L51" s="46" t="s">
        <v>669</v>
      </c>
      <c r="M51" s="46">
        <v>276</v>
      </c>
      <c r="N51" s="46" t="s">
        <v>681</v>
      </c>
      <c r="O51" s="46" t="s">
        <v>30</v>
      </c>
      <c r="P51" s="46">
        <v>0</v>
      </c>
      <c r="Q51" s="46" t="s">
        <v>670</v>
      </c>
      <c r="R51" s="46" t="s">
        <v>23</v>
      </c>
      <c r="S51" s="46" t="s">
        <v>671</v>
      </c>
      <c r="T51" s="46" t="s">
        <v>672</v>
      </c>
      <c r="U51" s="46" t="b">
        <v>1</v>
      </c>
      <c r="V51" s="46" t="s">
        <v>1021</v>
      </c>
      <c r="W51" s="46" t="s">
        <v>1020</v>
      </c>
      <c r="X51" s="46">
        <v>6</v>
      </c>
      <c r="Y51" s="46" t="b">
        <v>1</v>
      </c>
      <c r="Z51" s="46" t="s">
        <v>675</v>
      </c>
      <c r="AA51" s="46" t="s">
        <v>676</v>
      </c>
      <c r="AB51" s="46" t="s">
        <v>677</v>
      </c>
      <c r="AC51" s="46">
        <v>0</v>
      </c>
      <c r="AD51" s="46" t="s">
        <v>678</v>
      </c>
      <c r="AE51" s="46">
        <v>8</v>
      </c>
      <c r="AF51" s="46" t="s">
        <v>679</v>
      </c>
      <c r="AG51" s="46">
        <v>23508.444</v>
      </c>
      <c r="AH51" s="46" t="b">
        <v>1</v>
      </c>
      <c r="AI51" s="46">
        <v>-1</v>
      </c>
      <c r="AJ51" s="46" t="s">
        <v>680</v>
      </c>
      <c r="AK51" s="46">
        <v>0</v>
      </c>
      <c r="AL51" s="46" t="b">
        <v>0</v>
      </c>
      <c r="AM51" s="46">
        <v>23508.444</v>
      </c>
      <c r="AN51" s="46" t="b">
        <v>1</v>
      </c>
      <c r="AO51" s="46">
        <v>0</v>
      </c>
      <c r="AP51" s="46" t="b">
        <v>0</v>
      </c>
      <c r="AQ51" s="46">
        <v>10620.949000000001</v>
      </c>
      <c r="AS51" s="46">
        <v>10620.949000000001</v>
      </c>
      <c r="AT51" s="46">
        <v>6</v>
      </c>
      <c r="AU51" s="46" t="b">
        <v>1</v>
      </c>
      <c r="AV51" s="46" t="b">
        <v>0</v>
      </c>
    </row>
    <row r="52" spans="2:48">
      <c r="B52" s="46" t="s">
        <v>665</v>
      </c>
      <c r="C52" s="46" t="s">
        <v>666</v>
      </c>
      <c r="D52" s="46">
        <v>20231101</v>
      </c>
      <c r="E52" s="46">
        <v>2023</v>
      </c>
      <c r="F52" s="46">
        <v>11</v>
      </c>
      <c r="G52" s="46" t="s">
        <v>725</v>
      </c>
      <c r="H52" s="46">
        <v>818</v>
      </c>
      <c r="I52" s="46" t="s">
        <v>668</v>
      </c>
      <c r="J52" s="46" t="s">
        <v>57</v>
      </c>
      <c r="K52" s="46" t="s">
        <v>666</v>
      </c>
      <c r="L52" s="46" t="s">
        <v>669</v>
      </c>
      <c r="M52" s="46">
        <v>0</v>
      </c>
      <c r="N52" s="46" t="s">
        <v>670</v>
      </c>
      <c r="O52" s="46" t="s">
        <v>23</v>
      </c>
      <c r="P52" s="46">
        <v>0</v>
      </c>
      <c r="Q52" s="46" t="s">
        <v>670</v>
      </c>
      <c r="R52" s="46" t="s">
        <v>23</v>
      </c>
      <c r="S52" s="46" t="s">
        <v>671</v>
      </c>
      <c r="T52" s="46" t="s">
        <v>672</v>
      </c>
      <c r="U52" s="46" t="b">
        <v>1</v>
      </c>
      <c r="V52" s="46" t="s">
        <v>1021</v>
      </c>
      <c r="W52" s="46" t="s">
        <v>1020</v>
      </c>
      <c r="X52" s="46">
        <v>6</v>
      </c>
      <c r="Y52" s="46" t="b">
        <v>1</v>
      </c>
      <c r="Z52" s="46" t="s">
        <v>675</v>
      </c>
      <c r="AA52" s="46" t="s">
        <v>676</v>
      </c>
      <c r="AB52" s="46" t="s">
        <v>677</v>
      </c>
      <c r="AC52" s="46">
        <v>0</v>
      </c>
      <c r="AD52" s="46" t="s">
        <v>678</v>
      </c>
      <c r="AE52" s="46">
        <v>8</v>
      </c>
      <c r="AF52" s="46" t="s">
        <v>679</v>
      </c>
      <c r="AG52" s="46">
        <v>556698.91700000002</v>
      </c>
      <c r="AH52" s="46" t="b">
        <v>1</v>
      </c>
      <c r="AI52" s="46">
        <v>-1</v>
      </c>
      <c r="AJ52" s="46" t="s">
        <v>680</v>
      </c>
      <c r="AK52" s="46">
        <v>0</v>
      </c>
      <c r="AL52" s="46" t="b">
        <v>0</v>
      </c>
      <c r="AM52" s="46">
        <v>556698.91700000002</v>
      </c>
      <c r="AN52" s="46" t="b">
        <v>1</v>
      </c>
      <c r="AO52" s="46">
        <v>0</v>
      </c>
      <c r="AP52" s="46" t="b">
        <v>0</v>
      </c>
      <c r="AQ52" s="46">
        <v>251512.64499999999</v>
      </c>
      <c r="AS52" s="46">
        <v>251512.64499999999</v>
      </c>
      <c r="AT52" s="46">
        <v>6</v>
      </c>
      <c r="AU52" s="46" t="b">
        <v>0</v>
      </c>
      <c r="AV52" s="46" t="b">
        <v>1</v>
      </c>
    </row>
    <row r="53" spans="2:48">
      <c r="B53" s="46" t="s">
        <v>665</v>
      </c>
      <c r="C53" s="46" t="s">
        <v>666</v>
      </c>
      <c r="D53" s="46">
        <v>20231101</v>
      </c>
      <c r="E53" s="46">
        <v>2023</v>
      </c>
      <c r="F53" s="46">
        <v>11</v>
      </c>
      <c r="G53" s="46" t="s">
        <v>725</v>
      </c>
      <c r="H53" s="46">
        <v>818</v>
      </c>
      <c r="I53" s="46" t="s">
        <v>668</v>
      </c>
      <c r="J53" s="46" t="s">
        <v>57</v>
      </c>
      <c r="K53" s="46" t="s">
        <v>666</v>
      </c>
      <c r="L53" s="46" t="s">
        <v>669</v>
      </c>
      <c r="M53" s="46">
        <v>156</v>
      </c>
      <c r="N53" s="46" t="s">
        <v>711</v>
      </c>
      <c r="O53" s="46" t="s">
        <v>29</v>
      </c>
      <c r="P53" s="46">
        <v>0</v>
      </c>
      <c r="Q53" s="46" t="s">
        <v>670</v>
      </c>
      <c r="R53" s="46" t="s">
        <v>23</v>
      </c>
      <c r="S53" s="46" t="s">
        <v>671</v>
      </c>
      <c r="T53" s="46" t="s">
        <v>672</v>
      </c>
      <c r="U53" s="46" t="b">
        <v>1</v>
      </c>
      <c r="V53" s="46" t="s">
        <v>1021</v>
      </c>
      <c r="W53" s="46" t="s">
        <v>1020</v>
      </c>
      <c r="X53" s="46">
        <v>6</v>
      </c>
      <c r="Y53" s="46" t="b">
        <v>1</v>
      </c>
      <c r="Z53" s="46" t="s">
        <v>675</v>
      </c>
      <c r="AA53" s="46" t="s">
        <v>676</v>
      </c>
      <c r="AB53" s="46" t="s">
        <v>677</v>
      </c>
      <c r="AC53" s="46">
        <v>0</v>
      </c>
      <c r="AD53" s="46" t="s">
        <v>678</v>
      </c>
      <c r="AE53" s="46">
        <v>8</v>
      </c>
      <c r="AF53" s="46" t="s">
        <v>679</v>
      </c>
      <c r="AG53" s="46">
        <v>81921.150999999998</v>
      </c>
      <c r="AH53" s="46" t="b">
        <v>1</v>
      </c>
      <c r="AI53" s="46">
        <v>-1</v>
      </c>
      <c r="AJ53" s="46" t="s">
        <v>680</v>
      </c>
      <c r="AK53" s="46">
        <v>0</v>
      </c>
      <c r="AL53" s="46" t="b">
        <v>0</v>
      </c>
      <c r="AM53" s="46">
        <v>81921.150999999998</v>
      </c>
      <c r="AN53" s="46" t="b">
        <v>1</v>
      </c>
      <c r="AO53" s="46">
        <v>0</v>
      </c>
      <c r="AP53" s="46" t="b">
        <v>0</v>
      </c>
      <c r="AQ53" s="46">
        <v>37011.398000000001</v>
      </c>
      <c r="AS53" s="46">
        <v>37011.398000000001</v>
      </c>
      <c r="AT53" s="46">
        <v>6</v>
      </c>
      <c r="AU53" s="46" t="b">
        <v>1</v>
      </c>
      <c r="AV53" s="46" t="b">
        <v>0</v>
      </c>
    </row>
    <row r="54" spans="2:48">
      <c r="B54" s="46" t="s">
        <v>665</v>
      </c>
      <c r="C54" s="46" t="s">
        <v>666</v>
      </c>
      <c r="D54" s="46">
        <v>20231101</v>
      </c>
      <c r="E54" s="46">
        <v>2023</v>
      </c>
      <c r="F54" s="46">
        <v>11</v>
      </c>
      <c r="G54" s="46" t="s">
        <v>725</v>
      </c>
      <c r="H54" s="46">
        <v>818</v>
      </c>
      <c r="I54" s="46" t="s">
        <v>668</v>
      </c>
      <c r="J54" s="46" t="s">
        <v>57</v>
      </c>
      <c r="K54" s="46" t="s">
        <v>666</v>
      </c>
      <c r="L54" s="46" t="s">
        <v>669</v>
      </c>
      <c r="M54" s="46">
        <v>414</v>
      </c>
      <c r="N54" s="46" t="s">
        <v>1017</v>
      </c>
      <c r="O54" s="46" t="s">
        <v>124</v>
      </c>
      <c r="P54" s="46">
        <v>0</v>
      </c>
      <c r="Q54" s="46" t="s">
        <v>670</v>
      </c>
      <c r="R54" s="46" t="s">
        <v>23</v>
      </c>
      <c r="S54" s="46" t="s">
        <v>671</v>
      </c>
      <c r="T54" s="46" t="s">
        <v>672</v>
      </c>
      <c r="U54" s="46" t="b">
        <v>1</v>
      </c>
      <c r="V54" s="46" t="s">
        <v>1021</v>
      </c>
      <c r="W54" s="46" t="s">
        <v>1020</v>
      </c>
      <c r="X54" s="46">
        <v>6</v>
      </c>
      <c r="Y54" s="46" t="b">
        <v>1</v>
      </c>
      <c r="Z54" s="46" t="s">
        <v>675</v>
      </c>
      <c r="AA54" s="46" t="s">
        <v>676</v>
      </c>
      <c r="AB54" s="46" t="s">
        <v>677</v>
      </c>
      <c r="AC54" s="46">
        <v>0</v>
      </c>
      <c r="AD54" s="46" t="s">
        <v>678</v>
      </c>
      <c r="AE54" s="46">
        <v>8</v>
      </c>
      <c r="AF54" s="46" t="s">
        <v>679</v>
      </c>
      <c r="AG54" s="46">
        <v>421895.489</v>
      </c>
      <c r="AH54" s="46" t="b">
        <v>1</v>
      </c>
      <c r="AI54" s="46">
        <v>-1</v>
      </c>
      <c r="AJ54" s="46" t="s">
        <v>680</v>
      </c>
      <c r="AK54" s="46">
        <v>0</v>
      </c>
      <c r="AL54" s="46" t="b">
        <v>0</v>
      </c>
      <c r="AM54" s="46">
        <v>421895.489</v>
      </c>
      <c r="AN54" s="46" t="b">
        <v>1</v>
      </c>
      <c r="AO54" s="46">
        <v>0</v>
      </c>
      <c r="AP54" s="46" t="b">
        <v>0</v>
      </c>
      <c r="AQ54" s="46">
        <v>190609.40599999999</v>
      </c>
      <c r="AS54" s="46">
        <v>190609.40599999999</v>
      </c>
      <c r="AT54" s="46">
        <v>6</v>
      </c>
      <c r="AU54" s="46" t="b">
        <v>1</v>
      </c>
      <c r="AV54" s="46" t="b">
        <v>0</v>
      </c>
    </row>
    <row r="55" spans="2:48">
      <c r="B55" s="46" t="s">
        <v>665</v>
      </c>
      <c r="C55" s="46" t="s">
        <v>666</v>
      </c>
      <c r="D55" s="46">
        <v>20231101</v>
      </c>
      <c r="E55" s="46">
        <v>2023</v>
      </c>
      <c r="F55" s="46">
        <v>11</v>
      </c>
      <c r="G55" s="46" t="s">
        <v>725</v>
      </c>
      <c r="H55" s="46">
        <v>818</v>
      </c>
      <c r="I55" s="46" t="s">
        <v>668</v>
      </c>
      <c r="J55" s="46" t="s">
        <v>57</v>
      </c>
      <c r="K55" s="46" t="s">
        <v>666</v>
      </c>
      <c r="L55" s="46" t="s">
        <v>669</v>
      </c>
      <c r="M55" s="46">
        <v>251</v>
      </c>
      <c r="N55" s="46" t="s">
        <v>688</v>
      </c>
      <c r="O55" s="46" t="s">
        <v>69</v>
      </c>
      <c r="P55" s="46">
        <v>0</v>
      </c>
      <c r="Q55" s="46" t="s">
        <v>670</v>
      </c>
      <c r="R55" s="46" t="s">
        <v>23</v>
      </c>
      <c r="S55" s="46" t="s">
        <v>671</v>
      </c>
      <c r="T55" s="46" t="s">
        <v>672</v>
      </c>
      <c r="U55" s="46" t="b">
        <v>1</v>
      </c>
      <c r="V55" s="46" t="s">
        <v>1021</v>
      </c>
      <c r="W55" s="46" t="s">
        <v>1020</v>
      </c>
      <c r="X55" s="46">
        <v>6</v>
      </c>
      <c r="Y55" s="46" t="b">
        <v>1</v>
      </c>
      <c r="Z55" s="46" t="s">
        <v>675</v>
      </c>
      <c r="AA55" s="46" t="s">
        <v>676</v>
      </c>
      <c r="AB55" s="46" t="s">
        <v>677</v>
      </c>
      <c r="AC55" s="46">
        <v>0</v>
      </c>
      <c r="AD55" s="46" t="s">
        <v>678</v>
      </c>
      <c r="AE55" s="46">
        <v>8</v>
      </c>
      <c r="AF55" s="46" t="s">
        <v>679</v>
      </c>
      <c r="AG55" s="46">
        <v>29373.832999999999</v>
      </c>
      <c r="AH55" s="46" t="b">
        <v>1</v>
      </c>
      <c r="AI55" s="46">
        <v>-1</v>
      </c>
      <c r="AJ55" s="46" t="s">
        <v>680</v>
      </c>
      <c r="AK55" s="46">
        <v>0</v>
      </c>
      <c r="AL55" s="46" t="b">
        <v>0</v>
      </c>
      <c r="AM55" s="46">
        <v>29373.832999999999</v>
      </c>
      <c r="AN55" s="46" t="b">
        <v>1</v>
      </c>
      <c r="AO55" s="46">
        <v>0</v>
      </c>
      <c r="AP55" s="46" t="b">
        <v>0</v>
      </c>
      <c r="AQ55" s="46">
        <v>13270.891</v>
      </c>
      <c r="AS55" s="46">
        <v>13270.891</v>
      </c>
      <c r="AT55" s="46">
        <v>6</v>
      </c>
      <c r="AU55" s="46" t="b">
        <v>1</v>
      </c>
      <c r="AV55" s="46" t="b">
        <v>0</v>
      </c>
    </row>
    <row r="56" spans="2:48">
      <c r="B56" s="46" t="s">
        <v>665</v>
      </c>
      <c r="C56" s="46" t="s">
        <v>666</v>
      </c>
      <c r="D56" s="46">
        <v>20231201</v>
      </c>
      <c r="E56" s="46">
        <v>2023</v>
      </c>
      <c r="F56" s="46">
        <v>12</v>
      </c>
      <c r="G56" s="46" t="s">
        <v>726</v>
      </c>
      <c r="H56" s="46">
        <v>818</v>
      </c>
      <c r="I56" s="46" t="s">
        <v>668</v>
      </c>
      <c r="J56" s="46" t="s">
        <v>57</v>
      </c>
      <c r="K56" s="46" t="s">
        <v>666</v>
      </c>
      <c r="L56" s="46" t="s">
        <v>669</v>
      </c>
      <c r="M56" s="46">
        <v>0</v>
      </c>
      <c r="N56" s="46" t="s">
        <v>670</v>
      </c>
      <c r="O56" s="46" t="s">
        <v>23</v>
      </c>
      <c r="P56" s="46">
        <v>0</v>
      </c>
      <c r="Q56" s="46" t="s">
        <v>670</v>
      </c>
      <c r="R56" s="46" t="s">
        <v>23</v>
      </c>
      <c r="S56" s="46" t="s">
        <v>671</v>
      </c>
      <c r="T56" s="46" t="s">
        <v>672</v>
      </c>
      <c r="U56" s="46" t="b">
        <v>1</v>
      </c>
      <c r="V56" s="46" t="s">
        <v>1021</v>
      </c>
      <c r="W56" s="46" t="s">
        <v>1020</v>
      </c>
      <c r="X56" s="46">
        <v>6</v>
      </c>
      <c r="Y56" s="46" t="b">
        <v>1</v>
      </c>
      <c r="Z56" s="46" t="s">
        <v>675</v>
      </c>
      <c r="AA56" s="46" t="s">
        <v>676</v>
      </c>
      <c r="AB56" s="46" t="s">
        <v>677</v>
      </c>
      <c r="AC56" s="46">
        <v>0</v>
      </c>
      <c r="AD56" s="46" t="s">
        <v>678</v>
      </c>
      <c r="AE56" s="46">
        <v>8</v>
      </c>
      <c r="AF56" s="46" t="s">
        <v>679</v>
      </c>
      <c r="AG56" s="46">
        <v>62437.163</v>
      </c>
      <c r="AH56" s="46" t="b">
        <v>1</v>
      </c>
      <c r="AI56" s="46">
        <v>-1</v>
      </c>
      <c r="AJ56" s="46" t="s">
        <v>680</v>
      </c>
      <c r="AK56" s="46">
        <v>0</v>
      </c>
      <c r="AL56" s="46" t="b">
        <v>0</v>
      </c>
      <c r="AM56" s="46">
        <v>62437.163</v>
      </c>
      <c r="AN56" s="46" t="b">
        <v>1</v>
      </c>
      <c r="AO56" s="46">
        <v>0</v>
      </c>
      <c r="AP56" s="46" t="b">
        <v>0</v>
      </c>
      <c r="AQ56" s="46">
        <v>28208.67</v>
      </c>
      <c r="AS56" s="46">
        <v>28208.67</v>
      </c>
      <c r="AT56" s="46">
        <v>6</v>
      </c>
      <c r="AU56" s="46" t="b">
        <v>0</v>
      </c>
      <c r="AV56" s="46" t="b">
        <v>1</v>
      </c>
    </row>
    <row r="57" spans="2:48">
      <c r="B57" s="46" t="s">
        <v>665</v>
      </c>
      <c r="C57" s="46" t="s">
        <v>666</v>
      </c>
      <c r="D57" s="46">
        <v>20231201</v>
      </c>
      <c r="E57" s="46">
        <v>2023</v>
      </c>
      <c r="F57" s="46">
        <v>12</v>
      </c>
      <c r="G57" s="46" t="s">
        <v>726</v>
      </c>
      <c r="H57" s="46">
        <v>818</v>
      </c>
      <c r="I57" s="46" t="s">
        <v>668</v>
      </c>
      <c r="J57" s="46" t="s">
        <v>57</v>
      </c>
      <c r="K57" s="46" t="s">
        <v>666</v>
      </c>
      <c r="L57" s="46" t="s">
        <v>669</v>
      </c>
      <c r="M57" s="46">
        <v>56</v>
      </c>
      <c r="N57" s="46" t="s">
        <v>696</v>
      </c>
      <c r="O57" s="46" t="s">
        <v>74</v>
      </c>
      <c r="P57" s="46">
        <v>0</v>
      </c>
      <c r="Q57" s="46" t="s">
        <v>670</v>
      </c>
      <c r="R57" s="46" t="s">
        <v>23</v>
      </c>
      <c r="S57" s="46" t="s">
        <v>671</v>
      </c>
      <c r="T57" s="46" t="s">
        <v>672</v>
      </c>
      <c r="U57" s="46" t="b">
        <v>1</v>
      </c>
      <c r="V57" s="46" t="s">
        <v>1021</v>
      </c>
      <c r="W57" s="46" t="s">
        <v>1020</v>
      </c>
      <c r="X57" s="46">
        <v>6</v>
      </c>
      <c r="Y57" s="46" t="b">
        <v>1</v>
      </c>
      <c r="Z57" s="46" t="s">
        <v>675</v>
      </c>
      <c r="AA57" s="46" t="s">
        <v>676</v>
      </c>
      <c r="AB57" s="46" t="s">
        <v>677</v>
      </c>
      <c r="AC57" s="46">
        <v>0</v>
      </c>
      <c r="AD57" s="46" t="s">
        <v>678</v>
      </c>
      <c r="AE57" s="46">
        <v>8</v>
      </c>
      <c r="AF57" s="46" t="s">
        <v>679</v>
      </c>
      <c r="AG57" s="46">
        <v>62437.163</v>
      </c>
      <c r="AH57" s="46" t="b">
        <v>1</v>
      </c>
      <c r="AI57" s="46">
        <v>-1</v>
      </c>
      <c r="AJ57" s="46" t="s">
        <v>680</v>
      </c>
      <c r="AK57" s="46">
        <v>0</v>
      </c>
      <c r="AL57" s="46" t="b">
        <v>0</v>
      </c>
      <c r="AM57" s="46">
        <v>62437.163</v>
      </c>
      <c r="AN57" s="46" t="b">
        <v>1</v>
      </c>
      <c r="AO57" s="46">
        <v>0</v>
      </c>
      <c r="AP57" s="46" t="b">
        <v>0</v>
      </c>
      <c r="AQ57" s="46">
        <v>28208.67</v>
      </c>
      <c r="AS57" s="46">
        <v>28208.67</v>
      </c>
      <c r="AT57" s="46">
        <v>6</v>
      </c>
      <c r="AU57" s="46" t="b">
        <v>1</v>
      </c>
      <c r="AV57" s="46" t="b">
        <v>0</v>
      </c>
    </row>
    <row r="58" spans="2:48">
      <c r="B58" s="46" t="s">
        <v>665</v>
      </c>
      <c r="C58" s="46" t="s">
        <v>666</v>
      </c>
      <c r="D58" s="46">
        <v>20240201</v>
      </c>
      <c r="E58" s="46">
        <v>2024</v>
      </c>
      <c r="F58" s="46">
        <v>2</v>
      </c>
      <c r="G58" s="46" t="s">
        <v>687</v>
      </c>
      <c r="H58" s="46">
        <v>818</v>
      </c>
      <c r="I58" s="46" t="s">
        <v>668</v>
      </c>
      <c r="J58" s="46" t="s">
        <v>57</v>
      </c>
      <c r="K58" s="46" t="s">
        <v>666</v>
      </c>
      <c r="L58" s="46" t="s">
        <v>669</v>
      </c>
      <c r="M58" s="46">
        <v>0</v>
      </c>
      <c r="N58" s="46" t="s">
        <v>670</v>
      </c>
      <c r="O58" s="46" t="s">
        <v>23</v>
      </c>
      <c r="P58" s="46">
        <v>0</v>
      </c>
      <c r="Q58" s="46" t="s">
        <v>670</v>
      </c>
      <c r="R58" s="46" t="s">
        <v>23</v>
      </c>
      <c r="S58" s="46" t="s">
        <v>671</v>
      </c>
      <c r="T58" s="46" t="s">
        <v>672</v>
      </c>
      <c r="U58" s="46" t="b">
        <v>1</v>
      </c>
      <c r="V58" s="46" t="s">
        <v>1021</v>
      </c>
      <c r="W58" s="46" t="s">
        <v>1020</v>
      </c>
      <c r="X58" s="46">
        <v>6</v>
      </c>
      <c r="Y58" s="46" t="b">
        <v>1</v>
      </c>
      <c r="Z58" s="46" t="s">
        <v>675</v>
      </c>
      <c r="AA58" s="46" t="s">
        <v>676</v>
      </c>
      <c r="AB58" s="46" t="s">
        <v>677</v>
      </c>
      <c r="AC58" s="46">
        <v>0</v>
      </c>
      <c r="AD58" s="46" t="s">
        <v>678</v>
      </c>
      <c r="AE58" s="46">
        <v>8</v>
      </c>
      <c r="AF58" s="46" t="s">
        <v>679</v>
      </c>
      <c r="AG58" s="46">
        <v>28901.21</v>
      </c>
      <c r="AH58" s="46" t="b">
        <v>1</v>
      </c>
      <c r="AI58" s="46">
        <v>-1</v>
      </c>
      <c r="AJ58" s="46" t="s">
        <v>680</v>
      </c>
      <c r="AK58" s="46">
        <v>0</v>
      </c>
      <c r="AL58" s="46" t="b">
        <v>0</v>
      </c>
      <c r="AM58" s="46">
        <v>28901.21</v>
      </c>
      <c r="AN58" s="46" t="b">
        <v>1</v>
      </c>
      <c r="AO58" s="46">
        <v>0</v>
      </c>
      <c r="AP58" s="46" t="b">
        <v>0</v>
      </c>
      <c r="AQ58" s="46">
        <v>13057.362999999999</v>
      </c>
      <c r="AS58" s="46">
        <v>13057.362999999999</v>
      </c>
      <c r="AT58" s="46">
        <v>6</v>
      </c>
      <c r="AU58" s="46" t="b">
        <v>0</v>
      </c>
      <c r="AV58" s="46" t="b">
        <v>1</v>
      </c>
    </row>
    <row r="59" spans="2:48">
      <c r="B59" s="46" t="s">
        <v>665</v>
      </c>
      <c r="C59" s="46" t="s">
        <v>666</v>
      </c>
      <c r="D59" s="46">
        <v>20240301</v>
      </c>
      <c r="E59" s="46">
        <v>2024</v>
      </c>
      <c r="F59" s="46">
        <v>3</v>
      </c>
      <c r="G59" s="46" t="s">
        <v>692</v>
      </c>
      <c r="H59" s="46">
        <v>818</v>
      </c>
      <c r="I59" s="46" t="s">
        <v>668</v>
      </c>
      <c r="J59" s="46" t="s">
        <v>57</v>
      </c>
      <c r="K59" s="46" t="s">
        <v>666</v>
      </c>
      <c r="L59" s="46" t="s">
        <v>669</v>
      </c>
      <c r="M59" s="46">
        <v>0</v>
      </c>
      <c r="N59" s="46" t="s">
        <v>670</v>
      </c>
      <c r="O59" s="46" t="s">
        <v>23</v>
      </c>
      <c r="P59" s="46">
        <v>0</v>
      </c>
      <c r="Q59" s="46" t="s">
        <v>670</v>
      </c>
      <c r="R59" s="46" t="s">
        <v>23</v>
      </c>
      <c r="S59" s="46" t="s">
        <v>671</v>
      </c>
      <c r="T59" s="46" t="s">
        <v>672</v>
      </c>
      <c r="U59" s="46" t="b">
        <v>1</v>
      </c>
      <c r="V59" s="46" t="s">
        <v>1021</v>
      </c>
      <c r="W59" s="46" t="s">
        <v>1020</v>
      </c>
      <c r="X59" s="46">
        <v>6</v>
      </c>
      <c r="Y59" s="46" t="b">
        <v>1</v>
      </c>
      <c r="Z59" s="46" t="s">
        <v>675</v>
      </c>
      <c r="AA59" s="46" t="s">
        <v>676</v>
      </c>
      <c r="AB59" s="46" t="s">
        <v>677</v>
      </c>
      <c r="AC59" s="46">
        <v>0</v>
      </c>
      <c r="AD59" s="46" t="s">
        <v>678</v>
      </c>
      <c r="AE59" s="46">
        <v>8</v>
      </c>
      <c r="AF59" s="46" t="s">
        <v>679</v>
      </c>
      <c r="AG59" s="46">
        <v>2221.6959999999999</v>
      </c>
      <c r="AH59" s="46" t="b">
        <v>1</v>
      </c>
      <c r="AI59" s="46">
        <v>-1</v>
      </c>
      <c r="AJ59" s="46" t="s">
        <v>680</v>
      </c>
      <c r="AK59" s="46">
        <v>0</v>
      </c>
      <c r="AL59" s="46" t="b">
        <v>0</v>
      </c>
      <c r="AM59" s="46">
        <v>2221.6959999999999</v>
      </c>
      <c r="AN59" s="46" t="b">
        <v>1</v>
      </c>
      <c r="AO59" s="46">
        <v>0</v>
      </c>
      <c r="AP59" s="46" t="b">
        <v>0</v>
      </c>
      <c r="AQ59" s="46">
        <v>1003.747</v>
      </c>
      <c r="AS59" s="46">
        <v>1003.747</v>
      </c>
      <c r="AT59" s="46">
        <v>6</v>
      </c>
      <c r="AU59" s="46" t="b">
        <v>0</v>
      </c>
      <c r="AV59" s="46" t="b">
        <v>1</v>
      </c>
    </row>
    <row r="60" spans="2:48">
      <c r="B60" s="46" t="s">
        <v>665</v>
      </c>
      <c r="C60" s="46" t="s">
        <v>666</v>
      </c>
      <c r="D60" s="46">
        <v>20240401</v>
      </c>
      <c r="E60" s="46">
        <v>2024</v>
      </c>
      <c r="F60" s="46">
        <v>4</v>
      </c>
      <c r="G60" s="46" t="s">
        <v>695</v>
      </c>
      <c r="H60" s="46">
        <v>818</v>
      </c>
      <c r="I60" s="46" t="s">
        <v>668</v>
      </c>
      <c r="J60" s="46" t="s">
        <v>57</v>
      </c>
      <c r="K60" s="46" t="s">
        <v>666</v>
      </c>
      <c r="L60" s="46" t="s">
        <v>669</v>
      </c>
      <c r="M60" s="46">
        <v>0</v>
      </c>
      <c r="N60" s="46" t="s">
        <v>670</v>
      </c>
      <c r="O60" s="46" t="s">
        <v>23</v>
      </c>
      <c r="P60" s="46">
        <v>0</v>
      </c>
      <c r="Q60" s="46" t="s">
        <v>670</v>
      </c>
      <c r="R60" s="46" t="s">
        <v>23</v>
      </c>
      <c r="S60" s="46" t="s">
        <v>671</v>
      </c>
      <c r="T60" s="46" t="s">
        <v>672</v>
      </c>
      <c r="U60" s="46" t="b">
        <v>1</v>
      </c>
      <c r="V60" s="46" t="s">
        <v>1021</v>
      </c>
      <c r="W60" s="46" t="s">
        <v>1020</v>
      </c>
      <c r="X60" s="46">
        <v>6</v>
      </c>
      <c r="Y60" s="46" t="b">
        <v>1</v>
      </c>
      <c r="Z60" s="46" t="s">
        <v>675</v>
      </c>
      <c r="AA60" s="46" t="s">
        <v>676</v>
      </c>
      <c r="AB60" s="46" t="s">
        <v>677</v>
      </c>
      <c r="AC60" s="46">
        <v>0</v>
      </c>
      <c r="AD60" s="46" t="s">
        <v>678</v>
      </c>
      <c r="AE60" s="46">
        <v>8</v>
      </c>
      <c r="AF60" s="46" t="s">
        <v>679</v>
      </c>
      <c r="AG60" s="46">
        <v>23129.641</v>
      </c>
      <c r="AH60" s="46" t="b">
        <v>1</v>
      </c>
      <c r="AI60" s="46">
        <v>-1</v>
      </c>
      <c r="AJ60" s="46" t="s">
        <v>680</v>
      </c>
      <c r="AK60" s="46">
        <v>0</v>
      </c>
      <c r="AL60" s="46" t="b">
        <v>0</v>
      </c>
      <c r="AM60" s="46">
        <v>23129.641</v>
      </c>
      <c r="AN60" s="46" t="b">
        <v>1</v>
      </c>
      <c r="AO60" s="46">
        <v>0</v>
      </c>
      <c r="AP60" s="46" t="b">
        <v>0</v>
      </c>
      <c r="AQ60" s="46">
        <v>10449.808999999999</v>
      </c>
      <c r="AS60" s="46">
        <v>10449.808999999999</v>
      </c>
      <c r="AT60" s="46">
        <v>6</v>
      </c>
      <c r="AU60" s="46" t="b">
        <v>0</v>
      </c>
      <c r="AV60" s="46" t="b">
        <v>1</v>
      </c>
    </row>
    <row r="61" spans="2:48">
      <c r="B61" s="46" t="s">
        <v>665</v>
      </c>
      <c r="C61" s="46" t="s">
        <v>666</v>
      </c>
      <c r="D61" s="46">
        <v>20240501</v>
      </c>
      <c r="E61" s="46">
        <v>2024</v>
      </c>
      <c r="F61" s="46">
        <v>5</v>
      </c>
      <c r="G61" s="46" t="s">
        <v>699</v>
      </c>
      <c r="H61" s="46">
        <v>818</v>
      </c>
      <c r="I61" s="46" t="s">
        <v>668</v>
      </c>
      <c r="J61" s="46" t="s">
        <v>57</v>
      </c>
      <c r="K61" s="46" t="s">
        <v>666</v>
      </c>
      <c r="L61" s="46" t="s">
        <v>669</v>
      </c>
      <c r="M61" s="46">
        <v>0</v>
      </c>
      <c r="N61" s="46" t="s">
        <v>670</v>
      </c>
      <c r="O61" s="46" t="s">
        <v>23</v>
      </c>
      <c r="P61" s="46">
        <v>0</v>
      </c>
      <c r="Q61" s="46" t="s">
        <v>670</v>
      </c>
      <c r="R61" s="46" t="s">
        <v>23</v>
      </c>
      <c r="S61" s="46" t="s">
        <v>671</v>
      </c>
      <c r="T61" s="46" t="s">
        <v>672</v>
      </c>
      <c r="U61" s="46" t="b">
        <v>1</v>
      </c>
      <c r="V61" s="46" t="s">
        <v>1021</v>
      </c>
      <c r="W61" s="46" t="s">
        <v>1020</v>
      </c>
      <c r="X61" s="46">
        <v>6</v>
      </c>
      <c r="Y61" s="46" t="b">
        <v>1</v>
      </c>
      <c r="Z61" s="46" t="s">
        <v>675</v>
      </c>
      <c r="AA61" s="46" t="s">
        <v>676</v>
      </c>
      <c r="AB61" s="46" t="s">
        <v>677</v>
      </c>
      <c r="AC61" s="46">
        <v>0</v>
      </c>
      <c r="AD61" s="46" t="s">
        <v>678</v>
      </c>
      <c r="AE61" s="46">
        <v>8</v>
      </c>
      <c r="AF61" s="46" t="s">
        <v>679</v>
      </c>
      <c r="AG61" s="46">
        <v>10615.54</v>
      </c>
      <c r="AH61" s="46" t="b">
        <v>1</v>
      </c>
      <c r="AI61" s="46">
        <v>-1</v>
      </c>
      <c r="AJ61" s="46" t="s">
        <v>680</v>
      </c>
      <c r="AK61" s="46">
        <v>0</v>
      </c>
      <c r="AL61" s="46" t="b">
        <v>0</v>
      </c>
      <c r="AM61" s="46">
        <v>10615.54</v>
      </c>
      <c r="AN61" s="46" t="b">
        <v>1</v>
      </c>
      <c r="AO61" s="46">
        <v>0</v>
      </c>
      <c r="AP61" s="46" t="b">
        <v>0</v>
      </c>
      <c r="AQ61" s="46">
        <v>4796.0259999999998</v>
      </c>
      <c r="AS61" s="46">
        <v>4796.0259999999998</v>
      </c>
      <c r="AT61" s="46">
        <v>6</v>
      </c>
      <c r="AU61" s="46" t="b">
        <v>0</v>
      </c>
      <c r="AV61" s="46" t="b">
        <v>1</v>
      </c>
    </row>
    <row r="62" spans="2:48">
      <c r="B62" s="46" t="s">
        <v>665</v>
      </c>
      <c r="C62" s="46" t="s">
        <v>666</v>
      </c>
      <c r="D62" s="46">
        <v>20240601</v>
      </c>
      <c r="E62" s="46">
        <v>2024</v>
      </c>
      <c r="F62" s="46">
        <v>6</v>
      </c>
      <c r="G62" s="46" t="s">
        <v>700</v>
      </c>
      <c r="H62" s="46">
        <v>818</v>
      </c>
      <c r="I62" s="46" t="s">
        <v>668</v>
      </c>
      <c r="J62" s="46" t="s">
        <v>57</v>
      </c>
      <c r="K62" s="46" t="s">
        <v>666</v>
      </c>
      <c r="L62" s="46" t="s">
        <v>669</v>
      </c>
      <c r="M62" s="46">
        <v>0</v>
      </c>
      <c r="N62" s="46" t="s">
        <v>670</v>
      </c>
      <c r="O62" s="46" t="s">
        <v>23</v>
      </c>
      <c r="P62" s="46">
        <v>0</v>
      </c>
      <c r="Q62" s="46" t="s">
        <v>670</v>
      </c>
      <c r="R62" s="46" t="s">
        <v>23</v>
      </c>
      <c r="S62" s="46" t="s">
        <v>671</v>
      </c>
      <c r="T62" s="46" t="s">
        <v>672</v>
      </c>
      <c r="U62" s="46" t="b">
        <v>1</v>
      </c>
      <c r="V62" s="46" t="s">
        <v>1021</v>
      </c>
      <c r="W62" s="46" t="s">
        <v>1020</v>
      </c>
      <c r="X62" s="46">
        <v>6</v>
      </c>
      <c r="Y62" s="46" t="b">
        <v>1</v>
      </c>
      <c r="Z62" s="46" t="s">
        <v>675</v>
      </c>
      <c r="AA62" s="46" t="s">
        <v>676</v>
      </c>
      <c r="AB62" s="46" t="s">
        <v>677</v>
      </c>
      <c r="AC62" s="46">
        <v>0</v>
      </c>
      <c r="AD62" s="46" t="s">
        <v>678</v>
      </c>
      <c r="AE62" s="46">
        <v>8</v>
      </c>
      <c r="AF62" s="46" t="s">
        <v>679</v>
      </c>
      <c r="AG62" s="46">
        <v>72085.304000000004</v>
      </c>
      <c r="AH62" s="46" t="b">
        <v>1</v>
      </c>
      <c r="AI62" s="46">
        <v>-1</v>
      </c>
      <c r="AJ62" s="46" t="s">
        <v>680</v>
      </c>
      <c r="AK62" s="46">
        <v>0</v>
      </c>
      <c r="AL62" s="46" t="b">
        <v>0</v>
      </c>
      <c r="AM62" s="46">
        <v>72085.304000000004</v>
      </c>
      <c r="AN62" s="46" t="b">
        <v>1</v>
      </c>
      <c r="AO62" s="46">
        <v>0</v>
      </c>
      <c r="AP62" s="46" t="b">
        <v>0</v>
      </c>
      <c r="AQ62" s="46">
        <v>32567.632000000001</v>
      </c>
      <c r="AS62" s="46">
        <v>32567.632000000001</v>
      </c>
      <c r="AT62" s="46">
        <v>6</v>
      </c>
      <c r="AU62" s="46" t="b">
        <v>0</v>
      </c>
      <c r="AV62" s="46" t="b">
        <v>1</v>
      </c>
    </row>
    <row r="63" spans="2:48">
      <c r="B63" s="46" t="s">
        <v>665</v>
      </c>
      <c r="C63" s="46" t="s">
        <v>666</v>
      </c>
      <c r="D63" s="46">
        <v>20240101</v>
      </c>
      <c r="E63" s="46">
        <v>2024</v>
      </c>
      <c r="F63" s="46">
        <v>1</v>
      </c>
      <c r="G63" s="46" t="s">
        <v>667</v>
      </c>
      <c r="H63" s="46">
        <v>818</v>
      </c>
      <c r="I63" s="46" t="s">
        <v>668</v>
      </c>
      <c r="J63" s="46" t="s">
        <v>57</v>
      </c>
      <c r="K63" s="46" t="s">
        <v>666</v>
      </c>
      <c r="L63" s="46" t="s">
        <v>669</v>
      </c>
      <c r="M63" s="46">
        <v>0</v>
      </c>
      <c r="N63" s="46" t="s">
        <v>670</v>
      </c>
      <c r="O63" s="46" t="s">
        <v>23</v>
      </c>
      <c r="P63" s="46">
        <v>0</v>
      </c>
      <c r="Q63" s="46" t="s">
        <v>670</v>
      </c>
      <c r="R63" s="46" t="s">
        <v>23</v>
      </c>
      <c r="S63" s="46" t="s">
        <v>671</v>
      </c>
      <c r="T63" s="46" t="s">
        <v>672</v>
      </c>
      <c r="U63" s="46" t="b">
        <v>1</v>
      </c>
      <c r="V63" s="46" t="s">
        <v>1021</v>
      </c>
      <c r="W63" s="46" t="s">
        <v>1020</v>
      </c>
      <c r="X63" s="46">
        <v>6</v>
      </c>
      <c r="Y63" s="46" t="b">
        <v>1</v>
      </c>
      <c r="Z63" s="46" t="s">
        <v>675</v>
      </c>
      <c r="AA63" s="46" t="s">
        <v>676</v>
      </c>
      <c r="AB63" s="46" t="s">
        <v>677</v>
      </c>
      <c r="AC63" s="46">
        <v>0</v>
      </c>
      <c r="AD63" s="46" t="s">
        <v>678</v>
      </c>
      <c r="AE63" s="46">
        <v>8</v>
      </c>
      <c r="AF63" s="46" t="s">
        <v>679</v>
      </c>
      <c r="AG63" s="46">
        <v>24042.014999999999</v>
      </c>
      <c r="AH63" s="46" t="b">
        <v>1</v>
      </c>
      <c r="AI63" s="46">
        <v>-1</v>
      </c>
      <c r="AJ63" s="46" t="s">
        <v>680</v>
      </c>
      <c r="AK63" s="46">
        <v>0</v>
      </c>
      <c r="AL63" s="46" t="b">
        <v>0</v>
      </c>
      <c r="AM63" s="46">
        <v>24042.014999999999</v>
      </c>
      <c r="AN63" s="46" t="b">
        <v>1</v>
      </c>
      <c r="AO63" s="46">
        <v>0</v>
      </c>
      <c r="AP63" s="46" t="b">
        <v>0</v>
      </c>
      <c r="AQ63" s="46">
        <v>10862.013000000001</v>
      </c>
      <c r="AS63" s="46">
        <v>10862.013000000001</v>
      </c>
      <c r="AT63" s="46">
        <v>6</v>
      </c>
      <c r="AU63" s="46" t="b">
        <v>0</v>
      </c>
      <c r="AV63" s="46" t="b">
        <v>1</v>
      </c>
    </row>
    <row r="64" spans="2:48">
      <c r="B64" s="46" t="s">
        <v>665</v>
      </c>
      <c r="C64" s="46" t="s">
        <v>666</v>
      </c>
      <c r="D64" s="46">
        <v>20240401</v>
      </c>
      <c r="E64" s="46">
        <v>2024</v>
      </c>
      <c r="F64" s="46">
        <v>4</v>
      </c>
      <c r="G64" s="46" t="s">
        <v>695</v>
      </c>
      <c r="H64" s="46">
        <v>818</v>
      </c>
      <c r="I64" s="46" t="s">
        <v>668</v>
      </c>
      <c r="J64" s="46" t="s">
        <v>57</v>
      </c>
      <c r="K64" s="46" t="s">
        <v>666</v>
      </c>
      <c r="L64" s="46" t="s">
        <v>669</v>
      </c>
      <c r="M64" s="46">
        <v>784</v>
      </c>
      <c r="N64" s="46" t="s">
        <v>694</v>
      </c>
      <c r="O64" s="46" t="s">
        <v>25</v>
      </c>
      <c r="P64" s="46">
        <v>0</v>
      </c>
      <c r="Q64" s="46" t="s">
        <v>670</v>
      </c>
      <c r="R64" s="46" t="s">
        <v>23</v>
      </c>
      <c r="S64" s="46" t="s">
        <v>671</v>
      </c>
      <c r="T64" s="46" t="s">
        <v>672</v>
      </c>
      <c r="U64" s="46" t="b">
        <v>1</v>
      </c>
      <c r="V64" s="46" t="s">
        <v>1021</v>
      </c>
      <c r="W64" s="46" t="s">
        <v>1020</v>
      </c>
      <c r="X64" s="46">
        <v>6</v>
      </c>
      <c r="Y64" s="46" t="b">
        <v>1</v>
      </c>
      <c r="Z64" s="46" t="s">
        <v>675</v>
      </c>
      <c r="AA64" s="46" t="s">
        <v>676</v>
      </c>
      <c r="AB64" s="46" t="s">
        <v>677</v>
      </c>
      <c r="AC64" s="46">
        <v>0</v>
      </c>
      <c r="AD64" s="46" t="s">
        <v>678</v>
      </c>
      <c r="AE64" s="46">
        <v>8</v>
      </c>
      <c r="AF64" s="46" t="s">
        <v>679</v>
      </c>
      <c r="AG64" s="46">
        <v>3821.9119999999998</v>
      </c>
      <c r="AH64" s="46" t="b">
        <v>1</v>
      </c>
      <c r="AI64" s="46">
        <v>-1</v>
      </c>
      <c r="AJ64" s="46" t="s">
        <v>680</v>
      </c>
      <c r="AK64" s="46">
        <v>0</v>
      </c>
      <c r="AL64" s="46" t="b">
        <v>0</v>
      </c>
      <c r="AM64" s="46">
        <v>3821.9119999999998</v>
      </c>
      <c r="AN64" s="46" t="b">
        <v>1</v>
      </c>
      <c r="AO64" s="46">
        <v>0</v>
      </c>
      <c r="AP64" s="46" t="b">
        <v>0</v>
      </c>
      <c r="AQ64" s="46">
        <v>1726.713</v>
      </c>
      <c r="AS64" s="46">
        <v>1726.713</v>
      </c>
      <c r="AT64" s="46">
        <v>6</v>
      </c>
      <c r="AU64" s="46" t="b">
        <v>1</v>
      </c>
      <c r="AV64" s="46" t="b">
        <v>0</v>
      </c>
    </row>
    <row r="65" spans="2:48">
      <c r="B65" s="46" t="s">
        <v>665</v>
      </c>
      <c r="C65" s="46" t="s">
        <v>666</v>
      </c>
      <c r="D65" s="46">
        <v>20240301</v>
      </c>
      <c r="E65" s="46">
        <v>2024</v>
      </c>
      <c r="F65" s="46">
        <v>3</v>
      </c>
      <c r="G65" s="46" t="s">
        <v>692</v>
      </c>
      <c r="H65" s="46">
        <v>818</v>
      </c>
      <c r="I65" s="46" t="s">
        <v>668</v>
      </c>
      <c r="J65" s="46" t="s">
        <v>57</v>
      </c>
      <c r="K65" s="46" t="s">
        <v>666</v>
      </c>
      <c r="L65" s="46" t="s">
        <v>669</v>
      </c>
      <c r="M65" s="46">
        <v>792</v>
      </c>
      <c r="N65" s="46" t="s">
        <v>691</v>
      </c>
      <c r="O65" s="46" t="s">
        <v>63</v>
      </c>
      <c r="P65" s="46">
        <v>0</v>
      </c>
      <c r="Q65" s="46" t="s">
        <v>670</v>
      </c>
      <c r="R65" s="46" t="s">
        <v>23</v>
      </c>
      <c r="S65" s="46" t="s">
        <v>671</v>
      </c>
      <c r="T65" s="46" t="s">
        <v>672</v>
      </c>
      <c r="U65" s="46" t="b">
        <v>1</v>
      </c>
      <c r="V65" s="46" t="s">
        <v>1021</v>
      </c>
      <c r="W65" s="46" t="s">
        <v>1020</v>
      </c>
      <c r="X65" s="46">
        <v>6</v>
      </c>
      <c r="Y65" s="46" t="b">
        <v>1</v>
      </c>
      <c r="Z65" s="46" t="s">
        <v>675</v>
      </c>
      <c r="AA65" s="46" t="s">
        <v>676</v>
      </c>
      <c r="AB65" s="46" t="s">
        <v>677</v>
      </c>
      <c r="AC65" s="46">
        <v>0</v>
      </c>
      <c r="AD65" s="46" t="s">
        <v>678</v>
      </c>
      <c r="AE65" s="46">
        <v>8</v>
      </c>
      <c r="AF65" s="46" t="s">
        <v>679</v>
      </c>
      <c r="AG65" s="46">
        <v>2221.6959999999999</v>
      </c>
      <c r="AH65" s="46" t="b">
        <v>1</v>
      </c>
      <c r="AI65" s="46">
        <v>-1</v>
      </c>
      <c r="AJ65" s="46" t="s">
        <v>680</v>
      </c>
      <c r="AK65" s="46">
        <v>0</v>
      </c>
      <c r="AL65" s="46" t="b">
        <v>0</v>
      </c>
      <c r="AM65" s="46">
        <v>2221.6959999999999</v>
      </c>
      <c r="AN65" s="46" t="b">
        <v>1</v>
      </c>
      <c r="AO65" s="46">
        <v>0</v>
      </c>
      <c r="AP65" s="46" t="b">
        <v>0</v>
      </c>
      <c r="AQ65" s="46">
        <v>1003.747</v>
      </c>
      <c r="AS65" s="46">
        <v>1003.747</v>
      </c>
      <c r="AT65" s="46">
        <v>6</v>
      </c>
      <c r="AU65" s="46" t="b">
        <v>1</v>
      </c>
      <c r="AV65" s="46" t="b">
        <v>0</v>
      </c>
    </row>
    <row r="66" spans="2:48">
      <c r="B66" s="46" t="s">
        <v>665</v>
      </c>
      <c r="C66" s="46" t="s">
        <v>666</v>
      </c>
      <c r="D66" s="46">
        <v>20240601</v>
      </c>
      <c r="E66" s="46">
        <v>2024</v>
      </c>
      <c r="F66" s="46">
        <v>6</v>
      </c>
      <c r="G66" s="46" t="s">
        <v>700</v>
      </c>
      <c r="H66" s="46">
        <v>818</v>
      </c>
      <c r="I66" s="46" t="s">
        <v>668</v>
      </c>
      <c r="J66" s="46" t="s">
        <v>57</v>
      </c>
      <c r="K66" s="46" t="s">
        <v>666</v>
      </c>
      <c r="L66" s="46" t="s">
        <v>669</v>
      </c>
      <c r="M66" s="46">
        <v>792</v>
      </c>
      <c r="N66" s="46" t="s">
        <v>691</v>
      </c>
      <c r="O66" s="46" t="s">
        <v>63</v>
      </c>
      <c r="P66" s="46">
        <v>0</v>
      </c>
      <c r="Q66" s="46" t="s">
        <v>670</v>
      </c>
      <c r="R66" s="46" t="s">
        <v>23</v>
      </c>
      <c r="S66" s="46" t="s">
        <v>671</v>
      </c>
      <c r="T66" s="46" t="s">
        <v>672</v>
      </c>
      <c r="U66" s="46" t="b">
        <v>1</v>
      </c>
      <c r="V66" s="46" t="s">
        <v>1021</v>
      </c>
      <c r="W66" s="46" t="s">
        <v>1020</v>
      </c>
      <c r="X66" s="46">
        <v>6</v>
      </c>
      <c r="Y66" s="46" t="b">
        <v>1</v>
      </c>
      <c r="Z66" s="46" t="s">
        <v>675</v>
      </c>
      <c r="AA66" s="46" t="s">
        <v>676</v>
      </c>
      <c r="AB66" s="46" t="s">
        <v>677</v>
      </c>
      <c r="AC66" s="46">
        <v>0</v>
      </c>
      <c r="AD66" s="46" t="s">
        <v>678</v>
      </c>
      <c r="AE66" s="46">
        <v>8</v>
      </c>
      <c r="AF66" s="46" t="s">
        <v>679</v>
      </c>
      <c r="AG66" s="46">
        <v>52435.817999999999</v>
      </c>
      <c r="AH66" s="46" t="b">
        <v>1</v>
      </c>
      <c r="AI66" s="46">
        <v>-1</v>
      </c>
      <c r="AJ66" s="46" t="s">
        <v>680</v>
      </c>
      <c r="AK66" s="46">
        <v>0</v>
      </c>
      <c r="AL66" s="46" t="b">
        <v>0</v>
      </c>
      <c r="AM66" s="46">
        <v>52435.817999999999</v>
      </c>
      <c r="AN66" s="46" t="b">
        <v>1</v>
      </c>
      <c r="AO66" s="46">
        <v>0</v>
      </c>
      <c r="AP66" s="46" t="b">
        <v>0</v>
      </c>
      <c r="AQ66" s="46">
        <v>23690.133000000002</v>
      </c>
      <c r="AS66" s="46">
        <v>23690.133000000002</v>
      </c>
      <c r="AT66" s="46">
        <v>6</v>
      </c>
      <c r="AU66" s="46" t="b">
        <v>1</v>
      </c>
      <c r="AV66" s="46" t="b">
        <v>0</v>
      </c>
    </row>
    <row r="67" spans="2:48">
      <c r="B67" s="46" t="s">
        <v>665</v>
      </c>
      <c r="C67" s="46" t="s">
        <v>666</v>
      </c>
      <c r="D67" s="46">
        <v>20240201</v>
      </c>
      <c r="E67" s="46">
        <v>2024</v>
      </c>
      <c r="F67" s="46">
        <v>2</v>
      </c>
      <c r="G67" s="46" t="s">
        <v>687</v>
      </c>
      <c r="H67" s="46">
        <v>818</v>
      </c>
      <c r="I67" s="46" t="s">
        <v>668</v>
      </c>
      <c r="J67" s="46" t="s">
        <v>57</v>
      </c>
      <c r="K67" s="46" t="s">
        <v>666</v>
      </c>
      <c r="L67" s="46" t="s">
        <v>669</v>
      </c>
      <c r="M67" s="46">
        <v>251</v>
      </c>
      <c r="N67" s="46" t="s">
        <v>688</v>
      </c>
      <c r="O67" s="46" t="s">
        <v>69</v>
      </c>
      <c r="P67" s="46">
        <v>0</v>
      </c>
      <c r="Q67" s="46" t="s">
        <v>670</v>
      </c>
      <c r="R67" s="46" t="s">
        <v>23</v>
      </c>
      <c r="S67" s="46" t="s">
        <v>671</v>
      </c>
      <c r="T67" s="46" t="s">
        <v>672</v>
      </c>
      <c r="U67" s="46" t="b">
        <v>1</v>
      </c>
      <c r="V67" s="46" t="s">
        <v>1021</v>
      </c>
      <c r="W67" s="46" t="s">
        <v>1020</v>
      </c>
      <c r="X67" s="46">
        <v>6</v>
      </c>
      <c r="Y67" s="46" t="b">
        <v>1</v>
      </c>
      <c r="Z67" s="46" t="s">
        <v>675</v>
      </c>
      <c r="AA67" s="46" t="s">
        <v>676</v>
      </c>
      <c r="AB67" s="46" t="s">
        <v>677</v>
      </c>
      <c r="AC67" s="46">
        <v>0</v>
      </c>
      <c r="AD67" s="46" t="s">
        <v>678</v>
      </c>
      <c r="AE67" s="46">
        <v>8</v>
      </c>
      <c r="AF67" s="46" t="s">
        <v>679</v>
      </c>
      <c r="AG67" s="46">
        <v>10941.394</v>
      </c>
      <c r="AH67" s="46" t="b">
        <v>1</v>
      </c>
      <c r="AI67" s="46">
        <v>-1</v>
      </c>
      <c r="AJ67" s="46" t="s">
        <v>680</v>
      </c>
      <c r="AK67" s="46">
        <v>0</v>
      </c>
      <c r="AL67" s="46" t="b">
        <v>0</v>
      </c>
      <c r="AM67" s="46">
        <v>10941.394</v>
      </c>
      <c r="AN67" s="46" t="b">
        <v>1</v>
      </c>
      <c r="AO67" s="46">
        <v>0</v>
      </c>
      <c r="AP67" s="46" t="b">
        <v>0</v>
      </c>
      <c r="AQ67" s="46">
        <v>4943.2449999999999</v>
      </c>
      <c r="AS67" s="46">
        <v>4943.2449999999999</v>
      </c>
      <c r="AT67" s="46">
        <v>6</v>
      </c>
      <c r="AU67" s="46" t="b">
        <v>1</v>
      </c>
      <c r="AV67" s="46" t="b">
        <v>0</v>
      </c>
    </row>
    <row r="68" spans="2:48">
      <c r="B68" s="46" t="s">
        <v>665</v>
      </c>
      <c r="C68" s="46" t="s">
        <v>666</v>
      </c>
      <c r="D68" s="46">
        <v>20240401</v>
      </c>
      <c r="E68" s="46">
        <v>2024</v>
      </c>
      <c r="F68" s="46">
        <v>4</v>
      </c>
      <c r="G68" s="46" t="s">
        <v>695</v>
      </c>
      <c r="H68" s="46">
        <v>818</v>
      </c>
      <c r="I68" s="46" t="s">
        <v>668</v>
      </c>
      <c r="J68" s="46" t="s">
        <v>57</v>
      </c>
      <c r="K68" s="46" t="s">
        <v>666</v>
      </c>
      <c r="L68" s="46" t="s">
        <v>669</v>
      </c>
      <c r="M68" s="46">
        <v>276</v>
      </c>
      <c r="N68" s="46" t="s">
        <v>681</v>
      </c>
      <c r="O68" s="46" t="s">
        <v>30</v>
      </c>
      <c r="P68" s="46">
        <v>0</v>
      </c>
      <c r="Q68" s="46" t="s">
        <v>670</v>
      </c>
      <c r="R68" s="46" t="s">
        <v>23</v>
      </c>
      <c r="S68" s="46" t="s">
        <v>671</v>
      </c>
      <c r="T68" s="46" t="s">
        <v>672</v>
      </c>
      <c r="U68" s="46" t="b">
        <v>1</v>
      </c>
      <c r="V68" s="46" t="s">
        <v>1021</v>
      </c>
      <c r="W68" s="46" t="s">
        <v>1020</v>
      </c>
      <c r="X68" s="46">
        <v>6</v>
      </c>
      <c r="Y68" s="46" t="b">
        <v>1</v>
      </c>
      <c r="Z68" s="46" t="s">
        <v>675</v>
      </c>
      <c r="AA68" s="46" t="s">
        <v>676</v>
      </c>
      <c r="AB68" s="46" t="s">
        <v>677</v>
      </c>
      <c r="AC68" s="46">
        <v>0</v>
      </c>
      <c r="AD68" s="46" t="s">
        <v>678</v>
      </c>
      <c r="AE68" s="46">
        <v>8</v>
      </c>
      <c r="AF68" s="46" t="s">
        <v>679</v>
      </c>
      <c r="AG68" s="46">
        <v>19307.728999999999</v>
      </c>
      <c r="AH68" s="46" t="b">
        <v>1</v>
      </c>
      <c r="AI68" s="46">
        <v>-1</v>
      </c>
      <c r="AJ68" s="46" t="s">
        <v>680</v>
      </c>
      <c r="AK68" s="46">
        <v>0</v>
      </c>
      <c r="AL68" s="46" t="b">
        <v>0</v>
      </c>
      <c r="AM68" s="46">
        <v>19307.728999999999</v>
      </c>
      <c r="AN68" s="46" t="b">
        <v>1</v>
      </c>
      <c r="AO68" s="46">
        <v>0</v>
      </c>
      <c r="AP68" s="46" t="b">
        <v>0</v>
      </c>
      <c r="AQ68" s="46">
        <v>8723.0959999999995</v>
      </c>
      <c r="AS68" s="46">
        <v>8723.0959999999995</v>
      </c>
      <c r="AT68" s="46">
        <v>6</v>
      </c>
      <c r="AU68" s="46" t="b">
        <v>1</v>
      </c>
      <c r="AV68" s="46" t="b">
        <v>0</v>
      </c>
    </row>
    <row r="69" spans="2:48">
      <c r="B69" s="46" t="s">
        <v>665</v>
      </c>
      <c r="C69" s="46" t="s">
        <v>666</v>
      </c>
      <c r="D69" s="46">
        <v>20240501</v>
      </c>
      <c r="E69" s="46">
        <v>2024</v>
      </c>
      <c r="F69" s="46">
        <v>5</v>
      </c>
      <c r="G69" s="46" t="s">
        <v>699</v>
      </c>
      <c r="H69" s="46">
        <v>818</v>
      </c>
      <c r="I69" s="46" t="s">
        <v>668</v>
      </c>
      <c r="J69" s="46" t="s">
        <v>57</v>
      </c>
      <c r="K69" s="46" t="s">
        <v>666</v>
      </c>
      <c r="L69" s="46" t="s">
        <v>669</v>
      </c>
      <c r="M69" s="46">
        <v>276</v>
      </c>
      <c r="N69" s="46" t="s">
        <v>681</v>
      </c>
      <c r="O69" s="46" t="s">
        <v>30</v>
      </c>
      <c r="P69" s="46">
        <v>0</v>
      </c>
      <c r="Q69" s="46" t="s">
        <v>670</v>
      </c>
      <c r="R69" s="46" t="s">
        <v>23</v>
      </c>
      <c r="S69" s="46" t="s">
        <v>671</v>
      </c>
      <c r="T69" s="46" t="s">
        <v>672</v>
      </c>
      <c r="U69" s="46" t="b">
        <v>1</v>
      </c>
      <c r="V69" s="46" t="s">
        <v>1021</v>
      </c>
      <c r="W69" s="46" t="s">
        <v>1020</v>
      </c>
      <c r="X69" s="46">
        <v>6</v>
      </c>
      <c r="Y69" s="46" t="b">
        <v>1</v>
      </c>
      <c r="Z69" s="46" t="s">
        <v>675</v>
      </c>
      <c r="AA69" s="46" t="s">
        <v>676</v>
      </c>
      <c r="AB69" s="46" t="s">
        <v>677</v>
      </c>
      <c r="AC69" s="46">
        <v>0</v>
      </c>
      <c r="AD69" s="46" t="s">
        <v>678</v>
      </c>
      <c r="AE69" s="46">
        <v>8</v>
      </c>
      <c r="AF69" s="46" t="s">
        <v>679</v>
      </c>
      <c r="AG69" s="46">
        <v>10615.54</v>
      </c>
      <c r="AH69" s="46" t="b">
        <v>1</v>
      </c>
      <c r="AI69" s="46">
        <v>-1</v>
      </c>
      <c r="AJ69" s="46" t="s">
        <v>680</v>
      </c>
      <c r="AK69" s="46">
        <v>0</v>
      </c>
      <c r="AL69" s="46" t="b">
        <v>0</v>
      </c>
      <c r="AM69" s="46">
        <v>10615.54</v>
      </c>
      <c r="AN69" s="46" t="b">
        <v>1</v>
      </c>
      <c r="AO69" s="46">
        <v>0</v>
      </c>
      <c r="AP69" s="46" t="b">
        <v>0</v>
      </c>
      <c r="AQ69" s="46">
        <v>4796.0259999999998</v>
      </c>
      <c r="AS69" s="46">
        <v>4796.0259999999998</v>
      </c>
      <c r="AT69" s="46">
        <v>6</v>
      </c>
      <c r="AU69" s="46" t="b">
        <v>1</v>
      </c>
      <c r="AV69" s="46" t="b">
        <v>0</v>
      </c>
    </row>
    <row r="70" spans="2:48">
      <c r="B70" s="46" t="s">
        <v>665</v>
      </c>
      <c r="C70" s="46" t="s">
        <v>666</v>
      </c>
      <c r="D70" s="46">
        <v>20240601</v>
      </c>
      <c r="E70" s="46">
        <v>2024</v>
      </c>
      <c r="F70" s="46">
        <v>6</v>
      </c>
      <c r="G70" s="46" t="s">
        <v>700</v>
      </c>
      <c r="H70" s="46">
        <v>818</v>
      </c>
      <c r="I70" s="46" t="s">
        <v>668</v>
      </c>
      <c r="J70" s="46" t="s">
        <v>57</v>
      </c>
      <c r="K70" s="46" t="s">
        <v>666</v>
      </c>
      <c r="L70" s="46" t="s">
        <v>669</v>
      </c>
      <c r="M70" s="46">
        <v>276</v>
      </c>
      <c r="N70" s="46" t="s">
        <v>681</v>
      </c>
      <c r="O70" s="46" t="s">
        <v>30</v>
      </c>
      <c r="P70" s="46">
        <v>0</v>
      </c>
      <c r="Q70" s="46" t="s">
        <v>670</v>
      </c>
      <c r="R70" s="46" t="s">
        <v>23</v>
      </c>
      <c r="S70" s="46" t="s">
        <v>671</v>
      </c>
      <c r="T70" s="46" t="s">
        <v>672</v>
      </c>
      <c r="U70" s="46" t="b">
        <v>1</v>
      </c>
      <c r="V70" s="46" t="s">
        <v>1021</v>
      </c>
      <c r="W70" s="46" t="s">
        <v>1020</v>
      </c>
      <c r="X70" s="46">
        <v>6</v>
      </c>
      <c r="Y70" s="46" t="b">
        <v>1</v>
      </c>
      <c r="Z70" s="46" t="s">
        <v>675</v>
      </c>
      <c r="AA70" s="46" t="s">
        <v>676</v>
      </c>
      <c r="AB70" s="46" t="s">
        <v>677</v>
      </c>
      <c r="AC70" s="46">
        <v>0</v>
      </c>
      <c r="AD70" s="46" t="s">
        <v>678</v>
      </c>
      <c r="AE70" s="46">
        <v>8</v>
      </c>
      <c r="AF70" s="46" t="s">
        <v>679</v>
      </c>
      <c r="AG70" s="46">
        <v>19649.486000000001</v>
      </c>
      <c r="AH70" s="46" t="b">
        <v>1</v>
      </c>
      <c r="AI70" s="46">
        <v>-1</v>
      </c>
      <c r="AJ70" s="46" t="s">
        <v>680</v>
      </c>
      <c r="AK70" s="46">
        <v>0</v>
      </c>
      <c r="AL70" s="46" t="b">
        <v>0</v>
      </c>
      <c r="AM70" s="46">
        <v>19649.486000000001</v>
      </c>
      <c r="AN70" s="46" t="b">
        <v>1</v>
      </c>
      <c r="AO70" s="46">
        <v>0</v>
      </c>
      <c r="AP70" s="46" t="b">
        <v>0</v>
      </c>
      <c r="AQ70" s="46">
        <v>8877.4989999999998</v>
      </c>
      <c r="AS70" s="46">
        <v>8877.4989999999998</v>
      </c>
      <c r="AT70" s="46">
        <v>6</v>
      </c>
      <c r="AU70" s="46" t="b">
        <v>1</v>
      </c>
      <c r="AV70" s="46" t="b">
        <v>0</v>
      </c>
    </row>
    <row r="71" spans="2:48">
      <c r="B71" s="46" t="s">
        <v>665</v>
      </c>
      <c r="C71" s="46" t="s">
        <v>666</v>
      </c>
      <c r="D71" s="46">
        <v>20240101</v>
      </c>
      <c r="E71" s="46">
        <v>2024</v>
      </c>
      <c r="F71" s="46">
        <v>1</v>
      </c>
      <c r="G71" s="46" t="s">
        <v>667</v>
      </c>
      <c r="H71" s="46">
        <v>818</v>
      </c>
      <c r="I71" s="46" t="s">
        <v>668</v>
      </c>
      <c r="J71" s="46" t="s">
        <v>57</v>
      </c>
      <c r="K71" s="46" t="s">
        <v>666</v>
      </c>
      <c r="L71" s="46" t="s">
        <v>669</v>
      </c>
      <c r="M71" s="46">
        <v>276</v>
      </c>
      <c r="N71" s="46" t="s">
        <v>681</v>
      </c>
      <c r="O71" s="46" t="s">
        <v>30</v>
      </c>
      <c r="P71" s="46">
        <v>0</v>
      </c>
      <c r="Q71" s="46" t="s">
        <v>670</v>
      </c>
      <c r="R71" s="46" t="s">
        <v>23</v>
      </c>
      <c r="S71" s="46" t="s">
        <v>671</v>
      </c>
      <c r="T71" s="46" t="s">
        <v>672</v>
      </c>
      <c r="U71" s="46" t="b">
        <v>1</v>
      </c>
      <c r="V71" s="46" t="s">
        <v>1021</v>
      </c>
      <c r="W71" s="46" t="s">
        <v>1020</v>
      </c>
      <c r="X71" s="46">
        <v>6</v>
      </c>
      <c r="Y71" s="46" t="b">
        <v>1</v>
      </c>
      <c r="Z71" s="46" t="s">
        <v>675</v>
      </c>
      <c r="AA71" s="46" t="s">
        <v>676</v>
      </c>
      <c r="AB71" s="46" t="s">
        <v>677</v>
      </c>
      <c r="AC71" s="46">
        <v>0</v>
      </c>
      <c r="AD71" s="46" t="s">
        <v>678</v>
      </c>
      <c r="AE71" s="46">
        <v>8</v>
      </c>
      <c r="AF71" s="46" t="s">
        <v>679</v>
      </c>
      <c r="AG71" s="46">
        <v>24042.014999999999</v>
      </c>
      <c r="AH71" s="46" t="b">
        <v>1</v>
      </c>
      <c r="AI71" s="46">
        <v>-1</v>
      </c>
      <c r="AJ71" s="46" t="s">
        <v>680</v>
      </c>
      <c r="AK71" s="46">
        <v>0</v>
      </c>
      <c r="AL71" s="46" t="b">
        <v>0</v>
      </c>
      <c r="AM71" s="46">
        <v>24042.014999999999</v>
      </c>
      <c r="AN71" s="46" t="b">
        <v>1</v>
      </c>
      <c r="AO71" s="46">
        <v>0</v>
      </c>
      <c r="AP71" s="46" t="b">
        <v>0</v>
      </c>
      <c r="AQ71" s="46">
        <v>10862.013000000001</v>
      </c>
      <c r="AS71" s="46">
        <v>10862.013000000001</v>
      </c>
      <c r="AT71" s="46">
        <v>6</v>
      </c>
      <c r="AU71" s="46" t="b">
        <v>1</v>
      </c>
      <c r="AV71" s="46" t="b">
        <v>0</v>
      </c>
    </row>
    <row r="72" spans="2:48">
      <c r="B72" s="46" t="s">
        <v>665</v>
      </c>
      <c r="C72" s="46" t="s">
        <v>666</v>
      </c>
      <c r="D72" s="46">
        <v>20240201</v>
      </c>
      <c r="E72" s="46">
        <v>2024</v>
      </c>
      <c r="F72" s="46">
        <v>2</v>
      </c>
      <c r="G72" s="46" t="s">
        <v>687</v>
      </c>
      <c r="H72" s="46">
        <v>818</v>
      </c>
      <c r="I72" s="46" t="s">
        <v>668</v>
      </c>
      <c r="J72" s="46" t="s">
        <v>57</v>
      </c>
      <c r="K72" s="46" t="s">
        <v>666</v>
      </c>
      <c r="L72" s="46" t="s">
        <v>669</v>
      </c>
      <c r="M72" s="46">
        <v>276</v>
      </c>
      <c r="N72" s="46" t="s">
        <v>681</v>
      </c>
      <c r="O72" s="46" t="s">
        <v>30</v>
      </c>
      <c r="P72" s="46">
        <v>0</v>
      </c>
      <c r="Q72" s="46" t="s">
        <v>670</v>
      </c>
      <c r="R72" s="46" t="s">
        <v>23</v>
      </c>
      <c r="S72" s="46" t="s">
        <v>671</v>
      </c>
      <c r="T72" s="46" t="s">
        <v>672</v>
      </c>
      <c r="U72" s="46" t="b">
        <v>1</v>
      </c>
      <c r="V72" s="46" t="s">
        <v>1021</v>
      </c>
      <c r="W72" s="46" t="s">
        <v>1020</v>
      </c>
      <c r="X72" s="46">
        <v>6</v>
      </c>
      <c r="Y72" s="46" t="b">
        <v>1</v>
      </c>
      <c r="Z72" s="46" t="s">
        <v>675</v>
      </c>
      <c r="AA72" s="46" t="s">
        <v>676</v>
      </c>
      <c r="AB72" s="46" t="s">
        <v>677</v>
      </c>
      <c r="AC72" s="46">
        <v>0</v>
      </c>
      <c r="AD72" s="46" t="s">
        <v>678</v>
      </c>
      <c r="AE72" s="46">
        <v>8</v>
      </c>
      <c r="AF72" s="46" t="s">
        <v>679</v>
      </c>
      <c r="AG72" s="46">
        <v>17959.815999999999</v>
      </c>
      <c r="AH72" s="46" t="b">
        <v>1</v>
      </c>
      <c r="AI72" s="46">
        <v>-1</v>
      </c>
      <c r="AJ72" s="46" t="s">
        <v>680</v>
      </c>
      <c r="AK72" s="46">
        <v>0</v>
      </c>
      <c r="AL72" s="46" t="b">
        <v>0</v>
      </c>
      <c r="AM72" s="46">
        <v>17959.815999999999</v>
      </c>
      <c r="AN72" s="46" t="b">
        <v>1</v>
      </c>
      <c r="AO72" s="46">
        <v>0</v>
      </c>
      <c r="AP72" s="46" t="b">
        <v>0</v>
      </c>
      <c r="AQ72" s="46">
        <v>8114.1180000000004</v>
      </c>
      <c r="AS72" s="46">
        <v>8114.1180000000004</v>
      </c>
      <c r="AT72" s="46">
        <v>6</v>
      </c>
      <c r="AU72" s="46" t="b">
        <v>1</v>
      </c>
      <c r="AV72" s="46" t="b">
        <v>0</v>
      </c>
    </row>
  </sheetData>
  <mergeCells count="8">
    <mergeCell ref="C11:H11"/>
    <mergeCell ref="I11:N11"/>
    <mergeCell ref="P11:P12"/>
    <mergeCell ref="Q11:Q12"/>
    <mergeCell ref="C27:H27"/>
    <mergeCell ref="I27:N27"/>
    <mergeCell ref="P27:P28"/>
    <mergeCell ref="Q27:Q28"/>
  </mergeCells>
  <hyperlinks>
    <hyperlink ref="A3" r:id="rId3" display="http://comtrade.un.org/" xr:uid="{E79947F8-A87E-44E9-9D90-ADB692F0349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DD13-A3A0-41B3-B8AD-52CF2DD803CD}">
  <dimension ref="A1:AV234"/>
  <sheetViews>
    <sheetView topLeftCell="A39" workbookViewId="0"/>
  </sheetViews>
  <sheetFormatPr defaultRowHeight="13.5"/>
  <cols>
    <col min="1" max="1" width="9.140625" style="46"/>
    <col min="2" max="2" width="17.5703125" style="46" customWidth="1"/>
    <col min="3" max="3" width="22.85546875" style="46" customWidth="1"/>
    <col min="4" max="4" width="26.140625" style="46" customWidth="1"/>
    <col min="5" max="6" width="11.28515625" style="46" bestFit="1" customWidth="1"/>
    <col min="7" max="7" width="10.28515625" style="46" bestFit="1" customWidth="1"/>
    <col min="8" max="9" width="11.28515625" style="46" bestFit="1" customWidth="1"/>
    <col min="10" max="10" width="10.28515625" style="46" bestFit="1" customWidth="1"/>
    <col min="11" max="14" width="11.28515625" style="46" bestFit="1" customWidth="1"/>
    <col min="15" max="15" width="21" style="46" customWidth="1"/>
    <col min="16" max="18" width="9.140625" style="46"/>
    <col min="19" max="19" width="19.140625" style="46" bestFit="1" customWidth="1"/>
    <col min="20" max="31" width="11.140625" style="46" bestFit="1" customWidth="1"/>
    <col min="32" max="32" width="12" style="46" bestFit="1" customWidth="1"/>
    <col min="33" max="33" width="11.28515625" style="46" bestFit="1" customWidth="1"/>
    <col min="34" max="16384" width="9.140625" style="46"/>
  </cols>
  <sheetData>
    <row r="1" spans="1:32">
      <c r="A1" s="25" t="s">
        <v>880</v>
      </c>
      <c r="B1" s="240"/>
      <c r="C1" s="240"/>
      <c r="D1" s="241">
        <f>'EX-1A SV Summary'!D40</f>
        <v>44152000</v>
      </c>
    </row>
    <row r="2" spans="1:32">
      <c r="A2" s="26" t="s">
        <v>1023</v>
      </c>
      <c r="B2" s="242"/>
      <c r="C2" s="242"/>
      <c r="D2" s="242"/>
      <c r="S2" s="100" t="s">
        <v>626</v>
      </c>
      <c r="T2" s="46" t="s">
        <v>57</v>
      </c>
    </row>
    <row r="3" spans="1:32">
      <c r="A3" s="243" t="s">
        <v>882</v>
      </c>
    </row>
    <row r="4" spans="1:32">
      <c r="S4" s="100" t="s">
        <v>733</v>
      </c>
      <c r="T4" s="100" t="s">
        <v>621</v>
      </c>
      <c r="U4" s="100" t="s">
        <v>622</v>
      </c>
    </row>
    <row r="5" spans="1:32" ht="27">
      <c r="A5" s="29"/>
      <c r="B5" s="102" t="s">
        <v>203</v>
      </c>
      <c r="C5" s="102" t="s">
        <v>48</v>
      </c>
      <c r="D5" s="102" t="s">
        <v>204</v>
      </c>
      <c r="T5" s="46">
        <v>2023</v>
      </c>
      <c r="Z5" s="46">
        <v>2024</v>
      </c>
      <c r="AF5" s="46" t="s">
        <v>732</v>
      </c>
    </row>
    <row r="6" spans="1:32">
      <c r="A6" s="29"/>
      <c r="B6" s="103">
        <f>SUMIFS(O:O,P:P,"Include",Q:Q,"QTY")*1000</f>
        <v>89947267</v>
      </c>
      <c r="C6" s="103">
        <f>SUMIFS(O:O,P:P,"Include",Q:Q,"VAL")*1000</f>
        <v>1088033927.9999995</v>
      </c>
      <c r="D6" s="104">
        <f>C6/B6</f>
        <v>12.096353388925086</v>
      </c>
      <c r="S6" s="100" t="s">
        <v>631</v>
      </c>
      <c r="T6" s="46">
        <v>7</v>
      </c>
      <c r="U6" s="46">
        <v>8</v>
      </c>
      <c r="V6" s="46">
        <v>9</v>
      </c>
      <c r="W6" s="46">
        <v>10</v>
      </c>
      <c r="X6" s="46">
        <v>11</v>
      </c>
      <c r="Y6" s="46">
        <v>12</v>
      </c>
      <c r="Z6" s="46">
        <v>1</v>
      </c>
      <c r="AA6" s="46">
        <v>2</v>
      </c>
      <c r="AB6" s="46">
        <v>3</v>
      </c>
      <c r="AC6" s="46">
        <v>4</v>
      </c>
      <c r="AD6" s="46">
        <v>5</v>
      </c>
      <c r="AE6" s="46">
        <v>6</v>
      </c>
    </row>
    <row r="7" spans="1:32">
      <c r="S7" s="46" t="s">
        <v>74</v>
      </c>
      <c r="X7" s="46">
        <v>26.536999999999999</v>
      </c>
      <c r="Y7" s="46">
        <v>131.21899999999999</v>
      </c>
      <c r="Z7" s="46">
        <v>32.512999999999998</v>
      </c>
      <c r="AA7" s="46">
        <v>12.59</v>
      </c>
      <c r="AB7" s="46">
        <v>16.238</v>
      </c>
      <c r="AC7" s="46">
        <v>43.746000000000002</v>
      </c>
      <c r="AD7" s="46">
        <v>146.524</v>
      </c>
      <c r="AE7" s="46">
        <v>16.061</v>
      </c>
      <c r="AF7" s="46">
        <v>425.428</v>
      </c>
    </row>
    <row r="8" spans="1:32">
      <c r="A8" s="99" t="s">
        <v>740</v>
      </c>
      <c r="B8" s="99" t="s">
        <v>45</v>
      </c>
      <c r="C8" s="26"/>
      <c r="S8" s="46" t="s">
        <v>66</v>
      </c>
      <c r="U8" s="46">
        <v>20.006</v>
      </c>
      <c r="AF8" s="46">
        <v>20.006</v>
      </c>
    </row>
    <row r="9" spans="1:32">
      <c r="B9" s="29" t="s">
        <v>902</v>
      </c>
      <c r="C9" s="26"/>
      <c r="S9" s="46" t="s">
        <v>29</v>
      </c>
      <c r="T9" s="46">
        <v>16.617000000000001</v>
      </c>
      <c r="U9" s="46">
        <v>46.817999999999998</v>
      </c>
      <c r="V9" s="46">
        <v>1514.115</v>
      </c>
      <c r="X9" s="46">
        <v>207.86500000000001</v>
      </c>
      <c r="Y9" s="46">
        <v>51.683</v>
      </c>
      <c r="Z9" s="46">
        <v>698.62900000000002</v>
      </c>
      <c r="AA9" s="46">
        <v>391.92399999999998</v>
      </c>
      <c r="AB9" s="46">
        <v>67.885999999999996</v>
      </c>
      <c r="AC9" s="46">
        <v>1042.194</v>
      </c>
      <c r="AD9" s="46">
        <v>171.48599999999999</v>
      </c>
      <c r="AE9" s="46">
        <v>56.582999999999998</v>
      </c>
      <c r="AF9" s="46">
        <v>4265.7999999999993</v>
      </c>
    </row>
    <row r="10" spans="1:32">
      <c r="A10" s="29"/>
      <c r="B10" s="134"/>
      <c r="C10" s="133"/>
      <c r="S10" s="46" t="s">
        <v>127</v>
      </c>
      <c r="AA10" s="46">
        <v>11.188000000000001</v>
      </c>
      <c r="AF10" s="46">
        <v>11.188000000000001</v>
      </c>
    </row>
    <row r="11" spans="1:32">
      <c r="B11" s="105"/>
      <c r="C11" s="324">
        <v>2023</v>
      </c>
      <c r="D11" s="324"/>
      <c r="E11" s="324"/>
      <c r="F11" s="324"/>
      <c r="G11" s="324"/>
      <c r="H11" s="324"/>
      <c r="I11" s="324">
        <v>2024</v>
      </c>
      <c r="J11" s="324"/>
      <c r="K11" s="324"/>
      <c r="L11" s="324"/>
      <c r="M11" s="324"/>
      <c r="N11" s="324"/>
      <c r="O11" s="112" t="s">
        <v>732</v>
      </c>
      <c r="P11" s="320" t="s">
        <v>209</v>
      </c>
      <c r="Q11" s="320" t="s">
        <v>155</v>
      </c>
      <c r="S11" s="46" t="s">
        <v>753</v>
      </c>
      <c r="W11" s="46">
        <v>1.754</v>
      </c>
      <c r="X11" s="46">
        <v>63.634999999999998</v>
      </c>
      <c r="AF11" s="46">
        <v>65.388999999999996</v>
      </c>
    </row>
    <row r="12" spans="1:32">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103</v>
      </c>
      <c r="U12" s="46">
        <v>23.632000000000001</v>
      </c>
      <c r="AF12" s="46">
        <v>23.632000000000001</v>
      </c>
    </row>
    <row r="13" spans="1:32">
      <c r="B13" s="304" t="s">
        <v>74</v>
      </c>
      <c r="C13" s="304"/>
      <c r="D13" s="304"/>
      <c r="E13" s="304"/>
      <c r="F13" s="304"/>
      <c r="G13" s="304">
        <v>26.536999999999999</v>
      </c>
      <c r="H13" s="304">
        <v>131.21899999999999</v>
      </c>
      <c r="I13" s="304">
        <v>32.512999999999998</v>
      </c>
      <c r="J13" s="304">
        <v>12.59</v>
      </c>
      <c r="K13" s="304">
        <v>16.238</v>
      </c>
      <c r="L13" s="304">
        <v>43.746000000000002</v>
      </c>
      <c r="M13" s="304">
        <v>146.524</v>
      </c>
      <c r="N13" s="304">
        <v>16.061</v>
      </c>
      <c r="O13" s="304">
        <v>425.428</v>
      </c>
      <c r="P13" s="105" t="str">
        <f>VLOOKUP(B13,'EX-2.6 Phá bọt'!$B$13:$P$72,15,0)</f>
        <v>Include</v>
      </c>
      <c r="Q13" s="105" t="s">
        <v>744</v>
      </c>
      <c r="S13" s="46" t="s">
        <v>73</v>
      </c>
      <c r="T13" s="46">
        <v>4.2990000000000004</v>
      </c>
      <c r="AF13" s="46">
        <v>4.2990000000000004</v>
      </c>
    </row>
    <row r="14" spans="1:32">
      <c r="B14" s="304" t="s">
        <v>66</v>
      </c>
      <c r="C14" s="304"/>
      <c r="D14" s="304">
        <v>20.006</v>
      </c>
      <c r="E14" s="304"/>
      <c r="F14" s="304"/>
      <c r="G14" s="304"/>
      <c r="H14" s="304"/>
      <c r="I14" s="304"/>
      <c r="J14" s="304"/>
      <c r="K14" s="304"/>
      <c r="L14" s="304"/>
      <c r="M14" s="304"/>
      <c r="N14" s="304"/>
      <c r="O14" s="304">
        <v>20.006</v>
      </c>
      <c r="P14" s="105" t="str">
        <f>VLOOKUP(B14,'EX-2.6 Phá bọt'!$B$13:$P$72,15,0)</f>
        <v>Include</v>
      </c>
      <c r="Q14" s="105" t="s">
        <v>744</v>
      </c>
      <c r="S14" s="46" t="s">
        <v>69</v>
      </c>
      <c r="T14" s="46">
        <v>165.339</v>
      </c>
      <c r="AA14" s="46">
        <v>24.254999999999999</v>
      </c>
      <c r="AB14" s="46">
        <v>29.747</v>
      </c>
      <c r="AC14" s="46">
        <v>12.952</v>
      </c>
      <c r="AF14" s="46">
        <v>232.29300000000001</v>
      </c>
    </row>
    <row r="15" spans="1:32">
      <c r="B15" s="304" t="s">
        <v>29</v>
      </c>
      <c r="C15" s="304">
        <v>16.617000000000001</v>
      </c>
      <c r="D15" s="304">
        <v>46.817999999999998</v>
      </c>
      <c r="E15" s="304">
        <v>1514.115</v>
      </c>
      <c r="F15" s="304"/>
      <c r="G15" s="304">
        <v>207.86500000000001</v>
      </c>
      <c r="H15" s="304">
        <v>51.683</v>
      </c>
      <c r="I15" s="304">
        <v>698.62900000000002</v>
      </c>
      <c r="J15" s="304">
        <v>391.92399999999998</v>
      </c>
      <c r="K15" s="304">
        <v>67.885999999999996</v>
      </c>
      <c r="L15" s="304">
        <v>1042.194</v>
      </c>
      <c r="M15" s="304">
        <v>171.48599999999999</v>
      </c>
      <c r="N15" s="304">
        <v>56.582999999999998</v>
      </c>
      <c r="O15" s="304">
        <v>4265.7999999999993</v>
      </c>
      <c r="P15" s="105" t="str">
        <f>VLOOKUP(B15,'EX-2.6 Phá bọt'!$B$13:$P$72,15,0)</f>
        <v>Exclude</v>
      </c>
      <c r="Q15" s="105" t="s">
        <v>744</v>
      </c>
      <c r="S15" s="46" t="s">
        <v>30</v>
      </c>
      <c r="T15" s="46">
        <v>33.119</v>
      </c>
      <c r="U15" s="46">
        <v>79.843999999999994</v>
      </c>
      <c r="V15" s="46">
        <v>66.415999999999997</v>
      </c>
      <c r="W15" s="46">
        <v>155.34899999999999</v>
      </c>
      <c r="X15" s="46">
        <v>51.764000000000003</v>
      </c>
      <c r="Y15" s="46">
        <v>43.265000000000001</v>
      </c>
      <c r="Z15" s="46">
        <v>139.249</v>
      </c>
      <c r="AA15" s="46">
        <v>265.11500000000001</v>
      </c>
      <c r="AB15" s="46">
        <v>128.94800000000001</v>
      </c>
      <c r="AC15" s="46">
        <v>194.08799999999999</v>
      </c>
      <c r="AD15" s="46">
        <v>1473.4079999999999</v>
      </c>
      <c r="AE15" s="46">
        <v>98.569000000000003</v>
      </c>
      <c r="AF15" s="46">
        <v>2729.1339999999996</v>
      </c>
    </row>
    <row r="16" spans="1:32">
      <c r="B16" s="304" t="s">
        <v>127</v>
      </c>
      <c r="C16" s="304"/>
      <c r="D16" s="304"/>
      <c r="E16" s="304"/>
      <c r="F16" s="304"/>
      <c r="G16" s="304"/>
      <c r="H16" s="304"/>
      <c r="I16" s="304"/>
      <c r="J16" s="304">
        <v>11.188000000000001</v>
      </c>
      <c r="K16" s="304"/>
      <c r="L16" s="304"/>
      <c r="M16" s="304"/>
      <c r="N16" s="304"/>
      <c r="O16" s="304">
        <v>11.188000000000001</v>
      </c>
      <c r="P16" s="105" t="s">
        <v>211</v>
      </c>
      <c r="Q16" s="105" t="s">
        <v>744</v>
      </c>
      <c r="S16" s="46" t="s">
        <v>0</v>
      </c>
      <c r="T16" s="46">
        <v>8074.9960000000001</v>
      </c>
      <c r="U16" s="46">
        <v>6059.8440000000001</v>
      </c>
      <c r="V16" s="46">
        <v>1504.0070000000001</v>
      </c>
      <c r="W16" s="46">
        <v>8814.241</v>
      </c>
      <c r="Y16" s="46">
        <v>11924.322</v>
      </c>
      <c r="Z16" s="46">
        <v>10776.93</v>
      </c>
      <c r="AB16" s="46">
        <v>7016.7889999999998</v>
      </c>
      <c r="AC16" s="46">
        <v>6837.32</v>
      </c>
      <c r="AD16" s="46">
        <v>6984.1490000000003</v>
      </c>
      <c r="AE16" s="46">
        <v>10068.662</v>
      </c>
      <c r="AF16" s="46">
        <v>78061.259999999995</v>
      </c>
    </row>
    <row r="17" spans="2:32">
      <c r="B17" s="304" t="s">
        <v>753</v>
      </c>
      <c r="C17" s="304"/>
      <c r="D17" s="304"/>
      <c r="E17" s="304"/>
      <c r="F17" s="304">
        <v>1.754</v>
      </c>
      <c r="G17" s="304">
        <v>63.634999999999998</v>
      </c>
      <c r="H17" s="304"/>
      <c r="I17" s="304"/>
      <c r="J17" s="304"/>
      <c r="K17" s="304"/>
      <c r="L17" s="304"/>
      <c r="M17" s="304"/>
      <c r="N17" s="304"/>
      <c r="O17" s="304">
        <v>65.388999999999996</v>
      </c>
      <c r="P17" s="105" t="str">
        <f>VLOOKUP(B17,'EX-2.6 Phá bọt'!$B$13:$P$72,15,0)</f>
        <v>Include</v>
      </c>
      <c r="Q17" s="105" t="s">
        <v>744</v>
      </c>
      <c r="S17" s="46" t="s">
        <v>87</v>
      </c>
      <c r="T17" s="46">
        <v>18.683</v>
      </c>
      <c r="AF17" s="46">
        <v>18.683</v>
      </c>
    </row>
    <row r="18" spans="2:32">
      <c r="B18" s="304" t="s">
        <v>103</v>
      </c>
      <c r="C18" s="304"/>
      <c r="D18" s="304">
        <v>23.632000000000001</v>
      </c>
      <c r="E18" s="304"/>
      <c r="F18" s="304"/>
      <c r="G18" s="304"/>
      <c r="H18" s="304"/>
      <c r="I18" s="304"/>
      <c r="J18" s="304"/>
      <c r="K18" s="304"/>
      <c r="L18" s="304"/>
      <c r="M18" s="304"/>
      <c r="N18" s="304"/>
      <c r="O18" s="304">
        <v>23.632000000000001</v>
      </c>
      <c r="P18" s="105" t="str">
        <f>VLOOKUP(B18,'EX-2.6 Phá bọt'!$B$13:$P$72,15,0)</f>
        <v>Include</v>
      </c>
      <c r="Q18" s="105" t="s">
        <v>744</v>
      </c>
      <c r="S18" s="46" t="s">
        <v>100</v>
      </c>
      <c r="W18" s="46">
        <v>18.765999999999998</v>
      </c>
      <c r="AF18" s="46">
        <v>18.765999999999998</v>
      </c>
    </row>
    <row r="19" spans="2:32">
      <c r="B19" s="304" t="s">
        <v>73</v>
      </c>
      <c r="C19" s="304">
        <v>4.2990000000000004</v>
      </c>
      <c r="D19" s="304"/>
      <c r="E19" s="304"/>
      <c r="F19" s="304"/>
      <c r="G19" s="304"/>
      <c r="H19" s="304"/>
      <c r="I19" s="304"/>
      <c r="J19" s="304"/>
      <c r="K19" s="304"/>
      <c r="L19" s="304"/>
      <c r="M19" s="304"/>
      <c r="N19" s="304"/>
      <c r="O19" s="304">
        <v>4.2990000000000004</v>
      </c>
      <c r="P19" s="105" t="str">
        <f>VLOOKUP(B19,'EX-2.6 Phá bọt'!$B$13:$P$72,15,0)</f>
        <v>Include</v>
      </c>
      <c r="Q19" s="105" t="s">
        <v>744</v>
      </c>
      <c r="S19" s="46" t="s">
        <v>71</v>
      </c>
      <c r="T19" s="46">
        <v>55.738999999999997</v>
      </c>
      <c r="U19" s="46">
        <v>62.427</v>
      </c>
      <c r="V19" s="46">
        <v>922.28200000000004</v>
      </c>
      <c r="W19" s="46">
        <v>64.082999999999998</v>
      </c>
      <c r="X19" s="46">
        <v>197.649</v>
      </c>
      <c r="Y19" s="46">
        <v>34.094999999999999</v>
      </c>
      <c r="Z19" s="46">
        <v>455.93599999999998</v>
      </c>
      <c r="AA19" s="46">
        <v>339.87700000000001</v>
      </c>
      <c r="AB19" s="46">
        <v>274.28500000000003</v>
      </c>
      <c r="AC19" s="46">
        <v>102.855</v>
      </c>
      <c r="AD19" s="46">
        <v>694.952</v>
      </c>
      <c r="AE19" s="46">
        <v>544.43299999999999</v>
      </c>
      <c r="AF19" s="46">
        <v>3748.6130000000003</v>
      </c>
    </row>
    <row r="20" spans="2:32">
      <c r="B20" s="304" t="s">
        <v>69</v>
      </c>
      <c r="C20" s="304">
        <v>165.339</v>
      </c>
      <c r="D20" s="304"/>
      <c r="E20" s="304"/>
      <c r="F20" s="304"/>
      <c r="G20" s="304"/>
      <c r="H20" s="304"/>
      <c r="I20" s="304"/>
      <c r="J20" s="304">
        <v>24.254999999999999</v>
      </c>
      <c r="K20" s="304">
        <v>29.747</v>
      </c>
      <c r="L20" s="304">
        <v>12.952</v>
      </c>
      <c r="M20" s="304"/>
      <c r="N20" s="304"/>
      <c r="O20" s="304">
        <v>232.29300000000001</v>
      </c>
      <c r="P20" s="105" t="str">
        <f>VLOOKUP(B20,'EX-2.6 Phá bọt'!$B$13:$P$72,15,0)</f>
        <v>Include</v>
      </c>
      <c r="Q20" s="105" t="s">
        <v>744</v>
      </c>
      <c r="S20" s="46" t="s">
        <v>89</v>
      </c>
      <c r="U20" s="46">
        <v>1.323</v>
      </c>
      <c r="AF20" s="46">
        <v>1.323</v>
      </c>
    </row>
    <row r="21" spans="2:32">
      <c r="B21" s="304" t="s">
        <v>30</v>
      </c>
      <c r="C21" s="304">
        <v>33.119</v>
      </c>
      <c r="D21" s="304">
        <v>79.843999999999994</v>
      </c>
      <c r="E21" s="304">
        <v>66.415999999999997</v>
      </c>
      <c r="F21" s="304">
        <v>155.34899999999999</v>
      </c>
      <c r="G21" s="304">
        <v>51.764000000000003</v>
      </c>
      <c r="H21" s="304">
        <v>43.265000000000001</v>
      </c>
      <c r="I21" s="304">
        <v>139.249</v>
      </c>
      <c r="J21" s="304">
        <v>265.11500000000001</v>
      </c>
      <c r="K21" s="304">
        <v>128.94800000000001</v>
      </c>
      <c r="L21" s="304">
        <v>194.08799999999999</v>
      </c>
      <c r="M21" s="304">
        <v>1473.4079999999999</v>
      </c>
      <c r="N21" s="304">
        <v>98.569000000000003</v>
      </c>
      <c r="O21" s="304">
        <v>2729.1339999999996</v>
      </c>
      <c r="P21" s="105" t="str">
        <f>VLOOKUP(B21,'EX-2.6 Phá bọt'!$B$13:$P$72,15,0)</f>
        <v>Include</v>
      </c>
      <c r="Q21" s="105" t="s">
        <v>744</v>
      </c>
      <c r="S21" s="46" t="s">
        <v>54</v>
      </c>
      <c r="AC21" s="46">
        <v>6.2560000000000002</v>
      </c>
      <c r="AF21" s="46">
        <v>6.2560000000000002</v>
      </c>
    </row>
    <row r="22" spans="2:32">
      <c r="B22" s="304" t="s">
        <v>0</v>
      </c>
      <c r="C22" s="304">
        <v>8074.9960000000001</v>
      </c>
      <c r="D22" s="304">
        <v>6059.8440000000001</v>
      </c>
      <c r="E22" s="304">
        <v>1504.0070000000001</v>
      </c>
      <c r="F22" s="304">
        <v>8814.241</v>
      </c>
      <c r="G22" s="304"/>
      <c r="H22" s="304">
        <v>11924.322</v>
      </c>
      <c r="I22" s="304">
        <v>10776.93</v>
      </c>
      <c r="J22" s="304"/>
      <c r="K22" s="304">
        <v>7016.7889999999998</v>
      </c>
      <c r="L22" s="304">
        <v>6837.32</v>
      </c>
      <c r="M22" s="304">
        <v>6984.1490000000003</v>
      </c>
      <c r="N22" s="304">
        <v>10068.662</v>
      </c>
      <c r="O22" s="304">
        <v>78061.259999999995</v>
      </c>
      <c r="P22" s="105" t="str">
        <f>VLOOKUP(B22,'EX-2.6 Phá bọt'!$B$13:$P$72,15,0)</f>
        <v>Include</v>
      </c>
      <c r="Q22" s="105" t="s">
        <v>744</v>
      </c>
      <c r="S22" s="46" t="s">
        <v>60</v>
      </c>
      <c r="T22" s="46">
        <v>50.314</v>
      </c>
      <c r="U22" s="46">
        <v>48.311</v>
      </c>
      <c r="X22" s="46">
        <v>61.33</v>
      </c>
      <c r="Z22" s="46">
        <v>51.36</v>
      </c>
      <c r="AA22" s="46">
        <v>8.9879999999999995</v>
      </c>
      <c r="AB22" s="46">
        <v>22.533999999999999</v>
      </c>
      <c r="AD22" s="46">
        <v>22.045999999999999</v>
      </c>
      <c r="AE22" s="46">
        <v>33.232999999999997</v>
      </c>
      <c r="AF22" s="46">
        <v>298.11599999999999</v>
      </c>
    </row>
    <row r="23" spans="2:32">
      <c r="B23" s="304" t="s">
        <v>87</v>
      </c>
      <c r="C23" s="304">
        <v>18.683</v>
      </c>
      <c r="D23" s="304"/>
      <c r="E23" s="304"/>
      <c r="F23" s="304"/>
      <c r="G23" s="304"/>
      <c r="H23" s="304"/>
      <c r="I23" s="304"/>
      <c r="J23" s="304"/>
      <c r="K23" s="304"/>
      <c r="L23" s="304"/>
      <c r="M23" s="304"/>
      <c r="N23" s="304"/>
      <c r="O23" s="304">
        <v>18.683</v>
      </c>
      <c r="P23" s="105" t="str">
        <f>VLOOKUP(B23,'EX-2.6 Phá bọt'!$B$13:$P$72,15,0)</f>
        <v>Include</v>
      </c>
      <c r="Q23" s="105" t="s">
        <v>744</v>
      </c>
      <c r="S23" s="46" t="s">
        <v>36</v>
      </c>
      <c r="AA23" s="46">
        <v>74.484999999999999</v>
      </c>
      <c r="AF23" s="46">
        <v>74.484999999999999</v>
      </c>
    </row>
    <row r="24" spans="2:32">
      <c r="B24" s="304" t="s">
        <v>100</v>
      </c>
      <c r="C24" s="304"/>
      <c r="D24" s="304"/>
      <c r="E24" s="304"/>
      <c r="F24" s="304">
        <v>18.765999999999998</v>
      </c>
      <c r="G24" s="304"/>
      <c r="H24" s="304"/>
      <c r="I24" s="304"/>
      <c r="J24" s="304"/>
      <c r="K24" s="304"/>
      <c r="L24" s="304"/>
      <c r="M24" s="304"/>
      <c r="N24" s="304"/>
      <c r="O24" s="304">
        <v>18.765999999999998</v>
      </c>
      <c r="P24" s="105" t="str">
        <f>VLOOKUP(B24,'EX-2.6 Phá bọt'!$B$13:$P$72,15,0)</f>
        <v>Include</v>
      </c>
      <c r="Q24" s="105" t="s">
        <v>744</v>
      </c>
      <c r="S24" s="46" t="s">
        <v>683</v>
      </c>
      <c r="X24" s="46">
        <v>10.917999999999999</v>
      </c>
      <c r="Y24" s="46">
        <v>9.9990000000000006</v>
      </c>
      <c r="AA24" s="46">
        <v>5.4169999999999998</v>
      </c>
      <c r="AD24" s="46">
        <v>35.746000000000002</v>
      </c>
      <c r="AE24" s="46">
        <v>27.065999999999999</v>
      </c>
      <c r="AF24" s="46">
        <v>89.146000000000001</v>
      </c>
    </row>
    <row r="25" spans="2:32">
      <c r="B25" s="304" t="s">
        <v>71</v>
      </c>
      <c r="C25" s="304">
        <v>55.738999999999997</v>
      </c>
      <c r="D25" s="304">
        <v>62.427</v>
      </c>
      <c r="E25" s="304">
        <v>922.28200000000004</v>
      </c>
      <c r="F25" s="304">
        <v>64.082999999999998</v>
      </c>
      <c r="G25" s="304">
        <v>197.649</v>
      </c>
      <c r="H25" s="304">
        <v>34.094999999999999</v>
      </c>
      <c r="I25" s="304">
        <v>455.93599999999998</v>
      </c>
      <c r="J25" s="304">
        <v>339.87700000000001</v>
      </c>
      <c r="K25" s="304">
        <v>274.28500000000003</v>
      </c>
      <c r="L25" s="304">
        <v>102.855</v>
      </c>
      <c r="M25" s="304">
        <v>694.952</v>
      </c>
      <c r="N25" s="304">
        <v>544.43299999999999</v>
      </c>
      <c r="O25" s="304">
        <v>3748.6130000000003</v>
      </c>
      <c r="P25" s="105" t="str">
        <f>VLOOKUP(B25,'EX-2.6 Phá bọt'!$B$13:$P$72,15,0)</f>
        <v>Include</v>
      </c>
      <c r="Q25" s="105" t="s">
        <v>744</v>
      </c>
      <c r="S25" s="46" t="s">
        <v>84</v>
      </c>
      <c r="V25" s="46">
        <v>105.07299999999999</v>
      </c>
      <c r="AA25" s="46">
        <v>13.369</v>
      </c>
      <c r="AF25" s="46">
        <v>118.44199999999999</v>
      </c>
    </row>
    <row r="26" spans="2:32">
      <c r="B26" s="304" t="s">
        <v>89</v>
      </c>
      <c r="C26" s="304"/>
      <c r="D26" s="304">
        <v>1.323</v>
      </c>
      <c r="E26" s="304"/>
      <c r="F26" s="304"/>
      <c r="G26" s="304"/>
      <c r="H26" s="304"/>
      <c r="I26" s="304"/>
      <c r="J26" s="304"/>
      <c r="K26" s="304"/>
      <c r="L26" s="304"/>
      <c r="M26" s="304"/>
      <c r="N26" s="304"/>
      <c r="O26" s="304">
        <v>1.323</v>
      </c>
      <c r="P26" s="105" t="str">
        <f>VLOOKUP(B26,'EX-2.6 Phá bọt'!$B$13:$P$72,15,0)</f>
        <v>Include</v>
      </c>
      <c r="Q26" s="105" t="s">
        <v>744</v>
      </c>
      <c r="S26" s="46" t="s">
        <v>85</v>
      </c>
      <c r="AA26" s="46">
        <v>39.847000000000001</v>
      </c>
      <c r="AB26" s="46">
        <v>19.922999999999998</v>
      </c>
      <c r="AF26" s="46">
        <v>59.769999999999996</v>
      </c>
    </row>
    <row r="27" spans="2:32">
      <c r="B27" s="304" t="s">
        <v>54</v>
      </c>
      <c r="C27" s="304"/>
      <c r="D27" s="304"/>
      <c r="E27" s="304"/>
      <c r="F27" s="304"/>
      <c r="G27" s="304"/>
      <c r="H27" s="304"/>
      <c r="I27" s="304"/>
      <c r="J27" s="304"/>
      <c r="K27" s="304"/>
      <c r="L27" s="304">
        <v>6.2560000000000002</v>
      </c>
      <c r="M27" s="304"/>
      <c r="N27" s="304"/>
      <c r="O27" s="304">
        <v>6.2560000000000002</v>
      </c>
      <c r="P27" s="105" t="s">
        <v>211</v>
      </c>
      <c r="Q27" s="105" t="s">
        <v>744</v>
      </c>
      <c r="S27" s="46" t="s">
        <v>40</v>
      </c>
      <c r="T27" s="46">
        <v>39.070999999999998</v>
      </c>
      <c r="X27" s="46">
        <v>36.034999999999997</v>
      </c>
      <c r="Z27" s="46">
        <v>10.882</v>
      </c>
      <c r="AA27" s="46">
        <v>8.9879999999999995</v>
      </c>
      <c r="AF27" s="46">
        <v>94.975999999999999</v>
      </c>
    </row>
    <row r="28" spans="2:32">
      <c r="B28" s="304" t="s">
        <v>60</v>
      </c>
      <c r="C28" s="304">
        <v>50.314</v>
      </c>
      <c r="D28" s="304">
        <v>48.311</v>
      </c>
      <c r="E28" s="304"/>
      <c r="F28" s="304"/>
      <c r="G28" s="304">
        <v>61.33</v>
      </c>
      <c r="H28" s="304"/>
      <c r="I28" s="304">
        <v>51.36</v>
      </c>
      <c r="J28" s="304">
        <v>8.9879999999999995</v>
      </c>
      <c r="K28" s="304">
        <v>22.533999999999999</v>
      </c>
      <c r="L28" s="304"/>
      <c r="M28" s="304">
        <v>22.045999999999999</v>
      </c>
      <c r="N28" s="304">
        <v>33.232999999999997</v>
      </c>
      <c r="O28" s="304">
        <v>298.11599999999999</v>
      </c>
      <c r="P28" s="105" t="str">
        <f>VLOOKUP(B28,'EX-2.6 Phá bọt'!$B$13:$P$72,15,0)</f>
        <v>Include</v>
      </c>
      <c r="Q28" s="105" t="s">
        <v>744</v>
      </c>
      <c r="S28" s="46" t="s">
        <v>51</v>
      </c>
      <c r="T28" s="46">
        <v>61.262999999999998</v>
      </c>
      <c r="W28" s="46">
        <v>27.643999999999998</v>
      </c>
      <c r="X28" s="46">
        <v>3.677</v>
      </c>
      <c r="Y28" s="46">
        <v>10.962</v>
      </c>
      <c r="AA28" s="46">
        <v>890.06299999999999</v>
      </c>
      <c r="AB28" s="46">
        <v>58.683999999999997</v>
      </c>
      <c r="AE28" s="46">
        <v>14.879</v>
      </c>
      <c r="AF28" s="46">
        <v>1067.172</v>
      </c>
    </row>
    <row r="29" spans="2:32">
      <c r="B29" s="304" t="s">
        <v>36</v>
      </c>
      <c r="C29" s="304"/>
      <c r="D29" s="304"/>
      <c r="E29" s="304"/>
      <c r="F29" s="304"/>
      <c r="G29" s="304"/>
      <c r="H29" s="304"/>
      <c r="I29" s="304"/>
      <c r="J29" s="304">
        <v>74.484999999999999</v>
      </c>
      <c r="K29" s="304"/>
      <c r="L29" s="304"/>
      <c r="M29" s="304"/>
      <c r="N29" s="304"/>
      <c r="O29" s="304">
        <v>74.484999999999999</v>
      </c>
      <c r="P29" s="105" t="str">
        <f>VLOOKUP(B29,'EX-2.6 Phá bọt'!$B$13:$P$72,15,0)</f>
        <v>Include</v>
      </c>
      <c r="Q29" s="105" t="s">
        <v>744</v>
      </c>
      <c r="S29" s="46" t="s">
        <v>230</v>
      </c>
      <c r="W29" s="46">
        <v>6.6619999999999999</v>
      </c>
      <c r="AF29" s="46">
        <v>6.6619999999999999</v>
      </c>
    </row>
    <row r="30" spans="2:32">
      <c r="B30" s="304" t="s">
        <v>683</v>
      </c>
      <c r="C30" s="304"/>
      <c r="D30" s="304"/>
      <c r="E30" s="304"/>
      <c r="F30" s="304"/>
      <c r="G30" s="304">
        <v>10.917999999999999</v>
      </c>
      <c r="H30" s="304">
        <v>9.9990000000000006</v>
      </c>
      <c r="I30" s="304"/>
      <c r="J30" s="304">
        <v>5.4169999999999998</v>
      </c>
      <c r="K30" s="304"/>
      <c r="L30" s="304"/>
      <c r="M30" s="304">
        <v>35.746000000000002</v>
      </c>
      <c r="N30" s="304">
        <v>27.065999999999999</v>
      </c>
      <c r="O30" s="304">
        <v>89.146000000000001</v>
      </c>
      <c r="P30" s="105" t="str">
        <f>VLOOKUP(B30,'EX-2.6 Phá bọt'!$B$13:$P$72,15,0)</f>
        <v>Exclude</v>
      </c>
      <c r="Q30" s="105" t="s">
        <v>744</v>
      </c>
      <c r="S30" s="46" t="s">
        <v>68</v>
      </c>
      <c r="T30" s="46">
        <v>808.38199999999995</v>
      </c>
      <c r="U30" s="46">
        <v>26.536999999999999</v>
      </c>
      <c r="AF30" s="46">
        <v>834.91899999999998</v>
      </c>
    </row>
    <row r="31" spans="2:32">
      <c r="B31" s="304" t="s">
        <v>84</v>
      </c>
      <c r="C31" s="304"/>
      <c r="D31" s="304"/>
      <c r="E31" s="304">
        <v>105.07299999999999</v>
      </c>
      <c r="F31" s="304"/>
      <c r="G31" s="304"/>
      <c r="H31" s="304"/>
      <c r="I31" s="304"/>
      <c r="J31" s="304">
        <v>13.369</v>
      </c>
      <c r="K31" s="304"/>
      <c r="L31" s="304"/>
      <c r="M31" s="304"/>
      <c r="N31" s="304"/>
      <c r="O31" s="304">
        <v>118.44199999999999</v>
      </c>
      <c r="P31" s="105" t="str">
        <f>VLOOKUP(B31,'EX-2.6 Phá bọt'!$B$13:$P$72,15,0)</f>
        <v>Include</v>
      </c>
      <c r="Q31" s="105" t="s">
        <v>744</v>
      </c>
      <c r="S31" s="46" t="s">
        <v>41</v>
      </c>
      <c r="T31" s="46">
        <v>24.669</v>
      </c>
      <c r="U31" s="46">
        <v>99.96</v>
      </c>
      <c r="V31" s="46">
        <v>11.606</v>
      </c>
      <c r="W31" s="46">
        <v>6.1959999999999997</v>
      </c>
      <c r="X31" s="46">
        <v>10.68</v>
      </c>
      <c r="Y31" s="46">
        <v>18.792999999999999</v>
      </c>
      <c r="Z31" s="46">
        <v>64.599999999999994</v>
      </c>
      <c r="AA31" s="46">
        <v>27.446000000000002</v>
      </c>
      <c r="AB31" s="46">
        <v>47.204000000000001</v>
      </c>
      <c r="AC31" s="46">
        <v>41.64</v>
      </c>
      <c r="AD31" s="46">
        <v>172.101</v>
      </c>
      <c r="AF31" s="46">
        <v>524.89499999999998</v>
      </c>
    </row>
    <row r="32" spans="2:32">
      <c r="B32" s="304" t="s">
        <v>85</v>
      </c>
      <c r="C32" s="304"/>
      <c r="D32" s="304"/>
      <c r="E32" s="304"/>
      <c r="F32" s="304"/>
      <c r="G32" s="304"/>
      <c r="H32" s="304"/>
      <c r="I32" s="304"/>
      <c r="J32" s="304">
        <v>39.847000000000001</v>
      </c>
      <c r="K32" s="304">
        <v>19.922999999999998</v>
      </c>
      <c r="L32" s="304"/>
      <c r="M32" s="304"/>
      <c r="N32" s="304"/>
      <c r="O32" s="304">
        <v>59.769999999999996</v>
      </c>
      <c r="P32" s="105" t="str">
        <f>VLOOKUP(B32,'EX-2.6 Phá bọt'!$B$13:$P$72,15,0)</f>
        <v>Include</v>
      </c>
      <c r="Q32" s="105" t="s">
        <v>744</v>
      </c>
      <c r="S32" s="46" t="s">
        <v>55</v>
      </c>
      <c r="X32" s="46">
        <v>19.922999999999998</v>
      </c>
      <c r="Y32" s="46">
        <v>10.331</v>
      </c>
      <c r="AB32" s="46">
        <v>56.381</v>
      </c>
      <c r="AC32" s="46">
        <v>49.683999999999997</v>
      </c>
      <c r="AF32" s="46">
        <v>136.31899999999999</v>
      </c>
    </row>
    <row r="33" spans="1:32">
      <c r="B33" s="304" t="s">
        <v>40</v>
      </c>
      <c r="C33" s="304">
        <v>39.070999999999998</v>
      </c>
      <c r="D33" s="304"/>
      <c r="E33" s="304"/>
      <c r="F33" s="304"/>
      <c r="G33" s="304">
        <v>36.034999999999997</v>
      </c>
      <c r="H33" s="304"/>
      <c r="I33" s="304">
        <v>10.882</v>
      </c>
      <c r="J33" s="304">
        <v>8.9879999999999995</v>
      </c>
      <c r="K33" s="304"/>
      <c r="L33" s="304"/>
      <c r="M33" s="304"/>
      <c r="N33" s="304"/>
      <c r="O33" s="304">
        <v>94.975999999999999</v>
      </c>
      <c r="P33" s="105" t="str">
        <f>VLOOKUP(B33,'EX-2.6 Phá bọt'!$B$13:$P$72,15,0)</f>
        <v>Include</v>
      </c>
      <c r="Q33" s="105" t="s">
        <v>744</v>
      </c>
      <c r="S33" s="46" t="s">
        <v>63</v>
      </c>
      <c r="U33" s="46">
        <v>13.31</v>
      </c>
      <c r="W33" s="46">
        <v>18.849</v>
      </c>
      <c r="AA33" s="46">
        <v>21.163</v>
      </c>
      <c r="AB33" s="46">
        <v>272.45600000000002</v>
      </c>
      <c r="AC33" s="46">
        <v>27.204000000000001</v>
      </c>
      <c r="AD33" s="46">
        <v>247.32599999999999</v>
      </c>
      <c r="AE33" s="46">
        <v>45.886000000000003</v>
      </c>
      <c r="AF33" s="46">
        <v>646.19399999999996</v>
      </c>
    </row>
    <row r="34" spans="1:32">
      <c r="B34" s="304" t="s">
        <v>51</v>
      </c>
      <c r="C34" s="304">
        <v>61.262999999999998</v>
      </c>
      <c r="D34" s="304"/>
      <c r="E34" s="304"/>
      <c r="F34" s="304">
        <v>27.643999999999998</v>
      </c>
      <c r="G34" s="304">
        <v>3.677</v>
      </c>
      <c r="H34" s="304">
        <v>10.962</v>
      </c>
      <c r="I34" s="304"/>
      <c r="J34" s="304">
        <v>890.06299999999999</v>
      </c>
      <c r="K34" s="304">
        <v>58.683999999999997</v>
      </c>
      <c r="L34" s="304"/>
      <c r="M34" s="304"/>
      <c r="N34" s="304">
        <v>14.879</v>
      </c>
      <c r="O34" s="304">
        <v>1067.172</v>
      </c>
      <c r="P34" s="105" t="str">
        <f>VLOOKUP(B34,'EX-2.6 Phá bọt'!$B$13:$P$72,15,0)</f>
        <v>Include</v>
      </c>
      <c r="Q34" s="105" t="s">
        <v>744</v>
      </c>
      <c r="S34" s="46" t="s">
        <v>25</v>
      </c>
      <c r="X34" s="46">
        <v>8.35</v>
      </c>
      <c r="Z34" s="46">
        <v>11.243</v>
      </c>
      <c r="AE34" s="46">
        <v>33.15</v>
      </c>
      <c r="AF34" s="46">
        <v>52.742999999999995</v>
      </c>
    </row>
    <row r="35" spans="1:32">
      <c r="B35" s="304" t="s">
        <v>230</v>
      </c>
      <c r="C35" s="304"/>
      <c r="D35" s="304"/>
      <c r="E35" s="304"/>
      <c r="F35" s="304">
        <v>6.6619999999999999</v>
      </c>
      <c r="G35" s="304"/>
      <c r="H35" s="304"/>
      <c r="I35" s="304"/>
      <c r="J35" s="304"/>
      <c r="K35" s="304"/>
      <c r="L35" s="304"/>
      <c r="M35" s="304"/>
      <c r="N35" s="304"/>
      <c r="O35" s="304">
        <v>6.6619999999999999</v>
      </c>
      <c r="P35" s="105" t="s">
        <v>211</v>
      </c>
      <c r="Q35" s="105" t="s">
        <v>744</v>
      </c>
      <c r="S35" s="46" t="s">
        <v>64</v>
      </c>
      <c r="AE35" s="46">
        <v>39.387999999999998</v>
      </c>
      <c r="AF35" s="46">
        <v>39.387999999999998</v>
      </c>
    </row>
    <row r="36" spans="1:32">
      <c r="B36" s="304" t="s">
        <v>68</v>
      </c>
      <c r="C36" s="304">
        <v>808.38199999999995</v>
      </c>
      <c r="D36" s="304">
        <v>26.536999999999999</v>
      </c>
      <c r="E36" s="304"/>
      <c r="F36" s="304"/>
      <c r="G36" s="304"/>
      <c r="H36" s="304"/>
      <c r="I36" s="304"/>
      <c r="J36" s="304"/>
      <c r="K36" s="304"/>
      <c r="L36" s="304"/>
      <c r="M36" s="304"/>
      <c r="N36" s="304"/>
      <c r="O36" s="304">
        <v>834.91899999999998</v>
      </c>
      <c r="P36" s="105" t="str">
        <f>VLOOKUP(B36,'EX-2.6 Phá bọt'!$B$13:$P$72,15,0)</f>
        <v>Include</v>
      </c>
      <c r="Q36" s="105" t="s">
        <v>744</v>
      </c>
      <c r="S36" s="46" t="s">
        <v>713</v>
      </c>
      <c r="U36" s="46">
        <v>8.35</v>
      </c>
      <c r="V36" s="46">
        <v>94.409000000000006</v>
      </c>
      <c r="X36" s="46">
        <v>31.497</v>
      </c>
      <c r="Z36" s="46">
        <v>71.441000000000003</v>
      </c>
      <c r="AA36" s="46">
        <v>64.286000000000001</v>
      </c>
      <c r="AB36" s="46">
        <v>183.06700000000001</v>
      </c>
      <c r="AC36" s="46">
        <v>41.417000000000002</v>
      </c>
      <c r="AD36" s="46">
        <v>91.07</v>
      </c>
      <c r="AE36" s="46">
        <v>41.378999999999998</v>
      </c>
      <c r="AF36" s="46">
        <v>626.91600000000005</v>
      </c>
    </row>
    <row r="37" spans="1:32">
      <c r="B37" s="304" t="s">
        <v>41</v>
      </c>
      <c r="C37" s="304">
        <v>24.669</v>
      </c>
      <c r="D37" s="304">
        <v>99.96</v>
      </c>
      <c r="E37" s="304">
        <v>11.606</v>
      </c>
      <c r="F37" s="304">
        <v>6.1959999999999997</v>
      </c>
      <c r="G37" s="304">
        <v>10.68</v>
      </c>
      <c r="H37" s="304">
        <v>18.792999999999999</v>
      </c>
      <c r="I37" s="304">
        <v>64.599999999999994</v>
      </c>
      <c r="J37" s="304">
        <v>27.446000000000002</v>
      </c>
      <c r="K37" s="304">
        <v>47.204000000000001</v>
      </c>
      <c r="L37" s="304">
        <v>41.64</v>
      </c>
      <c r="M37" s="304">
        <v>172.101</v>
      </c>
      <c r="N37" s="304"/>
      <c r="O37" s="304">
        <v>524.89499999999998</v>
      </c>
      <c r="P37" s="105" t="str">
        <f>VLOOKUP(B37,'EX-2.6 Phá bọt'!$B$13:$P$72,15,0)</f>
        <v>Include</v>
      </c>
      <c r="Q37" s="105" t="s">
        <v>744</v>
      </c>
      <c r="S37" s="46" t="s">
        <v>23</v>
      </c>
      <c r="T37" s="46">
        <v>9352.4920000000002</v>
      </c>
      <c r="U37" s="46">
        <v>6490.3609999999999</v>
      </c>
      <c r="V37" s="46">
        <v>4217.9089999999997</v>
      </c>
      <c r="W37" s="46">
        <v>9113.5450000000001</v>
      </c>
      <c r="X37" s="46">
        <v>729.86</v>
      </c>
      <c r="Y37" s="46">
        <v>12234.67</v>
      </c>
      <c r="Z37" s="46">
        <v>12312.782999999999</v>
      </c>
      <c r="AA37" s="46">
        <v>2199.002</v>
      </c>
      <c r="AB37" s="46">
        <v>8194.1419999999998</v>
      </c>
      <c r="AC37" s="46">
        <v>8399.357</v>
      </c>
      <c r="AD37" s="46">
        <v>10038.808000000001</v>
      </c>
      <c r="AE37" s="46">
        <v>11019.29</v>
      </c>
      <c r="AF37" s="46">
        <v>94302.219000000012</v>
      </c>
    </row>
    <row r="38" spans="1:32">
      <c r="B38" s="304" t="s">
        <v>55</v>
      </c>
      <c r="C38" s="304"/>
      <c r="D38" s="304"/>
      <c r="E38" s="304"/>
      <c r="F38" s="304"/>
      <c r="G38" s="304">
        <v>19.922999999999998</v>
      </c>
      <c r="H38" s="304">
        <v>10.331</v>
      </c>
      <c r="I38" s="304"/>
      <c r="J38" s="304"/>
      <c r="K38" s="304">
        <v>56.381</v>
      </c>
      <c r="L38" s="304">
        <v>49.683999999999997</v>
      </c>
      <c r="M38" s="304"/>
      <c r="N38" s="304"/>
      <c r="O38" s="304">
        <v>136.31899999999999</v>
      </c>
      <c r="P38" s="105" t="str">
        <f>VLOOKUP(B38,'EX-2.6 Phá bọt'!$B$13:$P$72,15,0)</f>
        <v>Include</v>
      </c>
      <c r="Q38" s="105" t="s">
        <v>744</v>
      </c>
      <c r="S38" s="46" t="s">
        <v>732</v>
      </c>
      <c r="T38" s="46">
        <v>18704.983</v>
      </c>
      <c r="U38" s="46">
        <v>12980.723000000002</v>
      </c>
      <c r="V38" s="46">
        <v>8435.8169999999991</v>
      </c>
      <c r="W38" s="46">
        <v>18227.089</v>
      </c>
      <c r="X38" s="46">
        <v>1459.72</v>
      </c>
      <c r="Y38" s="46">
        <v>24469.339</v>
      </c>
      <c r="Z38" s="46">
        <v>24625.565999999999</v>
      </c>
      <c r="AA38" s="46">
        <v>4398.0029999999997</v>
      </c>
      <c r="AB38" s="46">
        <v>16388.284</v>
      </c>
      <c r="AC38" s="46">
        <v>16798.712999999996</v>
      </c>
      <c r="AD38" s="46">
        <v>20077.616000000002</v>
      </c>
      <c r="AE38" s="46">
        <v>22038.579000000005</v>
      </c>
      <c r="AF38" s="46">
        <v>188604.432</v>
      </c>
    </row>
    <row r="39" spans="1:32">
      <c r="B39" s="304" t="s">
        <v>63</v>
      </c>
      <c r="C39" s="304"/>
      <c r="D39" s="304">
        <v>13.31</v>
      </c>
      <c r="E39" s="304"/>
      <c r="F39" s="304">
        <v>18.849</v>
      </c>
      <c r="G39" s="304"/>
      <c r="H39" s="304"/>
      <c r="I39" s="304"/>
      <c r="J39" s="304">
        <v>21.163</v>
      </c>
      <c r="K39" s="304">
        <v>272.45600000000002</v>
      </c>
      <c r="L39" s="304">
        <v>27.204000000000001</v>
      </c>
      <c r="M39" s="304">
        <v>247.32599999999999</v>
      </c>
      <c r="N39" s="304">
        <v>45.886000000000003</v>
      </c>
      <c r="O39" s="304">
        <v>646.19399999999996</v>
      </c>
      <c r="P39" s="105" t="str">
        <f>VLOOKUP(B39,'EX-2.6 Phá bọt'!$B$13:$P$72,15,0)</f>
        <v>Include</v>
      </c>
      <c r="Q39" s="105" t="s">
        <v>744</v>
      </c>
    </row>
    <row r="40" spans="1:32">
      <c r="B40" s="304" t="s">
        <v>25</v>
      </c>
      <c r="C40" s="304"/>
      <c r="D40" s="304"/>
      <c r="E40" s="304"/>
      <c r="F40" s="304"/>
      <c r="G40" s="304">
        <v>8.35</v>
      </c>
      <c r="H40" s="304"/>
      <c r="I40" s="304">
        <v>11.243</v>
      </c>
      <c r="J40" s="304"/>
      <c r="K40" s="304"/>
      <c r="L40" s="304"/>
      <c r="M40" s="304"/>
      <c r="N40" s="304">
        <v>33.15</v>
      </c>
      <c r="O40" s="304">
        <v>52.742999999999995</v>
      </c>
      <c r="P40" s="105" t="str">
        <f>VLOOKUP(B40,'EX-2.6 Phá bọt'!$B$13:$P$72,15,0)</f>
        <v>Include</v>
      </c>
      <c r="Q40" s="105" t="s">
        <v>744</v>
      </c>
    </row>
    <row r="41" spans="1:32">
      <c r="B41" s="304" t="s">
        <v>64</v>
      </c>
      <c r="C41" s="304"/>
      <c r="D41" s="304"/>
      <c r="E41" s="304"/>
      <c r="F41" s="304"/>
      <c r="G41" s="304"/>
      <c r="H41" s="304"/>
      <c r="I41" s="304"/>
      <c r="J41" s="304"/>
      <c r="K41" s="304"/>
      <c r="L41" s="304"/>
      <c r="M41" s="304"/>
      <c r="N41" s="304">
        <v>39.387999999999998</v>
      </c>
      <c r="O41" s="304">
        <v>39.387999999999998</v>
      </c>
      <c r="P41" s="105" t="str">
        <f>VLOOKUP(B41,'EX-2.6 Phá bọt'!$B$13:$P$72,15,0)</f>
        <v>Include</v>
      </c>
      <c r="Q41" s="105" t="s">
        <v>744</v>
      </c>
    </row>
    <row r="42" spans="1:32">
      <c r="B42" s="304" t="s">
        <v>713</v>
      </c>
      <c r="C42" s="304"/>
      <c r="D42" s="304">
        <v>8.35</v>
      </c>
      <c r="E42" s="304">
        <v>94.409000000000006</v>
      </c>
      <c r="F42" s="304"/>
      <c r="G42" s="304">
        <v>31.497</v>
      </c>
      <c r="H42" s="304"/>
      <c r="I42" s="304">
        <v>71.441000000000003</v>
      </c>
      <c r="J42" s="304">
        <v>64.286000000000001</v>
      </c>
      <c r="K42" s="304">
        <v>183.06700000000001</v>
      </c>
      <c r="L42" s="304">
        <v>41.417000000000002</v>
      </c>
      <c r="M42" s="304">
        <v>91.07</v>
      </c>
      <c r="N42" s="304">
        <v>41.378999999999998</v>
      </c>
      <c r="O42" s="304">
        <v>626.91600000000005</v>
      </c>
      <c r="P42" s="105" t="str">
        <f>VLOOKUP(B42,'EX-2.6 Phá bọt'!$B$13:$P$72,15,0)</f>
        <v>Include</v>
      </c>
      <c r="Q42" s="105" t="s">
        <v>744</v>
      </c>
    </row>
    <row r="43" spans="1:32">
      <c r="B43" s="304" t="s">
        <v>23</v>
      </c>
      <c r="C43" s="304">
        <v>9352.4920000000002</v>
      </c>
      <c r="D43" s="304">
        <v>6490.3609999999999</v>
      </c>
      <c r="E43" s="304">
        <v>4217.9089999999997</v>
      </c>
      <c r="F43" s="304">
        <v>9113.5450000000001</v>
      </c>
      <c r="G43" s="304">
        <v>729.86</v>
      </c>
      <c r="H43" s="304">
        <v>12234.67</v>
      </c>
      <c r="I43" s="304">
        <v>12312.782999999999</v>
      </c>
      <c r="J43" s="304">
        <v>2199.002</v>
      </c>
      <c r="K43" s="304">
        <v>8194.1419999999998</v>
      </c>
      <c r="L43" s="304">
        <v>8399.357</v>
      </c>
      <c r="M43" s="304">
        <v>10038.808000000001</v>
      </c>
      <c r="N43" s="304">
        <v>11019.29</v>
      </c>
      <c r="O43" s="304">
        <v>94302.219000000012</v>
      </c>
      <c r="P43" s="105" t="str">
        <f>VLOOKUP(B43,'EX-2.6 Phá bọt'!$B$13:$P$72,15,0)</f>
        <v>Exclude</v>
      </c>
      <c r="Q43" s="105" t="s">
        <v>744</v>
      </c>
      <c r="S43" s="100" t="s">
        <v>626</v>
      </c>
      <c r="T43" s="46" t="s">
        <v>57</v>
      </c>
    </row>
    <row r="44" spans="1:32">
      <c r="B44" s="304" t="s">
        <v>732</v>
      </c>
      <c r="C44" s="304">
        <v>18704.983</v>
      </c>
      <c r="D44" s="304">
        <v>12980.723000000002</v>
      </c>
      <c r="E44" s="304">
        <v>8435.8169999999991</v>
      </c>
      <c r="F44" s="304">
        <v>18227.089</v>
      </c>
      <c r="G44" s="304">
        <v>1459.72</v>
      </c>
      <c r="H44" s="304">
        <v>24469.339</v>
      </c>
      <c r="I44" s="304">
        <v>24625.565999999999</v>
      </c>
      <c r="J44" s="304">
        <v>4398.0029999999997</v>
      </c>
      <c r="K44" s="304">
        <v>16388.284</v>
      </c>
      <c r="L44" s="304">
        <v>16798.712999999996</v>
      </c>
      <c r="M44" s="304">
        <v>20077.616000000002</v>
      </c>
      <c r="N44" s="304">
        <v>22038.579000000005</v>
      </c>
      <c r="O44" s="304">
        <v>188604.432</v>
      </c>
      <c r="P44" s="105"/>
      <c r="Q44" s="105"/>
    </row>
    <row r="45" spans="1:32">
      <c r="S45" s="100" t="s">
        <v>734</v>
      </c>
      <c r="T45" s="100" t="s">
        <v>621</v>
      </c>
      <c r="U45" s="100" t="s">
        <v>622</v>
      </c>
    </row>
    <row r="46" spans="1:32">
      <c r="T46" s="46">
        <v>2023</v>
      </c>
      <c r="Z46" s="46">
        <v>2024</v>
      </c>
      <c r="AF46" s="46" t="s">
        <v>732</v>
      </c>
    </row>
    <row r="47" spans="1:32">
      <c r="A47" s="99" t="s">
        <v>741</v>
      </c>
      <c r="B47" s="99" t="s">
        <v>46</v>
      </c>
      <c r="S47" s="100" t="s">
        <v>631</v>
      </c>
      <c r="T47" s="46">
        <v>7</v>
      </c>
      <c r="U47" s="46">
        <v>8</v>
      </c>
      <c r="V47" s="46">
        <v>9</v>
      </c>
      <c r="W47" s="46">
        <v>10</v>
      </c>
      <c r="X47" s="46">
        <v>11</v>
      </c>
      <c r="Y47" s="46">
        <v>12</v>
      </c>
      <c r="Z47" s="46">
        <v>1</v>
      </c>
      <c r="AA47" s="46">
        <v>2</v>
      </c>
      <c r="AB47" s="46">
        <v>3</v>
      </c>
      <c r="AC47" s="46">
        <v>4</v>
      </c>
      <c r="AD47" s="46">
        <v>5</v>
      </c>
      <c r="AE47" s="46">
        <v>6</v>
      </c>
    </row>
    <row r="48" spans="1:32">
      <c r="B48" s="29" t="s">
        <v>47</v>
      </c>
      <c r="S48" s="46" t="s">
        <v>74</v>
      </c>
      <c r="X48" s="46">
        <v>321</v>
      </c>
      <c r="Y48" s="46">
        <v>1587.2760000000001</v>
      </c>
      <c r="Z48" s="46">
        <v>393.29199999999997</v>
      </c>
      <c r="AA48" s="46">
        <v>152.29400000000001</v>
      </c>
      <c r="AB48" s="46">
        <v>196.42099999999999</v>
      </c>
      <c r="AC48" s="46">
        <v>529.17100000000005</v>
      </c>
      <c r="AD48" s="46">
        <v>1772.402</v>
      </c>
      <c r="AE48" s="46">
        <v>194.285</v>
      </c>
      <c r="AF48" s="46">
        <v>5146.1409999999996</v>
      </c>
    </row>
    <row r="49" spans="2:32">
      <c r="S49" s="46" t="s">
        <v>66</v>
      </c>
      <c r="U49" s="46">
        <v>242</v>
      </c>
      <c r="AF49" s="46">
        <v>242</v>
      </c>
    </row>
    <row r="50" spans="2:32">
      <c r="B50" s="105"/>
      <c r="C50" s="324">
        <v>2023</v>
      </c>
      <c r="D50" s="324"/>
      <c r="E50" s="324"/>
      <c r="F50" s="324"/>
      <c r="G50" s="324"/>
      <c r="H50" s="324"/>
      <c r="I50" s="324">
        <v>2024</v>
      </c>
      <c r="J50" s="324"/>
      <c r="K50" s="324"/>
      <c r="L50" s="324"/>
      <c r="M50" s="324"/>
      <c r="N50" s="324"/>
      <c r="O50" s="112" t="s">
        <v>732</v>
      </c>
      <c r="P50" s="320" t="s">
        <v>209</v>
      </c>
      <c r="Q50" s="320" t="s">
        <v>155</v>
      </c>
      <c r="S50" s="46" t="s">
        <v>29</v>
      </c>
      <c r="T50" s="46">
        <v>201</v>
      </c>
      <c r="U50" s="46">
        <v>566.32899999999995</v>
      </c>
      <c r="V50" s="46">
        <v>18315.272000000001</v>
      </c>
      <c r="X50" s="46">
        <v>2514.4059999999999</v>
      </c>
      <c r="Y50" s="46">
        <v>625.17700000000002</v>
      </c>
      <c r="Z50" s="46">
        <v>8450.8610000000008</v>
      </c>
      <c r="AA50" s="46">
        <v>4740.8540000000003</v>
      </c>
      <c r="AB50" s="46">
        <v>821.17</v>
      </c>
      <c r="AC50" s="46">
        <v>12606.745000000001</v>
      </c>
      <c r="AD50" s="46">
        <v>2074.357</v>
      </c>
      <c r="AE50" s="46">
        <v>684.44799999999998</v>
      </c>
      <c r="AF50" s="46">
        <v>51600.618999999999</v>
      </c>
    </row>
    <row r="51" spans="2:32">
      <c r="B51" s="107" t="s">
        <v>631</v>
      </c>
      <c r="C51" s="113">
        <v>7</v>
      </c>
      <c r="D51" s="113">
        <v>8</v>
      </c>
      <c r="E51" s="113">
        <v>9</v>
      </c>
      <c r="F51" s="113">
        <v>10</v>
      </c>
      <c r="G51" s="113">
        <v>11</v>
      </c>
      <c r="H51" s="113">
        <v>12</v>
      </c>
      <c r="I51" s="113">
        <v>1</v>
      </c>
      <c r="J51" s="113">
        <v>2</v>
      </c>
      <c r="K51" s="113">
        <v>3</v>
      </c>
      <c r="L51" s="113">
        <v>4</v>
      </c>
      <c r="M51" s="113">
        <v>5</v>
      </c>
      <c r="N51" s="113">
        <v>6</v>
      </c>
      <c r="O51" s="113"/>
      <c r="P51" s="320"/>
      <c r="Q51" s="320"/>
      <c r="S51" s="46" t="s">
        <v>127</v>
      </c>
      <c r="AA51" s="46">
        <v>135.33699999999999</v>
      </c>
      <c r="AF51" s="46">
        <v>135.33699999999999</v>
      </c>
    </row>
    <row r="52" spans="2:32">
      <c r="B52" s="304" t="s">
        <v>74</v>
      </c>
      <c r="C52" s="304"/>
      <c r="D52" s="304"/>
      <c r="E52" s="304"/>
      <c r="F52" s="304"/>
      <c r="G52" s="304">
        <v>321</v>
      </c>
      <c r="H52" s="304">
        <v>1587.2760000000001</v>
      </c>
      <c r="I52" s="304">
        <v>393.29199999999997</v>
      </c>
      <c r="J52" s="304">
        <v>152.29400000000001</v>
      </c>
      <c r="K52" s="304">
        <v>196.42099999999999</v>
      </c>
      <c r="L52" s="304">
        <v>529.17100000000005</v>
      </c>
      <c r="M52" s="304">
        <v>1772.402</v>
      </c>
      <c r="N52" s="304">
        <v>194.285</v>
      </c>
      <c r="O52" s="304">
        <v>5146.1409999999996</v>
      </c>
      <c r="P52" s="105" t="str">
        <f>VLOOKUP(B52,$B$13:$P$43,15,0)</f>
        <v>Include</v>
      </c>
      <c r="Q52" s="105" t="s">
        <v>743</v>
      </c>
      <c r="S52" s="46" t="s">
        <v>753</v>
      </c>
      <c r="W52" s="46">
        <v>21.218</v>
      </c>
      <c r="X52" s="46">
        <v>769.75099999999998</v>
      </c>
      <c r="AF52" s="46">
        <v>790.96899999999994</v>
      </c>
    </row>
    <row r="53" spans="2:32">
      <c r="B53" s="304" t="s">
        <v>66</v>
      </c>
      <c r="C53" s="304"/>
      <c r="D53" s="304">
        <v>242</v>
      </c>
      <c r="E53" s="304"/>
      <c r="F53" s="304"/>
      <c r="G53" s="304"/>
      <c r="H53" s="304"/>
      <c r="I53" s="304"/>
      <c r="J53" s="304"/>
      <c r="K53" s="304"/>
      <c r="L53" s="304"/>
      <c r="M53" s="304"/>
      <c r="N53" s="304"/>
      <c r="O53" s="304">
        <v>242</v>
      </c>
      <c r="P53" s="105" t="str">
        <f t="shared" ref="P53:P82" si="0">VLOOKUP(B53,$B$13:$P$43,15,0)</f>
        <v>Include</v>
      </c>
      <c r="Q53" s="105" t="s">
        <v>743</v>
      </c>
      <c r="S53" s="46" t="s">
        <v>103</v>
      </c>
      <c r="U53" s="46">
        <v>285.86599999999999</v>
      </c>
      <c r="AF53" s="46">
        <v>285.86599999999999</v>
      </c>
    </row>
    <row r="54" spans="2:32">
      <c r="B54" s="304" t="s">
        <v>29</v>
      </c>
      <c r="C54" s="304">
        <v>201</v>
      </c>
      <c r="D54" s="304">
        <v>566.32899999999995</v>
      </c>
      <c r="E54" s="304">
        <v>18315.272000000001</v>
      </c>
      <c r="F54" s="304"/>
      <c r="G54" s="304">
        <v>2514.4059999999999</v>
      </c>
      <c r="H54" s="304">
        <v>625.17700000000002</v>
      </c>
      <c r="I54" s="304">
        <v>8450.8610000000008</v>
      </c>
      <c r="J54" s="304">
        <v>4740.8540000000003</v>
      </c>
      <c r="K54" s="304">
        <v>821.17</v>
      </c>
      <c r="L54" s="304">
        <v>12606.745000000001</v>
      </c>
      <c r="M54" s="304">
        <v>2074.357</v>
      </c>
      <c r="N54" s="304">
        <v>684.44799999999998</v>
      </c>
      <c r="O54" s="304">
        <v>51600.618999999999</v>
      </c>
      <c r="P54" s="105" t="str">
        <f t="shared" si="0"/>
        <v>Exclude</v>
      </c>
      <c r="Q54" s="105" t="s">
        <v>743</v>
      </c>
      <c r="S54" s="46" t="s">
        <v>73</v>
      </c>
      <c r="T54" s="46">
        <v>52</v>
      </c>
      <c r="AF54" s="46">
        <v>52</v>
      </c>
    </row>
    <row r="55" spans="2:32">
      <c r="B55" s="304" t="s">
        <v>127</v>
      </c>
      <c r="C55" s="304"/>
      <c r="D55" s="304"/>
      <c r="E55" s="304"/>
      <c r="F55" s="304"/>
      <c r="G55" s="304"/>
      <c r="H55" s="304"/>
      <c r="I55" s="304"/>
      <c r="J55" s="304">
        <v>135.33699999999999</v>
      </c>
      <c r="K55" s="304"/>
      <c r="L55" s="304"/>
      <c r="M55" s="304"/>
      <c r="N55" s="304"/>
      <c r="O55" s="304">
        <v>135.33699999999999</v>
      </c>
      <c r="P55" s="105" t="str">
        <f t="shared" si="0"/>
        <v>Include</v>
      </c>
      <c r="Q55" s="105" t="s">
        <v>743</v>
      </c>
      <c r="S55" s="46" t="s">
        <v>69</v>
      </c>
      <c r="T55" s="46">
        <v>2000</v>
      </c>
      <c r="AA55" s="46">
        <v>293.392</v>
      </c>
      <c r="AB55" s="46">
        <v>359.83</v>
      </c>
      <c r="AC55" s="46">
        <v>156.673</v>
      </c>
      <c r="AF55" s="46">
        <v>2809.8949999999995</v>
      </c>
    </row>
    <row r="56" spans="2:32">
      <c r="B56" s="304" t="s">
        <v>753</v>
      </c>
      <c r="C56" s="304"/>
      <c r="D56" s="304"/>
      <c r="E56" s="304"/>
      <c r="F56" s="304">
        <v>21.218</v>
      </c>
      <c r="G56" s="304">
        <v>769.75099999999998</v>
      </c>
      <c r="H56" s="304"/>
      <c r="I56" s="304"/>
      <c r="J56" s="304"/>
      <c r="K56" s="304"/>
      <c r="L56" s="304"/>
      <c r="M56" s="304"/>
      <c r="N56" s="304"/>
      <c r="O56" s="304">
        <v>790.96899999999994</v>
      </c>
      <c r="P56" s="105" t="str">
        <f t="shared" si="0"/>
        <v>Include</v>
      </c>
      <c r="Q56" s="105" t="s">
        <v>743</v>
      </c>
      <c r="S56" s="46" t="s">
        <v>30</v>
      </c>
      <c r="T56" s="46">
        <v>400.62</v>
      </c>
      <c r="U56" s="46">
        <v>965.81600000000003</v>
      </c>
      <c r="V56" s="46">
        <v>803.39700000000005</v>
      </c>
      <c r="W56" s="46">
        <v>1879.1610000000001</v>
      </c>
      <c r="X56" s="46">
        <v>626.15899999999999</v>
      </c>
      <c r="Y56" s="46">
        <v>523.35199999999998</v>
      </c>
      <c r="Z56" s="46">
        <v>1684.405</v>
      </c>
      <c r="AA56" s="46">
        <v>3206.922</v>
      </c>
      <c r="AB56" s="46">
        <v>1559.8040000000001</v>
      </c>
      <c r="AC56" s="46">
        <v>2347.7559999999999</v>
      </c>
      <c r="AD56" s="46">
        <v>17822.859</v>
      </c>
      <c r="AE56" s="46">
        <v>1192.32</v>
      </c>
      <c r="AF56" s="46">
        <v>33012.571000000004</v>
      </c>
    </row>
    <row r="57" spans="2:32">
      <c r="B57" s="304" t="s">
        <v>103</v>
      </c>
      <c r="C57" s="304"/>
      <c r="D57" s="304">
        <v>285.86599999999999</v>
      </c>
      <c r="E57" s="304"/>
      <c r="F57" s="304"/>
      <c r="G57" s="304"/>
      <c r="H57" s="304"/>
      <c r="I57" s="304"/>
      <c r="J57" s="304"/>
      <c r="K57" s="304"/>
      <c r="L57" s="304"/>
      <c r="M57" s="304"/>
      <c r="N57" s="304"/>
      <c r="O57" s="304">
        <v>285.86599999999999</v>
      </c>
      <c r="P57" s="105" t="str">
        <f t="shared" si="0"/>
        <v>Include</v>
      </c>
      <c r="Q57" s="105" t="s">
        <v>743</v>
      </c>
      <c r="S57" s="46" t="s">
        <v>0</v>
      </c>
      <c r="T57" s="46">
        <v>97678.001999999993</v>
      </c>
      <c r="U57" s="46">
        <v>73302.004000000001</v>
      </c>
      <c r="V57" s="46">
        <v>18193</v>
      </c>
      <c r="W57" s="46">
        <v>106620.16800000001</v>
      </c>
      <c r="Y57" s="46">
        <v>144240.79800000001</v>
      </c>
      <c r="Z57" s="46">
        <v>130361.545</v>
      </c>
      <c r="AB57" s="46">
        <v>84877.558999999994</v>
      </c>
      <c r="AC57" s="46">
        <v>82706.629000000001</v>
      </c>
      <c r="AD57" s="46">
        <v>84482.726999999999</v>
      </c>
      <c r="AE57" s="46">
        <v>121794.086</v>
      </c>
      <c r="AF57" s="46">
        <v>944256.51799999992</v>
      </c>
    </row>
    <row r="58" spans="2:32">
      <c r="B58" s="304" t="s">
        <v>73</v>
      </c>
      <c r="C58" s="304">
        <v>52</v>
      </c>
      <c r="D58" s="304"/>
      <c r="E58" s="304"/>
      <c r="F58" s="304"/>
      <c r="G58" s="304"/>
      <c r="H58" s="304"/>
      <c r="I58" s="304"/>
      <c r="J58" s="304"/>
      <c r="K58" s="304"/>
      <c r="L58" s="304"/>
      <c r="M58" s="304"/>
      <c r="N58" s="304"/>
      <c r="O58" s="304">
        <v>52</v>
      </c>
      <c r="P58" s="105" t="str">
        <f t="shared" si="0"/>
        <v>Include</v>
      </c>
      <c r="Q58" s="105" t="s">
        <v>743</v>
      </c>
      <c r="S58" s="46" t="s">
        <v>87</v>
      </c>
      <c r="T58" s="46">
        <v>226</v>
      </c>
      <c r="AF58" s="46">
        <v>226</v>
      </c>
    </row>
    <row r="59" spans="2:32">
      <c r="B59" s="304" t="s">
        <v>69</v>
      </c>
      <c r="C59" s="304">
        <v>2000</v>
      </c>
      <c r="D59" s="304"/>
      <c r="E59" s="304"/>
      <c r="F59" s="304"/>
      <c r="G59" s="304"/>
      <c r="H59" s="304"/>
      <c r="I59" s="304"/>
      <c r="J59" s="304">
        <v>293.392</v>
      </c>
      <c r="K59" s="304">
        <v>359.83</v>
      </c>
      <c r="L59" s="304">
        <v>156.673</v>
      </c>
      <c r="M59" s="304"/>
      <c r="N59" s="304"/>
      <c r="O59" s="304">
        <v>2809.8949999999995</v>
      </c>
      <c r="P59" s="105" t="str">
        <f t="shared" si="0"/>
        <v>Include</v>
      </c>
      <c r="Q59" s="105" t="s">
        <v>743</v>
      </c>
      <c r="S59" s="46" t="s">
        <v>100</v>
      </c>
      <c r="W59" s="46">
        <v>227</v>
      </c>
      <c r="AF59" s="46">
        <v>227</v>
      </c>
    </row>
    <row r="60" spans="2:32">
      <c r="B60" s="304" t="s">
        <v>30</v>
      </c>
      <c r="C60" s="304">
        <v>400.62</v>
      </c>
      <c r="D60" s="304">
        <v>965.81600000000003</v>
      </c>
      <c r="E60" s="304">
        <v>803.39700000000005</v>
      </c>
      <c r="F60" s="304">
        <v>1879.1610000000001</v>
      </c>
      <c r="G60" s="304">
        <v>626.15899999999999</v>
      </c>
      <c r="H60" s="304">
        <v>523.35199999999998</v>
      </c>
      <c r="I60" s="304">
        <v>1684.405</v>
      </c>
      <c r="J60" s="304">
        <v>3206.922</v>
      </c>
      <c r="K60" s="304">
        <v>1559.8040000000001</v>
      </c>
      <c r="L60" s="304">
        <v>2347.7559999999999</v>
      </c>
      <c r="M60" s="304">
        <v>17822.859</v>
      </c>
      <c r="N60" s="304">
        <v>1192.32</v>
      </c>
      <c r="O60" s="304">
        <v>33012.571000000004</v>
      </c>
      <c r="P60" s="105" t="str">
        <f t="shared" si="0"/>
        <v>Include</v>
      </c>
      <c r="Q60" s="105" t="s">
        <v>743</v>
      </c>
      <c r="S60" s="46" t="s">
        <v>71</v>
      </c>
      <c r="T60" s="46">
        <v>674.23599999999999</v>
      </c>
      <c r="U60" s="46">
        <v>755.13900000000001</v>
      </c>
      <c r="V60" s="46">
        <v>11156.253000000001</v>
      </c>
      <c r="W60" s="46">
        <v>775.16700000000003</v>
      </c>
      <c r="X60" s="46">
        <v>2390.837</v>
      </c>
      <c r="Y60" s="46">
        <v>412.428</v>
      </c>
      <c r="Z60" s="46">
        <v>5515.1580000000004</v>
      </c>
      <c r="AA60" s="46">
        <v>4111.2690000000002</v>
      </c>
      <c r="AB60" s="46">
        <v>3317.846</v>
      </c>
      <c r="AC60" s="46">
        <v>1244.1669999999999</v>
      </c>
      <c r="AD60" s="46">
        <v>8406.3850000000002</v>
      </c>
      <c r="AE60" s="46">
        <v>6585.6559999999999</v>
      </c>
      <c r="AF60" s="46">
        <v>45344.541000000005</v>
      </c>
    </row>
    <row r="61" spans="2:32">
      <c r="B61" s="304" t="s">
        <v>0</v>
      </c>
      <c r="C61" s="304">
        <v>97678.001999999993</v>
      </c>
      <c r="D61" s="304">
        <v>73302.004000000001</v>
      </c>
      <c r="E61" s="304">
        <v>18193</v>
      </c>
      <c r="F61" s="304">
        <v>106620.16800000001</v>
      </c>
      <c r="G61" s="304"/>
      <c r="H61" s="304">
        <v>144240.79800000001</v>
      </c>
      <c r="I61" s="304">
        <v>130361.545</v>
      </c>
      <c r="J61" s="304"/>
      <c r="K61" s="304">
        <v>84877.558999999994</v>
      </c>
      <c r="L61" s="304">
        <v>82706.629000000001</v>
      </c>
      <c r="M61" s="304">
        <v>84482.726999999999</v>
      </c>
      <c r="N61" s="304">
        <v>121794.086</v>
      </c>
      <c r="O61" s="304">
        <v>944256.51799999992</v>
      </c>
      <c r="P61" s="105" t="str">
        <f t="shared" si="0"/>
        <v>Include</v>
      </c>
      <c r="Q61" s="105" t="s">
        <v>743</v>
      </c>
      <c r="S61" s="46" t="s">
        <v>89</v>
      </c>
      <c r="U61" s="46">
        <v>16</v>
      </c>
      <c r="AF61" s="46">
        <v>16</v>
      </c>
    </row>
    <row r="62" spans="2:32">
      <c r="B62" s="304" t="s">
        <v>87</v>
      </c>
      <c r="C62" s="304">
        <v>226</v>
      </c>
      <c r="D62" s="304"/>
      <c r="E62" s="304"/>
      <c r="F62" s="304"/>
      <c r="G62" s="304"/>
      <c r="H62" s="304"/>
      <c r="I62" s="304"/>
      <c r="J62" s="304"/>
      <c r="K62" s="304"/>
      <c r="L62" s="304"/>
      <c r="M62" s="304"/>
      <c r="N62" s="304"/>
      <c r="O62" s="304">
        <v>226</v>
      </c>
      <c r="P62" s="105" t="str">
        <f t="shared" si="0"/>
        <v>Include</v>
      </c>
      <c r="Q62" s="105" t="s">
        <v>743</v>
      </c>
      <c r="S62" s="46" t="s">
        <v>54</v>
      </c>
      <c r="AC62" s="46">
        <v>75.679000000000002</v>
      </c>
      <c r="AF62" s="46">
        <v>75.679000000000002</v>
      </c>
    </row>
    <row r="63" spans="2:32">
      <c r="B63" s="304" t="s">
        <v>100</v>
      </c>
      <c r="C63" s="304"/>
      <c r="D63" s="304"/>
      <c r="E63" s="304"/>
      <c r="F63" s="304">
        <v>227</v>
      </c>
      <c r="G63" s="304"/>
      <c r="H63" s="304"/>
      <c r="I63" s="304"/>
      <c r="J63" s="304"/>
      <c r="K63" s="304"/>
      <c r="L63" s="304"/>
      <c r="M63" s="304"/>
      <c r="N63" s="304"/>
      <c r="O63" s="304">
        <v>227</v>
      </c>
      <c r="P63" s="105" t="str">
        <f t="shared" si="0"/>
        <v>Include</v>
      </c>
      <c r="Q63" s="105" t="s">
        <v>743</v>
      </c>
      <c r="S63" s="46" t="s">
        <v>60</v>
      </c>
      <c r="T63" s="46">
        <v>608.61099999999999</v>
      </c>
      <c r="U63" s="46">
        <v>584.39099999999996</v>
      </c>
      <c r="X63" s="46">
        <v>741.86800000000005</v>
      </c>
      <c r="Z63" s="46">
        <v>621.26900000000001</v>
      </c>
      <c r="AA63" s="46">
        <v>108.726</v>
      </c>
      <c r="AB63" s="46">
        <v>272.57900000000001</v>
      </c>
      <c r="AD63" s="46">
        <v>266.67899999999997</v>
      </c>
      <c r="AE63" s="46">
        <v>402</v>
      </c>
      <c r="AF63" s="46">
        <v>3606.1230000000005</v>
      </c>
    </row>
    <row r="64" spans="2:32">
      <c r="B64" s="304" t="s">
        <v>71</v>
      </c>
      <c r="C64" s="304">
        <v>674.23599999999999</v>
      </c>
      <c r="D64" s="304">
        <v>755.13900000000001</v>
      </c>
      <c r="E64" s="304">
        <v>11156.253000000001</v>
      </c>
      <c r="F64" s="304">
        <v>775.16700000000003</v>
      </c>
      <c r="G64" s="304">
        <v>2390.837</v>
      </c>
      <c r="H64" s="304">
        <v>412.428</v>
      </c>
      <c r="I64" s="304">
        <v>5515.1580000000004</v>
      </c>
      <c r="J64" s="304">
        <v>4111.2690000000002</v>
      </c>
      <c r="K64" s="304">
        <v>3317.846</v>
      </c>
      <c r="L64" s="304">
        <v>1244.1669999999999</v>
      </c>
      <c r="M64" s="304">
        <v>8406.3850000000002</v>
      </c>
      <c r="N64" s="304">
        <v>6585.6559999999999</v>
      </c>
      <c r="O64" s="304">
        <v>45344.541000000005</v>
      </c>
      <c r="P64" s="105" t="str">
        <f t="shared" si="0"/>
        <v>Include</v>
      </c>
      <c r="Q64" s="105" t="s">
        <v>743</v>
      </c>
      <c r="S64" s="46" t="s">
        <v>36</v>
      </c>
      <c r="AA64" s="46">
        <v>901</v>
      </c>
      <c r="AF64" s="46">
        <v>901</v>
      </c>
    </row>
    <row r="65" spans="2:32">
      <c r="B65" s="304" t="s">
        <v>89</v>
      </c>
      <c r="C65" s="304"/>
      <c r="D65" s="304">
        <v>16</v>
      </c>
      <c r="E65" s="304"/>
      <c r="F65" s="304"/>
      <c r="G65" s="304"/>
      <c r="H65" s="304"/>
      <c r="I65" s="304"/>
      <c r="J65" s="304"/>
      <c r="K65" s="304"/>
      <c r="L65" s="304"/>
      <c r="M65" s="304"/>
      <c r="N65" s="304"/>
      <c r="O65" s="304">
        <v>16</v>
      </c>
      <c r="P65" s="105" t="str">
        <f t="shared" si="0"/>
        <v>Include</v>
      </c>
      <c r="Q65" s="105" t="s">
        <v>743</v>
      </c>
      <c r="S65" s="46" t="s">
        <v>683</v>
      </c>
      <c r="X65" s="46">
        <v>132.071</v>
      </c>
      <c r="Y65" s="46">
        <v>120.95699999999999</v>
      </c>
      <c r="AA65" s="46">
        <v>65.52</v>
      </c>
      <c r="AD65" s="46">
        <v>432.399</v>
      </c>
      <c r="AE65" s="46">
        <v>327.39800000000002</v>
      </c>
      <c r="AF65" s="46">
        <v>1078.345</v>
      </c>
    </row>
    <row r="66" spans="2:32">
      <c r="B66" s="304" t="s">
        <v>54</v>
      </c>
      <c r="C66" s="304"/>
      <c r="D66" s="304"/>
      <c r="E66" s="304"/>
      <c r="F66" s="304"/>
      <c r="G66" s="304"/>
      <c r="H66" s="304"/>
      <c r="I66" s="304"/>
      <c r="J66" s="304"/>
      <c r="K66" s="304"/>
      <c r="L66" s="304">
        <v>75.679000000000002</v>
      </c>
      <c r="M66" s="304"/>
      <c r="N66" s="304"/>
      <c r="O66" s="304">
        <v>75.679000000000002</v>
      </c>
      <c r="P66" s="105" t="str">
        <f t="shared" si="0"/>
        <v>Include</v>
      </c>
      <c r="Q66" s="105" t="s">
        <v>743</v>
      </c>
      <c r="S66" s="46" t="s">
        <v>84</v>
      </c>
      <c r="V66" s="46">
        <v>1271</v>
      </c>
      <c r="AA66" s="46">
        <v>161.721</v>
      </c>
      <c r="AF66" s="46">
        <v>1432.721</v>
      </c>
    </row>
    <row r="67" spans="2:32">
      <c r="B67" s="304" t="s">
        <v>60</v>
      </c>
      <c r="C67" s="304">
        <v>608.61099999999999</v>
      </c>
      <c r="D67" s="304">
        <v>584.39099999999996</v>
      </c>
      <c r="E67" s="304"/>
      <c r="F67" s="304"/>
      <c r="G67" s="304">
        <v>741.86800000000005</v>
      </c>
      <c r="H67" s="304"/>
      <c r="I67" s="304">
        <v>621.26900000000001</v>
      </c>
      <c r="J67" s="304">
        <v>108.726</v>
      </c>
      <c r="K67" s="304">
        <v>272.57900000000001</v>
      </c>
      <c r="L67" s="304"/>
      <c r="M67" s="304">
        <v>266.67899999999997</v>
      </c>
      <c r="N67" s="304">
        <v>402</v>
      </c>
      <c r="O67" s="304">
        <v>3606.1230000000005</v>
      </c>
      <c r="P67" s="105" t="str">
        <f t="shared" si="0"/>
        <v>Include</v>
      </c>
      <c r="Q67" s="105" t="s">
        <v>743</v>
      </c>
      <c r="S67" s="46" t="s">
        <v>85</v>
      </c>
      <c r="AA67" s="46">
        <v>482</v>
      </c>
      <c r="AB67" s="46">
        <v>241</v>
      </c>
      <c r="AF67" s="46">
        <v>723</v>
      </c>
    </row>
    <row r="68" spans="2:32">
      <c r="B68" s="304" t="s">
        <v>36</v>
      </c>
      <c r="C68" s="304"/>
      <c r="D68" s="304"/>
      <c r="E68" s="304"/>
      <c r="F68" s="304"/>
      <c r="G68" s="304"/>
      <c r="H68" s="304"/>
      <c r="I68" s="304"/>
      <c r="J68" s="304">
        <v>901</v>
      </c>
      <c r="K68" s="304"/>
      <c r="L68" s="304"/>
      <c r="M68" s="304"/>
      <c r="N68" s="304"/>
      <c r="O68" s="304">
        <v>901</v>
      </c>
      <c r="P68" s="105" t="str">
        <f t="shared" si="0"/>
        <v>Include</v>
      </c>
      <c r="Q68" s="105" t="s">
        <v>743</v>
      </c>
      <c r="S68" s="46" t="s">
        <v>40</v>
      </c>
      <c r="T68" s="46">
        <v>472.61799999999999</v>
      </c>
      <c r="X68" s="46">
        <v>435.887</v>
      </c>
      <c r="Z68" s="46">
        <v>131.636</v>
      </c>
      <c r="AA68" s="46">
        <v>108.726</v>
      </c>
      <c r="AF68" s="46">
        <v>1148.8670000000002</v>
      </c>
    </row>
    <row r="69" spans="2:32">
      <c r="B69" s="304" t="s">
        <v>683</v>
      </c>
      <c r="C69" s="304"/>
      <c r="D69" s="304"/>
      <c r="E69" s="304"/>
      <c r="F69" s="304"/>
      <c r="G69" s="304">
        <v>132.071</v>
      </c>
      <c r="H69" s="304">
        <v>120.95699999999999</v>
      </c>
      <c r="I69" s="304"/>
      <c r="J69" s="304">
        <v>65.52</v>
      </c>
      <c r="K69" s="304"/>
      <c r="L69" s="304"/>
      <c r="M69" s="304">
        <v>432.399</v>
      </c>
      <c r="N69" s="304">
        <v>327.39800000000002</v>
      </c>
      <c r="O69" s="304">
        <v>1078.345</v>
      </c>
      <c r="P69" s="105" t="str">
        <f t="shared" si="0"/>
        <v>Exclude</v>
      </c>
      <c r="Q69" s="105" t="s">
        <v>743</v>
      </c>
      <c r="S69" s="46" t="s">
        <v>51</v>
      </c>
      <c r="T69" s="46">
        <v>741.06299999999999</v>
      </c>
      <c r="W69" s="46">
        <v>334.39</v>
      </c>
      <c r="X69" s="46">
        <v>44.476999999999997</v>
      </c>
      <c r="Y69" s="46">
        <v>132.602</v>
      </c>
      <c r="AA69" s="46">
        <v>10766.514999999999</v>
      </c>
      <c r="AB69" s="46">
        <v>709.85599999999999</v>
      </c>
      <c r="AE69" s="46">
        <v>179.977</v>
      </c>
      <c r="AF69" s="46">
        <v>12908.88</v>
      </c>
    </row>
    <row r="70" spans="2:32">
      <c r="B70" s="304" t="s">
        <v>84</v>
      </c>
      <c r="C70" s="304"/>
      <c r="D70" s="304"/>
      <c r="E70" s="304">
        <v>1271</v>
      </c>
      <c r="F70" s="304"/>
      <c r="G70" s="304"/>
      <c r="H70" s="304"/>
      <c r="I70" s="304"/>
      <c r="J70" s="304">
        <v>161.721</v>
      </c>
      <c r="K70" s="304"/>
      <c r="L70" s="304"/>
      <c r="M70" s="304"/>
      <c r="N70" s="304"/>
      <c r="O70" s="304">
        <v>1432.721</v>
      </c>
      <c r="P70" s="105" t="str">
        <f t="shared" si="0"/>
        <v>Include</v>
      </c>
      <c r="Q70" s="105" t="s">
        <v>743</v>
      </c>
      <c r="S70" s="46" t="s">
        <v>230</v>
      </c>
      <c r="W70" s="46">
        <v>80.59</v>
      </c>
      <c r="AF70" s="46">
        <v>80.59</v>
      </c>
    </row>
    <row r="71" spans="2:32">
      <c r="B71" s="304" t="s">
        <v>85</v>
      </c>
      <c r="C71" s="304"/>
      <c r="D71" s="304"/>
      <c r="E71" s="304"/>
      <c r="F71" s="304"/>
      <c r="G71" s="304"/>
      <c r="H71" s="304"/>
      <c r="I71" s="304"/>
      <c r="J71" s="304">
        <v>482</v>
      </c>
      <c r="K71" s="304">
        <v>241</v>
      </c>
      <c r="L71" s="304"/>
      <c r="M71" s="304"/>
      <c r="N71" s="304"/>
      <c r="O71" s="304">
        <v>723</v>
      </c>
      <c r="P71" s="105" t="str">
        <f t="shared" si="0"/>
        <v>Include</v>
      </c>
      <c r="Q71" s="105" t="s">
        <v>743</v>
      </c>
      <c r="S71" s="46" t="s">
        <v>68</v>
      </c>
      <c r="T71" s="46">
        <v>9778.4779999999992</v>
      </c>
      <c r="U71" s="46">
        <v>321</v>
      </c>
      <c r="AF71" s="46">
        <v>10099.477999999999</v>
      </c>
    </row>
    <row r="72" spans="2:32">
      <c r="B72" s="304" t="s">
        <v>40</v>
      </c>
      <c r="C72" s="304">
        <v>472.61799999999999</v>
      </c>
      <c r="D72" s="304"/>
      <c r="E72" s="304"/>
      <c r="F72" s="304"/>
      <c r="G72" s="304">
        <v>435.887</v>
      </c>
      <c r="H72" s="304"/>
      <c r="I72" s="304">
        <v>131.636</v>
      </c>
      <c r="J72" s="304">
        <v>108.726</v>
      </c>
      <c r="K72" s="304"/>
      <c r="L72" s="304"/>
      <c r="M72" s="304"/>
      <c r="N72" s="304"/>
      <c r="O72" s="304">
        <v>1148.8670000000002</v>
      </c>
      <c r="P72" s="105" t="str">
        <f t="shared" si="0"/>
        <v>Include</v>
      </c>
      <c r="Q72" s="105" t="s">
        <v>743</v>
      </c>
      <c r="S72" s="46" t="s">
        <v>41</v>
      </c>
      <c r="T72" s="46">
        <v>298.411</v>
      </c>
      <c r="U72" s="46">
        <v>1209.1510000000001</v>
      </c>
      <c r="V72" s="46">
        <v>140.393</v>
      </c>
      <c r="W72" s="46">
        <v>74.954999999999998</v>
      </c>
      <c r="X72" s="46">
        <v>129.19200000000001</v>
      </c>
      <c r="Y72" s="46">
        <v>227.33099999999999</v>
      </c>
      <c r="Z72" s="46">
        <v>781.423</v>
      </c>
      <c r="AA72" s="46">
        <v>332</v>
      </c>
      <c r="AB72" s="46">
        <v>571</v>
      </c>
      <c r="AC72" s="46">
        <v>503.68700000000001</v>
      </c>
      <c r="AD72" s="46">
        <v>2081.7930000000001</v>
      </c>
      <c r="AF72" s="46">
        <v>6349.3359999999993</v>
      </c>
    </row>
    <row r="73" spans="2:32">
      <c r="B73" s="304" t="s">
        <v>51</v>
      </c>
      <c r="C73" s="304">
        <v>741.06299999999999</v>
      </c>
      <c r="D73" s="304"/>
      <c r="E73" s="304"/>
      <c r="F73" s="304">
        <v>334.39</v>
      </c>
      <c r="G73" s="304">
        <v>44.476999999999997</v>
      </c>
      <c r="H73" s="304">
        <v>132.602</v>
      </c>
      <c r="I73" s="304"/>
      <c r="J73" s="304">
        <v>10766.514999999999</v>
      </c>
      <c r="K73" s="304">
        <v>709.85599999999999</v>
      </c>
      <c r="L73" s="304"/>
      <c r="M73" s="304"/>
      <c r="N73" s="304">
        <v>179.977</v>
      </c>
      <c r="O73" s="304">
        <v>12908.88</v>
      </c>
      <c r="P73" s="105" t="str">
        <f t="shared" si="0"/>
        <v>Include</v>
      </c>
      <c r="Q73" s="105" t="s">
        <v>743</v>
      </c>
      <c r="S73" s="46" t="s">
        <v>55</v>
      </c>
      <c r="X73" s="46">
        <v>241</v>
      </c>
      <c r="Y73" s="46">
        <v>124.965</v>
      </c>
      <c r="AB73" s="46">
        <v>682</v>
      </c>
      <c r="AC73" s="46">
        <v>601</v>
      </c>
      <c r="AF73" s="46">
        <v>1648.9650000000001</v>
      </c>
    </row>
    <row r="74" spans="2:32">
      <c r="B74" s="304" t="s">
        <v>230</v>
      </c>
      <c r="C74" s="304"/>
      <c r="D74" s="304"/>
      <c r="E74" s="304"/>
      <c r="F74" s="304">
        <v>80.59</v>
      </c>
      <c r="G74" s="304"/>
      <c r="H74" s="304"/>
      <c r="I74" s="304"/>
      <c r="J74" s="304"/>
      <c r="K74" s="304"/>
      <c r="L74" s="304"/>
      <c r="M74" s="304"/>
      <c r="N74" s="304"/>
      <c r="O74" s="304">
        <v>80.59</v>
      </c>
      <c r="P74" s="105" t="str">
        <f t="shared" si="0"/>
        <v>Include</v>
      </c>
      <c r="Q74" s="105" t="s">
        <v>743</v>
      </c>
      <c r="S74" s="46" t="s">
        <v>63</v>
      </c>
      <c r="U74" s="46">
        <v>161</v>
      </c>
      <c r="W74" s="46">
        <v>228.01</v>
      </c>
      <c r="AA74" s="46">
        <v>256</v>
      </c>
      <c r="AB74" s="46">
        <v>3295.7240000000002</v>
      </c>
      <c r="AC74" s="46">
        <v>329.07400000000001</v>
      </c>
      <c r="AD74" s="46">
        <v>2991.7370000000001</v>
      </c>
      <c r="AE74" s="46">
        <v>555.04999999999995</v>
      </c>
      <c r="AF74" s="46">
        <v>7816.5950000000003</v>
      </c>
    </row>
    <row r="75" spans="2:32">
      <c r="B75" s="304" t="s">
        <v>68</v>
      </c>
      <c r="C75" s="304">
        <v>9778.4779999999992</v>
      </c>
      <c r="D75" s="304">
        <v>321</v>
      </c>
      <c r="E75" s="304"/>
      <c r="F75" s="304"/>
      <c r="G75" s="304"/>
      <c r="H75" s="304"/>
      <c r="I75" s="304"/>
      <c r="J75" s="304"/>
      <c r="K75" s="304"/>
      <c r="L75" s="304"/>
      <c r="M75" s="304"/>
      <c r="N75" s="304"/>
      <c r="O75" s="304">
        <v>10099.477999999999</v>
      </c>
      <c r="P75" s="105" t="str">
        <f t="shared" si="0"/>
        <v>Include</v>
      </c>
      <c r="Q75" s="105" t="s">
        <v>743</v>
      </c>
      <c r="S75" s="46" t="s">
        <v>25</v>
      </c>
      <c r="X75" s="46">
        <v>101</v>
      </c>
      <c r="Z75" s="46">
        <v>136</v>
      </c>
      <c r="AE75" s="46">
        <v>401</v>
      </c>
      <c r="AF75" s="46">
        <v>638</v>
      </c>
    </row>
    <row r="76" spans="2:32">
      <c r="B76" s="304" t="s">
        <v>41</v>
      </c>
      <c r="C76" s="304">
        <v>298.411</v>
      </c>
      <c r="D76" s="304">
        <v>1209.1510000000001</v>
      </c>
      <c r="E76" s="304">
        <v>140.393</v>
      </c>
      <c r="F76" s="304">
        <v>74.954999999999998</v>
      </c>
      <c r="G76" s="304">
        <v>129.19200000000001</v>
      </c>
      <c r="H76" s="304">
        <v>227.33099999999999</v>
      </c>
      <c r="I76" s="304">
        <v>781.423</v>
      </c>
      <c r="J76" s="304">
        <v>332</v>
      </c>
      <c r="K76" s="304">
        <v>571</v>
      </c>
      <c r="L76" s="304">
        <v>503.68700000000001</v>
      </c>
      <c r="M76" s="304">
        <v>2081.7930000000001</v>
      </c>
      <c r="N76" s="304"/>
      <c r="O76" s="304">
        <v>6349.3359999999993</v>
      </c>
      <c r="P76" s="105" t="str">
        <f t="shared" si="0"/>
        <v>Include</v>
      </c>
      <c r="Q76" s="105" t="s">
        <v>743</v>
      </c>
      <c r="S76" s="46" t="s">
        <v>64</v>
      </c>
      <c r="AE76" s="46">
        <v>476.45600000000002</v>
      </c>
      <c r="AF76" s="46">
        <v>476.45600000000002</v>
      </c>
    </row>
    <row r="77" spans="2:32">
      <c r="B77" s="304" t="s">
        <v>55</v>
      </c>
      <c r="C77" s="304"/>
      <c r="D77" s="304"/>
      <c r="E77" s="304"/>
      <c r="F77" s="304"/>
      <c r="G77" s="304">
        <v>241</v>
      </c>
      <c r="H77" s="304">
        <v>124.965</v>
      </c>
      <c r="I77" s="304"/>
      <c r="J77" s="304"/>
      <c r="K77" s="304">
        <v>682</v>
      </c>
      <c r="L77" s="304">
        <v>601</v>
      </c>
      <c r="M77" s="304"/>
      <c r="N77" s="304"/>
      <c r="O77" s="304">
        <v>1648.9650000000001</v>
      </c>
      <c r="P77" s="105" t="str">
        <f t="shared" si="0"/>
        <v>Include</v>
      </c>
      <c r="Q77" s="105" t="s">
        <v>743</v>
      </c>
      <c r="S77" s="46" t="s">
        <v>713</v>
      </c>
      <c r="U77" s="46">
        <v>101</v>
      </c>
      <c r="V77" s="46">
        <v>1142</v>
      </c>
      <c r="X77" s="46">
        <v>381</v>
      </c>
      <c r="Z77" s="46">
        <v>864.173</v>
      </c>
      <c r="AA77" s="46">
        <v>777.63</v>
      </c>
      <c r="AB77" s="46">
        <v>2214.4409999999998</v>
      </c>
      <c r="AC77" s="46">
        <v>501</v>
      </c>
      <c r="AD77" s="46">
        <v>1101.6210000000001</v>
      </c>
      <c r="AE77" s="46">
        <v>500.53500000000003</v>
      </c>
      <c r="AF77" s="46">
        <v>7583.4</v>
      </c>
    </row>
    <row r="78" spans="2:32">
      <c r="B78" s="304" t="s">
        <v>63</v>
      </c>
      <c r="C78" s="304"/>
      <c r="D78" s="304">
        <v>161</v>
      </c>
      <c r="E78" s="304"/>
      <c r="F78" s="304">
        <v>228.01</v>
      </c>
      <c r="G78" s="304"/>
      <c r="H78" s="304"/>
      <c r="I78" s="304"/>
      <c r="J78" s="304">
        <v>256</v>
      </c>
      <c r="K78" s="304">
        <v>3295.7240000000002</v>
      </c>
      <c r="L78" s="304">
        <v>329.07400000000001</v>
      </c>
      <c r="M78" s="304">
        <v>2991.7370000000001</v>
      </c>
      <c r="N78" s="304">
        <v>555.04999999999995</v>
      </c>
      <c r="O78" s="304">
        <v>7816.5950000000003</v>
      </c>
      <c r="P78" s="105" t="str">
        <f t="shared" si="0"/>
        <v>Include</v>
      </c>
      <c r="Q78" s="105" t="s">
        <v>743</v>
      </c>
      <c r="S78" s="46" t="s">
        <v>23</v>
      </c>
      <c r="T78" s="46">
        <v>113131.04</v>
      </c>
      <c r="U78" s="46">
        <v>78509.695999999996</v>
      </c>
      <c r="V78" s="46">
        <v>51021.313999999998</v>
      </c>
      <c r="W78" s="46">
        <v>110240.659</v>
      </c>
      <c r="X78" s="46">
        <v>8828.6479999999992</v>
      </c>
      <c r="Y78" s="46">
        <v>147994.886</v>
      </c>
      <c r="Z78" s="46">
        <v>148939.76199999999</v>
      </c>
      <c r="AA78" s="46">
        <v>26599.906999999999</v>
      </c>
      <c r="AB78" s="46">
        <v>99119.231</v>
      </c>
      <c r="AC78" s="46">
        <v>101601.58100000001</v>
      </c>
      <c r="AD78" s="46">
        <v>121432.95699999999</v>
      </c>
      <c r="AE78" s="46">
        <v>133293.21100000001</v>
      </c>
      <c r="AF78" s="46">
        <v>1140712.892</v>
      </c>
    </row>
    <row r="79" spans="2:32">
      <c r="B79" s="304" t="s">
        <v>25</v>
      </c>
      <c r="C79" s="304"/>
      <c r="D79" s="304"/>
      <c r="E79" s="304"/>
      <c r="F79" s="304"/>
      <c r="G79" s="304">
        <v>101</v>
      </c>
      <c r="H79" s="304"/>
      <c r="I79" s="304">
        <v>136</v>
      </c>
      <c r="J79" s="304"/>
      <c r="K79" s="304"/>
      <c r="L79" s="304"/>
      <c r="M79" s="304"/>
      <c r="N79" s="304">
        <v>401</v>
      </c>
      <c r="O79" s="304">
        <v>638</v>
      </c>
      <c r="P79" s="105" t="str">
        <f t="shared" si="0"/>
        <v>Include</v>
      </c>
      <c r="Q79" s="105" t="s">
        <v>743</v>
      </c>
      <c r="S79" s="46" t="s">
        <v>732</v>
      </c>
      <c r="T79" s="46">
        <v>226262.07899999997</v>
      </c>
      <c r="U79" s="46">
        <v>157019.39199999999</v>
      </c>
      <c r="V79" s="46">
        <v>102042.629</v>
      </c>
      <c r="W79" s="46">
        <v>220481.318</v>
      </c>
      <c r="X79" s="46">
        <v>17657.296000000002</v>
      </c>
      <c r="Y79" s="46">
        <v>295989.772</v>
      </c>
      <c r="Z79" s="46">
        <v>297879.52399999998</v>
      </c>
      <c r="AA79" s="46">
        <v>53199.813000000002</v>
      </c>
      <c r="AB79" s="46">
        <v>198238.46100000001</v>
      </c>
      <c r="AC79" s="46">
        <v>203203.16200000001</v>
      </c>
      <c r="AD79" s="46">
        <v>242865.916</v>
      </c>
      <c r="AE79" s="46">
        <v>266586.42200000002</v>
      </c>
      <c r="AF79" s="46">
        <v>2281425.7839999995</v>
      </c>
    </row>
    <row r="80" spans="2:32">
      <c r="B80" s="304" t="s">
        <v>64</v>
      </c>
      <c r="C80" s="304"/>
      <c r="D80" s="304"/>
      <c r="E80" s="304"/>
      <c r="F80" s="304"/>
      <c r="G80" s="304"/>
      <c r="H80" s="304"/>
      <c r="I80" s="304"/>
      <c r="J80" s="304"/>
      <c r="K80" s="304"/>
      <c r="L80" s="304"/>
      <c r="M80" s="304"/>
      <c r="N80" s="304">
        <v>476.45600000000002</v>
      </c>
      <c r="O80" s="304">
        <v>476.45600000000002</v>
      </c>
      <c r="P80" s="105" t="str">
        <f t="shared" si="0"/>
        <v>Include</v>
      </c>
      <c r="Q80" s="105" t="s">
        <v>743</v>
      </c>
    </row>
    <row r="81" spans="1:48">
      <c r="B81" s="304" t="s">
        <v>713</v>
      </c>
      <c r="C81" s="304"/>
      <c r="D81" s="304">
        <v>101</v>
      </c>
      <c r="E81" s="304">
        <v>1142</v>
      </c>
      <c r="F81" s="304"/>
      <c r="G81" s="304">
        <v>381</v>
      </c>
      <c r="H81" s="304"/>
      <c r="I81" s="304">
        <v>864.173</v>
      </c>
      <c r="J81" s="304">
        <v>777.63</v>
      </c>
      <c r="K81" s="304">
        <v>2214.4409999999998</v>
      </c>
      <c r="L81" s="304">
        <v>501</v>
      </c>
      <c r="M81" s="304">
        <v>1101.6210000000001</v>
      </c>
      <c r="N81" s="304">
        <v>500.53500000000003</v>
      </c>
      <c r="O81" s="304">
        <v>7583.4</v>
      </c>
      <c r="P81" s="105" t="str">
        <f t="shared" si="0"/>
        <v>Include</v>
      </c>
      <c r="Q81" s="105" t="s">
        <v>743</v>
      </c>
    </row>
    <row r="82" spans="1:48">
      <c r="B82" s="304" t="s">
        <v>23</v>
      </c>
      <c r="C82" s="304">
        <v>113131.04</v>
      </c>
      <c r="D82" s="304">
        <v>78509.695999999996</v>
      </c>
      <c r="E82" s="304">
        <v>51021.313999999998</v>
      </c>
      <c r="F82" s="304">
        <v>110240.659</v>
      </c>
      <c r="G82" s="304">
        <v>8828.6479999999992</v>
      </c>
      <c r="H82" s="304">
        <v>147994.886</v>
      </c>
      <c r="I82" s="304">
        <v>148939.76199999999</v>
      </c>
      <c r="J82" s="304">
        <v>26599.906999999999</v>
      </c>
      <c r="K82" s="304">
        <v>99119.231</v>
      </c>
      <c r="L82" s="304">
        <v>101601.58100000001</v>
      </c>
      <c r="M82" s="304">
        <v>121432.95699999999</v>
      </c>
      <c r="N82" s="304">
        <v>133293.21100000001</v>
      </c>
      <c r="O82" s="304">
        <v>1140712.892</v>
      </c>
      <c r="P82" s="105" t="str">
        <f t="shared" si="0"/>
        <v>Exclude</v>
      </c>
      <c r="Q82" s="105" t="s">
        <v>743</v>
      </c>
    </row>
    <row r="83" spans="1:48">
      <c r="B83" s="305" t="s">
        <v>732</v>
      </c>
      <c r="C83" s="305">
        <v>226262.07899999997</v>
      </c>
      <c r="D83" s="305">
        <v>157019.39199999999</v>
      </c>
      <c r="E83" s="305">
        <v>102042.629</v>
      </c>
      <c r="F83" s="305">
        <v>220481.318</v>
      </c>
      <c r="G83" s="305">
        <v>17657.296000000002</v>
      </c>
      <c r="H83" s="305">
        <v>295989.772</v>
      </c>
      <c r="I83" s="305">
        <v>297879.52399999998</v>
      </c>
      <c r="J83" s="305">
        <v>53199.813000000002</v>
      </c>
      <c r="K83" s="305">
        <v>198238.46100000001</v>
      </c>
      <c r="L83" s="305">
        <v>203203.16200000001</v>
      </c>
      <c r="M83" s="305">
        <v>242865.916</v>
      </c>
      <c r="N83" s="305">
        <v>266586.42200000002</v>
      </c>
      <c r="O83" s="305">
        <v>2281425.7839999995</v>
      </c>
      <c r="P83" s="105"/>
      <c r="Q83" s="105"/>
    </row>
    <row r="86" spans="1:48" s="121" customFormat="1" ht="9" customHeight="1"/>
    <row r="87" spans="1:48" ht="27">
      <c r="B87" s="303" t="s">
        <v>742</v>
      </c>
      <c r="L87" s="102" t="s">
        <v>730</v>
      </c>
      <c r="O87" s="102" t="s">
        <v>731</v>
      </c>
      <c r="AG87" s="102" t="s">
        <v>729</v>
      </c>
      <c r="AS87" s="102" t="s">
        <v>728</v>
      </c>
    </row>
    <row r="88" spans="1:48" s="108" customFormat="1" ht="54">
      <c r="A88" s="102" t="s">
        <v>727</v>
      </c>
      <c r="B88" s="102" t="s">
        <v>618</v>
      </c>
      <c r="C88" s="102" t="s">
        <v>619</v>
      </c>
      <c r="D88" s="102" t="s">
        <v>620</v>
      </c>
      <c r="E88" s="102" t="s">
        <v>621</v>
      </c>
      <c r="F88" s="102" t="s">
        <v>622</v>
      </c>
      <c r="G88" s="102" t="s">
        <v>623</v>
      </c>
      <c r="H88" s="102" t="s">
        <v>624</v>
      </c>
      <c r="I88" s="102" t="s">
        <v>625</v>
      </c>
      <c r="J88" s="102" t="s">
        <v>626</v>
      </c>
      <c r="K88" s="102" t="s">
        <v>627</v>
      </c>
      <c r="L88" s="102" t="s">
        <v>628</v>
      </c>
      <c r="M88" s="102" t="s">
        <v>629</v>
      </c>
      <c r="N88" s="102" t="s">
        <v>630</v>
      </c>
      <c r="O88" s="102" t="s">
        <v>631</v>
      </c>
      <c r="P88" s="102" t="s">
        <v>632</v>
      </c>
      <c r="Q88" s="102" t="s">
        <v>633</v>
      </c>
      <c r="R88" s="102" t="s">
        <v>634</v>
      </c>
      <c r="S88" s="102" t="s">
        <v>635</v>
      </c>
      <c r="T88" s="102" t="s">
        <v>636</v>
      </c>
      <c r="U88" s="102" t="s">
        <v>637</v>
      </c>
      <c r="V88" s="102" t="s">
        <v>638</v>
      </c>
      <c r="W88" s="102" t="s">
        <v>639</v>
      </c>
      <c r="X88" s="102" t="s">
        <v>640</v>
      </c>
      <c r="Y88" s="102" t="s">
        <v>641</v>
      </c>
      <c r="Z88" s="102" t="s">
        <v>642</v>
      </c>
      <c r="AA88" s="102" t="s">
        <v>643</v>
      </c>
      <c r="AB88" s="102" t="s">
        <v>644</v>
      </c>
      <c r="AC88" s="102" t="s">
        <v>645</v>
      </c>
      <c r="AD88" s="102" t="s">
        <v>646</v>
      </c>
      <c r="AE88" s="102" t="s">
        <v>647</v>
      </c>
      <c r="AF88" s="102" t="s">
        <v>648</v>
      </c>
      <c r="AG88" s="102" t="s">
        <v>649</v>
      </c>
      <c r="AH88" s="102" t="s">
        <v>650</v>
      </c>
      <c r="AI88" s="102" t="s">
        <v>651</v>
      </c>
      <c r="AJ88" s="102" t="s">
        <v>652</v>
      </c>
      <c r="AK88" s="102" t="s">
        <v>653</v>
      </c>
      <c r="AL88" s="102" t="s">
        <v>654</v>
      </c>
      <c r="AM88" s="102" t="s">
        <v>655</v>
      </c>
      <c r="AN88" s="102" t="s">
        <v>656</v>
      </c>
      <c r="AO88" s="102" t="s">
        <v>657</v>
      </c>
      <c r="AP88" s="102" t="s">
        <v>658</v>
      </c>
      <c r="AQ88" s="102" t="s">
        <v>659</v>
      </c>
      <c r="AR88" s="102" t="s">
        <v>660</v>
      </c>
      <c r="AS88" s="102" t="s">
        <v>661</v>
      </c>
      <c r="AT88" s="102" t="s">
        <v>662</v>
      </c>
      <c r="AU88" s="102" t="s">
        <v>663</v>
      </c>
      <c r="AV88" s="102" t="s">
        <v>664</v>
      </c>
    </row>
    <row r="89" spans="1:48">
      <c r="B89" s="46" t="s">
        <v>665</v>
      </c>
      <c r="C89" s="46" t="s">
        <v>666</v>
      </c>
      <c r="D89" s="46">
        <v>20230701</v>
      </c>
      <c r="E89" s="46">
        <v>2023</v>
      </c>
      <c r="F89" s="46">
        <v>7</v>
      </c>
      <c r="G89" s="46" t="s">
        <v>718</v>
      </c>
      <c r="H89" s="46">
        <v>818</v>
      </c>
      <c r="I89" s="46" t="s">
        <v>668</v>
      </c>
      <c r="J89" s="46" t="s">
        <v>57</v>
      </c>
      <c r="K89" s="46" t="s">
        <v>666</v>
      </c>
      <c r="L89" s="46" t="s">
        <v>669</v>
      </c>
      <c r="M89" s="46">
        <v>0</v>
      </c>
      <c r="N89" s="46" t="s">
        <v>670</v>
      </c>
      <c r="O89" s="46" t="s">
        <v>23</v>
      </c>
      <c r="P89" s="46">
        <v>0</v>
      </c>
      <c r="Q89" s="46" t="s">
        <v>670</v>
      </c>
      <c r="R89" s="46" t="s">
        <v>23</v>
      </c>
      <c r="S89" s="46" t="s">
        <v>671</v>
      </c>
      <c r="T89" s="46" t="s">
        <v>672</v>
      </c>
      <c r="U89" s="46" t="b">
        <v>1</v>
      </c>
      <c r="V89" s="46" t="s">
        <v>1022</v>
      </c>
      <c r="W89" s="46" t="s">
        <v>1023</v>
      </c>
      <c r="X89" s="46">
        <v>6</v>
      </c>
      <c r="Y89" s="46" t="b">
        <v>1</v>
      </c>
      <c r="Z89" s="46" t="s">
        <v>675</v>
      </c>
      <c r="AA89" s="46" t="s">
        <v>676</v>
      </c>
      <c r="AB89" s="46" t="s">
        <v>677</v>
      </c>
      <c r="AC89" s="46">
        <v>0</v>
      </c>
      <c r="AD89" s="46" t="s">
        <v>678</v>
      </c>
      <c r="AE89" s="46">
        <v>5</v>
      </c>
      <c r="AF89" s="46" t="s">
        <v>1024</v>
      </c>
      <c r="AG89" s="46">
        <v>9352.4920000000002</v>
      </c>
      <c r="AH89" s="46" t="b">
        <v>1</v>
      </c>
      <c r="AI89" s="46">
        <v>-1</v>
      </c>
      <c r="AJ89" s="46" t="s">
        <v>680</v>
      </c>
      <c r="AK89" s="46">
        <v>0</v>
      </c>
      <c r="AL89" s="46" t="b">
        <v>0</v>
      </c>
      <c r="AM89" s="46">
        <v>163120.19099999999</v>
      </c>
      <c r="AN89" s="46" t="b">
        <v>1</v>
      </c>
      <c r="AO89" s="46">
        <v>0</v>
      </c>
      <c r="AP89" s="46" t="b">
        <v>0</v>
      </c>
      <c r="AQ89" s="46">
        <v>113131.04</v>
      </c>
      <c r="AS89" s="46">
        <v>113131.04</v>
      </c>
      <c r="AT89" s="46">
        <v>6</v>
      </c>
      <c r="AU89" s="46" t="b">
        <v>0</v>
      </c>
      <c r="AV89" s="46" t="b">
        <v>1</v>
      </c>
    </row>
    <row r="90" spans="1:48">
      <c r="B90" s="46" t="s">
        <v>665</v>
      </c>
      <c r="C90" s="46" t="s">
        <v>666</v>
      </c>
      <c r="D90" s="46">
        <v>20230701</v>
      </c>
      <c r="E90" s="46">
        <v>2023</v>
      </c>
      <c r="F90" s="46">
        <v>7</v>
      </c>
      <c r="G90" s="46" t="s">
        <v>718</v>
      </c>
      <c r="H90" s="46">
        <v>818</v>
      </c>
      <c r="I90" s="46" t="s">
        <v>668</v>
      </c>
      <c r="J90" s="46" t="s">
        <v>57</v>
      </c>
      <c r="K90" s="46" t="s">
        <v>666</v>
      </c>
      <c r="L90" s="46" t="s">
        <v>669</v>
      </c>
      <c r="M90" s="46">
        <v>710</v>
      </c>
      <c r="N90" s="46" t="s">
        <v>995</v>
      </c>
      <c r="O90" s="46" t="s">
        <v>40</v>
      </c>
      <c r="P90" s="46">
        <v>0</v>
      </c>
      <c r="Q90" s="46" t="s">
        <v>670</v>
      </c>
      <c r="R90" s="46" t="s">
        <v>23</v>
      </c>
      <c r="S90" s="46" t="s">
        <v>671</v>
      </c>
      <c r="T90" s="46" t="s">
        <v>672</v>
      </c>
      <c r="U90" s="46" t="b">
        <v>1</v>
      </c>
      <c r="V90" s="46" t="s">
        <v>1022</v>
      </c>
      <c r="W90" s="46" t="s">
        <v>1023</v>
      </c>
      <c r="X90" s="46">
        <v>6</v>
      </c>
      <c r="Y90" s="46" t="b">
        <v>1</v>
      </c>
      <c r="Z90" s="46" t="s">
        <v>675</v>
      </c>
      <c r="AA90" s="46" t="s">
        <v>676</v>
      </c>
      <c r="AB90" s="46" t="s">
        <v>677</v>
      </c>
      <c r="AC90" s="46">
        <v>0</v>
      </c>
      <c r="AD90" s="46" t="s">
        <v>678</v>
      </c>
      <c r="AE90" s="46">
        <v>5</v>
      </c>
      <c r="AF90" s="46" t="s">
        <v>1024</v>
      </c>
      <c r="AG90" s="46">
        <v>39.070999999999998</v>
      </c>
      <c r="AH90" s="46" t="b">
        <v>1</v>
      </c>
      <c r="AI90" s="46">
        <v>-1</v>
      </c>
      <c r="AJ90" s="46" t="s">
        <v>680</v>
      </c>
      <c r="AK90" s="46">
        <v>0</v>
      </c>
      <c r="AL90" s="46" t="b">
        <v>0</v>
      </c>
      <c r="AM90" s="46">
        <v>681.45299999999997</v>
      </c>
      <c r="AN90" s="46" t="b">
        <v>1</v>
      </c>
      <c r="AO90" s="46">
        <v>0</v>
      </c>
      <c r="AP90" s="46" t="b">
        <v>0</v>
      </c>
      <c r="AQ90" s="46">
        <v>472.61799999999999</v>
      </c>
      <c r="AS90" s="46">
        <v>472.61799999999999</v>
      </c>
      <c r="AT90" s="46">
        <v>6</v>
      </c>
      <c r="AU90" s="46" t="b">
        <v>1</v>
      </c>
      <c r="AV90" s="46" t="b">
        <v>0</v>
      </c>
    </row>
    <row r="91" spans="1:48">
      <c r="B91" s="46" t="s">
        <v>665</v>
      </c>
      <c r="C91" s="46" t="s">
        <v>666</v>
      </c>
      <c r="D91" s="46">
        <v>20230701</v>
      </c>
      <c r="E91" s="46">
        <v>2023</v>
      </c>
      <c r="F91" s="46">
        <v>7</v>
      </c>
      <c r="G91" s="46" t="s">
        <v>718</v>
      </c>
      <c r="H91" s="46">
        <v>818</v>
      </c>
      <c r="I91" s="46" t="s">
        <v>668</v>
      </c>
      <c r="J91" s="46" t="s">
        <v>57</v>
      </c>
      <c r="K91" s="46" t="s">
        <v>666</v>
      </c>
      <c r="L91" s="46" t="s">
        <v>669</v>
      </c>
      <c r="M91" s="46">
        <v>699</v>
      </c>
      <c r="N91" s="46" t="s">
        <v>748</v>
      </c>
      <c r="O91" s="46" t="s">
        <v>0</v>
      </c>
      <c r="P91" s="46">
        <v>0</v>
      </c>
      <c r="Q91" s="46" t="s">
        <v>670</v>
      </c>
      <c r="R91" s="46" t="s">
        <v>23</v>
      </c>
      <c r="S91" s="46" t="s">
        <v>671</v>
      </c>
      <c r="T91" s="46" t="s">
        <v>672</v>
      </c>
      <c r="U91" s="46" t="b">
        <v>1</v>
      </c>
      <c r="V91" s="46" t="s">
        <v>1022</v>
      </c>
      <c r="W91" s="46" t="s">
        <v>1023</v>
      </c>
      <c r="X91" s="46">
        <v>6</v>
      </c>
      <c r="Y91" s="46" t="b">
        <v>1</v>
      </c>
      <c r="Z91" s="46" t="s">
        <v>675</v>
      </c>
      <c r="AA91" s="46" t="s">
        <v>676</v>
      </c>
      <c r="AB91" s="46" t="s">
        <v>677</v>
      </c>
      <c r="AC91" s="46">
        <v>0</v>
      </c>
      <c r="AD91" s="46" t="s">
        <v>678</v>
      </c>
      <c r="AE91" s="46">
        <v>5</v>
      </c>
      <c r="AF91" s="46" t="s">
        <v>1024</v>
      </c>
      <c r="AG91" s="46">
        <v>8074.9960000000001</v>
      </c>
      <c r="AH91" s="46" t="b">
        <v>1</v>
      </c>
      <c r="AI91" s="46">
        <v>-1</v>
      </c>
      <c r="AJ91" s="46" t="s">
        <v>680</v>
      </c>
      <c r="AK91" s="46">
        <v>0</v>
      </c>
      <c r="AL91" s="46" t="b">
        <v>0</v>
      </c>
      <c r="AM91" s="46">
        <v>140838.927</v>
      </c>
      <c r="AN91" s="46" t="b">
        <v>1</v>
      </c>
      <c r="AO91" s="46">
        <v>0</v>
      </c>
      <c r="AP91" s="46" t="b">
        <v>0</v>
      </c>
      <c r="AQ91" s="46">
        <v>97678.001999999993</v>
      </c>
      <c r="AS91" s="46">
        <v>97678.001999999993</v>
      </c>
      <c r="AT91" s="46">
        <v>6</v>
      </c>
      <c r="AU91" s="46" t="b">
        <v>1</v>
      </c>
      <c r="AV91" s="46" t="b">
        <v>0</v>
      </c>
    </row>
    <row r="92" spans="1:48">
      <c r="B92" s="46" t="s">
        <v>665</v>
      </c>
      <c r="C92" s="46" t="s">
        <v>666</v>
      </c>
      <c r="D92" s="46">
        <v>20230701</v>
      </c>
      <c r="E92" s="46">
        <v>2023</v>
      </c>
      <c r="F92" s="46">
        <v>7</v>
      </c>
      <c r="G92" s="46" t="s">
        <v>718</v>
      </c>
      <c r="H92" s="46">
        <v>818</v>
      </c>
      <c r="I92" s="46" t="s">
        <v>668</v>
      </c>
      <c r="J92" s="46" t="s">
        <v>57</v>
      </c>
      <c r="K92" s="46" t="s">
        <v>666</v>
      </c>
      <c r="L92" s="46" t="s">
        <v>669</v>
      </c>
      <c r="M92" s="46">
        <v>156</v>
      </c>
      <c r="N92" s="46" t="s">
        <v>711</v>
      </c>
      <c r="O92" s="46" t="s">
        <v>29</v>
      </c>
      <c r="P92" s="46">
        <v>0</v>
      </c>
      <c r="Q92" s="46" t="s">
        <v>670</v>
      </c>
      <c r="R92" s="46" t="s">
        <v>23</v>
      </c>
      <c r="S92" s="46" t="s">
        <v>671</v>
      </c>
      <c r="T92" s="46" t="s">
        <v>672</v>
      </c>
      <c r="U92" s="46" t="b">
        <v>1</v>
      </c>
      <c r="V92" s="46" t="s">
        <v>1022</v>
      </c>
      <c r="W92" s="46" t="s">
        <v>1023</v>
      </c>
      <c r="X92" s="46">
        <v>6</v>
      </c>
      <c r="Y92" s="46" t="b">
        <v>1</v>
      </c>
      <c r="Z92" s="46" t="s">
        <v>675</v>
      </c>
      <c r="AA92" s="46" t="s">
        <v>676</v>
      </c>
      <c r="AB92" s="46" t="s">
        <v>677</v>
      </c>
      <c r="AC92" s="46">
        <v>0</v>
      </c>
      <c r="AD92" s="46" t="s">
        <v>678</v>
      </c>
      <c r="AE92" s="46">
        <v>5</v>
      </c>
      <c r="AF92" s="46" t="s">
        <v>1024</v>
      </c>
      <c r="AG92" s="46">
        <v>16.617000000000001</v>
      </c>
      <c r="AH92" s="46" t="b">
        <v>1</v>
      </c>
      <c r="AI92" s="46">
        <v>-1</v>
      </c>
      <c r="AJ92" s="46" t="s">
        <v>680</v>
      </c>
      <c r="AK92" s="46">
        <v>0</v>
      </c>
      <c r="AL92" s="46" t="b">
        <v>0</v>
      </c>
      <c r="AM92" s="46">
        <v>289.81599999999997</v>
      </c>
      <c r="AN92" s="46" t="b">
        <v>1</v>
      </c>
      <c r="AO92" s="46">
        <v>0</v>
      </c>
      <c r="AP92" s="46" t="b">
        <v>0</v>
      </c>
      <c r="AQ92" s="46">
        <v>201</v>
      </c>
      <c r="AS92" s="46">
        <v>201</v>
      </c>
      <c r="AT92" s="46">
        <v>6</v>
      </c>
      <c r="AU92" s="46" t="b">
        <v>1</v>
      </c>
      <c r="AV92" s="46" t="b">
        <v>0</v>
      </c>
    </row>
    <row r="93" spans="1:48">
      <c r="B93" s="46" t="s">
        <v>665</v>
      </c>
      <c r="C93" s="46" t="s">
        <v>666</v>
      </c>
      <c r="D93" s="46">
        <v>20230701</v>
      </c>
      <c r="E93" s="46">
        <v>2023</v>
      </c>
      <c r="F93" s="46">
        <v>7</v>
      </c>
      <c r="G93" s="46" t="s">
        <v>718</v>
      </c>
      <c r="H93" s="46">
        <v>818</v>
      </c>
      <c r="I93" s="46" t="s">
        <v>668</v>
      </c>
      <c r="J93" s="46" t="s">
        <v>57</v>
      </c>
      <c r="K93" s="46" t="s">
        <v>666</v>
      </c>
      <c r="L93" s="46" t="s">
        <v>669</v>
      </c>
      <c r="M93" s="46">
        <v>757</v>
      </c>
      <c r="N93" s="46" t="s">
        <v>996</v>
      </c>
      <c r="O93" s="46" t="s">
        <v>41</v>
      </c>
      <c r="P93" s="46">
        <v>0</v>
      </c>
      <c r="Q93" s="46" t="s">
        <v>670</v>
      </c>
      <c r="R93" s="46" t="s">
        <v>23</v>
      </c>
      <c r="S93" s="46" t="s">
        <v>671</v>
      </c>
      <c r="T93" s="46" t="s">
        <v>672</v>
      </c>
      <c r="U93" s="46" t="b">
        <v>1</v>
      </c>
      <c r="V93" s="46" t="s">
        <v>1022</v>
      </c>
      <c r="W93" s="46" t="s">
        <v>1023</v>
      </c>
      <c r="X93" s="46">
        <v>6</v>
      </c>
      <c r="Y93" s="46" t="b">
        <v>1</v>
      </c>
      <c r="Z93" s="46" t="s">
        <v>675</v>
      </c>
      <c r="AA93" s="46" t="s">
        <v>676</v>
      </c>
      <c r="AB93" s="46" t="s">
        <v>677</v>
      </c>
      <c r="AC93" s="46">
        <v>0</v>
      </c>
      <c r="AD93" s="46" t="s">
        <v>678</v>
      </c>
      <c r="AE93" s="46">
        <v>5</v>
      </c>
      <c r="AF93" s="46" t="s">
        <v>1024</v>
      </c>
      <c r="AG93" s="46">
        <v>24.669</v>
      </c>
      <c r="AH93" s="46" t="b">
        <v>1</v>
      </c>
      <c r="AI93" s="46">
        <v>-1</v>
      </c>
      <c r="AJ93" s="46" t="s">
        <v>680</v>
      </c>
      <c r="AK93" s="46">
        <v>0</v>
      </c>
      <c r="AL93" s="46" t="b">
        <v>0</v>
      </c>
      <c r="AM93" s="46">
        <v>430.26900000000001</v>
      </c>
      <c r="AN93" s="46" t="b">
        <v>1</v>
      </c>
      <c r="AO93" s="46">
        <v>0</v>
      </c>
      <c r="AP93" s="46" t="b">
        <v>0</v>
      </c>
      <c r="AQ93" s="46">
        <v>298.411</v>
      </c>
      <c r="AS93" s="46">
        <v>298.411</v>
      </c>
      <c r="AT93" s="46">
        <v>6</v>
      </c>
      <c r="AU93" s="46" t="b">
        <v>1</v>
      </c>
      <c r="AV93" s="46" t="b">
        <v>0</v>
      </c>
    </row>
    <row r="94" spans="1:48">
      <c r="B94" s="46" t="s">
        <v>665</v>
      </c>
      <c r="C94" s="46" t="s">
        <v>666</v>
      </c>
      <c r="D94" s="46">
        <v>20230701</v>
      </c>
      <c r="E94" s="46">
        <v>2023</v>
      </c>
      <c r="F94" s="46">
        <v>7</v>
      </c>
      <c r="G94" s="46" t="s">
        <v>718</v>
      </c>
      <c r="H94" s="46">
        <v>818</v>
      </c>
      <c r="I94" s="46" t="s">
        <v>668</v>
      </c>
      <c r="J94" s="46" t="s">
        <v>57</v>
      </c>
      <c r="K94" s="46" t="s">
        <v>666</v>
      </c>
      <c r="L94" s="46" t="s">
        <v>669</v>
      </c>
      <c r="M94" s="46">
        <v>724</v>
      </c>
      <c r="N94" s="46" t="s">
        <v>684</v>
      </c>
      <c r="O94" s="46" t="s">
        <v>51</v>
      </c>
      <c r="P94" s="46">
        <v>0</v>
      </c>
      <c r="Q94" s="46" t="s">
        <v>670</v>
      </c>
      <c r="R94" s="46" t="s">
        <v>23</v>
      </c>
      <c r="S94" s="46" t="s">
        <v>671</v>
      </c>
      <c r="T94" s="46" t="s">
        <v>672</v>
      </c>
      <c r="U94" s="46" t="b">
        <v>1</v>
      </c>
      <c r="V94" s="46" t="s">
        <v>1022</v>
      </c>
      <c r="W94" s="46" t="s">
        <v>1023</v>
      </c>
      <c r="X94" s="46">
        <v>6</v>
      </c>
      <c r="Y94" s="46" t="b">
        <v>1</v>
      </c>
      <c r="Z94" s="46" t="s">
        <v>675</v>
      </c>
      <c r="AA94" s="46" t="s">
        <v>676</v>
      </c>
      <c r="AB94" s="46" t="s">
        <v>677</v>
      </c>
      <c r="AC94" s="46">
        <v>0</v>
      </c>
      <c r="AD94" s="46" t="s">
        <v>678</v>
      </c>
      <c r="AE94" s="46">
        <v>5</v>
      </c>
      <c r="AF94" s="46" t="s">
        <v>1024</v>
      </c>
      <c r="AG94" s="46">
        <v>61.262999999999998</v>
      </c>
      <c r="AH94" s="46" t="b">
        <v>1</v>
      </c>
      <c r="AI94" s="46">
        <v>-1</v>
      </c>
      <c r="AJ94" s="46" t="s">
        <v>680</v>
      </c>
      <c r="AK94" s="46">
        <v>0</v>
      </c>
      <c r="AL94" s="46" t="b">
        <v>0</v>
      </c>
      <c r="AM94" s="46">
        <v>1068.5160000000001</v>
      </c>
      <c r="AN94" s="46" t="b">
        <v>1</v>
      </c>
      <c r="AO94" s="46">
        <v>0</v>
      </c>
      <c r="AP94" s="46" t="b">
        <v>0</v>
      </c>
      <c r="AQ94" s="46">
        <v>741.06299999999999</v>
      </c>
      <c r="AS94" s="46">
        <v>741.06299999999999</v>
      </c>
      <c r="AT94" s="46">
        <v>6</v>
      </c>
      <c r="AU94" s="46" t="b">
        <v>1</v>
      </c>
      <c r="AV94" s="46" t="b">
        <v>0</v>
      </c>
    </row>
    <row r="95" spans="1:48">
      <c r="B95" s="46" t="s">
        <v>665</v>
      </c>
      <c r="C95" s="46" t="s">
        <v>666</v>
      </c>
      <c r="D95" s="46">
        <v>20230701</v>
      </c>
      <c r="E95" s="46">
        <v>2023</v>
      </c>
      <c r="F95" s="46">
        <v>7</v>
      </c>
      <c r="G95" s="46" t="s">
        <v>718</v>
      </c>
      <c r="H95" s="46">
        <v>818</v>
      </c>
      <c r="I95" s="46" t="s">
        <v>668</v>
      </c>
      <c r="J95" s="46" t="s">
        <v>57</v>
      </c>
      <c r="K95" s="46" t="s">
        <v>666</v>
      </c>
      <c r="L95" s="46" t="s">
        <v>669</v>
      </c>
      <c r="M95" s="46">
        <v>246</v>
      </c>
      <c r="N95" s="46" t="s">
        <v>751</v>
      </c>
      <c r="O95" s="46" t="s">
        <v>73</v>
      </c>
      <c r="P95" s="46">
        <v>0</v>
      </c>
      <c r="Q95" s="46" t="s">
        <v>670</v>
      </c>
      <c r="R95" s="46" t="s">
        <v>23</v>
      </c>
      <c r="S95" s="46" t="s">
        <v>671</v>
      </c>
      <c r="T95" s="46" t="s">
        <v>672</v>
      </c>
      <c r="U95" s="46" t="b">
        <v>1</v>
      </c>
      <c r="V95" s="46" t="s">
        <v>1022</v>
      </c>
      <c r="W95" s="46" t="s">
        <v>1023</v>
      </c>
      <c r="X95" s="46">
        <v>6</v>
      </c>
      <c r="Y95" s="46" t="b">
        <v>1</v>
      </c>
      <c r="Z95" s="46" t="s">
        <v>675</v>
      </c>
      <c r="AA95" s="46" t="s">
        <v>676</v>
      </c>
      <c r="AB95" s="46" t="s">
        <v>677</v>
      </c>
      <c r="AC95" s="46">
        <v>0</v>
      </c>
      <c r="AD95" s="46" t="s">
        <v>678</v>
      </c>
      <c r="AE95" s="46">
        <v>5</v>
      </c>
      <c r="AF95" s="46" t="s">
        <v>1024</v>
      </c>
      <c r="AG95" s="46">
        <v>4.2990000000000004</v>
      </c>
      <c r="AH95" s="46" t="b">
        <v>1</v>
      </c>
      <c r="AI95" s="46">
        <v>-1</v>
      </c>
      <c r="AJ95" s="46" t="s">
        <v>680</v>
      </c>
      <c r="AK95" s="46">
        <v>0</v>
      </c>
      <c r="AL95" s="46" t="b">
        <v>0</v>
      </c>
      <c r="AM95" s="46">
        <v>74.977000000000004</v>
      </c>
      <c r="AN95" s="46" t="b">
        <v>1</v>
      </c>
      <c r="AO95" s="46">
        <v>0</v>
      </c>
      <c r="AP95" s="46" t="b">
        <v>0</v>
      </c>
      <c r="AQ95" s="46">
        <v>52</v>
      </c>
      <c r="AS95" s="46">
        <v>52</v>
      </c>
      <c r="AT95" s="46">
        <v>6</v>
      </c>
      <c r="AU95" s="46" t="b">
        <v>1</v>
      </c>
      <c r="AV95" s="46" t="b">
        <v>0</v>
      </c>
    </row>
    <row r="96" spans="1:48">
      <c r="B96" s="46" t="s">
        <v>665</v>
      </c>
      <c r="C96" s="46" t="s">
        <v>666</v>
      </c>
      <c r="D96" s="46">
        <v>20230701</v>
      </c>
      <c r="E96" s="46">
        <v>2023</v>
      </c>
      <c r="F96" s="46">
        <v>7</v>
      </c>
      <c r="G96" s="46" t="s">
        <v>718</v>
      </c>
      <c r="H96" s="46">
        <v>818</v>
      </c>
      <c r="I96" s="46" t="s">
        <v>668</v>
      </c>
      <c r="J96" s="46" t="s">
        <v>57</v>
      </c>
      <c r="K96" s="46" t="s">
        <v>666</v>
      </c>
      <c r="L96" s="46" t="s">
        <v>669</v>
      </c>
      <c r="M96" s="46">
        <v>372</v>
      </c>
      <c r="N96" s="46" t="s">
        <v>1002</v>
      </c>
      <c r="O96" s="46" t="s">
        <v>87</v>
      </c>
      <c r="P96" s="46">
        <v>0</v>
      </c>
      <c r="Q96" s="46" t="s">
        <v>670</v>
      </c>
      <c r="R96" s="46" t="s">
        <v>23</v>
      </c>
      <c r="S96" s="46" t="s">
        <v>671</v>
      </c>
      <c r="T96" s="46" t="s">
        <v>672</v>
      </c>
      <c r="U96" s="46" t="b">
        <v>1</v>
      </c>
      <c r="V96" s="46" t="s">
        <v>1022</v>
      </c>
      <c r="W96" s="46" t="s">
        <v>1023</v>
      </c>
      <c r="X96" s="46">
        <v>6</v>
      </c>
      <c r="Y96" s="46" t="b">
        <v>1</v>
      </c>
      <c r="Z96" s="46" t="s">
        <v>675</v>
      </c>
      <c r="AA96" s="46" t="s">
        <v>676</v>
      </c>
      <c r="AB96" s="46" t="s">
        <v>677</v>
      </c>
      <c r="AC96" s="46">
        <v>0</v>
      </c>
      <c r="AD96" s="46" t="s">
        <v>678</v>
      </c>
      <c r="AE96" s="46">
        <v>5</v>
      </c>
      <c r="AF96" s="46" t="s">
        <v>1024</v>
      </c>
      <c r="AG96" s="46">
        <v>18.683</v>
      </c>
      <c r="AH96" s="46" t="b">
        <v>1</v>
      </c>
      <c r="AI96" s="46">
        <v>-1</v>
      </c>
      <c r="AJ96" s="46" t="s">
        <v>680</v>
      </c>
      <c r="AK96" s="46">
        <v>0</v>
      </c>
      <c r="AL96" s="46" t="b">
        <v>0</v>
      </c>
      <c r="AM96" s="46">
        <v>325.86200000000002</v>
      </c>
      <c r="AN96" s="46" t="b">
        <v>1</v>
      </c>
      <c r="AO96" s="46">
        <v>0</v>
      </c>
      <c r="AP96" s="46" t="b">
        <v>0</v>
      </c>
      <c r="AQ96" s="46">
        <v>226</v>
      </c>
      <c r="AS96" s="46">
        <v>226</v>
      </c>
      <c r="AT96" s="46">
        <v>6</v>
      </c>
      <c r="AU96" s="46" t="b">
        <v>1</v>
      </c>
      <c r="AV96" s="46" t="b">
        <v>0</v>
      </c>
    </row>
    <row r="97" spans="2:48">
      <c r="B97" s="46" t="s">
        <v>665</v>
      </c>
      <c r="C97" s="46" t="s">
        <v>666</v>
      </c>
      <c r="D97" s="46">
        <v>20230701</v>
      </c>
      <c r="E97" s="46">
        <v>2023</v>
      </c>
      <c r="F97" s="46">
        <v>7</v>
      </c>
      <c r="G97" s="46" t="s">
        <v>718</v>
      </c>
      <c r="H97" s="46">
        <v>818</v>
      </c>
      <c r="I97" s="46" t="s">
        <v>668</v>
      </c>
      <c r="J97" s="46" t="s">
        <v>57</v>
      </c>
      <c r="K97" s="46" t="s">
        <v>666</v>
      </c>
      <c r="L97" s="46" t="s">
        <v>669</v>
      </c>
      <c r="M97" s="46">
        <v>752</v>
      </c>
      <c r="N97" s="46" t="s">
        <v>1001</v>
      </c>
      <c r="O97" s="46" t="s">
        <v>68</v>
      </c>
      <c r="P97" s="46">
        <v>0</v>
      </c>
      <c r="Q97" s="46" t="s">
        <v>670</v>
      </c>
      <c r="R97" s="46" t="s">
        <v>23</v>
      </c>
      <c r="S97" s="46" t="s">
        <v>671</v>
      </c>
      <c r="T97" s="46" t="s">
        <v>672</v>
      </c>
      <c r="U97" s="46" t="b">
        <v>1</v>
      </c>
      <c r="V97" s="46" t="s">
        <v>1022</v>
      </c>
      <c r="W97" s="46" t="s">
        <v>1023</v>
      </c>
      <c r="X97" s="46">
        <v>6</v>
      </c>
      <c r="Y97" s="46" t="b">
        <v>1</v>
      </c>
      <c r="Z97" s="46" t="s">
        <v>675</v>
      </c>
      <c r="AA97" s="46" t="s">
        <v>676</v>
      </c>
      <c r="AB97" s="46" t="s">
        <v>677</v>
      </c>
      <c r="AC97" s="46">
        <v>0</v>
      </c>
      <c r="AD97" s="46" t="s">
        <v>678</v>
      </c>
      <c r="AE97" s="46">
        <v>5</v>
      </c>
      <c r="AF97" s="46" t="s">
        <v>1024</v>
      </c>
      <c r="AG97" s="46">
        <v>808.38199999999995</v>
      </c>
      <c r="AH97" s="46" t="b">
        <v>1</v>
      </c>
      <c r="AI97" s="46">
        <v>-1</v>
      </c>
      <c r="AJ97" s="46" t="s">
        <v>680</v>
      </c>
      <c r="AK97" s="46">
        <v>0</v>
      </c>
      <c r="AL97" s="46" t="b">
        <v>0</v>
      </c>
      <c r="AM97" s="46">
        <v>14099.289000000001</v>
      </c>
      <c r="AN97" s="46" t="b">
        <v>1</v>
      </c>
      <c r="AO97" s="46">
        <v>0</v>
      </c>
      <c r="AP97" s="46" t="b">
        <v>0</v>
      </c>
      <c r="AQ97" s="46">
        <v>9778.4779999999992</v>
      </c>
      <c r="AS97" s="46">
        <v>9778.4779999999992</v>
      </c>
      <c r="AT97" s="46">
        <v>6</v>
      </c>
      <c r="AU97" s="46" t="b">
        <v>1</v>
      </c>
      <c r="AV97" s="46" t="b">
        <v>0</v>
      </c>
    </row>
    <row r="98" spans="2:48">
      <c r="B98" s="46" t="s">
        <v>665</v>
      </c>
      <c r="C98" s="46" t="s">
        <v>666</v>
      </c>
      <c r="D98" s="46">
        <v>20230701</v>
      </c>
      <c r="E98" s="46">
        <v>2023</v>
      </c>
      <c r="F98" s="46">
        <v>7</v>
      </c>
      <c r="G98" s="46" t="s">
        <v>718</v>
      </c>
      <c r="H98" s="46">
        <v>818</v>
      </c>
      <c r="I98" s="46" t="s">
        <v>668</v>
      </c>
      <c r="J98" s="46" t="s">
        <v>57</v>
      </c>
      <c r="K98" s="46" t="s">
        <v>666</v>
      </c>
      <c r="L98" s="46" t="s">
        <v>669</v>
      </c>
      <c r="M98" s="46">
        <v>251</v>
      </c>
      <c r="N98" s="46" t="s">
        <v>688</v>
      </c>
      <c r="O98" s="46" t="s">
        <v>69</v>
      </c>
      <c r="P98" s="46">
        <v>0</v>
      </c>
      <c r="Q98" s="46" t="s">
        <v>670</v>
      </c>
      <c r="R98" s="46" t="s">
        <v>23</v>
      </c>
      <c r="S98" s="46" t="s">
        <v>671</v>
      </c>
      <c r="T98" s="46" t="s">
        <v>672</v>
      </c>
      <c r="U98" s="46" t="b">
        <v>1</v>
      </c>
      <c r="V98" s="46" t="s">
        <v>1022</v>
      </c>
      <c r="W98" s="46" t="s">
        <v>1023</v>
      </c>
      <c r="X98" s="46">
        <v>6</v>
      </c>
      <c r="Y98" s="46" t="b">
        <v>1</v>
      </c>
      <c r="Z98" s="46" t="s">
        <v>675</v>
      </c>
      <c r="AA98" s="46" t="s">
        <v>676</v>
      </c>
      <c r="AB98" s="46" t="s">
        <v>677</v>
      </c>
      <c r="AC98" s="46">
        <v>0</v>
      </c>
      <c r="AD98" s="46" t="s">
        <v>678</v>
      </c>
      <c r="AE98" s="46">
        <v>5</v>
      </c>
      <c r="AF98" s="46" t="s">
        <v>1024</v>
      </c>
      <c r="AG98" s="46">
        <v>165.339</v>
      </c>
      <c r="AH98" s="46" t="b">
        <v>1</v>
      </c>
      <c r="AI98" s="46">
        <v>-1</v>
      </c>
      <c r="AJ98" s="46" t="s">
        <v>680</v>
      </c>
      <c r="AK98" s="46">
        <v>0</v>
      </c>
      <c r="AL98" s="46" t="b">
        <v>0</v>
      </c>
      <c r="AM98" s="46">
        <v>2883.739</v>
      </c>
      <c r="AN98" s="46" t="b">
        <v>1</v>
      </c>
      <c r="AO98" s="46">
        <v>0</v>
      </c>
      <c r="AP98" s="46" t="b">
        <v>0</v>
      </c>
      <c r="AQ98" s="46">
        <v>2000</v>
      </c>
      <c r="AS98" s="46">
        <v>2000</v>
      </c>
      <c r="AT98" s="46">
        <v>6</v>
      </c>
      <c r="AU98" s="46" t="b">
        <v>1</v>
      </c>
      <c r="AV98" s="46" t="b">
        <v>0</v>
      </c>
    </row>
    <row r="99" spans="2:48">
      <c r="B99" s="46" t="s">
        <v>665</v>
      </c>
      <c r="C99" s="46" t="s">
        <v>666</v>
      </c>
      <c r="D99" s="46">
        <v>20230701</v>
      </c>
      <c r="E99" s="46">
        <v>2023</v>
      </c>
      <c r="F99" s="46">
        <v>7</v>
      </c>
      <c r="G99" s="46" t="s">
        <v>718</v>
      </c>
      <c r="H99" s="46">
        <v>818</v>
      </c>
      <c r="I99" s="46" t="s">
        <v>668</v>
      </c>
      <c r="J99" s="46" t="s">
        <v>57</v>
      </c>
      <c r="K99" s="46" t="s">
        <v>666</v>
      </c>
      <c r="L99" s="46" t="s">
        <v>669</v>
      </c>
      <c r="M99" s="46">
        <v>528</v>
      </c>
      <c r="N99" s="46" t="s">
        <v>698</v>
      </c>
      <c r="O99" s="46" t="s">
        <v>60</v>
      </c>
      <c r="P99" s="46">
        <v>0</v>
      </c>
      <c r="Q99" s="46" t="s">
        <v>670</v>
      </c>
      <c r="R99" s="46" t="s">
        <v>23</v>
      </c>
      <c r="S99" s="46" t="s">
        <v>671</v>
      </c>
      <c r="T99" s="46" t="s">
        <v>672</v>
      </c>
      <c r="U99" s="46" t="b">
        <v>1</v>
      </c>
      <c r="V99" s="46" t="s">
        <v>1022</v>
      </c>
      <c r="W99" s="46" t="s">
        <v>1023</v>
      </c>
      <c r="X99" s="46">
        <v>6</v>
      </c>
      <c r="Y99" s="46" t="b">
        <v>1</v>
      </c>
      <c r="Z99" s="46" t="s">
        <v>675</v>
      </c>
      <c r="AA99" s="46" t="s">
        <v>676</v>
      </c>
      <c r="AB99" s="46" t="s">
        <v>677</v>
      </c>
      <c r="AC99" s="46">
        <v>0</v>
      </c>
      <c r="AD99" s="46" t="s">
        <v>678</v>
      </c>
      <c r="AE99" s="46">
        <v>5</v>
      </c>
      <c r="AF99" s="46" t="s">
        <v>1024</v>
      </c>
      <c r="AG99" s="46">
        <v>50.314</v>
      </c>
      <c r="AH99" s="46" t="b">
        <v>1</v>
      </c>
      <c r="AI99" s="46">
        <v>-1</v>
      </c>
      <c r="AJ99" s="46" t="s">
        <v>680</v>
      </c>
      <c r="AK99" s="46">
        <v>0</v>
      </c>
      <c r="AL99" s="46" t="b">
        <v>0</v>
      </c>
      <c r="AM99" s="46">
        <v>877.53800000000001</v>
      </c>
      <c r="AN99" s="46" t="b">
        <v>1</v>
      </c>
      <c r="AO99" s="46">
        <v>0</v>
      </c>
      <c r="AP99" s="46" t="b">
        <v>0</v>
      </c>
      <c r="AQ99" s="46">
        <v>608.61099999999999</v>
      </c>
      <c r="AS99" s="46">
        <v>608.61099999999999</v>
      </c>
      <c r="AT99" s="46">
        <v>6</v>
      </c>
      <c r="AU99" s="46" t="b">
        <v>1</v>
      </c>
      <c r="AV99" s="46" t="b">
        <v>0</v>
      </c>
    </row>
    <row r="100" spans="2:48">
      <c r="B100" s="46" t="s">
        <v>665</v>
      </c>
      <c r="C100" s="46" t="s">
        <v>666</v>
      </c>
      <c r="D100" s="46">
        <v>20230701</v>
      </c>
      <c r="E100" s="46">
        <v>2023</v>
      </c>
      <c r="F100" s="46">
        <v>7</v>
      </c>
      <c r="G100" s="46" t="s">
        <v>718</v>
      </c>
      <c r="H100" s="46">
        <v>818</v>
      </c>
      <c r="I100" s="46" t="s">
        <v>668</v>
      </c>
      <c r="J100" s="46" t="s">
        <v>57</v>
      </c>
      <c r="K100" s="46" t="s">
        <v>666</v>
      </c>
      <c r="L100" s="46" t="s">
        <v>669</v>
      </c>
      <c r="M100" s="46">
        <v>276</v>
      </c>
      <c r="N100" s="46" t="s">
        <v>681</v>
      </c>
      <c r="O100" s="46" t="s">
        <v>30</v>
      </c>
      <c r="P100" s="46">
        <v>0</v>
      </c>
      <c r="Q100" s="46" t="s">
        <v>670</v>
      </c>
      <c r="R100" s="46" t="s">
        <v>23</v>
      </c>
      <c r="S100" s="46" t="s">
        <v>671</v>
      </c>
      <c r="T100" s="46" t="s">
        <v>672</v>
      </c>
      <c r="U100" s="46" t="b">
        <v>1</v>
      </c>
      <c r="V100" s="46" t="s">
        <v>1022</v>
      </c>
      <c r="W100" s="46" t="s">
        <v>1023</v>
      </c>
      <c r="X100" s="46">
        <v>6</v>
      </c>
      <c r="Y100" s="46" t="b">
        <v>1</v>
      </c>
      <c r="Z100" s="46" t="s">
        <v>675</v>
      </c>
      <c r="AA100" s="46" t="s">
        <v>676</v>
      </c>
      <c r="AB100" s="46" t="s">
        <v>677</v>
      </c>
      <c r="AC100" s="46">
        <v>0</v>
      </c>
      <c r="AD100" s="46" t="s">
        <v>678</v>
      </c>
      <c r="AE100" s="46">
        <v>5</v>
      </c>
      <c r="AF100" s="46" t="s">
        <v>1024</v>
      </c>
      <c r="AG100" s="46">
        <v>33.119</v>
      </c>
      <c r="AH100" s="46" t="b">
        <v>1</v>
      </c>
      <c r="AI100" s="46">
        <v>-1</v>
      </c>
      <c r="AJ100" s="46" t="s">
        <v>680</v>
      </c>
      <c r="AK100" s="46">
        <v>0</v>
      </c>
      <c r="AL100" s="46" t="b">
        <v>0</v>
      </c>
      <c r="AM100" s="46">
        <v>577.64200000000005</v>
      </c>
      <c r="AN100" s="46" t="b">
        <v>1</v>
      </c>
      <c r="AO100" s="46">
        <v>0</v>
      </c>
      <c r="AP100" s="46" t="b">
        <v>0</v>
      </c>
      <c r="AQ100" s="46">
        <v>400.62</v>
      </c>
      <c r="AS100" s="46">
        <v>400.62</v>
      </c>
      <c r="AT100" s="46">
        <v>6</v>
      </c>
      <c r="AU100" s="46" t="b">
        <v>1</v>
      </c>
      <c r="AV100" s="46" t="b">
        <v>0</v>
      </c>
    </row>
    <row r="101" spans="2:48">
      <c r="B101" s="46" t="s">
        <v>665</v>
      </c>
      <c r="C101" s="46" t="s">
        <v>666</v>
      </c>
      <c r="D101" s="46">
        <v>20230701</v>
      </c>
      <c r="E101" s="46">
        <v>2023</v>
      </c>
      <c r="F101" s="46">
        <v>7</v>
      </c>
      <c r="G101" s="46" t="s">
        <v>718</v>
      </c>
      <c r="H101" s="46">
        <v>818</v>
      </c>
      <c r="I101" s="46" t="s">
        <v>668</v>
      </c>
      <c r="J101" s="46" t="s">
        <v>57</v>
      </c>
      <c r="K101" s="46" t="s">
        <v>666</v>
      </c>
      <c r="L101" s="46" t="s">
        <v>669</v>
      </c>
      <c r="M101" s="46">
        <v>380</v>
      </c>
      <c r="N101" s="46" t="s">
        <v>689</v>
      </c>
      <c r="O101" s="46" t="s">
        <v>71</v>
      </c>
      <c r="P101" s="46">
        <v>0</v>
      </c>
      <c r="Q101" s="46" t="s">
        <v>670</v>
      </c>
      <c r="R101" s="46" t="s">
        <v>23</v>
      </c>
      <c r="S101" s="46" t="s">
        <v>671</v>
      </c>
      <c r="T101" s="46" t="s">
        <v>672</v>
      </c>
      <c r="U101" s="46" t="b">
        <v>1</v>
      </c>
      <c r="V101" s="46" t="s">
        <v>1022</v>
      </c>
      <c r="W101" s="46" t="s">
        <v>1023</v>
      </c>
      <c r="X101" s="46">
        <v>6</v>
      </c>
      <c r="Y101" s="46" t="b">
        <v>1</v>
      </c>
      <c r="Z101" s="46" t="s">
        <v>675</v>
      </c>
      <c r="AA101" s="46" t="s">
        <v>676</v>
      </c>
      <c r="AB101" s="46" t="s">
        <v>677</v>
      </c>
      <c r="AC101" s="46">
        <v>0</v>
      </c>
      <c r="AD101" s="46" t="s">
        <v>678</v>
      </c>
      <c r="AE101" s="46">
        <v>5</v>
      </c>
      <c r="AF101" s="46" t="s">
        <v>1024</v>
      </c>
      <c r="AG101" s="46">
        <v>55.738999999999997</v>
      </c>
      <c r="AH101" s="46" t="b">
        <v>1</v>
      </c>
      <c r="AI101" s="46">
        <v>-1</v>
      </c>
      <c r="AJ101" s="46" t="s">
        <v>680</v>
      </c>
      <c r="AK101" s="46">
        <v>0</v>
      </c>
      <c r="AL101" s="46" t="b">
        <v>0</v>
      </c>
      <c r="AM101" s="46">
        <v>972.16099999999994</v>
      </c>
      <c r="AN101" s="46" t="b">
        <v>1</v>
      </c>
      <c r="AO101" s="46">
        <v>0</v>
      </c>
      <c r="AP101" s="46" t="b">
        <v>0</v>
      </c>
      <c r="AQ101" s="46">
        <v>674.23599999999999</v>
      </c>
      <c r="AS101" s="46">
        <v>674.23599999999999</v>
      </c>
      <c r="AT101" s="46">
        <v>6</v>
      </c>
      <c r="AU101" s="46" t="b">
        <v>1</v>
      </c>
      <c r="AV101" s="46" t="b">
        <v>0</v>
      </c>
    </row>
    <row r="102" spans="2:48">
      <c r="B102" s="46" t="s">
        <v>665</v>
      </c>
      <c r="C102" s="46" t="s">
        <v>666</v>
      </c>
      <c r="D102" s="46">
        <v>20230801</v>
      </c>
      <c r="E102" s="46">
        <v>2023</v>
      </c>
      <c r="F102" s="46">
        <v>8</v>
      </c>
      <c r="G102" s="46" t="s">
        <v>721</v>
      </c>
      <c r="H102" s="46">
        <v>818</v>
      </c>
      <c r="I102" s="46" t="s">
        <v>668</v>
      </c>
      <c r="J102" s="46" t="s">
        <v>57</v>
      </c>
      <c r="K102" s="46" t="s">
        <v>666</v>
      </c>
      <c r="L102" s="46" t="s">
        <v>669</v>
      </c>
      <c r="M102" s="46">
        <v>0</v>
      </c>
      <c r="N102" s="46" t="s">
        <v>670</v>
      </c>
      <c r="O102" s="46" t="s">
        <v>23</v>
      </c>
      <c r="P102" s="46">
        <v>0</v>
      </c>
      <c r="Q102" s="46" t="s">
        <v>670</v>
      </c>
      <c r="R102" s="46" t="s">
        <v>23</v>
      </c>
      <c r="S102" s="46" t="s">
        <v>671</v>
      </c>
      <c r="T102" s="46" t="s">
        <v>672</v>
      </c>
      <c r="U102" s="46" t="b">
        <v>1</v>
      </c>
      <c r="V102" s="46" t="s">
        <v>1022</v>
      </c>
      <c r="W102" s="46" t="s">
        <v>1023</v>
      </c>
      <c r="X102" s="46">
        <v>6</v>
      </c>
      <c r="Y102" s="46" t="b">
        <v>1</v>
      </c>
      <c r="Z102" s="46" t="s">
        <v>675</v>
      </c>
      <c r="AA102" s="46" t="s">
        <v>676</v>
      </c>
      <c r="AB102" s="46" t="s">
        <v>677</v>
      </c>
      <c r="AC102" s="46">
        <v>0</v>
      </c>
      <c r="AD102" s="46" t="s">
        <v>678</v>
      </c>
      <c r="AE102" s="46">
        <v>5</v>
      </c>
      <c r="AF102" s="46" t="s">
        <v>1024</v>
      </c>
      <c r="AG102" s="46">
        <v>6490.3609999999999</v>
      </c>
      <c r="AH102" s="46" t="b">
        <v>1</v>
      </c>
      <c r="AI102" s="46">
        <v>-1</v>
      </c>
      <c r="AJ102" s="46" t="s">
        <v>680</v>
      </c>
      <c r="AK102" s="46">
        <v>0</v>
      </c>
      <c r="AL102" s="46" t="b">
        <v>0</v>
      </c>
      <c r="AM102" s="46">
        <v>113200.732</v>
      </c>
      <c r="AN102" s="46" t="b">
        <v>1</v>
      </c>
      <c r="AO102" s="46">
        <v>0</v>
      </c>
      <c r="AP102" s="46" t="b">
        <v>0</v>
      </c>
      <c r="AQ102" s="46">
        <v>78509.695999999996</v>
      </c>
      <c r="AS102" s="46">
        <v>78509.695999999996</v>
      </c>
      <c r="AT102" s="46">
        <v>6</v>
      </c>
      <c r="AU102" s="46" t="b">
        <v>0</v>
      </c>
      <c r="AV102" s="46" t="b">
        <v>1</v>
      </c>
    </row>
    <row r="103" spans="2:48">
      <c r="B103" s="46" t="s">
        <v>665</v>
      </c>
      <c r="C103" s="46" t="s">
        <v>666</v>
      </c>
      <c r="D103" s="46">
        <v>20230801</v>
      </c>
      <c r="E103" s="46">
        <v>2023</v>
      </c>
      <c r="F103" s="46">
        <v>8</v>
      </c>
      <c r="G103" s="46" t="s">
        <v>721</v>
      </c>
      <c r="H103" s="46">
        <v>818</v>
      </c>
      <c r="I103" s="46" t="s">
        <v>668</v>
      </c>
      <c r="J103" s="46" t="s">
        <v>57</v>
      </c>
      <c r="K103" s="46" t="s">
        <v>666</v>
      </c>
      <c r="L103" s="46" t="s">
        <v>669</v>
      </c>
      <c r="M103" s="46">
        <v>699</v>
      </c>
      <c r="N103" s="46" t="s">
        <v>748</v>
      </c>
      <c r="O103" s="46" t="s">
        <v>0</v>
      </c>
      <c r="P103" s="46">
        <v>0</v>
      </c>
      <c r="Q103" s="46" t="s">
        <v>670</v>
      </c>
      <c r="R103" s="46" t="s">
        <v>23</v>
      </c>
      <c r="S103" s="46" t="s">
        <v>671</v>
      </c>
      <c r="T103" s="46" t="s">
        <v>672</v>
      </c>
      <c r="U103" s="46" t="b">
        <v>1</v>
      </c>
      <c r="V103" s="46" t="s">
        <v>1022</v>
      </c>
      <c r="W103" s="46" t="s">
        <v>1023</v>
      </c>
      <c r="X103" s="46">
        <v>6</v>
      </c>
      <c r="Y103" s="46" t="b">
        <v>1</v>
      </c>
      <c r="Z103" s="46" t="s">
        <v>675</v>
      </c>
      <c r="AA103" s="46" t="s">
        <v>676</v>
      </c>
      <c r="AB103" s="46" t="s">
        <v>677</v>
      </c>
      <c r="AC103" s="46">
        <v>0</v>
      </c>
      <c r="AD103" s="46" t="s">
        <v>678</v>
      </c>
      <c r="AE103" s="46">
        <v>5</v>
      </c>
      <c r="AF103" s="46" t="s">
        <v>1024</v>
      </c>
      <c r="AG103" s="46">
        <v>6059.8440000000001</v>
      </c>
      <c r="AH103" s="46" t="b">
        <v>1</v>
      </c>
      <c r="AI103" s="46">
        <v>-1</v>
      </c>
      <c r="AJ103" s="46" t="s">
        <v>680</v>
      </c>
      <c r="AK103" s="46">
        <v>0</v>
      </c>
      <c r="AL103" s="46" t="b">
        <v>0</v>
      </c>
      <c r="AM103" s="46">
        <v>105691.92</v>
      </c>
      <c r="AN103" s="46" t="b">
        <v>1</v>
      </c>
      <c r="AO103" s="46">
        <v>0</v>
      </c>
      <c r="AP103" s="46" t="b">
        <v>0</v>
      </c>
      <c r="AQ103" s="46">
        <v>73302.004000000001</v>
      </c>
      <c r="AS103" s="46">
        <v>73302.004000000001</v>
      </c>
      <c r="AT103" s="46">
        <v>6</v>
      </c>
      <c r="AU103" s="46" t="b">
        <v>1</v>
      </c>
      <c r="AV103" s="46" t="b">
        <v>0</v>
      </c>
    </row>
    <row r="104" spans="2:48">
      <c r="B104" s="46" t="s">
        <v>665</v>
      </c>
      <c r="C104" s="46" t="s">
        <v>666</v>
      </c>
      <c r="D104" s="46">
        <v>20230801</v>
      </c>
      <c r="E104" s="46">
        <v>2023</v>
      </c>
      <c r="F104" s="46">
        <v>8</v>
      </c>
      <c r="G104" s="46" t="s">
        <v>721</v>
      </c>
      <c r="H104" s="46">
        <v>818</v>
      </c>
      <c r="I104" s="46" t="s">
        <v>668</v>
      </c>
      <c r="J104" s="46" t="s">
        <v>57</v>
      </c>
      <c r="K104" s="46" t="s">
        <v>666</v>
      </c>
      <c r="L104" s="46" t="s">
        <v>669</v>
      </c>
      <c r="M104" s="46">
        <v>842</v>
      </c>
      <c r="N104" s="46" t="s">
        <v>713</v>
      </c>
      <c r="O104" s="46" t="s">
        <v>713</v>
      </c>
      <c r="P104" s="46">
        <v>0</v>
      </c>
      <c r="Q104" s="46" t="s">
        <v>670</v>
      </c>
      <c r="R104" s="46" t="s">
        <v>23</v>
      </c>
      <c r="S104" s="46" t="s">
        <v>671</v>
      </c>
      <c r="T104" s="46" t="s">
        <v>672</v>
      </c>
      <c r="U104" s="46" t="b">
        <v>1</v>
      </c>
      <c r="V104" s="46" t="s">
        <v>1022</v>
      </c>
      <c r="W104" s="46" t="s">
        <v>1023</v>
      </c>
      <c r="X104" s="46">
        <v>6</v>
      </c>
      <c r="Y104" s="46" t="b">
        <v>1</v>
      </c>
      <c r="Z104" s="46" t="s">
        <v>675</v>
      </c>
      <c r="AA104" s="46" t="s">
        <v>676</v>
      </c>
      <c r="AB104" s="46" t="s">
        <v>677</v>
      </c>
      <c r="AC104" s="46">
        <v>0</v>
      </c>
      <c r="AD104" s="46" t="s">
        <v>678</v>
      </c>
      <c r="AE104" s="46">
        <v>5</v>
      </c>
      <c r="AF104" s="46" t="s">
        <v>1024</v>
      </c>
      <c r="AG104" s="46">
        <v>8.35</v>
      </c>
      <c r="AH104" s="46" t="b">
        <v>1</v>
      </c>
      <c r="AI104" s="46">
        <v>-1</v>
      </c>
      <c r="AJ104" s="46" t="s">
        <v>680</v>
      </c>
      <c r="AK104" s="46">
        <v>0</v>
      </c>
      <c r="AL104" s="46" t="b">
        <v>0</v>
      </c>
      <c r="AM104" s="46">
        <v>145.62899999999999</v>
      </c>
      <c r="AN104" s="46" t="b">
        <v>1</v>
      </c>
      <c r="AO104" s="46">
        <v>0</v>
      </c>
      <c r="AP104" s="46" t="b">
        <v>0</v>
      </c>
      <c r="AQ104" s="46">
        <v>101</v>
      </c>
      <c r="AS104" s="46">
        <v>101</v>
      </c>
      <c r="AT104" s="46">
        <v>6</v>
      </c>
      <c r="AU104" s="46" t="b">
        <v>1</v>
      </c>
      <c r="AV104" s="46" t="b">
        <v>0</v>
      </c>
    </row>
    <row r="105" spans="2:48">
      <c r="B105" s="46" t="s">
        <v>665</v>
      </c>
      <c r="C105" s="46" t="s">
        <v>666</v>
      </c>
      <c r="D105" s="46">
        <v>20230801</v>
      </c>
      <c r="E105" s="46">
        <v>2023</v>
      </c>
      <c r="F105" s="46">
        <v>8</v>
      </c>
      <c r="G105" s="46" t="s">
        <v>721</v>
      </c>
      <c r="H105" s="46">
        <v>818</v>
      </c>
      <c r="I105" s="46" t="s">
        <v>668</v>
      </c>
      <c r="J105" s="46" t="s">
        <v>57</v>
      </c>
      <c r="K105" s="46" t="s">
        <v>666</v>
      </c>
      <c r="L105" s="46" t="s">
        <v>669</v>
      </c>
      <c r="M105" s="46">
        <v>156</v>
      </c>
      <c r="N105" s="46" t="s">
        <v>711</v>
      </c>
      <c r="O105" s="46" t="s">
        <v>29</v>
      </c>
      <c r="P105" s="46">
        <v>0</v>
      </c>
      <c r="Q105" s="46" t="s">
        <v>670</v>
      </c>
      <c r="R105" s="46" t="s">
        <v>23</v>
      </c>
      <c r="S105" s="46" t="s">
        <v>671</v>
      </c>
      <c r="T105" s="46" t="s">
        <v>672</v>
      </c>
      <c r="U105" s="46" t="b">
        <v>1</v>
      </c>
      <c r="V105" s="46" t="s">
        <v>1022</v>
      </c>
      <c r="W105" s="46" t="s">
        <v>1023</v>
      </c>
      <c r="X105" s="46">
        <v>6</v>
      </c>
      <c r="Y105" s="46" t="b">
        <v>1</v>
      </c>
      <c r="Z105" s="46" t="s">
        <v>675</v>
      </c>
      <c r="AA105" s="46" t="s">
        <v>676</v>
      </c>
      <c r="AB105" s="46" t="s">
        <v>677</v>
      </c>
      <c r="AC105" s="46">
        <v>0</v>
      </c>
      <c r="AD105" s="46" t="s">
        <v>678</v>
      </c>
      <c r="AE105" s="46">
        <v>5</v>
      </c>
      <c r="AF105" s="46" t="s">
        <v>1024</v>
      </c>
      <c r="AG105" s="46">
        <v>46.817999999999998</v>
      </c>
      <c r="AH105" s="46" t="b">
        <v>1</v>
      </c>
      <c r="AI105" s="46">
        <v>-1</v>
      </c>
      <c r="AJ105" s="46" t="s">
        <v>680</v>
      </c>
      <c r="AK105" s="46">
        <v>0</v>
      </c>
      <c r="AL105" s="46" t="b">
        <v>0</v>
      </c>
      <c r="AM105" s="46">
        <v>816.57299999999998</v>
      </c>
      <c r="AN105" s="46" t="b">
        <v>1</v>
      </c>
      <c r="AO105" s="46">
        <v>0</v>
      </c>
      <c r="AP105" s="46" t="b">
        <v>0</v>
      </c>
      <c r="AQ105" s="46">
        <v>566.32899999999995</v>
      </c>
      <c r="AS105" s="46">
        <v>566.32899999999995</v>
      </c>
      <c r="AT105" s="46">
        <v>6</v>
      </c>
      <c r="AU105" s="46" t="b">
        <v>1</v>
      </c>
      <c r="AV105" s="46" t="b">
        <v>0</v>
      </c>
    </row>
    <row r="106" spans="2:48">
      <c r="B106" s="46" t="s">
        <v>665</v>
      </c>
      <c r="C106" s="46" t="s">
        <v>666</v>
      </c>
      <c r="D106" s="46">
        <v>20230801</v>
      </c>
      <c r="E106" s="46">
        <v>2023</v>
      </c>
      <c r="F106" s="46">
        <v>8</v>
      </c>
      <c r="G106" s="46" t="s">
        <v>721</v>
      </c>
      <c r="H106" s="46">
        <v>818</v>
      </c>
      <c r="I106" s="46" t="s">
        <v>668</v>
      </c>
      <c r="J106" s="46" t="s">
        <v>57</v>
      </c>
      <c r="K106" s="46" t="s">
        <v>666</v>
      </c>
      <c r="L106" s="46" t="s">
        <v>669</v>
      </c>
      <c r="M106" s="46">
        <v>76</v>
      </c>
      <c r="N106" s="46" t="s">
        <v>987</v>
      </c>
      <c r="O106" s="46" t="s">
        <v>66</v>
      </c>
      <c r="P106" s="46">
        <v>0</v>
      </c>
      <c r="Q106" s="46" t="s">
        <v>670</v>
      </c>
      <c r="R106" s="46" t="s">
        <v>23</v>
      </c>
      <c r="S106" s="46" t="s">
        <v>671</v>
      </c>
      <c r="T106" s="46" t="s">
        <v>672</v>
      </c>
      <c r="U106" s="46" t="b">
        <v>1</v>
      </c>
      <c r="V106" s="46" t="s">
        <v>1022</v>
      </c>
      <c r="W106" s="46" t="s">
        <v>1023</v>
      </c>
      <c r="X106" s="46">
        <v>6</v>
      </c>
      <c r="Y106" s="46" t="b">
        <v>1</v>
      </c>
      <c r="Z106" s="46" t="s">
        <v>675</v>
      </c>
      <c r="AA106" s="46" t="s">
        <v>676</v>
      </c>
      <c r="AB106" s="46" t="s">
        <v>677</v>
      </c>
      <c r="AC106" s="46">
        <v>0</v>
      </c>
      <c r="AD106" s="46" t="s">
        <v>678</v>
      </c>
      <c r="AE106" s="46">
        <v>5</v>
      </c>
      <c r="AF106" s="46" t="s">
        <v>1024</v>
      </c>
      <c r="AG106" s="46">
        <v>20.006</v>
      </c>
      <c r="AH106" s="46" t="b">
        <v>1</v>
      </c>
      <c r="AI106" s="46">
        <v>-1</v>
      </c>
      <c r="AJ106" s="46" t="s">
        <v>680</v>
      </c>
      <c r="AK106" s="46">
        <v>0</v>
      </c>
      <c r="AL106" s="46" t="b">
        <v>0</v>
      </c>
      <c r="AM106" s="46">
        <v>348.93200000000002</v>
      </c>
      <c r="AN106" s="46" t="b">
        <v>1</v>
      </c>
      <c r="AO106" s="46">
        <v>0</v>
      </c>
      <c r="AP106" s="46" t="b">
        <v>0</v>
      </c>
      <c r="AQ106" s="46">
        <v>242</v>
      </c>
      <c r="AS106" s="46">
        <v>242</v>
      </c>
      <c r="AT106" s="46">
        <v>6</v>
      </c>
      <c r="AU106" s="46" t="b">
        <v>1</v>
      </c>
      <c r="AV106" s="46" t="b">
        <v>0</v>
      </c>
    </row>
    <row r="107" spans="2:48">
      <c r="B107" s="46" t="s">
        <v>665</v>
      </c>
      <c r="C107" s="46" t="s">
        <v>666</v>
      </c>
      <c r="D107" s="46">
        <v>20230801</v>
      </c>
      <c r="E107" s="46">
        <v>2023</v>
      </c>
      <c r="F107" s="46">
        <v>8</v>
      </c>
      <c r="G107" s="46" t="s">
        <v>721</v>
      </c>
      <c r="H107" s="46">
        <v>818</v>
      </c>
      <c r="I107" s="46" t="s">
        <v>668</v>
      </c>
      <c r="J107" s="46" t="s">
        <v>57</v>
      </c>
      <c r="K107" s="46" t="s">
        <v>666</v>
      </c>
      <c r="L107" s="46" t="s">
        <v>669</v>
      </c>
      <c r="M107" s="46">
        <v>757</v>
      </c>
      <c r="N107" s="46" t="s">
        <v>996</v>
      </c>
      <c r="O107" s="46" t="s">
        <v>41</v>
      </c>
      <c r="P107" s="46">
        <v>0</v>
      </c>
      <c r="Q107" s="46" t="s">
        <v>670</v>
      </c>
      <c r="R107" s="46" t="s">
        <v>23</v>
      </c>
      <c r="S107" s="46" t="s">
        <v>671</v>
      </c>
      <c r="T107" s="46" t="s">
        <v>672</v>
      </c>
      <c r="U107" s="46" t="b">
        <v>1</v>
      </c>
      <c r="V107" s="46" t="s">
        <v>1022</v>
      </c>
      <c r="W107" s="46" t="s">
        <v>1023</v>
      </c>
      <c r="X107" s="46">
        <v>6</v>
      </c>
      <c r="Y107" s="46" t="b">
        <v>1</v>
      </c>
      <c r="Z107" s="46" t="s">
        <v>675</v>
      </c>
      <c r="AA107" s="46" t="s">
        <v>676</v>
      </c>
      <c r="AB107" s="46" t="s">
        <v>677</v>
      </c>
      <c r="AC107" s="46">
        <v>0</v>
      </c>
      <c r="AD107" s="46" t="s">
        <v>678</v>
      </c>
      <c r="AE107" s="46">
        <v>5</v>
      </c>
      <c r="AF107" s="46" t="s">
        <v>1024</v>
      </c>
      <c r="AG107" s="46">
        <v>99.96</v>
      </c>
      <c r="AH107" s="46" t="b">
        <v>1</v>
      </c>
      <c r="AI107" s="46">
        <v>-1</v>
      </c>
      <c r="AJ107" s="46" t="s">
        <v>680</v>
      </c>
      <c r="AK107" s="46">
        <v>0</v>
      </c>
      <c r="AL107" s="46" t="b">
        <v>0</v>
      </c>
      <c r="AM107" s="46">
        <v>1743.4380000000001</v>
      </c>
      <c r="AN107" s="46" t="b">
        <v>1</v>
      </c>
      <c r="AO107" s="46">
        <v>0</v>
      </c>
      <c r="AP107" s="46" t="b">
        <v>0</v>
      </c>
      <c r="AQ107" s="46">
        <v>1209.1510000000001</v>
      </c>
      <c r="AS107" s="46">
        <v>1209.1510000000001</v>
      </c>
      <c r="AT107" s="46">
        <v>6</v>
      </c>
      <c r="AU107" s="46" t="b">
        <v>1</v>
      </c>
      <c r="AV107" s="46" t="b">
        <v>0</v>
      </c>
    </row>
    <row r="108" spans="2:48">
      <c r="B108" s="46" t="s">
        <v>665</v>
      </c>
      <c r="C108" s="46" t="s">
        <v>666</v>
      </c>
      <c r="D108" s="46">
        <v>20230801</v>
      </c>
      <c r="E108" s="46">
        <v>2023</v>
      </c>
      <c r="F108" s="46">
        <v>8</v>
      </c>
      <c r="G108" s="46" t="s">
        <v>721</v>
      </c>
      <c r="H108" s="46">
        <v>818</v>
      </c>
      <c r="I108" s="46" t="s">
        <v>668</v>
      </c>
      <c r="J108" s="46" t="s">
        <v>57</v>
      </c>
      <c r="K108" s="46" t="s">
        <v>666</v>
      </c>
      <c r="L108" s="46" t="s">
        <v>669</v>
      </c>
      <c r="M108" s="46">
        <v>442</v>
      </c>
      <c r="N108" s="46" t="s">
        <v>759</v>
      </c>
      <c r="O108" s="46" t="s">
        <v>89</v>
      </c>
      <c r="P108" s="46">
        <v>0</v>
      </c>
      <c r="Q108" s="46" t="s">
        <v>670</v>
      </c>
      <c r="R108" s="46" t="s">
        <v>23</v>
      </c>
      <c r="S108" s="46" t="s">
        <v>671</v>
      </c>
      <c r="T108" s="46" t="s">
        <v>672</v>
      </c>
      <c r="U108" s="46" t="b">
        <v>1</v>
      </c>
      <c r="V108" s="46" t="s">
        <v>1022</v>
      </c>
      <c r="W108" s="46" t="s">
        <v>1023</v>
      </c>
      <c r="X108" s="46">
        <v>6</v>
      </c>
      <c r="Y108" s="46" t="b">
        <v>1</v>
      </c>
      <c r="Z108" s="46" t="s">
        <v>675</v>
      </c>
      <c r="AA108" s="46" t="s">
        <v>676</v>
      </c>
      <c r="AB108" s="46" t="s">
        <v>677</v>
      </c>
      <c r="AC108" s="46">
        <v>0</v>
      </c>
      <c r="AD108" s="46" t="s">
        <v>678</v>
      </c>
      <c r="AE108" s="46">
        <v>5</v>
      </c>
      <c r="AF108" s="46" t="s">
        <v>1024</v>
      </c>
      <c r="AG108" s="46">
        <v>1.323</v>
      </c>
      <c r="AH108" s="46" t="b">
        <v>1</v>
      </c>
      <c r="AI108" s="46">
        <v>-1</v>
      </c>
      <c r="AJ108" s="46" t="s">
        <v>680</v>
      </c>
      <c r="AK108" s="46">
        <v>0</v>
      </c>
      <c r="AL108" s="46" t="b">
        <v>0</v>
      </c>
      <c r="AM108" s="46">
        <v>23.07</v>
      </c>
      <c r="AN108" s="46" t="b">
        <v>1</v>
      </c>
      <c r="AO108" s="46">
        <v>0</v>
      </c>
      <c r="AP108" s="46" t="b">
        <v>0</v>
      </c>
      <c r="AQ108" s="46">
        <v>16</v>
      </c>
      <c r="AS108" s="46">
        <v>16</v>
      </c>
      <c r="AT108" s="46">
        <v>6</v>
      </c>
      <c r="AU108" s="46" t="b">
        <v>1</v>
      </c>
      <c r="AV108" s="46" t="b">
        <v>0</v>
      </c>
    </row>
    <row r="109" spans="2:48">
      <c r="B109" s="46" t="s">
        <v>665</v>
      </c>
      <c r="C109" s="46" t="s">
        <v>666</v>
      </c>
      <c r="D109" s="46">
        <v>20230801</v>
      </c>
      <c r="E109" s="46">
        <v>2023</v>
      </c>
      <c r="F109" s="46">
        <v>8</v>
      </c>
      <c r="G109" s="46" t="s">
        <v>721</v>
      </c>
      <c r="H109" s="46">
        <v>818</v>
      </c>
      <c r="I109" s="46" t="s">
        <v>668</v>
      </c>
      <c r="J109" s="46" t="s">
        <v>57</v>
      </c>
      <c r="K109" s="46" t="s">
        <v>666</v>
      </c>
      <c r="L109" s="46" t="s">
        <v>669</v>
      </c>
      <c r="M109" s="46">
        <v>752</v>
      </c>
      <c r="N109" s="46" t="s">
        <v>1001</v>
      </c>
      <c r="O109" s="46" t="s">
        <v>68</v>
      </c>
      <c r="P109" s="46">
        <v>0</v>
      </c>
      <c r="Q109" s="46" t="s">
        <v>670</v>
      </c>
      <c r="R109" s="46" t="s">
        <v>23</v>
      </c>
      <c r="S109" s="46" t="s">
        <v>671</v>
      </c>
      <c r="T109" s="46" t="s">
        <v>672</v>
      </c>
      <c r="U109" s="46" t="b">
        <v>1</v>
      </c>
      <c r="V109" s="46" t="s">
        <v>1022</v>
      </c>
      <c r="W109" s="46" t="s">
        <v>1023</v>
      </c>
      <c r="X109" s="46">
        <v>6</v>
      </c>
      <c r="Y109" s="46" t="b">
        <v>1</v>
      </c>
      <c r="Z109" s="46" t="s">
        <v>675</v>
      </c>
      <c r="AA109" s="46" t="s">
        <v>676</v>
      </c>
      <c r="AB109" s="46" t="s">
        <v>677</v>
      </c>
      <c r="AC109" s="46">
        <v>0</v>
      </c>
      <c r="AD109" s="46" t="s">
        <v>678</v>
      </c>
      <c r="AE109" s="46">
        <v>5</v>
      </c>
      <c r="AF109" s="46" t="s">
        <v>1024</v>
      </c>
      <c r="AG109" s="46">
        <v>26.536999999999999</v>
      </c>
      <c r="AH109" s="46" t="b">
        <v>1</v>
      </c>
      <c r="AI109" s="46">
        <v>-1</v>
      </c>
      <c r="AJ109" s="46" t="s">
        <v>680</v>
      </c>
      <c r="AK109" s="46">
        <v>0</v>
      </c>
      <c r="AL109" s="46" t="b">
        <v>0</v>
      </c>
      <c r="AM109" s="46">
        <v>462.84</v>
      </c>
      <c r="AN109" s="46" t="b">
        <v>1</v>
      </c>
      <c r="AO109" s="46">
        <v>0</v>
      </c>
      <c r="AP109" s="46" t="b">
        <v>0</v>
      </c>
      <c r="AQ109" s="46">
        <v>321</v>
      </c>
      <c r="AS109" s="46">
        <v>321</v>
      </c>
      <c r="AT109" s="46">
        <v>6</v>
      </c>
      <c r="AU109" s="46" t="b">
        <v>1</v>
      </c>
      <c r="AV109" s="46" t="b">
        <v>0</v>
      </c>
    </row>
    <row r="110" spans="2:48">
      <c r="B110" s="46" t="s">
        <v>665</v>
      </c>
      <c r="C110" s="46" t="s">
        <v>666</v>
      </c>
      <c r="D110" s="46">
        <v>20230801</v>
      </c>
      <c r="E110" s="46">
        <v>2023</v>
      </c>
      <c r="F110" s="46">
        <v>8</v>
      </c>
      <c r="G110" s="46" t="s">
        <v>721</v>
      </c>
      <c r="H110" s="46">
        <v>818</v>
      </c>
      <c r="I110" s="46" t="s">
        <v>668</v>
      </c>
      <c r="J110" s="46" t="s">
        <v>57</v>
      </c>
      <c r="K110" s="46" t="s">
        <v>666</v>
      </c>
      <c r="L110" s="46" t="s">
        <v>669</v>
      </c>
      <c r="M110" s="46">
        <v>792</v>
      </c>
      <c r="N110" s="46" t="s">
        <v>691</v>
      </c>
      <c r="O110" s="46" t="s">
        <v>63</v>
      </c>
      <c r="P110" s="46">
        <v>0</v>
      </c>
      <c r="Q110" s="46" t="s">
        <v>670</v>
      </c>
      <c r="R110" s="46" t="s">
        <v>23</v>
      </c>
      <c r="S110" s="46" t="s">
        <v>671</v>
      </c>
      <c r="T110" s="46" t="s">
        <v>672</v>
      </c>
      <c r="U110" s="46" t="b">
        <v>1</v>
      </c>
      <c r="V110" s="46" t="s">
        <v>1022</v>
      </c>
      <c r="W110" s="46" t="s">
        <v>1023</v>
      </c>
      <c r="X110" s="46">
        <v>6</v>
      </c>
      <c r="Y110" s="46" t="b">
        <v>1</v>
      </c>
      <c r="Z110" s="46" t="s">
        <v>675</v>
      </c>
      <c r="AA110" s="46" t="s">
        <v>676</v>
      </c>
      <c r="AB110" s="46" t="s">
        <v>677</v>
      </c>
      <c r="AC110" s="46">
        <v>0</v>
      </c>
      <c r="AD110" s="46" t="s">
        <v>678</v>
      </c>
      <c r="AE110" s="46">
        <v>5</v>
      </c>
      <c r="AF110" s="46" t="s">
        <v>1024</v>
      </c>
      <c r="AG110" s="46">
        <v>13.31</v>
      </c>
      <c r="AH110" s="46" t="b">
        <v>1</v>
      </c>
      <c r="AI110" s="46">
        <v>-1</v>
      </c>
      <c r="AJ110" s="46" t="s">
        <v>680</v>
      </c>
      <c r="AK110" s="46">
        <v>0</v>
      </c>
      <c r="AL110" s="46" t="b">
        <v>0</v>
      </c>
      <c r="AM110" s="46">
        <v>232.14099999999999</v>
      </c>
      <c r="AN110" s="46" t="b">
        <v>1</v>
      </c>
      <c r="AO110" s="46">
        <v>0</v>
      </c>
      <c r="AP110" s="46" t="b">
        <v>0</v>
      </c>
      <c r="AQ110" s="46">
        <v>161</v>
      </c>
      <c r="AS110" s="46">
        <v>161</v>
      </c>
      <c r="AT110" s="46">
        <v>6</v>
      </c>
      <c r="AU110" s="46" t="b">
        <v>1</v>
      </c>
      <c r="AV110" s="46" t="b">
        <v>0</v>
      </c>
    </row>
    <row r="111" spans="2:48">
      <c r="B111" s="46" t="s">
        <v>665</v>
      </c>
      <c r="C111" s="46" t="s">
        <v>666</v>
      </c>
      <c r="D111" s="46">
        <v>20230801</v>
      </c>
      <c r="E111" s="46">
        <v>2023</v>
      </c>
      <c r="F111" s="46">
        <v>8</v>
      </c>
      <c r="G111" s="46" t="s">
        <v>721</v>
      </c>
      <c r="H111" s="46">
        <v>818</v>
      </c>
      <c r="I111" s="46" t="s">
        <v>668</v>
      </c>
      <c r="J111" s="46" t="s">
        <v>57</v>
      </c>
      <c r="K111" s="46" t="s">
        <v>666</v>
      </c>
      <c r="L111" s="46" t="s">
        <v>669</v>
      </c>
      <c r="M111" s="46">
        <v>528</v>
      </c>
      <c r="N111" s="46" t="s">
        <v>698</v>
      </c>
      <c r="O111" s="46" t="s">
        <v>60</v>
      </c>
      <c r="P111" s="46">
        <v>0</v>
      </c>
      <c r="Q111" s="46" t="s">
        <v>670</v>
      </c>
      <c r="R111" s="46" t="s">
        <v>23</v>
      </c>
      <c r="S111" s="46" t="s">
        <v>671</v>
      </c>
      <c r="T111" s="46" t="s">
        <v>672</v>
      </c>
      <c r="U111" s="46" t="b">
        <v>1</v>
      </c>
      <c r="V111" s="46" t="s">
        <v>1022</v>
      </c>
      <c r="W111" s="46" t="s">
        <v>1023</v>
      </c>
      <c r="X111" s="46">
        <v>6</v>
      </c>
      <c r="Y111" s="46" t="b">
        <v>1</v>
      </c>
      <c r="Z111" s="46" t="s">
        <v>675</v>
      </c>
      <c r="AA111" s="46" t="s">
        <v>676</v>
      </c>
      <c r="AB111" s="46" t="s">
        <v>677</v>
      </c>
      <c r="AC111" s="46">
        <v>0</v>
      </c>
      <c r="AD111" s="46" t="s">
        <v>678</v>
      </c>
      <c r="AE111" s="46">
        <v>5</v>
      </c>
      <c r="AF111" s="46" t="s">
        <v>1024</v>
      </c>
      <c r="AG111" s="46">
        <v>48.311</v>
      </c>
      <c r="AH111" s="46" t="b">
        <v>1</v>
      </c>
      <c r="AI111" s="46">
        <v>-1</v>
      </c>
      <c r="AJ111" s="46" t="s">
        <v>680</v>
      </c>
      <c r="AK111" s="46">
        <v>0</v>
      </c>
      <c r="AL111" s="46" t="b">
        <v>0</v>
      </c>
      <c r="AM111" s="46">
        <v>842.61500000000001</v>
      </c>
      <c r="AN111" s="46" t="b">
        <v>1</v>
      </c>
      <c r="AO111" s="46">
        <v>0</v>
      </c>
      <c r="AP111" s="46" t="b">
        <v>0</v>
      </c>
      <c r="AQ111" s="46">
        <v>584.39099999999996</v>
      </c>
      <c r="AS111" s="46">
        <v>584.39099999999996</v>
      </c>
      <c r="AT111" s="46">
        <v>6</v>
      </c>
      <c r="AU111" s="46" t="b">
        <v>1</v>
      </c>
      <c r="AV111" s="46" t="b">
        <v>0</v>
      </c>
    </row>
    <row r="112" spans="2:48">
      <c r="B112" s="46" t="s">
        <v>665</v>
      </c>
      <c r="C112" s="46" t="s">
        <v>666</v>
      </c>
      <c r="D112" s="46">
        <v>20230801</v>
      </c>
      <c r="E112" s="46">
        <v>2023</v>
      </c>
      <c r="F112" s="46">
        <v>8</v>
      </c>
      <c r="G112" s="46" t="s">
        <v>721</v>
      </c>
      <c r="H112" s="46">
        <v>818</v>
      </c>
      <c r="I112" s="46" t="s">
        <v>668</v>
      </c>
      <c r="J112" s="46" t="s">
        <v>57</v>
      </c>
      <c r="K112" s="46" t="s">
        <v>666</v>
      </c>
      <c r="L112" s="46" t="s">
        <v>669</v>
      </c>
      <c r="M112" s="46">
        <v>233</v>
      </c>
      <c r="N112" s="46" t="s">
        <v>997</v>
      </c>
      <c r="O112" s="46" t="s">
        <v>103</v>
      </c>
      <c r="P112" s="46">
        <v>0</v>
      </c>
      <c r="Q112" s="46" t="s">
        <v>670</v>
      </c>
      <c r="R112" s="46" t="s">
        <v>23</v>
      </c>
      <c r="S112" s="46" t="s">
        <v>671</v>
      </c>
      <c r="T112" s="46" t="s">
        <v>672</v>
      </c>
      <c r="U112" s="46" t="b">
        <v>1</v>
      </c>
      <c r="V112" s="46" t="s">
        <v>1022</v>
      </c>
      <c r="W112" s="46" t="s">
        <v>1023</v>
      </c>
      <c r="X112" s="46">
        <v>6</v>
      </c>
      <c r="Y112" s="46" t="b">
        <v>1</v>
      </c>
      <c r="Z112" s="46" t="s">
        <v>675</v>
      </c>
      <c r="AA112" s="46" t="s">
        <v>676</v>
      </c>
      <c r="AB112" s="46" t="s">
        <v>677</v>
      </c>
      <c r="AC112" s="46">
        <v>0</v>
      </c>
      <c r="AD112" s="46" t="s">
        <v>678</v>
      </c>
      <c r="AE112" s="46">
        <v>5</v>
      </c>
      <c r="AF112" s="46" t="s">
        <v>1024</v>
      </c>
      <c r="AG112" s="46">
        <v>23.632000000000001</v>
      </c>
      <c r="AH112" s="46" t="b">
        <v>1</v>
      </c>
      <c r="AI112" s="46">
        <v>-1</v>
      </c>
      <c r="AJ112" s="46" t="s">
        <v>680</v>
      </c>
      <c r="AK112" s="46">
        <v>0</v>
      </c>
      <c r="AL112" s="46" t="b">
        <v>0</v>
      </c>
      <c r="AM112" s="46">
        <v>412.18099999999998</v>
      </c>
      <c r="AN112" s="46" t="b">
        <v>1</v>
      </c>
      <c r="AO112" s="46">
        <v>0</v>
      </c>
      <c r="AP112" s="46" t="b">
        <v>0</v>
      </c>
      <c r="AQ112" s="46">
        <v>285.86599999999999</v>
      </c>
      <c r="AS112" s="46">
        <v>285.86599999999999</v>
      </c>
      <c r="AT112" s="46">
        <v>6</v>
      </c>
      <c r="AU112" s="46" t="b">
        <v>1</v>
      </c>
      <c r="AV112" s="46" t="b">
        <v>0</v>
      </c>
    </row>
    <row r="113" spans="2:48">
      <c r="B113" s="46" t="s">
        <v>665</v>
      </c>
      <c r="C113" s="46" t="s">
        <v>666</v>
      </c>
      <c r="D113" s="46">
        <v>20230801</v>
      </c>
      <c r="E113" s="46">
        <v>2023</v>
      </c>
      <c r="F113" s="46">
        <v>8</v>
      </c>
      <c r="G113" s="46" t="s">
        <v>721</v>
      </c>
      <c r="H113" s="46">
        <v>818</v>
      </c>
      <c r="I113" s="46" t="s">
        <v>668</v>
      </c>
      <c r="J113" s="46" t="s">
        <v>57</v>
      </c>
      <c r="K113" s="46" t="s">
        <v>666</v>
      </c>
      <c r="L113" s="46" t="s">
        <v>669</v>
      </c>
      <c r="M113" s="46">
        <v>276</v>
      </c>
      <c r="N113" s="46" t="s">
        <v>681</v>
      </c>
      <c r="O113" s="46" t="s">
        <v>30</v>
      </c>
      <c r="P113" s="46">
        <v>0</v>
      </c>
      <c r="Q113" s="46" t="s">
        <v>670</v>
      </c>
      <c r="R113" s="46" t="s">
        <v>23</v>
      </c>
      <c r="S113" s="46" t="s">
        <v>671</v>
      </c>
      <c r="T113" s="46" t="s">
        <v>672</v>
      </c>
      <c r="U113" s="46" t="b">
        <v>1</v>
      </c>
      <c r="V113" s="46" t="s">
        <v>1022</v>
      </c>
      <c r="W113" s="46" t="s">
        <v>1023</v>
      </c>
      <c r="X113" s="46">
        <v>6</v>
      </c>
      <c r="Y113" s="46" t="b">
        <v>1</v>
      </c>
      <c r="Z113" s="46" t="s">
        <v>675</v>
      </c>
      <c r="AA113" s="46" t="s">
        <v>676</v>
      </c>
      <c r="AB113" s="46" t="s">
        <v>677</v>
      </c>
      <c r="AC113" s="46">
        <v>0</v>
      </c>
      <c r="AD113" s="46" t="s">
        <v>678</v>
      </c>
      <c r="AE113" s="46">
        <v>5</v>
      </c>
      <c r="AF113" s="46" t="s">
        <v>1024</v>
      </c>
      <c r="AG113" s="46">
        <v>79.843999999999994</v>
      </c>
      <c r="AH113" s="46" t="b">
        <v>1</v>
      </c>
      <c r="AI113" s="46">
        <v>-1</v>
      </c>
      <c r="AJ113" s="46" t="s">
        <v>680</v>
      </c>
      <c r="AK113" s="46">
        <v>0</v>
      </c>
      <c r="AL113" s="46" t="b">
        <v>0</v>
      </c>
      <c r="AM113" s="46">
        <v>1392.58</v>
      </c>
      <c r="AN113" s="46" t="b">
        <v>1</v>
      </c>
      <c r="AO113" s="46">
        <v>0</v>
      </c>
      <c r="AP113" s="46" t="b">
        <v>0</v>
      </c>
      <c r="AQ113" s="46">
        <v>965.81600000000003</v>
      </c>
      <c r="AS113" s="46">
        <v>965.81600000000003</v>
      </c>
      <c r="AT113" s="46">
        <v>6</v>
      </c>
      <c r="AU113" s="46" t="b">
        <v>1</v>
      </c>
      <c r="AV113" s="46" t="b">
        <v>0</v>
      </c>
    </row>
    <row r="114" spans="2:48">
      <c r="B114" s="46" t="s">
        <v>665</v>
      </c>
      <c r="C114" s="46" t="s">
        <v>666</v>
      </c>
      <c r="D114" s="46">
        <v>20230801</v>
      </c>
      <c r="E114" s="46">
        <v>2023</v>
      </c>
      <c r="F114" s="46">
        <v>8</v>
      </c>
      <c r="G114" s="46" t="s">
        <v>721</v>
      </c>
      <c r="H114" s="46">
        <v>818</v>
      </c>
      <c r="I114" s="46" t="s">
        <v>668</v>
      </c>
      <c r="J114" s="46" t="s">
        <v>57</v>
      </c>
      <c r="K114" s="46" t="s">
        <v>666</v>
      </c>
      <c r="L114" s="46" t="s">
        <v>669</v>
      </c>
      <c r="M114" s="46">
        <v>380</v>
      </c>
      <c r="N114" s="46" t="s">
        <v>689</v>
      </c>
      <c r="O114" s="46" t="s">
        <v>71</v>
      </c>
      <c r="P114" s="46">
        <v>0</v>
      </c>
      <c r="Q114" s="46" t="s">
        <v>670</v>
      </c>
      <c r="R114" s="46" t="s">
        <v>23</v>
      </c>
      <c r="S114" s="46" t="s">
        <v>671</v>
      </c>
      <c r="T114" s="46" t="s">
        <v>672</v>
      </c>
      <c r="U114" s="46" t="b">
        <v>1</v>
      </c>
      <c r="V114" s="46" t="s">
        <v>1022</v>
      </c>
      <c r="W114" s="46" t="s">
        <v>1023</v>
      </c>
      <c r="X114" s="46">
        <v>6</v>
      </c>
      <c r="Y114" s="46" t="b">
        <v>1</v>
      </c>
      <c r="Z114" s="46" t="s">
        <v>675</v>
      </c>
      <c r="AA114" s="46" t="s">
        <v>676</v>
      </c>
      <c r="AB114" s="46" t="s">
        <v>677</v>
      </c>
      <c r="AC114" s="46">
        <v>0</v>
      </c>
      <c r="AD114" s="46" t="s">
        <v>678</v>
      </c>
      <c r="AE114" s="46">
        <v>5</v>
      </c>
      <c r="AF114" s="46" t="s">
        <v>1024</v>
      </c>
      <c r="AG114" s="46">
        <v>62.427</v>
      </c>
      <c r="AH114" s="46" t="b">
        <v>1</v>
      </c>
      <c r="AI114" s="46">
        <v>-1</v>
      </c>
      <c r="AJ114" s="46" t="s">
        <v>680</v>
      </c>
      <c r="AK114" s="46">
        <v>0</v>
      </c>
      <c r="AL114" s="46" t="b">
        <v>0</v>
      </c>
      <c r="AM114" s="46">
        <v>1088.8119999999999</v>
      </c>
      <c r="AN114" s="46" t="b">
        <v>1</v>
      </c>
      <c r="AO114" s="46">
        <v>0</v>
      </c>
      <c r="AP114" s="46" t="b">
        <v>0</v>
      </c>
      <c r="AQ114" s="46">
        <v>755.13900000000001</v>
      </c>
      <c r="AS114" s="46">
        <v>755.13900000000001</v>
      </c>
      <c r="AT114" s="46">
        <v>6</v>
      </c>
      <c r="AU114" s="46" t="b">
        <v>1</v>
      </c>
      <c r="AV114" s="46" t="b">
        <v>0</v>
      </c>
    </row>
    <row r="115" spans="2:48">
      <c r="B115" s="46" t="s">
        <v>665</v>
      </c>
      <c r="C115" s="46" t="s">
        <v>666</v>
      </c>
      <c r="D115" s="46">
        <v>20230901</v>
      </c>
      <c r="E115" s="46">
        <v>2023</v>
      </c>
      <c r="F115" s="46">
        <v>9</v>
      </c>
      <c r="G115" s="46" t="s">
        <v>723</v>
      </c>
      <c r="H115" s="46">
        <v>818</v>
      </c>
      <c r="I115" s="46" t="s">
        <v>668</v>
      </c>
      <c r="J115" s="46" t="s">
        <v>57</v>
      </c>
      <c r="K115" s="46" t="s">
        <v>666</v>
      </c>
      <c r="L115" s="46" t="s">
        <v>669</v>
      </c>
      <c r="M115" s="46">
        <v>0</v>
      </c>
      <c r="N115" s="46" t="s">
        <v>670</v>
      </c>
      <c r="O115" s="46" t="s">
        <v>23</v>
      </c>
      <c r="P115" s="46">
        <v>0</v>
      </c>
      <c r="Q115" s="46" t="s">
        <v>670</v>
      </c>
      <c r="R115" s="46" t="s">
        <v>23</v>
      </c>
      <c r="S115" s="46" t="s">
        <v>671</v>
      </c>
      <c r="T115" s="46" t="s">
        <v>672</v>
      </c>
      <c r="U115" s="46" t="b">
        <v>1</v>
      </c>
      <c r="V115" s="46" t="s">
        <v>1022</v>
      </c>
      <c r="W115" s="46" t="s">
        <v>1023</v>
      </c>
      <c r="X115" s="46">
        <v>6</v>
      </c>
      <c r="Y115" s="46" t="b">
        <v>1</v>
      </c>
      <c r="Z115" s="46" t="s">
        <v>675</v>
      </c>
      <c r="AA115" s="46" t="s">
        <v>676</v>
      </c>
      <c r="AB115" s="46" t="s">
        <v>677</v>
      </c>
      <c r="AC115" s="46">
        <v>0</v>
      </c>
      <c r="AD115" s="46" t="s">
        <v>678</v>
      </c>
      <c r="AE115" s="46">
        <v>5</v>
      </c>
      <c r="AF115" s="46" t="s">
        <v>1024</v>
      </c>
      <c r="AG115" s="46">
        <v>4217.9089999999997</v>
      </c>
      <c r="AH115" s="46" t="b">
        <v>1</v>
      </c>
      <c r="AI115" s="46">
        <v>-1</v>
      </c>
      <c r="AJ115" s="46" t="s">
        <v>680</v>
      </c>
      <c r="AK115" s="46">
        <v>0</v>
      </c>
      <c r="AL115" s="46" t="b">
        <v>0</v>
      </c>
      <c r="AM115" s="46">
        <v>73566.074999999997</v>
      </c>
      <c r="AN115" s="46" t="b">
        <v>1</v>
      </c>
      <c r="AO115" s="46">
        <v>0</v>
      </c>
      <c r="AP115" s="46" t="b">
        <v>0</v>
      </c>
      <c r="AQ115" s="46">
        <v>51021.313999999998</v>
      </c>
      <c r="AS115" s="46">
        <v>51021.313999999998</v>
      </c>
      <c r="AT115" s="46">
        <v>6</v>
      </c>
      <c r="AU115" s="46" t="b">
        <v>0</v>
      </c>
      <c r="AV115" s="46" t="b">
        <v>1</v>
      </c>
    </row>
    <row r="116" spans="2:48">
      <c r="B116" s="46" t="s">
        <v>665</v>
      </c>
      <c r="C116" s="46" t="s">
        <v>666</v>
      </c>
      <c r="D116" s="46">
        <v>20230901</v>
      </c>
      <c r="E116" s="46">
        <v>2023</v>
      </c>
      <c r="F116" s="46">
        <v>9</v>
      </c>
      <c r="G116" s="46" t="s">
        <v>723</v>
      </c>
      <c r="H116" s="46">
        <v>818</v>
      </c>
      <c r="I116" s="46" t="s">
        <v>668</v>
      </c>
      <c r="J116" s="46" t="s">
        <v>57</v>
      </c>
      <c r="K116" s="46" t="s">
        <v>666</v>
      </c>
      <c r="L116" s="46" t="s">
        <v>669</v>
      </c>
      <c r="M116" s="46">
        <v>699</v>
      </c>
      <c r="N116" s="46" t="s">
        <v>748</v>
      </c>
      <c r="O116" s="46" t="s">
        <v>0</v>
      </c>
      <c r="P116" s="46">
        <v>0</v>
      </c>
      <c r="Q116" s="46" t="s">
        <v>670</v>
      </c>
      <c r="R116" s="46" t="s">
        <v>23</v>
      </c>
      <c r="S116" s="46" t="s">
        <v>671</v>
      </c>
      <c r="T116" s="46" t="s">
        <v>672</v>
      </c>
      <c r="U116" s="46" t="b">
        <v>1</v>
      </c>
      <c r="V116" s="46" t="s">
        <v>1022</v>
      </c>
      <c r="W116" s="46" t="s">
        <v>1023</v>
      </c>
      <c r="X116" s="46">
        <v>6</v>
      </c>
      <c r="Y116" s="46" t="b">
        <v>1</v>
      </c>
      <c r="Z116" s="46" t="s">
        <v>675</v>
      </c>
      <c r="AA116" s="46" t="s">
        <v>676</v>
      </c>
      <c r="AB116" s="46" t="s">
        <v>677</v>
      </c>
      <c r="AC116" s="46">
        <v>0</v>
      </c>
      <c r="AD116" s="46" t="s">
        <v>678</v>
      </c>
      <c r="AE116" s="46">
        <v>5</v>
      </c>
      <c r="AF116" s="46" t="s">
        <v>1024</v>
      </c>
      <c r="AG116" s="46">
        <v>1504.0070000000001</v>
      </c>
      <c r="AH116" s="46" t="b">
        <v>1</v>
      </c>
      <c r="AI116" s="46">
        <v>-1</v>
      </c>
      <c r="AJ116" s="46" t="s">
        <v>680</v>
      </c>
      <c r="AK116" s="46">
        <v>0</v>
      </c>
      <c r="AL116" s="46" t="b">
        <v>0</v>
      </c>
      <c r="AM116" s="46">
        <v>26231.931</v>
      </c>
      <c r="AN116" s="46" t="b">
        <v>1</v>
      </c>
      <c r="AO116" s="46">
        <v>0</v>
      </c>
      <c r="AP116" s="46" t="b">
        <v>0</v>
      </c>
      <c r="AQ116" s="46">
        <v>18193</v>
      </c>
      <c r="AS116" s="46">
        <v>18193</v>
      </c>
      <c r="AT116" s="46">
        <v>6</v>
      </c>
      <c r="AU116" s="46" t="b">
        <v>1</v>
      </c>
      <c r="AV116" s="46" t="b">
        <v>0</v>
      </c>
    </row>
    <row r="117" spans="2:48">
      <c r="B117" s="46" t="s">
        <v>665</v>
      </c>
      <c r="C117" s="46" t="s">
        <v>666</v>
      </c>
      <c r="D117" s="46">
        <v>20230901</v>
      </c>
      <c r="E117" s="46">
        <v>2023</v>
      </c>
      <c r="F117" s="46">
        <v>9</v>
      </c>
      <c r="G117" s="46" t="s">
        <v>723</v>
      </c>
      <c r="H117" s="46">
        <v>818</v>
      </c>
      <c r="I117" s="46" t="s">
        <v>668</v>
      </c>
      <c r="J117" s="46" t="s">
        <v>57</v>
      </c>
      <c r="K117" s="46" t="s">
        <v>666</v>
      </c>
      <c r="L117" s="46" t="s">
        <v>669</v>
      </c>
      <c r="M117" s="46">
        <v>842</v>
      </c>
      <c r="N117" s="46" t="s">
        <v>713</v>
      </c>
      <c r="O117" s="46" t="s">
        <v>713</v>
      </c>
      <c r="P117" s="46">
        <v>0</v>
      </c>
      <c r="Q117" s="46" t="s">
        <v>670</v>
      </c>
      <c r="R117" s="46" t="s">
        <v>23</v>
      </c>
      <c r="S117" s="46" t="s">
        <v>671</v>
      </c>
      <c r="T117" s="46" t="s">
        <v>672</v>
      </c>
      <c r="U117" s="46" t="b">
        <v>1</v>
      </c>
      <c r="V117" s="46" t="s">
        <v>1022</v>
      </c>
      <c r="W117" s="46" t="s">
        <v>1023</v>
      </c>
      <c r="X117" s="46">
        <v>6</v>
      </c>
      <c r="Y117" s="46" t="b">
        <v>1</v>
      </c>
      <c r="Z117" s="46" t="s">
        <v>675</v>
      </c>
      <c r="AA117" s="46" t="s">
        <v>676</v>
      </c>
      <c r="AB117" s="46" t="s">
        <v>677</v>
      </c>
      <c r="AC117" s="46">
        <v>0</v>
      </c>
      <c r="AD117" s="46" t="s">
        <v>678</v>
      </c>
      <c r="AE117" s="46">
        <v>5</v>
      </c>
      <c r="AF117" s="46" t="s">
        <v>1024</v>
      </c>
      <c r="AG117" s="46">
        <v>94.409000000000006</v>
      </c>
      <c r="AH117" s="46" t="b">
        <v>1</v>
      </c>
      <c r="AI117" s="46">
        <v>-1</v>
      </c>
      <c r="AJ117" s="46" t="s">
        <v>680</v>
      </c>
      <c r="AK117" s="46">
        <v>0</v>
      </c>
      <c r="AL117" s="46" t="b">
        <v>0</v>
      </c>
      <c r="AM117" s="46">
        <v>1646.615</v>
      </c>
      <c r="AN117" s="46" t="b">
        <v>1</v>
      </c>
      <c r="AO117" s="46">
        <v>0</v>
      </c>
      <c r="AP117" s="46" t="b">
        <v>0</v>
      </c>
      <c r="AQ117" s="46">
        <v>1142</v>
      </c>
      <c r="AS117" s="46">
        <v>1142</v>
      </c>
      <c r="AT117" s="46">
        <v>6</v>
      </c>
      <c r="AU117" s="46" t="b">
        <v>1</v>
      </c>
      <c r="AV117" s="46" t="b">
        <v>0</v>
      </c>
    </row>
    <row r="118" spans="2:48">
      <c r="B118" s="46" t="s">
        <v>665</v>
      </c>
      <c r="C118" s="46" t="s">
        <v>666</v>
      </c>
      <c r="D118" s="46">
        <v>20230901</v>
      </c>
      <c r="E118" s="46">
        <v>2023</v>
      </c>
      <c r="F118" s="46">
        <v>9</v>
      </c>
      <c r="G118" s="46" t="s">
        <v>723</v>
      </c>
      <c r="H118" s="46">
        <v>818</v>
      </c>
      <c r="I118" s="46" t="s">
        <v>668</v>
      </c>
      <c r="J118" s="46" t="s">
        <v>57</v>
      </c>
      <c r="K118" s="46" t="s">
        <v>666</v>
      </c>
      <c r="L118" s="46" t="s">
        <v>669</v>
      </c>
      <c r="M118" s="46">
        <v>156</v>
      </c>
      <c r="N118" s="46" t="s">
        <v>711</v>
      </c>
      <c r="O118" s="46" t="s">
        <v>29</v>
      </c>
      <c r="P118" s="46">
        <v>0</v>
      </c>
      <c r="Q118" s="46" t="s">
        <v>670</v>
      </c>
      <c r="R118" s="46" t="s">
        <v>23</v>
      </c>
      <c r="S118" s="46" t="s">
        <v>671</v>
      </c>
      <c r="T118" s="46" t="s">
        <v>672</v>
      </c>
      <c r="U118" s="46" t="b">
        <v>1</v>
      </c>
      <c r="V118" s="46" t="s">
        <v>1022</v>
      </c>
      <c r="W118" s="46" t="s">
        <v>1023</v>
      </c>
      <c r="X118" s="46">
        <v>6</v>
      </c>
      <c r="Y118" s="46" t="b">
        <v>1</v>
      </c>
      <c r="Z118" s="46" t="s">
        <v>675</v>
      </c>
      <c r="AA118" s="46" t="s">
        <v>676</v>
      </c>
      <c r="AB118" s="46" t="s">
        <v>677</v>
      </c>
      <c r="AC118" s="46">
        <v>0</v>
      </c>
      <c r="AD118" s="46" t="s">
        <v>678</v>
      </c>
      <c r="AE118" s="46">
        <v>5</v>
      </c>
      <c r="AF118" s="46" t="s">
        <v>1024</v>
      </c>
      <c r="AG118" s="46">
        <v>1514.115</v>
      </c>
      <c r="AH118" s="46" t="b">
        <v>1</v>
      </c>
      <c r="AI118" s="46">
        <v>-1</v>
      </c>
      <c r="AJ118" s="46" t="s">
        <v>680</v>
      </c>
      <c r="AK118" s="46">
        <v>0</v>
      </c>
      <c r="AL118" s="46" t="b">
        <v>0</v>
      </c>
      <c r="AM118" s="46">
        <v>26408.231</v>
      </c>
      <c r="AN118" s="46" t="b">
        <v>1</v>
      </c>
      <c r="AO118" s="46">
        <v>0</v>
      </c>
      <c r="AP118" s="46" t="b">
        <v>0</v>
      </c>
      <c r="AQ118" s="46">
        <v>18315.272000000001</v>
      </c>
      <c r="AS118" s="46">
        <v>18315.272000000001</v>
      </c>
      <c r="AT118" s="46">
        <v>6</v>
      </c>
      <c r="AU118" s="46" t="b">
        <v>1</v>
      </c>
      <c r="AV118" s="46" t="b">
        <v>0</v>
      </c>
    </row>
    <row r="119" spans="2:48">
      <c r="B119" s="46" t="s">
        <v>665</v>
      </c>
      <c r="C119" s="46" t="s">
        <v>666</v>
      </c>
      <c r="D119" s="46">
        <v>20230901</v>
      </c>
      <c r="E119" s="46">
        <v>2023</v>
      </c>
      <c r="F119" s="46">
        <v>9</v>
      </c>
      <c r="G119" s="46" t="s">
        <v>723</v>
      </c>
      <c r="H119" s="46">
        <v>818</v>
      </c>
      <c r="I119" s="46" t="s">
        <v>668</v>
      </c>
      <c r="J119" s="46" t="s">
        <v>57</v>
      </c>
      <c r="K119" s="46" t="s">
        <v>666</v>
      </c>
      <c r="L119" s="46" t="s">
        <v>669</v>
      </c>
      <c r="M119" s="46">
        <v>757</v>
      </c>
      <c r="N119" s="46" t="s">
        <v>996</v>
      </c>
      <c r="O119" s="46" t="s">
        <v>41</v>
      </c>
      <c r="P119" s="46">
        <v>0</v>
      </c>
      <c r="Q119" s="46" t="s">
        <v>670</v>
      </c>
      <c r="R119" s="46" t="s">
        <v>23</v>
      </c>
      <c r="S119" s="46" t="s">
        <v>671</v>
      </c>
      <c r="T119" s="46" t="s">
        <v>672</v>
      </c>
      <c r="U119" s="46" t="b">
        <v>1</v>
      </c>
      <c r="V119" s="46" t="s">
        <v>1022</v>
      </c>
      <c r="W119" s="46" t="s">
        <v>1023</v>
      </c>
      <c r="X119" s="46">
        <v>6</v>
      </c>
      <c r="Y119" s="46" t="b">
        <v>1</v>
      </c>
      <c r="Z119" s="46" t="s">
        <v>675</v>
      </c>
      <c r="AA119" s="46" t="s">
        <v>676</v>
      </c>
      <c r="AB119" s="46" t="s">
        <v>677</v>
      </c>
      <c r="AC119" s="46">
        <v>0</v>
      </c>
      <c r="AD119" s="46" t="s">
        <v>678</v>
      </c>
      <c r="AE119" s="46">
        <v>5</v>
      </c>
      <c r="AF119" s="46" t="s">
        <v>1024</v>
      </c>
      <c r="AG119" s="46">
        <v>11.606</v>
      </c>
      <c r="AH119" s="46" t="b">
        <v>1</v>
      </c>
      <c r="AI119" s="46">
        <v>-1</v>
      </c>
      <c r="AJ119" s="46" t="s">
        <v>680</v>
      </c>
      <c r="AK119" s="46">
        <v>0</v>
      </c>
      <c r="AL119" s="46" t="b">
        <v>0</v>
      </c>
      <c r="AM119" s="46">
        <v>202.428</v>
      </c>
      <c r="AN119" s="46" t="b">
        <v>1</v>
      </c>
      <c r="AO119" s="46">
        <v>0</v>
      </c>
      <c r="AP119" s="46" t="b">
        <v>0</v>
      </c>
      <c r="AQ119" s="46">
        <v>140.393</v>
      </c>
      <c r="AS119" s="46">
        <v>140.393</v>
      </c>
      <c r="AT119" s="46">
        <v>6</v>
      </c>
      <c r="AU119" s="46" t="b">
        <v>1</v>
      </c>
      <c r="AV119" s="46" t="b">
        <v>0</v>
      </c>
    </row>
    <row r="120" spans="2:48">
      <c r="B120" s="46" t="s">
        <v>665</v>
      </c>
      <c r="C120" s="46" t="s">
        <v>666</v>
      </c>
      <c r="D120" s="46">
        <v>20230901</v>
      </c>
      <c r="E120" s="46">
        <v>2023</v>
      </c>
      <c r="F120" s="46">
        <v>9</v>
      </c>
      <c r="G120" s="46" t="s">
        <v>723</v>
      </c>
      <c r="H120" s="46">
        <v>818</v>
      </c>
      <c r="I120" s="46" t="s">
        <v>668</v>
      </c>
      <c r="J120" s="46" t="s">
        <v>57</v>
      </c>
      <c r="K120" s="46" t="s">
        <v>666</v>
      </c>
      <c r="L120" s="46" t="s">
        <v>669</v>
      </c>
      <c r="M120" s="46">
        <v>616</v>
      </c>
      <c r="N120" s="46" t="s">
        <v>999</v>
      </c>
      <c r="O120" s="46" t="s">
        <v>84</v>
      </c>
      <c r="P120" s="46">
        <v>0</v>
      </c>
      <c r="Q120" s="46" t="s">
        <v>670</v>
      </c>
      <c r="R120" s="46" t="s">
        <v>23</v>
      </c>
      <c r="S120" s="46" t="s">
        <v>671</v>
      </c>
      <c r="T120" s="46" t="s">
        <v>672</v>
      </c>
      <c r="U120" s="46" t="b">
        <v>1</v>
      </c>
      <c r="V120" s="46" t="s">
        <v>1022</v>
      </c>
      <c r="W120" s="46" t="s">
        <v>1023</v>
      </c>
      <c r="X120" s="46">
        <v>6</v>
      </c>
      <c r="Y120" s="46" t="b">
        <v>1</v>
      </c>
      <c r="Z120" s="46" t="s">
        <v>675</v>
      </c>
      <c r="AA120" s="46" t="s">
        <v>676</v>
      </c>
      <c r="AB120" s="46" t="s">
        <v>677</v>
      </c>
      <c r="AC120" s="46">
        <v>0</v>
      </c>
      <c r="AD120" s="46" t="s">
        <v>678</v>
      </c>
      <c r="AE120" s="46">
        <v>5</v>
      </c>
      <c r="AF120" s="46" t="s">
        <v>1024</v>
      </c>
      <c r="AG120" s="46">
        <v>105.07299999999999</v>
      </c>
      <c r="AH120" s="46" t="b">
        <v>1</v>
      </c>
      <c r="AI120" s="46">
        <v>-1</v>
      </c>
      <c r="AJ120" s="46" t="s">
        <v>680</v>
      </c>
      <c r="AK120" s="46">
        <v>0</v>
      </c>
      <c r="AL120" s="46" t="b">
        <v>0</v>
      </c>
      <c r="AM120" s="46">
        <v>1832.616</v>
      </c>
      <c r="AN120" s="46" t="b">
        <v>1</v>
      </c>
      <c r="AO120" s="46">
        <v>0</v>
      </c>
      <c r="AP120" s="46" t="b">
        <v>0</v>
      </c>
      <c r="AQ120" s="46">
        <v>1271</v>
      </c>
      <c r="AS120" s="46">
        <v>1271</v>
      </c>
      <c r="AT120" s="46">
        <v>6</v>
      </c>
      <c r="AU120" s="46" t="b">
        <v>1</v>
      </c>
      <c r="AV120" s="46" t="b">
        <v>0</v>
      </c>
    </row>
    <row r="121" spans="2:48">
      <c r="B121" s="46" t="s">
        <v>665</v>
      </c>
      <c r="C121" s="46" t="s">
        <v>666</v>
      </c>
      <c r="D121" s="46">
        <v>20230901</v>
      </c>
      <c r="E121" s="46">
        <v>2023</v>
      </c>
      <c r="F121" s="46">
        <v>9</v>
      </c>
      <c r="G121" s="46" t="s">
        <v>723</v>
      </c>
      <c r="H121" s="46">
        <v>818</v>
      </c>
      <c r="I121" s="46" t="s">
        <v>668</v>
      </c>
      <c r="J121" s="46" t="s">
        <v>57</v>
      </c>
      <c r="K121" s="46" t="s">
        <v>666</v>
      </c>
      <c r="L121" s="46" t="s">
        <v>669</v>
      </c>
      <c r="M121" s="46">
        <v>276</v>
      </c>
      <c r="N121" s="46" t="s">
        <v>681</v>
      </c>
      <c r="O121" s="46" t="s">
        <v>30</v>
      </c>
      <c r="P121" s="46">
        <v>0</v>
      </c>
      <c r="Q121" s="46" t="s">
        <v>670</v>
      </c>
      <c r="R121" s="46" t="s">
        <v>23</v>
      </c>
      <c r="S121" s="46" t="s">
        <v>671</v>
      </c>
      <c r="T121" s="46" t="s">
        <v>672</v>
      </c>
      <c r="U121" s="46" t="b">
        <v>1</v>
      </c>
      <c r="V121" s="46" t="s">
        <v>1022</v>
      </c>
      <c r="W121" s="46" t="s">
        <v>1023</v>
      </c>
      <c r="X121" s="46">
        <v>6</v>
      </c>
      <c r="Y121" s="46" t="b">
        <v>1</v>
      </c>
      <c r="Z121" s="46" t="s">
        <v>675</v>
      </c>
      <c r="AA121" s="46" t="s">
        <v>676</v>
      </c>
      <c r="AB121" s="46" t="s">
        <v>677</v>
      </c>
      <c r="AC121" s="46">
        <v>0</v>
      </c>
      <c r="AD121" s="46" t="s">
        <v>678</v>
      </c>
      <c r="AE121" s="46">
        <v>5</v>
      </c>
      <c r="AF121" s="46" t="s">
        <v>1024</v>
      </c>
      <c r="AG121" s="46">
        <v>66.415999999999997</v>
      </c>
      <c r="AH121" s="46" t="b">
        <v>1</v>
      </c>
      <c r="AI121" s="46">
        <v>-1</v>
      </c>
      <c r="AJ121" s="46" t="s">
        <v>680</v>
      </c>
      <c r="AK121" s="46">
        <v>0</v>
      </c>
      <c r="AL121" s="46" t="b">
        <v>0</v>
      </c>
      <c r="AM121" s="46">
        <v>1158.393</v>
      </c>
      <c r="AN121" s="46" t="b">
        <v>1</v>
      </c>
      <c r="AO121" s="46">
        <v>0</v>
      </c>
      <c r="AP121" s="46" t="b">
        <v>0</v>
      </c>
      <c r="AQ121" s="46">
        <v>803.39700000000005</v>
      </c>
      <c r="AS121" s="46">
        <v>803.39700000000005</v>
      </c>
      <c r="AT121" s="46">
        <v>6</v>
      </c>
      <c r="AU121" s="46" t="b">
        <v>1</v>
      </c>
      <c r="AV121" s="46" t="b">
        <v>0</v>
      </c>
    </row>
    <row r="122" spans="2:48">
      <c r="B122" s="46" t="s">
        <v>665</v>
      </c>
      <c r="C122" s="46" t="s">
        <v>666</v>
      </c>
      <c r="D122" s="46">
        <v>20230901</v>
      </c>
      <c r="E122" s="46">
        <v>2023</v>
      </c>
      <c r="F122" s="46">
        <v>9</v>
      </c>
      <c r="G122" s="46" t="s">
        <v>723</v>
      </c>
      <c r="H122" s="46">
        <v>818</v>
      </c>
      <c r="I122" s="46" t="s">
        <v>668</v>
      </c>
      <c r="J122" s="46" t="s">
        <v>57</v>
      </c>
      <c r="K122" s="46" t="s">
        <v>666</v>
      </c>
      <c r="L122" s="46" t="s">
        <v>669</v>
      </c>
      <c r="M122" s="46">
        <v>380</v>
      </c>
      <c r="N122" s="46" t="s">
        <v>689</v>
      </c>
      <c r="O122" s="46" t="s">
        <v>71</v>
      </c>
      <c r="P122" s="46">
        <v>0</v>
      </c>
      <c r="Q122" s="46" t="s">
        <v>670</v>
      </c>
      <c r="R122" s="46" t="s">
        <v>23</v>
      </c>
      <c r="S122" s="46" t="s">
        <v>671</v>
      </c>
      <c r="T122" s="46" t="s">
        <v>672</v>
      </c>
      <c r="U122" s="46" t="b">
        <v>1</v>
      </c>
      <c r="V122" s="46" t="s">
        <v>1022</v>
      </c>
      <c r="W122" s="46" t="s">
        <v>1023</v>
      </c>
      <c r="X122" s="46">
        <v>6</v>
      </c>
      <c r="Y122" s="46" t="b">
        <v>1</v>
      </c>
      <c r="Z122" s="46" t="s">
        <v>675</v>
      </c>
      <c r="AA122" s="46" t="s">
        <v>676</v>
      </c>
      <c r="AB122" s="46" t="s">
        <v>677</v>
      </c>
      <c r="AC122" s="46">
        <v>0</v>
      </c>
      <c r="AD122" s="46" t="s">
        <v>678</v>
      </c>
      <c r="AE122" s="46">
        <v>5</v>
      </c>
      <c r="AF122" s="46" t="s">
        <v>1024</v>
      </c>
      <c r="AG122" s="46">
        <v>922.28200000000004</v>
      </c>
      <c r="AH122" s="46" t="b">
        <v>1</v>
      </c>
      <c r="AI122" s="46">
        <v>-1</v>
      </c>
      <c r="AJ122" s="46" t="s">
        <v>680</v>
      </c>
      <c r="AK122" s="46">
        <v>0</v>
      </c>
      <c r="AL122" s="46" t="b">
        <v>0</v>
      </c>
      <c r="AM122" s="46">
        <v>16085.86</v>
      </c>
      <c r="AN122" s="46" t="b">
        <v>1</v>
      </c>
      <c r="AO122" s="46">
        <v>0</v>
      </c>
      <c r="AP122" s="46" t="b">
        <v>0</v>
      </c>
      <c r="AQ122" s="46">
        <v>11156.253000000001</v>
      </c>
      <c r="AS122" s="46">
        <v>11156.253000000001</v>
      </c>
      <c r="AT122" s="46">
        <v>6</v>
      </c>
      <c r="AU122" s="46" t="b">
        <v>1</v>
      </c>
      <c r="AV122" s="46" t="b">
        <v>0</v>
      </c>
    </row>
    <row r="123" spans="2:48">
      <c r="B123" s="46" t="s">
        <v>665</v>
      </c>
      <c r="C123" s="46" t="s">
        <v>666</v>
      </c>
      <c r="D123" s="46">
        <v>20231001</v>
      </c>
      <c r="E123" s="46">
        <v>2023</v>
      </c>
      <c r="F123" s="46">
        <v>10</v>
      </c>
      <c r="G123" s="46" t="s">
        <v>724</v>
      </c>
      <c r="H123" s="46">
        <v>818</v>
      </c>
      <c r="I123" s="46" t="s">
        <v>668</v>
      </c>
      <c r="J123" s="46" t="s">
        <v>57</v>
      </c>
      <c r="K123" s="46" t="s">
        <v>666</v>
      </c>
      <c r="L123" s="46" t="s">
        <v>669</v>
      </c>
      <c r="M123" s="46">
        <v>0</v>
      </c>
      <c r="N123" s="46" t="s">
        <v>670</v>
      </c>
      <c r="O123" s="46" t="s">
        <v>23</v>
      </c>
      <c r="P123" s="46">
        <v>0</v>
      </c>
      <c r="Q123" s="46" t="s">
        <v>670</v>
      </c>
      <c r="R123" s="46" t="s">
        <v>23</v>
      </c>
      <c r="S123" s="46" t="s">
        <v>671</v>
      </c>
      <c r="T123" s="46" t="s">
        <v>672</v>
      </c>
      <c r="U123" s="46" t="b">
        <v>1</v>
      </c>
      <c r="V123" s="46" t="s">
        <v>1022</v>
      </c>
      <c r="W123" s="46" t="s">
        <v>1023</v>
      </c>
      <c r="X123" s="46">
        <v>6</v>
      </c>
      <c r="Y123" s="46" t="b">
        <v>1</v>
      </c>
      <c r="Z123" s="46" t="s">
        <v>675</v>
      </c>
      <c r="AA123" s="46" t="s">
        <v>676</v>
      </c>
      <c r="AB123" s="46" t="s">
        <v>677</v>
      </c>
      <c r="AC123" s="46">
        <v>0</v>
      </c>
      <c r="AD123" s="46" t="s">
        <v>678</v>
      </c>
      <c r="AE123" s="46">
        <v>5</v>
      </c>
      <c r="AF123" s="46" t="s">
        <v>1024</v>
      </c>
      <c r="AG123" s="46">
        <v>9113.5450000000001</v>
      </c>
      <c r="AH123" s="46" t="b">
        <v>1</v>
      </c>
      <c r="AI123" s="46">
        <v>-1</v>
      </c>
      <c r="AJ123" s="46" t="s">
        <v>680</v>
      </c>
      <c r="AK123" s="46">
        <v>0</v>
      </c>
      <c r="AL123" s="46" t="b">
        <v>0</v>
      </c>
      <c r="AM123" s="46">
        <v>158952.63800000001</v>
      </c>
      <c r="AN123" s="46" t="b">
        <v>1</v>
      </c>
      <c r="AO123" s="46">
        <v>0</v>
      </c>
      <c r="AP123" s="46" t="b">
        <v>0</v>
      </c>
      <c r="AQ123" s="46">
        <v>110240.659</v>
      </c>
      <c r="AS123" s="46">
        <v>110240.659</v>
      </c>
      <c r="AT123" s="46">
        <v>6</v>
      </c>
      <c r="AU123" s="46" t="b">
        <v>0</v>
      </c>
      <c r="AV123" s="46" t="b">
        <v>1</v>
      </c>
    </row>
    <row r="124" spans="2:48">
      <c r="B124" s="46" t="s">
        <v>665</v>
      </c>
      <c r="C124" s="46" t="s">
        <v>666</v>
      </c>
      <c r="D124" s="46">
        <v>20231001</v>
      </c>
      <c r="E124" s="46">
        <v>2023</v>
      </c>
      <c r="F124" s="46">
        <v>10</v>
      </c>
      <c r="G124" s="46" t="s">
        <v>724</v>
      </c>
      <c r="H124" s="46">
        <v>818</v>
      </c>
      <c r="I124" s="46" t="s">
        <v>668</v>
      </c>
      <c r="J124" s="46" t="s">
        <v>57</v>
      </c>
      <c r="K124" s="46" t="s">
        <v>666</v>
      </c>
      <c r="L124" s="46" t="s">
        <v>669</v>
      </c>
      <c r="M124" s="46">
        <v>699</v>
      </c>
      <c r="N124" s="46" t="s">
        <v>748</v>
      </c>
      <c r="O124" s="46" t="s">
        <v>0</v>
      </c>
      <c r="P124" s="46">
        <v>0</v>
      </c>
      <c r="Q124" s="46" t="s">
        <v>670</v>
      </c>
      <c r="R124" s="46" t="s">
        <v>23</v>
      </c>
      <c r="S124" s="46" t="s">
        <v>671</v>
      </c>
      <c r="T124" s="46" t="s">
        <v>672</v>
      </c>
      <c r="U124" s="46" t="b">
        <v>1</v>
      </c>
      <c r="V124" s="46" t="s">
        <v>1022</v>
      </c>
      <c r="W124" s="46" t="s">
        <v>1023</v>
      </c>
      <c r="X124" s="46">
        <v>6</v>
      </c>
      <c r="Y124" s="46" t="b">
        <v>1</v>
      </c>
      <c r="Z124" s="46" t="s">
        <v>675</v>
      </c>
      <c r="AA124" s="46" t="s">
        <v>676</v>
      </c>
      <c r="AB124" s="46" t="s">
        <v>677</v>
      </c>
      <c r="AC124" s="46">
        <v>0</v>
      </c>
      <c r="AD124" s="46" t="s">
        <v>678</v>
      </c>
      <c r="AE124" s="46">
        <v>5</v>
      </c>
      <c r="AF124" s="46" t="s">
        <v>1024</v>
      </c>
      <c r="AG124" s="46">
        <v>8814.241</v>
      </c>
      <c r="AH124" s="46" t="b">
        <v>1</v>
      </c>
      <c r="AI124" s="46">
        <v>-1</v>
      </c>
      <c r="AJ124" s="46" t="s">
        <v>680</v>
      </c>
      <c r="AK124" s="46">
        <v>0</v>
      </c>
      <c r="AL124" s="46" t="b">
        <v>0</v>
      </c>
      <c r="AM124" s="46">
        <v>153732.36300000001</v>
      </c>
      <c r="AN124" s="46" t="b">
        <v>1</v>
      </c>
      <c r="AO124" s="46">
        <v>0</v>
      </c>
      <c r="AP124" s="46" t="b">
        <v>0</v>
      </c>
      <c r="AQ124" s="46">
        <v>106620.16800000001</v>
      </c>
      <c r="AS124" s="46">
        <v>106620.16800000001</v>
      </c>
      <c r="AT124" s="46">
        <v>6</v>
      </c>
      <c r="AU124" s="46" t="b">
        <v>1</v>
      </c>
      <c r="AV124" s="46" t="b">
        <v>0</v>
      </c>
    </row>
    <row r="125" spans="2:48">
      <c r="B125" s="46" t="s">
        <v>665</v>
      </c>
      <c r="C125" s="46" t="s">
        <v>666</v>
      </c>
      <c r="D125" s="46">
        <v>20231001</v>
      </c>
      <c r="E125" s="46">
        <v>2023</v>
      </c>
      <c r="F125" s="46">
        <v>10</v>
      </c>
      <c r="G125" s="46" t="s">
        <v>724</v>
      </c>
      <c r="H125" s="46">
        <v>818</v>
      </c>
      <c r="I125" s="46" t="s">
        <v>668</v>
      </c>
      <c r="J125" s="46" t="s">
        <v>57</v>
      </c>
      <c r="K125" s="46" t="s">
        <v>666</v>
      </c>
      <c r="L125" s="46" t="s">
        <v>669</v>
      </c>
      <c r="M125" s="46">
        <v>757</v>
      </c>
      <c r="N125" s="46" t="s">
        <v>996</v>
      </c>
      <c r="O125" s="46" t="s">
        <v>41</v>
      </c>
      <c r="P125" s="46">
        <v>0</v>
      </c>
      <c r="Q125" s="46" t="s">
        <v>670</v>
      </c>
      <c r="R125" s="46" t="s">
        <v>23</v>
      </c>
      <c r="S125" s="46" t="s">
        <v>671</v>
      </c>
      <c r="T125" s="46" t="s">
        <v>672</v>
      </c>
      <c r="U125" s="46" t="b">
        <v>1</v>
      </c>
      <c r="V125" s="46" t="s">
        <v>1022</v>
      </c>
      <c r="W125" s="46" t="s">
        <v>1023</v>
      </c>
      <c r="X125" s="46">
        <v>6</v>
      </c>
      <c r="Y125" s="46" t="b">
        <v>1</v>
      </c>
      <c r="Z125" s="46" t="s">
        <v>675</v>
      </c>
      <c r="AA125" s="46" t="s">
        <v>676</v>
      </c>
      <c r="AB125" s="46" t="s">
        <v>677</v>
      </c>
      <c r="AC125" s="46">
        <v>0</v>
      </c>
      <c r="AD125" s="46" t="s">
        <v>678</v>
      </c>
      <c r="AE125" s="46">
        <v>5</v>
      </c>
      <c r="AF125" s="46" t="s">
        <v>1024</v>
      </c>
      <c r="AG125" s="46">
        <v>6.1959999999999997</v>
      </c>
      <c r="AH125" s="46" t="b">
        <v>1</v>
      </c>
      <c r="AI125" s="46">
        <v>-1</v>
      </c>
      <c r="AJ125" s="46" t="s">
        <v>680</v>
      </c>
      <c r="AK125" s="46">
        <v>0</v>
      </c>
      <c r="AL125" s="46" t="b">
        <v>0</v>
      </c>
      <c r="AM125" s="46">
        <v>108.075</v>
      </c>
      <c r="AN125" s="46" t="b">
        <v>1</v>
      </c>
      <c r="AO125" s="46">
        <v>0</v>
      </c>
      <c r="AP125" s="46" t="b">
        <v>0</v>
      </c>
      <c r="AQ125" s="46">
        <v>74.954999999999998</v>
      </c>
      <c r="AS125" s="46">
        <v>74.954999999999998</v>
      </c>
      <c r="AT125" s="46">
        <v>6</v>
      </c>
      <c r="AU125" s="46" t="b">
        <v>1</v>
      </c>
      <c r="AV125" s="46" t="b">
        <v>0</v>
      </c>
    </row>
    <row r="126" spans="2:48">
      <c r="B126" s="46" t="s">
        <v>665</v>
      </c>
      <c r="C126" s="46" t="s">
        <v>666</v>
      </c>
      <c r="D126" s="46">
        <v>20231001</v>
      </c>
      <c r="E126" s="46">
        <v>2023</v>
      </c>
      <c r="F126" s="46">
        <v>10</v>
      </c>
      <c r="G126" s="46" t="s">
        <v>724</v>
      </c>
      <c r="H126" s="46">
        <v>818</v>
      </c>
      <c r="I126" s="46" t="s">
        <v>668</v>
      </c>
      <c r="J126" s="46" t="s">
        <v>57</v>
      </c>
      <c r="K126" s="46" t="s">
        <v>666</v>
      </c>
      <c r="L126" s="46" t="s">
        <v>669</v>
      </c>
      <c r="M126" s="46">
        <v>724</v>
      </c>
      <c r="N126" s="46" t="s">
        <v>684</v>
      </c>
      <c r="O126" s="46" t="s">
        <v>51</v>
      </c>
      <c r="P126" s="46">
        <v>0</v>
      </c>
      <c r="Q126" s="46" t="s">
        <v>670</v>
      </c>
      <c r="R126" s="46" t="s">
        <v>23</v>
      </c>
      <c r="S126" s="46" t="s">
        <v>671</v>
      </c>
      <c r="T126" s="46" t="s">
        <v>672</v>
      </c>
      <c r="U126" s="46" t="b">
        <v>1</v>
      </c>
      <c r="V126" s="46" t="s">
        <v>1022</v>
      </c>
      <c r="W126" s="46" t="s">
        <v>1023</v>
      </c>
      <c r="X126" s="46">
        <v>6</v>
      </c>
      <c r="Y126" s="46" t="b">
        <v>1</v>
      </c>
      <c r="Z126" s="46" t="s">
        <v>675</v>
      </c>
      <c r="AA126" s="46" t="s">
        <v>676</v>
      </c>
      <c r="AB126" s="46" t="s">
        <v>677</v>
      </c>
      <c r="AC126" s="46">
        <v>0</v>
      </c>
      <c r="AD126" s="46" t="s">
        <v>678</v>
      </c>
      <c r="AE126" s="46">
        <v>5</v>
      </c>
      <c r="AF126" s="46" t="s">
        <v>1024</v>
      </c>
      <c r="AG126" s="46">
        <v>27.643999999999998</v>
      </c>
      <c r="AH126" s="46" t="b">
        <v>1</v>
      </c>
      <c r="AI126" s="46">
        <v>-1</v>
      </c>
      <c r="AJ126" s="46" t="s">
        <v>680</v>
      </c>
      <c r="AK126" s="46">
        <v>0</v>
      </c>
      <c r="AL126" s="46" t="b">
        <v>0</v>
      </c>
      <c r="AM126" s="46">
        <v>482.14699999999999</v>
      </c>
      <c r="AN126" s="46" t="b">
        <v>1</v>
      </c>
      <c r="AO126" s="46">
        <v>0</v>
      </c>
      <c r="AP126" s="46" t="b">
        <v>0</v>
      </c>
      <c r="AQ126" s="46">
        <v>334.39</v>
      </c>
      <c r="AS126" s="46">
        <v>334.39</v>
      </c>
      <c r="AT126" s="46">
        <v>6</v>
      </c>
      <c r="AU126" s="46" t="b">
        <v>1</v>
      </c>
      <c r="AV126" s="46" t="b">
        <v>0</v>
      </c>
    </row>
    <row r="127" spans="2:48">
      <c r="B127" s="46" t="s">
        <v>665</v>
      </c>
      <c r="C127" s="46" t="s">
        <v>666</v>
      </c>
      <c r="D127" s="46">
        <v>20231001</v>
      </c>
      <c r="E127" s="46">
        <v>2023</v>
      </c>
      <c r="F127" s="46">
        <v>10</v>
      </c>
      <c r="G127" s="46" t="s">
        <v>724</v>
      </c>
      <c r="H127" s="46">
        <v>818</v>
      </c>
      <c r="I127" s="46" t="s">
        <v>668</v>
      </c>
      <c r="J127" s="46" t="s">
        <v>57</v>
      </c>
      <c r="K127" s="46" t="s">
        <v>666</v>
      </c>
      <c r="L127" s="46" t="s">
        <v>669</v>
      </c>
      <c r="M127" s="46">
        <v>792</v>
      </c>
      <c r="N127" s="46" t="s">
        <v>691</v>
      </c>
      <c r="O127" s="46" t="s">
        <v>63</v>
      </c>
      <c r="P127" s="46">
        <v>0</v>
      </c>
      <c r="Q127" s="46" t="s">
        <v>670</v>
      </c>
      <c r="R127" s="46" t="s">
        <v>23</v>
      </c>
      <c r="S127" s="46" t="s">
        <v>671</v>
      </c>
      <c r="T127" s="46" t="s">
        <v>672</v>
      </c>
      <c r="U127" s="46" t="b">
        <v>1</v>
      </c>
      <c r="V127" s="46" t="s">
        <v>1022</v>
      </c>
      <c r="W127" s="46" t="s">
        <v>1023</v>
      </c>
      <c r="X127" s="46">
        <v>6</v>
      </c>
      <c r="Y127" s="46" t="b">
        <v>1</v>
      </c>
      <c r="Z127" s="46" t="s">
        <v>675</v>
      </c>
      <c r="AA127" s="46" t="s">
        <v>676</v>
      </c>
      <c r="AB127" s="46" t="s">
        <v>677</v>
      </c>
      <c r="AC127" s="46">
        <v>0</v>
      </c>
      <c r="AD127" s="46" t="s">
        <v>678</v>
      </c>
      <c r="AE127" s="46">
        <v>5</v>
      </c>
      <c r="AF127" s="46" t="s">
        <v>1024</v>
      </c>
      <c r="AG127" s="46">
        <v>18.849</v>
      </c>
      <c r="AH127" s="46" t="b">
        <v>1</v>
      </c>
      <c r="AI127" s="46">
        <v>-1</v>
      </c>
      <c r="AJ127" s="46" t="s">
        <v>680</v>
      </c>
      <c r="AK127" s="46">
        <v>0</v>
      </c>
      <c r="AL127" s="46" t="b">
        <v>0</v>
      </c>
      <c r="AM127" s="46">
        <v>328.76</v>
      </c>
      <c r="AN127" s="46" t="b">
        <v>1</v>
      </c>
      <c r="AO127" s="46">
        <v>0</v>
      </c>
      <c r="AP127" s="46" t="b">
        <v>0</v>
      </c>
      <c r="AQ127" s="46">
        <v>228.01</v>
      </c>
      <c r="AS127" s="46">
        <v>228.01</v>
      </c>
      <c r="AT127" s="46">
        <v>6</v>
      </c>
      <c r="AU127" s="46" t="b">
        <v>1</v>
      </c>
      <c r="AV127" s="46" t="b">
        <v>0</v>
      </c>
    </row>
    <row r="128" spans="2:48">
      <c r="B128" s="46" t="s">
        <v>665</v>
      </c>
      <c r="C128" s="46" t="s">
        <v>666</v>
      </c>
      <c r="D128" s="46">
        <v>20231001</v>
      </c>
      <c r="E128" s="46">
        <v>2023</v>
      </c>
      <c r="F128" s="46">
        <v>10</v>
      </c>
      <c r="G128" s="46" t="s">
        <v>724</v>
      </c>
      <c r="H128" s="46">
        <v>818</v>
      </c>
      <c r="I128" s="46" t="s">
        <v>668</v>
      </c>
      <c r="J128" s="46" t="s">
        <v>57</v>
      </c>
      <c r="K128" s="46" t="s">
        <v>666</v>
      </c>
      <c r="L128" s="46" t="s">
        <v>669</v>
      </c>
      <c r="M128" s="46">
        <v>376</v>
      </c>
      <c r="N128" s="46" t="s">
        <v>991</v>
      </c>
      <c r="O128" s="46" t="s">
        <v>100</v>
      </c>
      <c r="P128" s="46">
        <v>0</v>
      </c>
      <c r="Q128" s="46" t="s">
        <v>670</v>
      </c>
      <c r="R128" s="46" t="s">
        <v>23</v>
      </c>
      <c r="S128" s="46" t="s">
        <v>671</v>
      </c>
      <c r="T128" s="46" t="s">
        <v>672</v>
      </c>
      <c r="U128" s="46" t="b">
        <v>1</v>
      </c>
      <c r="V128" s="46" t="s">
        <v>1022</v>
      </c>
      <c r="W128" s="46" t="s">
        <v>1023</v>
      </c>
      <c r="X128" s="46">
        <v>6</v>
      </c>
      <c r="Y128" s="46" t="b">
        <v>1</v>
      </c>
      <c r="Z128" s="46" t="s">
        <v>675</v>
      </c>
      <c r="AA128" s="46" t="s">
        <v>676</v>
      </c>
      <c r="AB128" s="46" t="s">
        <v>677</v>
      </c>
      <c r="AC128" s="46">
        <v>0</v>
      </c>
      <c r="AD128" s="46" t="s">
        <v>678</v>
      </c>
      <c r="AE128" s="46">
        <v>5</v>
      </c>
      <c r="AF128" s="46" t="s">
        <v>1024</v>
      </c>
      <c r="AG128" s="46">
        <v>18.765999999999998</v>
      </c>
      <c r="AH128" s="46" t="b">
        <v>1</v>
      </c>
      <c r="AI128" s="46">
        <v>-1</v>
      </c>
      <c r="AJ128" s="46" t="s">
        <v>680</v>
      </c>
      <c r="AK128" s="46">
        <v>0</v>
      </c>
      <c r="AL128" s="46" t="b">
        <v>0</v>
      </c>
      <c r="AM128" s="46">
        <v>327.30399999999997</v>
      </c>
      <c r="AN128" s="46" t="b">
        <v>1</v>
      </c>
      <c r="AO128" s="46">
        <v>0</v>
      </c>
      <c r="AP128" s="46" t="b">
        <v>0</v>
      </c>
      <c r="AQ128" s="46">
        <v>227</v>
      </c>
      <c r="AS128" s="46">
        <v>227</v>
      </c>
      <c r="AT128" s="46">
        <v>6</v>
      </c>
      <c r="AU128" s="46" t="b">
        <v>1</v>
      </c>
      <c r="AV128" s="46" t="b">
        <v>0</v>
      </c>
    </row>
    <row r="129" spans="2:48">
      <c r="B129" s="46" t="s">
        <v>665</v>
      </c>
      <c r="C129" s="46" t="s">
        <v>666</v>
      </c>
      <c r="D129" s="46">
        <v>20231001</v>
      </c>
      <c r="E129" s="46">
        <v>2023</v>
      </c>
      <c r="F129" s="46">
        <v>10</v>
      </c>
      <c r="G129" s="46" t="s">
        <v>724</v>
      </c>
      <c r="H129" s="46">
        <v>818</v>
      </c>
      <c r="I129" s="46" t="s">
        <v>668</v>
      </c>
      <c r="J129" s="46" t="s">
        <v>57</v>
      </c>
      <c r="K129" s="46" t="s">
        <v>666</v>
      </c>
      <c r="L129" s="46" t="s">
        <v>669</v>
      </c>
      <c r="M129" s="46">
        <v>729</v>
      </c>
      <c r="N129" s="46" t="s">
        <v>707</v>
      </c>
      <c r="O129" s="46" t="s">
        <v>230</v>
      </c>
      <c r="P129" s="46">
        <v>0</v>
      </c>
      <c r="Q129" s="46" t="s">
        <v>670</v>
      </c>
      <c r="R129" s="46" t="s">
        <v>23</v>
      </c>
      <c r="S129" s="46" t="s">
        <v>671</v>
      </c>
      <c r="T129" s="46" t="s">
        <v>672</v>
      </c>
      <c r="U129" s="46" t="b">
        <v>1</v>
      </c>
      <c r="V129" s="46" t="s">
        <v>1022</v>
      </c>
      <c r="W129" s="46" t="s">
        <v>1023</v>
      </c>
      <c r="X129" s="46">
        <v>6</v>
      </c>
      <c r="Y129" s="46" t="b">
        <v>1</v>
      </c>
      <c r="Z129" s="46" t="s">
        <v>675</v>
      </c>
      <c r="AA129" s="46" t="s">
        <v>676</v>
      </c>
      <c r="AB129" s="46" t="s">
        <v>677</v>
      </c>
      <c r="AC129" s="46">
        <v>0</v>
      </c>
      <c r="AD129" s="46" t="s">
        <v>678</v>
      </c>
      <c r="AE129" s="46">
        <v>5</v>
      </c>
      <c r="AF129" s="46" t="s">
        <v>1024</v>
      </c>
      <c r="AG129" s="46">
        <v>6.6619999999999999</v>
      </c>
      <c r="AH129" s="46" t="b">
        <v>1</v>
      </c>
      <c r="AI129" s="46">
        <v>-1</v>
      </c>
      <c r="AJ129" s="46" t="s">
        <v>680</v>
      </c>
      <c r="AK129" s="46">
        <v>0</v>
      </c>
      <c r="AL129" s="46" t="b">
        <v>0</v>
      </c>
      <c r="AM129" s="46">
        <v>116.20099999999999</v>
      </c>
      <c r="AN129" s="46" t="b">
        <v>1</v>
      </c>
      <c r="AO129" s="46">
        <v>0</v>
      </c>
      <c r="AP129" s="46" t="b">
        <v>0</v>
      </c>
      <c r="AQ129" s="46">
        <v>80.59</v>
      </c>
      <c r="AS129" s="46">
        <v>80.59</v>
      </c>
      <c r="AT129" s="46">
        <v>6</v>
      </c>
      <c r="AU129" s="46" t="b">
        <v>1</v>
      </c>
      <c r="AV129" s="46" t="b">
        <v>0</v>
      </c>
    </row>
    <row r="130" spans="2:48">
      <c r="B130" s="46" t="s">
        <v>665</v>
      </c>
      <c r="C130" s="46" t="s">
        <v>666</v>
      </c>
      <c r="D130" s="46">
        <v>20231001</v>
      </c>
      <c r="E130" s="46">
        <v>2023</v>
      </c>
      <c r="F130" s="46">
        <v>10</v>
      </c>
      <c r="G130" s="46" t="s">
        <v>724</v>
      </c>
      <c r="H130" s="46">
        <v>818</v>
      </c>
      <c r="I130" s="46" t="s">
        <v>668</v>
      </c>
      <c r="J130" s="46" t="s">
        <v>57</v>
      </c>
      <c r="K130" s="46" t="s">
        <v>666</v>
      </c>
      <c r="L130" s="46" t="s">
        <v>669</v>
      </c>
      <c r="M130" s="46">
        <v>276</v>
      </c>
      <c r="N130" s="46" t="s">
        <v>681</v>
      </c>
      <c r="O130" s="46" t="s">
        <v>30</v>
      </c>
      <c r="P130" s="46">
        <v>0</v>
      </c>
      <c r="Q130" s="46" t="s">
        <v>670</v>
      </c>
      <c r="R130" s="46" t="s">
        <v>23</v>
      </c>
      <c r="S130" s="46" t="s">
        <v>671</v>
      </c>
      <c r="T130" s="46" t="s">
        <v>672</v>
      </c>
      <c r="U130" s="46" t="b">
        <v>1</v>
      </c>
      <c r="V130" s="46" t="s">
        <v>1022</v>
      </c>
      <c r="W130" s="46" t="s">
        <v>1023</v>
      </c>
      <c r="X130" s="46">
        <v>6</v>
      </c>
      <c r="Y130" s="46" t="b">
        <v>1</v>
      </c>
      <c r="Z130" s="46" t="s">
        <v>675</v>
      </c>
      <c r="AA130" s="46" t="s">
        <v>676</v>
      </c>
      <c r="AB130" s="46" t="s">
        <v>677</v>
      </c>
      <c r="AC130" s="46">
        <v>0</v>
      </c>
      <c r="AD130" s="46" t="s">
        <v>678</v>
      </c>
      <c r="AE130" s="46">
        <v>5</v>
      </c>
      <c r="AF130" s="46" t="s">
        <v>1024</v>
      </c>
      <c r="AG130" s="46">
        <v>155.34899999999999</v>
      </c>
      <c r="AH130" s="46" t="b">
        <v>1</v>
      </c>
      <c r="AI130" s="46">
        <v>-1</v>
      </c>
      <c r="AJ130" s="46" t="s">
        <v>680</v>
      </c>
      <c r="AK130" s="46">
        <v>0</v>
      </c>
      <c r="AL130" s="46" t="b">
        <v>0</v>
      </c>
      <c r="AM130" s="46">
        <v>2709.5050000000001</v>
      </c>
      <c r="AN130" s="46" t="b">
        <v>1</v>
      </c>
      <c r="AO130" s="46">
        <v>0</v>
      </c>
      <c r="AP130" s="46" t="b">
        <v>0</v>
      </c>
      <c r="AQ130" s="46">
        <v>1879.1610000000001</v>
      </c>
      <c r="AS130" s="46">
        <v>1879.1610000000001</v>
      </c>
      <c r="AT130" s="46">
        <v>6</v>
      </c>
      <c r="AU130" s="46" t="b">
        <v>1</v>
      </c>
      <c r="AV130" s="46" t="b">
        <v>0</v>
      </c>
    </row>
    <row r="131" spans="2:48">
      <c r="B131" s="46" t="s">
        <v>665</v>
      </c>
      <c r="C131" s="46" t="s">
        <v>666</v>
      </c>
      <c r="D131" s="46">
        <v>20231001</v>
      </c>
      <c r="E131" s="46">
        <v>2023</v>
      </c>
      <c r="F131" s="46">
        <v>10</v>
      </c>
      <c r="G131" s="46" t="s">
        <v>724</v>
      </c>
      <c r="H131" s="46">
        <v>818</v>
      </c>
      <c r="I131" s="46" t="s">
        <v>668</v>
      </c>
      <c r="J131" s="46" t="s">
        <v>57</v>
      </c>
      <c r="K131" s="46" t="s">
        <v>666</v>
      </c>
      <c r="L131" s="46" t="s">
        <v>669</v>
      </c>
      <c r="M131" s="46">
        <v>203</v>
      </c>
      <c r="N131" s="46" t="s">
        <v>752</v>
      </c>
      <c r="O131" s="46" t="s">
        <v>753</v>
      </c>
      <c r="P131" s="46">
        <v>0</v>
      </c>
      <c r="Q131" s="46" t="s">
        <v>670</v>
      </c>
      <c r="R131" s="46" t="s">
        <v>23</v>
      </c>
      <c r="S131" s="46" t="s">
        <v>671</v>
      </c>
      <c r="T131" s="46" t="s">
        <v>672</v>
      </c>
      <c r="U131" s="46" t="b">
        <v>1</v>
      </c>
      <c r="V131" s="46" t="s">
        <v>1022</v>
      </c>
      <c r="W131" s="46" t="s">
        <v>1023</v>
      </c>
      <c r="X131" s="46">
        <v>6</v>
      </c>
      <c r="Y131" s="46" t="b">
        <v>1</v>
      </c>
      <c r="Z131" s="46" t="s">
        <v>675</v>
      </c>
      <c r="AA131" s="46" t="s">
        <v>676</v>
      </c>
      <c r="AB131" s="46" t="s">
        <v>677</v>
      </c>
      <c r="AC131" s="46">
        <v>0</v>
      </c>
      <c r="AD131" s="46" t="s">
        <v>678</v>
      </c>
      <c r="AE131" s="46">
        <v>5</v>
      </c>
      <c r="AF131" s="46" t="s">
        <v>1024</v>
      </c>
      <c r="AG131" s="46">
        <v>1.754</v>
      </c>
      <c r="AH131" s="46" t="b">
        <v>1</v>
      </c>
      <c r="AI131" s="46">
        <v>-1</v>
      </c>
      <c r="AJ131" s="46" t="s">
        <v>680</v>
      </c>
      <c r="AK131" s="46">
        <v>0</v>
      </c>
      <c r="AL131" s="46" t="b">
        <v>0</v>
      </c>
      <c r="AM131" s="46">
        <v>30.593</v>
      </c>
      <c r="AN131" s="46" t="b">
        <v>1</v>
      </c>
      <c r="AO131" s="46">
        <v>0</v>
      </c>
      <c r="AP131" s="46" t="b">
        <v>0</v>
      </c>
      <c r="AQ131" s="46">
        <v>21.218</v>
      </c>
      <c r="AS131" s="46">
        <v>21.218</v>
      </c>
      <c r="AT131" s="46">
        <v>6</v>
      </c>
      <c r="AU131" s="46" t="b">
        <v>1</v>
      </c>
      <c r="AV131" s="46" t="b">
        <v>0</v>
      </c>
    </row>
    <row r="132" spans="2:48">
      <c r="B132" s="46" t="s">
        <v>665</v>
      </c>
      <c r="C132" s="46" t="s">
        <v>666</v>
      </c>
      <c r="D132" s="46">
        <v>20231001</v>
      </c>
      <c r="E132" s="46">
        <v>2023</v>
      </c>
      <c r="F132" s="46">
        <v>10</v>
      </c>
      <c r="G132" s="46" t="s">
        <v>724</v>
      </c>
      <c r="H132" s="46">
        <v>818</v>
      </c>
      <c r="I132" s="46" t="s">
        <v>668</v>
      </c>
      <c r="J132" s="46" t="s">
        <v>57</v>
      </c>
      <c r="K132" s="46" t="s">
        <v>666</v>
      </c>
      <c r="L132" s="46" t="s">
        <v>669</v>
      </c>
      <c r="M132" s="46">
        <v>380</v>
      </c>
      <c r="N132" s="46" t="s">
        <v>689</v>
      </c>
      <c r="O132" s="46" t="s">
        <v>71</v>
      </c>
      <c r="P132" s="46">
        <v>0</v>
      </c>
      <c r="Q132" s="46" t="s">
        <v>670</v>
      </c>
      <c r="R132" s="46" t="s">
        <v>23</v>
      </c>
      <c r="S132" s="46" t="s">
        <v>671</v>
      </c>
      <c r="T132" s="46" t="s">
        <v>672</v>
      </c>
      <c r="U132" s="46" t="b">
        <v>1</v>
      </c>
      <c r="V132" s="46" t="s">
        <v>1022</v>
      </c>
      <c r="W132" s="46" t="s">
        <v>1023</v>
      </c>
      <c r="X132" s="46">
        <v>6</v>
      </c>
      <c r="Y132" s="46" t="b">
        <v>1</v>
      </c>
      <c r="Z132" s="46" t="s">
        <v>675</v>
      </c>
      <c r="AA132" s="46" t="s">
        <v>676</v>
      </c>
      <c r="AB132" s="46" t="s">
        <v>677</v>
      </c>
      <c r="AC132" s="46">
        <v>0</v>
      </c>
      <c r="AD132" s="46" t="s">
        <v>678</v>
      </c>
      <c r="AE132" s="46">
        <v>5</v>
      </c>
      <c r="AF132" s="46" t="s">
        <v>1024</v>
      </c>
      <c r="AG132" s="46">
        <v>64.082999999999998</v>
      </c>
      <c r="AH132" s="46" t="b">
        <v>1</v>
      </c>
      <c r="AI132" s="46">
        <v>-1</v>
      </c>
      <c r="AJ132" s="46" t="s">
        <v>680</v>
      </c>
      <c r="AK132" s="46">
        <v>0</v>
      </c>
      <c r="AL132" s="46" t="b">
        <v>0</v>
      </c>
      <c r="AM132" s="46">
        <v>1117.6890000000001</v>
      </c>
      <c r="AN132" s="46" t="b">
        <v>1</v>
      </c>
      <c r="AO132" s="46">
        <v>0</v>
      </c>
      <c r="AP132" s="46" t="b">
        <v>0</v>
      </c>
      <c r="AQ132" s="46">
        <v>775.16700000000003</v>
      </c>
      <c r="AS132" s="46">
        <v>775.16700000000003</v>
      </c>
      <c r="AT132" s="46">
        <v>6</v>
      </c>
      <c r="AU132" s="46" t="b">
        <v>1</v>
      </c>
      <c r="AV132" s="46" t="b">
        <v>0</v>
      </c>
    </row>
    <row r="133" spans="2:48">
      <c r="B133" s="46" t="s">
        <v>665</v>
      </c>
      <c r="C133" s="46" t="s">
        <v>666</v>
      </c>
      <c r="D133" s="46">
        <v>20231101</v>
      </c>
      <c r="E133" s="46">
        <v>2023</v>
      </c>
      <c r="F133" s="46">
        <v>11</v>
      </c>
      <c r="G133" s="46" t="s">
        <v>725</v>
      </c>
      <c r="H133" s="46">
        <v>818</v>
      </c>
      <c r="I133" s="46" t="s">
        <v>668</v>
      </c>
      <c r="J133" s="46" t="s">
        <v>57</v>
      </c>
      <c r="K133" s="46" t="s">
        <v>666</v>
      </c>
      <c r="L133" s="46" t="s">
        <v>669</v>
      </c>
      <c r="M133" s="46">
        <v>0</v>
      </c>
      <c r="N133" s="46" t="s">
        <v>670</v>
      </c>
      <c r="O133" s="46" t="s">
        <v>23</v>
      </c>
      <c r="P133" s="46">
        <v>0</v>
      </c>
      <c r="Q133" s="46" t="s">
        <v>670</v>
      </c>
      <c r="R133" s="46" t="s">
        <v>23</v>
      </c>
      <c r="S133" s="46" t="s">
        <v>671</v>
      </c>
      <c r="T133" s="46" t="s">
        <v>672</v>
      </c>
      <c r="U133" s="46" t="b">
        <v>1</v>
      </c>
      <c r="V133" s="46" t="s">
        <v>1022</v>
      </c>
      <c r="W133" s="46" t="s">
        <v>1023</v>
      </c>
      <c r="X133" s="46">
        <v>6</v>
      </c>
      <c r="Y133" s="46" t="b">
        <v>1</v>
      </c>
      <c r="Z133" s="46" t="s">
        <v>675</v>
      </c>
      <c r="AA133" s="46" t="s">
        <v>676</v>
      </c>
      <c r="AB133" s="46" t="s">
        <v>677</v>
      </c>
      <c r="AC133" s="46">
        <v>0</v>
      </c>
      <c r="AD133" s="46" t="s">
        <v>678</v>
      </c>
      <c r="AE133" s="46">
        <v>5</v>
      </c>
      <c r="AF133" s="46" t="s">
        <v>1024</v>
      </c>
      <c r="AG133" s="46">
        <v>729.86</v>
      </c>
      <c r="AH133" s="46" t="b">
        <v>1</v>
      </c>
      <c r="AI133" s="46">
        <v>-1</v>
      </c>
      <c r="AJ133" s="46" t="s">
        <v>680</v>
      </c>
      <c r="AK133" s="46">
        <v>0</v>
      </c>
      <c r="AL133" s="46" t="b">
        <v>0</v>
      </c>
      <c r="AM133" s="46">
        <v>12729.758</v>
      </c>
      <c r="AN133" s="46" t="b">
        <v>1</v>
      </c>
      <c r="AO133" s="46">
        <v>0</v>
      </c>
      <c r="AP133" s="46" t="b">
        <v>0</v>
      </c>
      <c r="AQ133" s="46">
        <v>8828.6479999999992</v>
      </c>
      <c r="AS133" s="46">
        <v>8828.6479999999992</v>
      </c>
      <c r="AT133" s="46">
        <v>6</v>
      </c>
      <c r="AU133" s="46" t="b">
        <v>0</v>
      </c>
      <c r="AV133" s="46" t="b">
        <v>1</v>
      </c>
    </row>
    <row r="134" spans="2:48">
      <c r="B134" s="46" t="s">
        <v>665</v>
      </c>
      <c r="C134" s="46" t="s">
        <v>666</v>
      </c>
      <c r="D134" s="46">
        <v>20231101</v>
      </c>
      <c r="E134" s="46">
        <v>2023</v>
      </c>
      <c r="F134" s="46">
        <v>11</v>
      </c>
      <c r="G134" s="46" t="s">
        <v>725</v>
      </c>
      <c r="H134" s="46">
        <v>818</v>
      </c>
      <c r="I134" s="46" t="s">
        <v>668</v>
      </c>
      <c r="J134" s="46" t="s">
        <v>57</v>
      </c>
      <c r="K134" s="46" t="s">
        <v>666</v>
      </c>
      <c r="L134" s="46" t="s">
        <v>669</v>
      </c>
      <c r="M134" s="46">
        <v>710</v>
      </c>
      <c r="N134" s="46" t="s">
        <v>995</v>
      </c>
      <c r="O134" s="46" t="s">
        <v>40</v>
      </c>
      <c r="P134" s="46">
        <v>0</v>
      </c>
      <c r="Q134" s="46" t="s">
        <v>670</v>
      </c>
      <c r="R134" s="46" t="s">
        <v>23</v>
      </c>
      <c r="S134" s="46" t="s">
        <v>671</v>
      </c>
      <c r="T134" s="46" t="s">
        <v>672</v>
      </c>
      <c r="U134" s="46" t="b">
        <v>1</v>
      </c>
      <c r="V134" s="46" t="s">
        <v>1022</v>
      </c>
      <c r="W134" s="46" t="s">
        <v>1023</v>
      </c>
      <c r="X134" s="46">
        <v>6</v>
      </c>
      <c r="Y134" s="46" t="b">
        <v>1</v>
      </c>
      <c r="Z134" s="46" t="s">
        <v>675</v>
      </c>
      <c r="AA134" s="46" t="s">
        <v>676</v>
      </c>
      <c r="AB134" s="46" t="s">
        <v>677</v>
      </c>
      <c r="AC134" s="46">
        <v>0</v>
      </c>
      <c r="AD134" s="46" t="s">
        <v>678</v>
      </c>
      <c r="AE134" s="46">
        <v>5</v>
      </c>
      <c r="AF134" s="46" t="s">
        <v>1024</v>
      </c>
      <c r="AG134" s="46">
        <v>36.034999999999997</v>
      </c>
      <c r="AH134" s="46" t="b">
        <v>1</v>
      </c>
      <c r="AI134" s="46">
        <v>-1</v>
      </c>
      <c r="AJ134" s="46" t="s">
        <v>680</v>
      </c>
      <c r="AK134" s="46">
        <v>0</v>
      </c>
      <c r="AL134" s="46" t="b">
        <v>0</v>
      </c>
      <c r="AM134" s="46">
        <v>628.49199999999996</v>
      </c>
      <c r="AN134" s="46" t="b">
        <v>1</v>
      </c>
      <c r="AO134" s="46">
        <v>0</v>
      </c>
      <c r="AP134" s="46" t="b">
        <v>0</v>
      </c>
      <c r="AQ134" s="46">
        <v>435.887</v>
      </c>
      <c r="AS134" s="46">
        <v>435.887</v>
      </c>
      <c r="AT134" s="46">
        <v>6</v>
      </c>
      <c r="AU134" s="46" t="b">
        <v>1</v>
      </c>
      <c r="AV134" s="46" t="b">
        <v>0</v>
      </c>
    </row>
    <row r="135" spans="2:48">
      <c r="B135" s="46" t="s">
        <v>665</v>
      </c>
      <c r="C135" s="46" t="s">
        <v>666</v>
      </c>
      <c r="D135" s="46">
        <v>20231101</v>
      </c>
      <c r="E135" s="46">
        <v>2023</v>
      </c>
      <c r="F135" s="46">
        <v>11</v>
      </c>
      <c r="G135" s="46" t="s">
        <v>725</v>
      </c>
      <c r="H135" s="46">
        <v>818</v>
      </c>
      <c r="I135" s="46" t="s">
        <v>668</v>
      </c>
      <c r="J135" s="46" t="s">
        <v>57</v>
      </c>
      <c r="K135" s="46" t="s">
        <v>666</v>
      </c>
      <c r="L135" s="46" t="s">
        <v>669</v>
      </c>
      <c r="M135" s="46">
        <v>842</v>
      </c>
      <c r="N135" s="46" t="s">
        <v>713</v>
      </c>
      <c r="O135" s="46" t="s">
        <v>713</v>
      </c>
      <c r="P135" s="46">
        <v>0</v>
      </c>
      <c r="Q135" s="46" t="s">
        <v>670</v>
      </c>
      <c r="R135" s="46" t="s">
        <v>23</v>
      </c>
      <c r="S135" s="46" t="s">
        <v>671</v>
      </c>
      <c r="T135" s="46" t="s">
        <v>672</v>
      </c>
      <c r="U135" s="46" t="b">
        <v>1</v>
      </c>
      <c r="V135" s="46" t="s">
        <v>1022</v>
      </c>
      <c r="W135" s="46" t="s">
        <v>1023</v>
      </c>
      <c r="X135" s="46">
        <v>6</v>
      </c>
      <c r="Y135" s="46" t="b">
        <v>1</v>
      </c>
      <c r="Z135" s="46" t="s">
        <v>675</v>
      </c>
      <c r="AA135" s="46" t="s">
        <v>676</v>
      </c>
      <c r="AB135" s="46" t="s">
        <v>677</v>
      </c>
      <c r="AC135" s="46">
        <v>0</v>
      </c>
      <c r="AD135" s="46" t="s">
        <v>678</v>
      </c>
      <c r="AE135" s="46">
        <v>5</v>
      </c>
      <c r="AF135" s="46" t="s">
        <v>1024</v>
      </c>
      <c r="AG135" s="46">
        <v>31.497</v>
      </c>
      <c r="AH135" s="46" t="b">
        <v>1</v>
      </c>
      <c r="AI135" s="46">
        <v>-1</v>
      </c>
      <c r="AJ135" s="46" t="s">
        <v>680</v>
      </c>
      <c r="AK135" s="46">
        <v>0</v>
      </c>
      <c r="AL135" s="46" t="b">
        <v>0</v>
      </c>
      <c r="AM135" s="46">
        <v>549.35199999999998</v>
      </c>
      <c r="AN135" s="46" t="b">
        <v>1</v>
      </c>
      <c r="AO135" s="46">
        <v>0</v>
      </c>
      <c r="AP135" s="46" t="b">
        <v>0</v>
      </c>
      <c r="AQ135" s="46">
        <v>381</v>
      </c>
      <c r="AS135" s="46">
        <v>381</v>
      </c>
      <c r="AT135" s="46">
        <v>6</v>
      </c>
      <c r="AU135" s="46" t="b">
        <v>1</v>
      </c>
      <c r="AV135" s="46" t="b">
        <v>0</v>
      </c>
    </row>
    <row r="136" spans="2:48">
      <c r="B136" s="46" t="s">
        <v>665</v>
      </c>
      <c r="C136" s="46" t="s">
        <v>666</v>
      </c>
      <c r="D136" s="46">
        <v>20231101</v>
      </c>
      <c r="E136" s="46">
        <v>2023</v>
      </c>
      <c r="F136" s="46">
        <v>11</v>
      </c>
      <c r="G136" s="46" t="s">
        <v>725</v>
      </c>
      <c r="H136" s="46">
        <v>818</v>
      </c>
      <c r="I136" s="46" t="s">
        <v>668</v>
      </c>
      <c r="J136" s="46" t="s">
        <v>57</v>
      </c>
      <c r="K136" s="46" t="s">
        <v>666</v>
      </c>
      <c r="L136" s="46" t="s">
        <v>669</v>
      </c>
      <c r="M136" s="46">
        <v>156</v>
      </c>
      <c r="N136" s="46" t="s">
        <v>711</v>
      </c>
      <c r="O136" s="46" t="s">
        <v>29</v>
      </c>
      <c r="P136" s="46">
        <v>0</v>
      </c>
      <c r="Q136" s="46" t="s">
        <v>670</v>
      </c>
      <c r="R136" s="46" t="s">
        <v>23</v>
      </c>
      <c r="S136" s="46" t="s">
        <v>671</v>
      </c>
      <c r="T136" s="46" t="s">
        <v>672</v>
      </c>
      <c r="U136" s="46" t="b">
        <v>1</v>
      </c>
      <c r="V136" s="46" t="s">
        <v>1022</v>
      </c>
      <c r="W136" s="46" t="s">
        <v>1023</v>
      </c>
      <c r="X136" s="46">
        <v>6</v>
      </c>
      <c r="Y136" s="46" t="b">
        <v>1</v>
      </c>
      <c r="Z136" s="46" t="s">
        <v>675</v>
      </c>
      <c r="AA136" s="46" t="s">
        <v>676</v>
      </c>
      <c r="AB136" s="46" t="s">
        <v>677</v>
      </c>
      <c r="AC136" s="46">
        <v>0</v>
      </c>
      <c r="AD136" s="46" t="s">
        <v>678</v>
      </c>
      <c r="AE136" s="46">
        <v>5</v>
      </c>
      <c r="AF136" s="46" t="s">
        <v>1024</v>
      </c>
      <c r="AG136" s="46">
        <v>207.86500000000001</v>
      </c>
      <c r="AH136" s="46" t="b">
        <v>1</v>
      </c>
      <c r="AI136" s="46">
        <v>-1</v>
      </c>
      <c r="AJ136" s="46" t="s">
        <v>680</v>
      </c>
      <c r="AK136" s="46">
        <v>0</v>
      </c>
      <c r="AL136" s="46" t="b">
        <v>0</v>
      </c>
      <c r="AM136" s="46">
        <v>3625.4450000000002</v>
      </c>
      <c r="AN136" s="46" t="b">
        <v>1</v>
      </c>
      <c r="AO136" s="46">
        <v>0</v>
      </c>
      <c r="AP136" s="46" t="b">
        <v>0</v>
      </c>
      <c r="AQ136" s="46">
        <v>2514.4059999999999</v>
      </c>
      <c r="AS136" s="46">
        <v>2514.4059999999999</v>
      </c>
      <c r="AT136" s="46">
        <v>6</v>
      </c>
      <c r="AU136" s="46" t="b">
        <v>1</v>
      </c>
      <c r="AV136" s="46" t="b">
        <v>0</v>
      </c>
    </row>
    <row r="137" spans="2:48">
      <c r="B137" s="46" t="s">
        <v>665</v>
      </c>
      <c r="C137" s="46" t="s">
        <v>666</v>
      </c>
      <c r="D137" s="46">
        <v>20231101</v>
      </c>
      <c r="E137" s="46">
        <v>2023</v>
      </c>
      <c r="F137" s="46">
        <v>11</v>
      </c>
      <c r="G137" s="46" t="s">
        <v>725</v>
      </c>
      <c r="H137" s="46">
        <v>818</v>
      </c>
      <c r="I137" s="46" t="s">
        <v>668</v>
      </c>
      <c r="J137" s="46" t="s">
        <v>57</v>
      </c>
      <c r="K137" s="46" t="s">
        <v>666</v>
      </c>
      <c r="L137" s="46" t="s">
        <v>669</v>
      </c>
      <c r="M137" s="46">
        <v>784</v>
      </c>
      <c r="N137" s="46" t="s">
        <v>694</v>
      </c>
      <c r="O137" s="46" t="s">
        <v>25</v>
      </c>
      <c r="P137" s="46">
        <v>0</v>
      </c>
      <c r="Q137" s="46" t="s">
        <v>670</v>
      </c>
      <c r="R137" s="46" t="s">
        <v>23</v>
      </c>
      <c r="S137" s="46" t="s">
        <v>671</v>
      </c>
      <c r="T137" s="46" t="s">
        <v>672</v>
      </c>
      <c r="U137" s="46" t="b">
        <v>1</v>
      </c>
      <c r="V137" s="46" t="s">
        <v>1022</v>
      </c>
      <c r="W137" s="46" t="s">
        <v>1023</v>
      </c>
      <c r="X137" s="46">
        <v>6</v>
      </c>
      <c r="Y137" s="46" t="b">
        <v>1</v>
      </c>
      <c r="Z137" s="46" t="s">
        <v>675</v>
      </c>
      <c r="AA137" s="46" t="s">
        <v>676</v>
      </c>
      <c r="AB137" s="46" t="s">
        <v>677</v>
      </c>
      <c r="AC137" s="46">
        <v>0</v>
      </c>
      <c r="AD137" s="46" t="s">
        <v>678</v>
      </c>
      <c r="AE137" s="46">
        <v>5</v>
      </c>
      <c r="AF137" s="46" t="s">
        <v>1024</v>
      </c>
      <c r="AG137" s="46">
        <v>8.35</v>
      </c>
      <c r="AH137" s="46" t="b">
        <v>1</v>
      </c>
      <c r="AI137" s="46">
        <v>-1</v>
      </c>
      <c r="AJ137" s="46" t="s">
        <v>680</v>
      </c>
      <c r="AK137" s="46">
        <v>0</v>
      </c>
      <c r="AL137" s="46" t="b">
        <v>0</v>
      </c>
      <c r="AM137" s="46">
        <v>145.62899999999999</v>
      </c>
      <c r="AN137" s="46" t="b">
        <v>1</v>
      </c>
      <c r="AO137" s="46">
        <v>0</v>
      </c>
      <c r="AP137" s="46" t="b">
        <v>0</v>
      </c>
      <c r="AQ137" s="46">
        <v>101</v>
      </c>
      <c r="AS137" s="46">
        <v>101</v>
      </c>
      <c r="AT137" s="46">
        <v>6</v>
      </c>
      <c r="AU137" s="46" t="b">
        <v>1</v>
      </c>
      <c r="AV137" s="46" t="b">
        <v>0</v>
      </c>
    </row>
    <row r="138" spans="2:48">
      <c r="B138" s="46" t="s">
        <v>665</v>
      </c>
      <c r="C138" s="46" t="s">
        <v>666</v>
      </c>
      <c r="D138" s="46">
        <v>20231101</v>
      </c>
      <c r="E138" s="46">
        <v>2023</v>
      </c>
      <c r="F138" s="46">
        <v>11</v>
      </c>
      <c r="G138" s="46" t="s">
        <v>725</v>
      </c>
      <c r="H138" s="46">
        <v>818</v>
      </c>
      <c r="I138" s="46" t="s">
        <v>668</v>
      </c>
      <c r="J138" s="46" t="s">
        <v>57</v>
      </c>
      <c r="K138" s="46" t="s">
        <v>666</v>
      </c>
      <c r="L138" s="46" t="s">
        <v>669</v>
      </c>
      <c r="M138" s="46">
        <v>757</v>
      </c>
      <c r="N138" s="46" t="s">
        <v>996</v>
      </c>
      <c r="O138" s="46" t="s">
        <v>41</v>
      </c>
      <c r="P138" s="46">
        <v>0</v>
      </c>
      <c r="Q138" s="46" t="s">
        <v>670</v>
      </c>
      <c r="R138" s="46" t="s">
        <v>23</v>
      </c>
      <c r="S138" s="46" t="s">
        <v>671</v>
      </c>
      <c r="T138" s="46" t="s">
        <v>672</v>
      </c>
      <c r="U138" s="46" t="b">
        <v>1</v>
      </c>
      <c r="V138" s="46" t="s">
        <v>1022</v>
      </c>
      <c r="W138" s="46" t="s">
        <v>1023</v>
      </c>
      <c r="X138" s="46">
        <v>6</v>
      </c>
      <c r="Y138" s="46" t="b">
        <v>1</v>
      </c>
      <c r="Z138" s="46" t="s">
        <v>675</v>
      </c>
      <c r="AA138" s="46" t="s">
        <v>676</v>
      </c>
      <c r="AB138" s="46" t="s">
        <v>677</v>
      </c>
      <c r="AC138" s="46">
        <v>0</v>
      </c>
      <c r="AD138" s="46" t="s">
        <v>678</v>
      </c>
      <c r="AE138" s="46">
        <v>5</v>
      </c>
      <c r="AF138" s="46" t="s">
        <v>1024</v>
      </c>
      <c r="AG138" s="46">
        <v>10.68</v>
      </c>
      <c r="AH138" s="46" t="b">
        <v>1</v>
      </c>
      <c r="AI138" s="46">
        <v>-1</v>
      </c>
      <c r="AJ138" s="46" t="s">
        <v>680</v>
      </c>
      <c r="AK138" s="46">
        <v>0</v>
      </c>
      <c r="AL138" s="46" t="b">
        <v>0</v>
      </c>
      <c r="AM138" s="46">
        <v>186.27799999999999</v>
      </c>
      <c r="AN138" s="46" t="b">
        <v>1</v>
      </c>
      <c r="AO138" s="46">
        <v>0</v>
      </c>
      <c r="AP138" s="46" t="b">
        <v>0</v>
      </c>
      <c r="AQ138" s="46">
        <v>129.19200000000001</v>
      </c>
      <c r="AS138" s="46">
        <v>129.19200000000001</v>
      </c>
      <c r="AT138" s="46">
        <v>6</v>
      </c>
      <c r="AU138" s="46" t="b">
        <v>1</v>
      </c>
      <c r="AV138" s="46" t="b">
        <v>0</v>
      </c>
    </row>
    <row r="139" spans="2:48">
      <c r="B139" s="46" t="s">
        <v>665</v>
      </c>
      <c r="C139" s="46" t="s">
        <v>666</v>
      </c>
      <c r="D139" s="46">
        <v>20231101</v>
      </c>
      <c r="E139" s="46">
        <v>2023</v>
      </c>
      <c r="F139" s="46">
        <v>11</v>
      </c>
      <c r="G139" s="46" t="s">
        <v>725</v>
      </c>
      <c r="H139" s="46">
        <v>818</v>
      </c>
      <c r="I139" s="46" t="s">
        <v>668</v>
      </c>
      <c r="J139" s="46" t="s">
        <v>57</v>
      </c>
      <c r="K139" s="46" t="s">
        <v>666</v>
      </c>
      <c r="L139" s="46" t="s">
        <v>669</v>
      </c>
      <c r="M139" s="46">
        <v>724</v>
      </c>
      <c r="N139" s="46" t="s">
        <v>684</v>
      </c>
      <c r="O139" s="46" t="s">
        <v>51</v>
      </c>
      <c r="P139" s="46">
        <v>0</v>
      </c>
      <c r="Q139" s="46" t="s">
        <v>670</v>
      </c>
      <c r="R139" s="46" t="s">
        <v>23</v>
      </c>
      <c r="S139" s="46" t="s">
        <v>671</v>
      </c>
      <c r="T139" s="46" t="s">
        <v>672</v>
      </c>
      <c r="U139" s="46" t="b">
        <v>1</v>
      </c>
      <c r="V139" s="46" t="s">
        <v>1022</v>
      </c>
      <c r="W139" s="46" t="s">
        <v>1023</v>
      </c>
      <c r="X139" s="46">
        <v>6</v>
      </c>
      <c r="Y139" s="46" t="b">
        <v>1</v>
      </c>
      <c r="Z139" s="46" t="s">
        <v>675</v>
      </c>
      <c r="AA139" s="46" t="s">
        <v>676</v>
      </c>
      <c r="AB139" s="46" t="s">
        <v>677</v>
      </c>
      <c r="AC139" s="46">
        <v>0</v>
      </c>
      <c r="AD139" s="46" t="s">
        <v>678</v>
      </c>
      <c r="AE139" s="46">
        <v>5</v>
      </c>
      <c r="AF139" s="46" t="s">
        <v>1024</v>
      </c>
      <c r="AG139" s="46">
        <v>3.677</v>
      </c>
      <c r="AH139" s="46" t="b">
        <v>1</v>
      </c>
      <c r="AI139" s="46">
        <v>-1</v>
      </c>
      <c r="AJ139" s="46" t="s">
        <v>680</v>
      </c>
      <c r="AK139" s="46">
        <v>0</v>
      </c>
      <c r="AL139" s="46" t="b">
        <v>0</v>
      </c>
      <c r="AM139" s="46">
        <v>64.13</v>
      </c>
      <c r="AN139" s="46" t="b">
        <v>1</v>
      </c>
      <c r="AO139" s="46">
        <v>0</v>
      </c>
      <c r="AP139" s="46" t="b">
        <v>0</v>
      </c>
      <c r="AQ139" s="46">
        <v>44.476999999999997</v>
      </c>
      <c r="AS139" s="46">
        <v>44.476999999999997</v>
      </c>
      <c r="AT139" s="46">
        <v>6</v>
      </c>
      <c r="AU139" s="46" t="b">
        <v>1</v>
      </c>
      <c r="AV139" s="46" t="b">
        <v>0</v>
      </c>
    </row>
    <row r="140" spans="2:48">
      <c r="B140" s="46" t="s">
        <v>665</v>
      </c>
      <c r="C140" s="46" t="s">
        <v>666</v>
      </c>
      <c r="D140" s="46">
        <v>20231101</v>
      </c>
      <c r="E140" s="46">
        <v>2023</v>
      </c>
      <c r="F140" s="46">
        <v>11</v>
      </c>
      <c r="G140" s="46" t="s">
        <v>725</v>
      </c>
      <c r="H140" s="46">
        <v>818</v>
      </c>
      <c r="I140" s="46" t="s">
        <v>668</v>
      </c>
      <c r="J140" s="46" t="s">
        <v>57</v>
      </c>
      <c r="K140" s="46" t="s">
        <v>666</v>
      </c>
      <c r="L140" s="46" t="s">
        <v>669</v>
      </c>
      <c r="M140" s="46">
        <v>56</v>
      </c>
      <c r="N140" s="46" t="s">
        <v>696</v>
      </c>
      <c r="O140" s="46" t="s">
        <v>74</v>
      </c>
      <c r="P140" s="46">
        <v>0</v>
      </c>
      <c r="Q140" s="46" t="s">
        <v>670</v>
      </c>
      <c r="R140" s="46" t="s">
        <v>23</v>
      </c>
      <c r="S140" s="46" t="s">
        <v>671</v>
      </c>
      <c r="T140" s="46" t="s">
        <v>672</v>
      </c>
      <c r="U140" s="46" t="b">
        <v>1</v>
      </c>
      <c r="V140" s="46" t="s">
        <v>1022</v>
      </c>
      <c r="W140" s="46" t="s">
        <v>1023</v>
      </c>
      <c r="X140" s="46">
        <v>6</v>
      </c>
      <c r="Y140" s="46" t="b">
        <v>1</v>
      </c>
      <c r="Z140" s="46" t="s">
        <v>675</v>
      </c>
      <c r="AA140" s="46" t="s">
        <v>676</v>
      </c>
      <c r="AB140" s="46" t="s">
        <v>677</v>
      </c>
      <c r="AC140" s="46">
        <v>0</v>
      </c>
      <c r="AD140" s="46" t="s">
        <v>678</v>
      </c>
      <c r="AE140" s="46">
        <v>5</v>
      </c>
      <c r="AF140" s="46" t="s">
        <v>1024</v>
      </c>
      <c r="AG140" s="46">
        <v>26.536999999999999</v>
      </c>
      <c r="AH140" s="46" t="b">
        <v>1</v>
      </c>
      <c r="AI140" s="46">
        <v>-1</v>
      </c>
      <c r="AJ140" s="46" t="s">
        <v>680</v>
      </c>
      <c r="AK140" s="46">
        <v>0</v>
      </c>
      <c r="AL140" s="46" t="b">
        <v>0</v>
      </c>
      <c r="AM140" s="46">
        <v>462.84</v>
      </c>
      <c r="AN140" s="46" t="b">
        <v>1</v>
      </c>
      <c r="AO140" s="46">
        <v>0</v>
      </c>
      <c r="AP140" s="46" t="b">
        <v>0</v>
      </c>
      <c r="AQ140" s="46">
        <v>321</v>
      </c>
      <c r="AS140" s="46">
        <v>321</v>
      </c>
      <c r="AT140" s="46">
        <v>6</v>
      </c>
      <c r="AU140" s="46" t="b">
        <v>1</v>
      </c>
      <c r="AV140" s="46" t="b">
        <v>0</v>
      </c>
    </row>
    <row r="141" spans="2:48">
      <c r="B141" s="46" t="s">
        <v>665</v>
      </c>
      <c r="C141" s="46" t="s">
        <v>666</v>
      </c>
      <c r="D141" s="46">
        <v>20231101</v>
      </c>
      <c r="E141" s="46">
        <v>2023</v>
      </c>
      <c r="F141" s="46">
        <v>11</v>
      </c>
      <c r="G141" s="46" t="s">
        <v>725</v>
      </c>
      <c r="H141" s="46">
        <v>818</v>
      </c>
      <c r="I141" s="46" t="s">
        <v>668</v>
      </c>
      <c r="J141" s="46" t="s">
        <v>57</v>
      </c>
      <c r="K141" s="46" t="s">
        <v>666</v>
      </c>
      <c r="L141" s="46" t="s">
        <v>669</v>
      </c>
      <c r="M141" s="46">
        <v>568</v>
      </c>
      <c r="N141" s="46" t="s">
        <v>682</v>
      </c>
      <c r="O141" s="46" t="s">
        <v>683</v>
      </c>
      <c r="P141" s="46">
        <v>0</v>
      </c>
      <c r="Q141" s="46" t="s">
        <v>670</v>
      </c>
      <c r="R141" s="46" t="s">
        <v>23</v>
      </c>
      <c r="S141" s="46" t="s">
        <v>671</v>
      </c>
      <c r="T141" s="46" t="s">
        <v>672</v>
      </c>
      <c r="U141" s="46" t="b">
        <v>1</v>
      </c>
      <c r="V141" s="46" t="s">
        <v>1022</v>
      </c>
      <c r="W141" s="46" t="s">
        <v>1023</v>
      </c>
      <c r="X141" s="46">
        <v>6</v>
      </c>
      <c r="Y141" s="46" t="b">
        <v>1</v>
      </c>
      <c r="Z141" s="46" t="s">
        <v>675</v>
      </c>
      <c r="AA141" s="46" t="s">
        <v>676</v>
      </c>
      <c r="AB141" s="46" t="s">
        <v>677</v>
      </c>
      <c r="AC141" s="46">
        <v>0</v>
      </c>
      <c r="AD141" s="46" t="s">
        <v>678</v>
      </c>
      <c r="AE141" s="46">
        <v>5</v>
      </c>
      <c r="AF141" s="46" t="s">
        <v>1024</v>
      </c>
      <c r="AG141" s="46">
        <v>10.917999999999999</v>
      </c>
      <c r="AH141" s="46" t="b">
        <v>1</v>
      </c>
      <c r="AI141" s="46">
        <v>-1</v>
      </c>
      <c r="AJ141" s="46" t="s">
        <v>680</v>
      </c>
      <c r="AK141" s="46">
        <v>0</v>
      </c>
      <c r="AL141" s="46" t="b">
        <v>0</v>
      </c>
      <c r="AM141" s="46">
        <v>190.43</v>
      </c>
      <c r="AN141" s="46" t="b">
        <v>1</v>
      </c>
      <c r="AO141" s="46">
        <v>0</v>
      </c>
      <c r="AP141" s="46" t="b">
        <v>0</v>
      </c>
      <c r="AQ141" s="46">
        <v>132.071</v>
      </c>
      <c r="AS141" s="46">
        <v>132.071</v>
      </c>
      <c r="AT141" s="46">
        <v>6</v>
      </c>
      <c r="AU141" s="46" t="b">
        <v>1</v>
      </c>
      <c r="AV141" s="46" t="b">
        <v>0</v>
      </c>
    </row>
    <row r="142" spans="2:48">
      <c r="B142" s="46" t="s">
        <v>665</v>
      </c>
      <c r="C142" s="46" t="s">
        <v>666</v>
      </c>
      <c r="D142" s="46">
        <v>20231101</v>
      </c>
      <c r="E142" s="46">
        <v>2023</v>
      </c>
      <c r="F142" s="46">
        <v>11</v>
      </c>
      <c r="G142" s="46" t="s">
        <v>725</v>
      </c>
      <c r="H142" s="46">
        <v>818</v>
      </c>
      <c r="I142" s="46" t="s">
        <v>668</v>
      </c>
      <c r="J142" s="46" t="s">
        <v>57</v>
      </c>
      <c r="K142" s="46" t="s">
        <v>666</v>
      </c>
      <c r="L142" s="46" t="s">
        <v>669</v>
      </c>
      <c r="M142" s="46">
        <v>764</v>
      </c>
      <c r="N142" s="46" t="s">
        <v>749</v>
      </c>
      <c r="O142" s="46" t="s">
        <v>55</v>
      </c>
      <c r="P142" s="46">
        <v>0</v>
      </c>
      <c r="Q142" s="46" t="s">
        <v>670</v>
      </c>
      <c r="R142" s="46" t="s">
        <v>23</v>
      </c>
      <c r="S142" s="46" t="s">
        <v>671</v>
      </c>
      <c r="T142" s="46" t="s">
        <v>672</v>
      </c>
      <c r="U142" s="46" t="b">
        <v>1</v>
      </c>
      <c r="V142" s="46" t="s">
        <v>1022</v>
      </c>
      <c r="W142" s="46" t="s">
        <v>1023</v>
      </c>
      <c r="X142" s="46">
        <v>6</v>
      </c>
      <c r="Y142" s="46" t="b">
        <v>1</v>
      </c>
      <c r="Z142" s="46" t="s">
        <v>675</v>
      </c>
      <c r="AA142" s="46" t="s">
        <v>676</v>
      </c>
      <c r="AB142" s="46" t="s">
        <v>677</v>
      </c>
      <c r="AC142" s="46">
        <v>0</v>
      </c>
      <c r="AD142" s="46" t="s">
        <v>678</v>
      </c>
      <c r="AE142" s="46">
        <v>5</v>
      </c>
      <c r="AF142" s="46" t="s">
        <v>1024</v>
      </c>
      <c r="AG142" s="46">
        <v>19.922999999999998</v>
      </c>
      <c r="AH142" s="46" t="b">
        <v>1</v>
      </c>
      <c r="AI142" s="46">
        <v>-1</v>
      </c>
      <c r="AJ142" s="46" t="s">
        <v>680</v>
      </c>
      <c r="AK142" s="46">
        <v>0</v>
      </c>
      <c r="AL142" s="46" t="b">
        <v>0</v>
      </c>
      <c r="AM142" s="46">
        <v>347.49099999999999</v>
      </c>
      <c r="AN142" s="46" t="b">
        <v>1</v>
      </c>
      <c r="AO142" s="46">
        <v>0</v>
      </c>
      <c r="AP142" s="46" t="b">
        <v>0</v>
      </c>
      <c r="AQ142" s="46">
        <v>241</v>
      </c>
      <c r="AS142" s="46">
        <v>241</v>
      </c>
      <c r="AT142" s="46">
        <v>6</v>
      </c>
      <c r="AU142" s="46" t="b">
        <v>1</v>
      </c>
      <c r="AV142" s="46" t="b">
        <v>0</v>
      </c>
    </row>
    <row r="143" spans="2:48">
      <c r="B143" s="46" t="s">
        <v>665</v>
      </c>
      <c r="C143" s="46" t="s">
        <v>666</v>
      </c>
      <c r="D143" s="46">
        <v>20231101</v>
      </c>
      <c r="E143" s="46">
        <v>2023</v>
      </c>
      <c r="F143" s="46">
        <v>11</v>
      </c>
      <c r="G143" s="46" t="s">
        <v>725</v>
      </c>
      <c r="H143" s="46">
        <v>818</v>
      </c>
      <c r="I143" s="46" t="s">
        <v>668</v>
      </c>
      <c r="J143" s="46" t="s">
        <v>57</v>
      </c>
      <c r="K143" s="46" t="s">
        <v>666</v>
      </c>
      <c r="L143" s="46" t="s">
        <v>669</v>
      </c>
      <c r="M143" s="46">
        <v>528</v>
      </c>
      <c r="N143" s="46" t="s">
        <v>698</v>
      </c>
      <c r="O143" s="46" t="s">
        <v>60</v>
      </c>
      <c r="P143" s="46">
        <v>0</v>
      </c>
      <c r="Q143" s="46" t="s">
        <v>670</v>
      </c>
      <c r="R143" s="46" t="s">
        <v>23</v>
      </c>
      <c r="S143" s="46" t="s">
        <v>671</v>
      </c>
      <c r="T143" s="46" t="s">
        <v>672</v>
      </c>
      <c r="U143" s="46" t="b">
        <v>1</v>
      </c>
      <c r="V143" s="46" t="s">
        <v>1022</v>
      </c>
      <c r="W143" s="46" t="s">
        <v>1023</v>
      </c>
      <c r="X143" s="46">
        <v>6</v>
      </c>
      <c r="Y143" s="46" t="b">
        <v>1</v>
      </c>
      <c r="Z143" s="46" t="s">
        <v>675</v>
      </c>
      <c r="AA143" s="46" t="s">
        <v>676</v>
      </c>
      <c r="AB143" s="46" t="s">
        <v>677</v>
      </c>
      <c r="AC143" s="46">
        <v>0</v>
      </c>
      <c r="AD143" s="46" t="s">
        <v>678</v>
      </c>
      <c r="AE143" s="46">
        <v>5</v>
      </c>
      <c r="AF143" s="46" t="s">
        <v>1024</v>
      </c>
      <c r="AG143" s="46">
        <v>61.33</v>
      </c>
      <c r="AH143" s="46" t="b">
        <v>1</v>
      </c>
      <c r="AI143" s="46">
        <v>-1</v>
      </c>
      <c r="AJ143" s="46" t="s">
        <v>680</v>
      </c>
      <c r="AK143" s="46">
        <v>0</v>
      </c>
      <c r="AL143" s="46" t="b">
        <v>0</v>
      </c>
      <c r="AM143" s="46">
        <v>1069.6769999999999</v>
      </c>
      <c r="AN143" s="46" t="b">
        <v>1</v>
      </c>
      <c r="AO143" s="46">
        <v>0</v>
      </c>
      <c r="AP143" s="46" t="b">
        <v>0</v>
      </c>
      <c r="AQ143" s="46">
        <v>741.86800000000005</v>
      </c>
      <c r="AS143" s="46">
        <v>741.86800000000005</v>
      </c>
      <c r="AT143" s="46">
        <v>6</v>
      </c>
      <c r="AU143" s="46" t="b">
        <v>1</v>
      </c>
      <c r="AV143" s="46" t="b">
        <v>0</v>
      </c>
    </row>
    <row r="144" spans="2:48">
      <c r="B144" s="46" t="s">
        <v>665</v>
      </c>
      <c r="C144" s="46" t="s">
        <v>666</v>
      </c>
      <c r="D144" s="46">
        <v>20231101</v>
      </c>
      <c r="E144" s="46">
        <v>2023</v>
      </c>
      <c r="F144" s="46">
        <v>11</v>
      </c>
      <c r="G144" s="46" t="s">
        <v>725</v>
      </c>
      <c r="H144" s="46">
        <v>818</v>
      </c>
      <c r="I144" s="46" t="s">
        <v>668</v>
      </c>
      <c r="J144" s="46" t="s">
        <v>57</v>
      </c>
      <c r="K144" s="46" t="s">
        <v>666</v>
      </c>
      <c r="L144" s="46" t="s">
        <v>669</v>
      </c>
      <c r="M144" s="46">
        <v>276</v>
      </c>
      <c r="N144" s="46" t="s">
        <v>681</v>
      </c>
      <c r="O144" s="46" t="s">
        <v>30</v>
      </c>
      <c r="P144" s="46">
        <v>0</v>
      </c>
      <c r="Q144" s="46" t="s">
        <v>670</v>
      </c>
      <c r="R144" s="46" t="s">
        <v>23</v>
      </c>
      <c r="S144" s="46" t="s">
        <v>671</v>
      </c>
      <c r="T144" s="46" t="s">
        <v>672</v>
      </c>
      <c r="U144" s="46" t="b">
        <v>1</v>
      </c>
      <c r="V144" s="46" t="s">
        <v>1022</v>
      </c>
      <c r="W144" s="46" t="s">
        <v>1023</v>
      </c>
      <c r="X144" s="46">
        <v>6</v>
      </c>
      <c r="Y144" s="46" t="b">
        <v>1</v>
      </c>
      <c r="Z144" s="46" t="s">
        <v>675</v>
      </c>
      <c r="AA144" s="46" t="s">
        <v>676</v>
      </c>
      <c r="AB144" s="46" t="s">
        <v>677</v>
      </c>
      <c r="AC144" s="46">
        <v>0</v>
      </c>
      <c r="AD144" s="46" t="s">
        <v>678</v>
      </c>
      <c r="AE144" s="46">
        <v>5</v>
      </c>
      <c r="AF144" s="46" t="s">
        <v>1024</v>
      </c>
      <c r="AG144" s="46">
        <v>51.764000000000003</v>
      </c>
      <c r="AH144" s="46" t="b">
        <v>1</v>
      </c>
      <c r="AI144" s="46">
        <v>-1</v>
      </c>
      <c r="AJ144" s="46" t="s">
        <v>680</v>
      </c>
      <c r="AK144" s="46">
        <v>0</v>
      </c>
      <c r="AL144" s="46" t="b">
        <v>0</v>
      </c>
      <c r="AM144" s="46">
        <v>902.83900000000006</v>
      </c>
      <c r="AN144" s="46" t="b">
        <v>1</v>
      </c>
      <c r="AO144" s="46">
        <v>0</v>
      </c>
      <c r="AP144" s="46" t="b">
        <v>0</v>
      </c>
      <c r="AQ144" s="46">
        <v>626.15899999999999</v>
      </c>
      <c r="AS144" s="46">
        <v>626.15899999999999</v>
      </c>
      <c r="AT144" s="46">
        <v>6</v>
      </c>
      <c r="AU144" s="46" t="b">
        <v>1</v>
      </c>
      <c r="AV144" s="46" t="b">
        <v>0</v>
      </c>
    </row>
    <row r="145" spans="2:48">
      <c r="B145" s="46" t="s">
        <v>665</v>
      </c>
      <c r="C145" s="46" t="s">
        <v>666</v>
      </c>
      <c r="D145" s="46">
        <v>20231101</v>
      </c>
      <c r="E145" s="46">
        <v>2023</v>
      </c>
      <c r="F145" s="46">
        <v>11</v>
      </c>
      <c r="G145" s="46" t="s">
        <v>725</v>
      </c>
      <c r="H145" s="46">
        <v>818</v>
      </c>
      <c r="I145" s="46" t="s">
        <v>668</v>
      </c>
      <c r="J145" s="46" t="s">
        <v>57</v>
      </c>
      <c r="K145" s="46" t="s">
        <v>666</v>
      </c>
      <c r="L145" s="46" t="s">
        <v>669</v>
      </c>
      <c r="M145" s="46">
        <v>203</v>
      </c>
      <c r="N145" s="46" t="s">
        <v>752</v>
      </c>
      <c r="O145" s="46" t="s">
        <v>753</v>
      </c>
      <c r="P145" s="46">
        <v>0</v>
      </c>
      <c r="Q145" s="46" t="s">
        <v>670</v>
      </c>
      <c r="R145" s="46" t="s">
        <v>23</v>
      </c>
      <c r="S145" s="46" t="s">
        <v>671</v>
      </c>
      <c r="T145" s="46" t="s">
        <v>672</v>
      </c>
      <c r="U145" s="46" t="b">
        <v>1</v>
      </c>
      <c r="V145" s="46" t="s">
        <v>1022</v>
      </c>
      <c r="W145" s="46" t="s">
        <v>1023</v>
      </c>
      <c r="X145" s="46">
        <v>6</v>
      </c>
      <c r="Y145" s="46" t="b">
        <v>1</v>
      </c>
      <c r="Z145" s="46" t="s">
        <v>675</v>
      </c>
      <c r="AA145" s="46" t="s">
        <v>676</v>
      </c>
      <c r="AB145" s="46" t="s">
        <v>677</v>
      </c>
      <c r="AC145" s="46">
        <v>0</v>
      </c>
      <c r="AD145" s="46" t="s">
        <v>678</v>
      </c>
      <c r="AE145" s="46">
        <v>5</v>
      </c>
      <c r="AF145" s="46" t="s">
        <v>1024</v>
      </c>
      <c r="AG145" s="46">
        <v>63.634999999999998</v>
      </c>
      <c r="AH145" s="46" t="b">
        <v>1</v>
      </c>
      <c r="AI145" s="46">
        <v>-1</v>
      </c>
      <c r="AJ145" s="46" t="s">
        <v>680</v>
      </c>
      <c r="AK145" s="46">
        <v>0</v>
      </c>
      <c r="AL145" s="46" t="b">
        <v>0</v>
      </c>
      <c r="AM145" s="46">
        <v>1109.8810000000001</v>
      </c>
      <c r="AN145" s="46" t="b">
        <v>1</v>
      </c>
      <c r="AO145" s="46">
        <v>0</v>
      </c>
      <c r="AP145" s="46" t="b">
        <v>0</v>
      </c>
      <c r="AQ145" s="46">
        <v>769.75099999999998</v>
      </c>
      <c r="AS145" s="46">
        <v>769.75099999999998</v>
      </c>
      <c r="AT145" s="46">
        <v>6</v>
      </c>
      <c r="AU145" s="46" t="b">
        <v>1</v>
      </c>
      <c r="AV145" s="46" t="b">
        <v>0</v>
      </c>
    </row>
    <row r="146" spans="2:48">
      <c r="B146" s="46" t="s">
        <v>665</v>
      </c>
      <c r="C146" s="46" t="s">
        <v>666</v>
      </c>
      <c r="D146" s="46">
        <v>20231101</v>
      </c>
      <c r="E146" s="46">
        <v>2023</v>
      </c>
      <c r="F146" s="46">
        <v>11</v>
      </c>
      <c r="G146" s="46" t="s">
        <v>725</v>
      </c>
      <c r="H146" s="46">
        <v>818</v>
      </c>
      <c r="I146" s="46" t="s">
        <v>668</v>
      </c>
      <c r="J146" s="46" t="s">
        <v>57</v>
      </c>
      <c r="K146" s="46" t="s">
        <v>666</v>
      </c>
      <c r="L146" s="46" t="s">
        <v>669</v>
      </c>
      <c r="M146" s="46">
        <v>380</v>
      </c>
      <c r="N146" s="46" t="s">
        <v>689</v>
      </c>
      <c r="O146" s="46" t="s">
        <v>71</v>
      </c>
      <c r="P146" s="46">
        <v>0</v>
      </c>
      <c r="Q146" s="46" t="s">
        <v>670</v>
      </c>
      <c r="R146" s="46" t="s">
        <v>23</v>
      </c>
      <c r="S146" s="46" t="s">
        <v>671</v>
      </c>
      <c r="T146" s="46" t="s">
        <v>672</v>
      </c>
      <c r="U146" s="46" t="b">
        <v>1</v>
      </c>
      <c r="V146" s="46" t="s">
        <v>1022</v>
      </c>
      <c r="W146" s="46" t="s">
        <v>1023</v>
      </c>
      <c r="X146" s="46">
        <v>6</v>
      </c>
      <c r="Y146" s="46" t="b">
        <v>1</v>
      </c>
      <c r="Z146" s="46" t="s">
        <v>675</v>
      </c>
      <c r="AA146" s="46" t="s">
        <v>676</v>
      </c>
      <c r="AB146" s="46" t="s">
        <v>677</v>
      </c>
      <c r="AC146" s="46">
        <v>0</v>
      </c>
      <c r="AD146" s="46" t="s">
        <v>678</v>
      </c>
      <c r="AE146" s="46">
        <v>5</v>
      </c>
      <c r="AF146" s="46" t="s">
        <v>1024</v>
      </c>
      <c r="AG146" s="46">
        <v>197.649</v>
      </c>
      <c r="AH146" s="46" t="b">
        <v>1</v>
      </c>
      <c r="AI146" s="46">
        <v>-1</v>
      </c>
      <c r="AJ146" s="46" t="s">
        <v>680</v>
      </c>
      <c r="AK146" s="46">
        <v>0</v>
      </c>
      <c r="AL146" s="46" t="b">
        <v>0</v>
      </c>
      <c r="AM146" s="46">
        <v>3447.2750000000001</v>
      </c>
      <c r="AN146" s="46" t="b">
        <v>1</v>
      </c>
      <c r="AO146" s="46">
        <v>0</v>
      </c>
      <c r="AP146" s="46" t="b">
        <v>0</v>
      </c>
      <c r="AQ146" s="46">
        <v>2390.837</v>
      </c>
      <c r="AS146" s="46">
        <v>2390.837</v>
      </c>
      <c r="AT146" s="46">
        <v>6</v>
      </c>
      <c r="AU146" s="46" t="b">
        <v>1</v>
      </c>
      <c r="AV146" s="46" t="b">
        <v>0</v>
      </c>
    </row>
    <row r="147" spans="2:48">
      <c r="B147" s="46" t="s">
        <v>665</v>
      </c>
      <c r="C147" s="46" t="s">
        <v>666</v>
      </c>
      <c r="D147" s="46">
        <v>20231201</v>
      </c>
      <c r="E147" s="46">
        <v>2023</v>
      </c>
      <c r="F147" s="46">
        <v>12</v>
      </c>
      <c r="G147" s="46" t="s">
        <v>726</v>
      </c>
      <c r="H147" s="46">
        <v>818</v>
      </c>
      <c r="I147" s="46" t="s">
        <v>668</v>
      </c>
      <c r="J147" s="46" t="s">
        <v>57</v>
      </c>
      <c r="K147" s="46" t="s">
        <v>666</v>
      </c>
      <c r="L147" s="46" t="s">
        <v>669</v>
      </c>
      <c r="M147" s="46">
        <v>0</v>
      </c>
      <c r="N147" s="46" t="s">
        <v>670</v>
      </c>
      <c r="O147" s="46" t="s">
        <v>23</v>
      </c>
      <c r="P147" s="46">
        <v>0</v>
      </c>
      <c r="Q147" s="46" t="s">
        <v>670</v>
      </c>
      <c r="R147" s="46" t="s">
        <v>23</v>
      </c>
      <c r="S147" s="46" t="s">
        <v>671</v>
      </c>
      <c r="T147" s="46" t="s">
        <v>672</v>
      </c>
      <c r="U147" s="46" t="b">
        <v>1</v>
      </c>
      <c r="V147" s="46" t="s">
        <v>1022</v>
      </c>
      <c r="W147" s="46" t="s">
        <v>1023</v>
      </c>
      <c r="X147" s="46">
        <v>6</v>
      </c>
      <c r="Y147" s="46" t="b">
        <v>1</v>
      </c>
      <c r="Z147" s="46" t="s">
        <v>675</v>
      </c>
      <c r="AA147" s="46" t="s">
        <v>676</v>
      </c>
      <c r="AB147" s="46" t="s">
        <v>677</v>
      </c>
      <c r="AC147" s="46">
        <v>0</v>
      </c>
      <c r="AD147" s="46" t="s">
        <v>678</v>
      </c>
      <c r="AE147" s="46">
        <v>5</v>
      </c>
      <c r="AF147" s="46" t="s">
        <v>1024</v>
      </c>
      <c r="AG147" s="46">
        <v>12234.67</v>
      </c>
      <c r="AH147" s="46" t="b">
        <v>1</v>
      </c>
      <c r="AI147" s="46">
        <v>-1</v>
      </c>
      <c r="AJ147" s="46" t="s">
        <v>680</v>
      </c>
      <c r="AK147" s="46">
        <v>0</v>
      </c>
      <c r="AL147" s="46" t="b">
        <v>0</v>
      </c>
      <c r="AM147" s="46">
        <v>213389.30600000001</v>
      </c>
      <c r="AN147" s="46" t="b">
        <v>1</v>
      </c>
      <c r="AO147" s="46">
        <v>0</v>
      </c>
      <c r="AP147" s="46" t="b">
        <v>0</v>
      </c>
      <c r="AQ147" s="46">
        <v>147994.886</v>
      </c>
      <c r="AS147" s="46">
        <v>147994.886</v>
      </c>
      <c r="AT147" s="46">
        <v>6</v>
      </c>
      <c r="AU147" s="46" t="b">
        <v>0</v>
      </c>
      <c r="AV147" s="46" t="b">
        <v>1</v>
      </c>
    </row>
    <row r="148" spans="2:48">
      <c r="B148" s="46" t="s">
        <v>665</v>
      </c>
      <c r="C148" s="46" t="s">
        <v>666</v>
      </c>
      <c r="D148" s="46">
        <v>20231201</v>
      </c>
      <c r="E148" s="46">
        <v>2023</v>
      </c>
      <c r="F148" s="46">
        <v>12</v>
      </c>
      <c r="G148" s="46" t="s">
        <v>726</v>
      </c>
      <c r="H148" s="46">
        <v>818</v>
      </c>
      <c r="I148" s="46" t="s">
        <v>668</v>
      </c>
      <c r="J148" s="46" t="s">
        <v>57</v>
      </c>
      <c r="K148" s="46" t="s">
        <v>666</v>
      </c>
      <c r="L148" s="46" t="s">
        <v>669</v>
      </c>
      <c r="M148" s="46">
        <v>699</v>
      </c>
      <c r="N148" s="46" t="s">
        <v>748</v>
      </c>
      <c r="O148" s="46" t="s">
        <v>0</v>
      </c>
      <c r="P148" s="46">
        <v>0</v>
      </c>
      <c r="Q148" s="46" t="s">
        <v>670</v>
      </c>
      <c r="R148" s="46" t="s">
        <v>23</v>
      </c>
      <c r="S148" s="46" t="s">
        <v>671</v>
      </c>
      <c r="T148" s="46" t="s">
        <v>672</v>
      </c>
      <c r="U148" s="46" t="b">
        <v>1</v>
      </c>
      <c r="V148" s="46" t="s">
        <v>1022</v>
      </c>
      <c r="W148" s="46" t="s">
        <v>1023</v>
      </c>
      <c r="X148" s="46">
        <v>6</v>
      </c>
      <c r="Y148" s="46" t="b">
        <v>1</v>
      </c>
      <c r="Z148" s="46" t="s">
        <v>675</v>
      </c>
      <c r="AA148" s="46" t="s">
        <v>676</v>
      </c>
      <c r="AB148" s="46" t="s">
        <v>677</v>
      </c>
      <c r="AC148" s="46">
        <v>0</v>
      </c>
      <c r="AD148" s="46" t="s">
        <v>678</v>
      </c>
      <c r="AE148" s="46">
        <v>5</v>
      </c>
      <c r="AF148" s="46" t="s">
        <v>1024</v>
      </c>
      <c r="AG148" s="46">
        <v>11924.322</v>
      </c>
      <c r="AH148" s="46" t="b">
        <v>1</v>
      </c>
      <c r="AI148" s="46">
        <v>-1</v>
      </c>
      <c r="AJ148" s="46" t="s">
        <v>680</v>
      </c>
      <c r="AK148" s="46">
        <v>0</v>
      </c>
      <c r="AL148" s="46" t="b">
        <v>0</v>
      </c>
      <c r="AM148" s="46">
        <v>207976.40100000001</v>
      </c>
      <c r="AN148" s="46" t="b">
        <v>1</v>
      </c>
      <c r="AO148" s="46">
        <v>0</v>
      </c>
      <c r="AP148" s="46" t="b">
        <v>0</v>
      </c>
      <c r="AQ148" s="46">
        <v>144240.79800000001</v>
      </c>
      <c r="AS148" s="46">
        <v>144240.79800000001</v>
      </c>
      <c r="AT148" s="46">
        <v>6</v>
      </c>
      <c r="AU148" s="46" t="b">
        <v>1</v>
      </c>
      <c r="AV148" s="46" t="b">
        <v>0</v>
      </c>
    </row>
    <row r="149" spans="2:48">
      <c r="B149" s="46" t="s">
        <v>665</v>
      </c>
      <c r="C149" s="46" t="s">
        <v>666</v>
      </c>
      <c r="D149" s="46">
        <v>20231201</v>
      </c>
      <c r="E149" s="46">
        <v>2023</v>
      </c>
      <c r="F149" s="46">
        <v>12</v>
      </c>
      <c r="G149" s="46" t="s">
        <v>726</v>
      </c>
      <c r="H149" s="46">
        <v>818</v>
      </c>
      <c r="I149" s="46" t="s">
        <v>668</v>
      </c>
      <c r="J149" s="46" t="s">
        <v>57</v>
      </c>
      <c r="K149" s="46" t="s">
        <v>666</v>
      </c>
      <c r="L149" s="46" t="s">
        <v>669</v>
      </c>
      <c r="M149" s="46">
        <v>156</v>
      </c>
      <c r="N149" s="46" t="s">
        <v>711</v>
      </c>
      <c r="O149" s="46" t="s">
        <v>29</v>
      </c>
      <c r="P149" s="46">
        <v>0</v>
      </c>
      <c r="Q149" s="46" t="s">
        <v>670</v>
      </c>
      <c r="R149" s="46" t="s">
        <v>23</v>
      </c>
      <c r="S149" s="46" t="s">
        <v>671</v>
      </c>
      <c r="T149" s="46" t="s">
        <v>672</v>
      </c>
      <c r="U149" s="46" t="b">
        <v>1</v>
      </c>
      <c r="V149" s="46" t="s">
        <v>1022</v>
      </c>
      <c r="W149" s="46" t="s">
        <v>1023</v>
      </c>
      <c r="X149" s="46">
        <v>6</v>
      </c>
      <c r="Y149" s="46" t="b">
        <v>1</v>
      </c>
      <c r="Z149" s="46" t="s">
        <v>675</v>
      </c>
      <c r="AA149" s="46" t="s">
        <v>676</v>
      </c>
      <c r="AB149" s="46" t="s">
        <v>677</v>
      </c>
      <c r="AC149" s="46">
        <v>0</v>
      </c>
      <c r="AD149" s="46" t="s">
        <v>678</v>
      </c>
      <c r="AE149" s="46">
        <v>5</v>
      </c>
      <c r="AF149" s="46" t="s">
        <v>1024</v>
      </c>
      <c r="AG149" s="46">
        <v>51.683</v>
      </c>
      <c r="AH149" s="46" t="b">
        <v>1</v>
      </c>
      <c r="AI149" s="46">
        <v>-1</v>
      </c>
      <c r="AJ149" s="46" t="s">
        <v>680</v>
      </c>
      <c r="AK149" s="46">
        <v>0</v>
      </c>
      <c r="AL149" s="46" t="b">
        <v>0</v>
      </c>
      <c r="AM149" s="46">
        <v>901.423</v>
      </c>
      <c r="AN149" s="46" t="b">
        <v>1</v>
      </c>
      <c r="AO149" s="46">
        <v>0</v>
      </c>
      <c r="AP149" s="46" t="b">
        <v>0</v>
      </c>
      <c r="AQ149" s="46">
        <v>625.17700000000002</v>
      </c>
      <c r="AS149" s="46">
        <v>625.17700000000002</v>
      </c>
      <c r="AT149" s="46">
        <v>6</v>
      </c>
      <c r="AU149" s="46" t="b">
        <v>1</v>
      </c>
      <c r="AV149" s="46" t="b">
        <v>0</v>
      </c>
    </row>
    <row r="150" spans="2:48">
      <c r="B150" s="46" t="s">
        <v>665</v>
      </c>
      <c r="C150" s="46" t="s">
        <v>666</v>
      </c>
      <c r="D150" s="46">
        <v>20231201</v>
      </c>
      <c r="E150" s="46">
        <v>2023</v>
      </c>
      <c r="F150" s="46">
        <v>12</v>
      </c>
      <c r="G150" s="46" t="s">
        <v>726</v>
      </c>
      <c r="H150" s="46">
        <v>818</v>
      </c>
      <c r="I150" s="46" t="s">
        <v>668</v>
      </c>
      <c r="J150" s="46" t="s">
        <v>57</v>
      </c>
      <c r="K150" s="46" t="s">
        <v>666</v>
      </c>
      <c r="L150" s="46" t="s">
        <v>669</v>
      </c>
      <c r="M150" s="46">
        <v>757</v>
      </c>
      <c r="N150" s="46" t="s">
        <v>996</v>
      </c>
      <c r="O150" s="46" t="s">
        <v>41</v>
      </c>
      <c r="P150" s="46">
        <v>0</v>
      </c>
      <c r="Q150" s="46" t="s">
        <v>670</v>
      </c>
      <c r="R150" s="46" t="s">
        <v>23</v>
      </c>
      <c r="S150" s="46" t="s">
        <v>671</v>
      </c>
      <c r="T150" s="46" t="s">
        <v>672</v>
      </c>
      <c r="U150" s="46" t="b">
        <v>1</v>
      </c>
      <c r="V150" s="46" t="s">
        <v>1022</v>
      </c>
      <c r="W150" s="46" t="s">
        <v>1023</v>
      </c>
      <c r="X150" s="46">
        <v>6</v>
      </c>
      <c r="Y150" s="46" t="b">
        <v>1</v>
      </c>
      <c r="Z150" s="46" t="s">
        <v>675</v>
      </c>
      <c r="AA150" s="46" t="s">
        <v>676</v>
      </c>
      <c r="AB150" s="46" t="s">
        <v>677</v>
      </c>
      <c r="AC150" s="46">
        <v>0</v>
      </c>
      <c r="AD150" s="46" t="s">
        <v>678</v>
      </c>
      <c r="AE150" s="46">
        <v>5</v>
      </c>
      <c r="AF150" s="46" t="s">
        <v>1024</v>
      </c>
      <c r="AG150" s="46">
        <v>18.792999999999999</v>
      </c>
      <c r="AH150" s="46" t="b">
        <v>1</v>
      </c>
      <c r="AI150" s="46">
        <v>-1</v>
      </c>
      <c r="AJ150" s="46" t="s">
        <v>680</v>
      </c>
      <c r="AK150" s="46">
        <v>0</v>
      </c>
      <c r="AL150" s="46" t="b">
        <v>0</v>
      </c>
      <c r="AM150" s="46">
        <v>327.78199999999998</v>
      </c>
      <c r="AN150" s="46" t="b">
        <v>1</v>
      </c>
      <c r="AO150" s="46">
        <v>0</v>
      </c>
      <c r="AP150" s="46" t="b">
        <v>0</v>
      </c>
      <c r="AQ150" s="46">
        <v>227.33099999999999</v>
      </c>
      <c r="AS150" s="46">
        <v>227.33099999999999</v>
      </c>
      <c r="AT150" s="46">
        <v>6</v>
      </c>
      <c r="AU150" s="46" t="b">
        <v>1</v>
      </c>
      <c r="AV150" s="46" t="b">
        <v>0</v>
      </c>
    </row>
    <row r="151" spans="2:48">
      <c r="B151" s="46" t="s">
        <v>665</v>
      </c>
      <c r="C151" s="46" t="s">
        <v>666</v>
      </c>
      <c r="D151" s="46">
        <v>20231201</v>
      </c>
      <c r="E151" s="46">
        <v>2023</v>
      </c>
      <c r="F151" s="46">
        <v>12</v>
      </c>
      <c r="G151" s="46" t="s">
        <v>726</v>
      </c>
      <c r="H151" s="46">
        <v>818</v>
      </c>
      <c r="I151" s="46" t="s">
        <v>668</v>
      </c>
      <c r="J151" s="46" t="s">
        <v>57</v>
      </c>
      <c r="K151" s="46" t="s">
        <v>666</v>
      </c>
      <c r="L151" s="46" t="s">
        <v>669</v>
      </c>
      <c r="M151" s="46">
        <v>724</v>
      </c>
      <c r="N151" s="46" t="s">
        <v>684</v>
      </c>
      <c r="O151" s="46" t="s">
        <v>51</v>
      </c>
      <c r="P151" s="46">
        <v>0</v>
      </c>
      <c r="Q151" s="46" t="s">
        <v>670</v>
      </c>
      <c r="R151" s="46" t="s">
        <v>23</v>
      </c>
      <c r="S151" s="46" t="s">
        <v>671</v>
      </c>
      <c r="T151" s="46" t="s">
        <v>672</v>
      </c>
      <c r="U151" s="46" t="b">
        <v>1</v>
      </c>
      <c r="V151" s="46" t="s">
        <v>1022</v>
      </c>
      <c r="W151" s="46" t="s">
        <v>1023</v>
      </c>
      <c r="X151" s="46">
        <v>6</v>
      </c>
      <c r="Y151" s="46" t="b">
        <v>1</v>
      </c>
      <c r="Z151" s="46" t="s">
        <v>675</v>
      </c>
      <c r="AA151" s="46" t="s">
        <v>676</v>
      </c>
      <c r="AB151" s="46" t="s">
        <v>677</v>
      </c>
      <c r="AC151" s="46">
        <v>0</v>
      </c>
      <c r="AD151" s="46" t="s">
        <v>678</v>
      </c>
      <c r="AE151" s="46">
        <v>5</v>
      </c>
      <c r="AF151" s="46" t="s">
        <v>1024</v>
      </c>
      <c r="AG151" s="46">
        <v>10.962</v>
      </c>
      <c r="AH151" s="46" t="b">
        <v>1</v>
      </c>
      <c r="AI151" s="46">
        <v>-1</v>
      </c>
      <c r="AJ151" s="46" t="s">
        <v>680</v>
      </c>
      <c r="AK151" s="46">
        <v>0</v>
      </c>
      <c r="AL151" s="46" t="b">
        <v>0</v>
      </c>
      <c r="AM151" s="46">
        <v>191.19399999999999</v>
      </c>
      <c r="AN151" s="46" t="b">
        <v>1</v>
      </c>
      <c r="AO151" s="46">
        <v>0</v>
      </c>
      <c r="AP151" s="46" t="b">
        <v>0</v>
      </c>
      <c r="AQ151" s="46">
        <v>132.602</v>
      </c>
      <c r="AS151" s="46">
        <v>132.602</v>
      </c>
      <c r="AT151" s="46">
        <v>6</v>
      </c>
      <c r="AU151" s="46" t="b">
        <v>1</v>
      </c>
      <c r="AV151" s="46" t="b">
        <v>0</v>
      </c>
    </row>
    <row r="152" spans="2:48">
      <c r="B152" s="46" t="s">
        <v>665</v>
      </c>
      <c r="C152" s="46" t="s">
        <v>666</v>
      </c>
      <c r="D152" s="46">
        <v>20231201</v>
      </c>
      <c r="E152" s="46">
        <v>2023</v>
      </c>
      <c r="F152" s="46">
        <v>12</v>
      </c>
      <c r="G152" s="46" t="s">
        <v>726</v>
      </c>
      <c r="H152" s="46">
        <v>818</v>
      </c>
      <c r="I152" s="46" t="s">
        <v>668</v>
      </c>
      <c r="J152" s="46" t="s">
        <v>57</v>
      </c>
      <c r="K152" s="46" t="s">
        <v>666</v>
      </c>
      <c r="L152" s="46" t="s">
        <v>669</v>
      </c>
      <c r="M152" s="46">
        <v>56</v>
      </c>
      <c r="N152" s="46" t="s">
        <v>696</v>
      </c>
      <c r="O152" s="46" t="s">
        <v>74</v>
      </c>
      <c r="P152" s="46">
        <v>0</v>
      </c>
      <c r="Q152" s="46" t="s">
        <v>670</v>
      </c>
      <c r="R152" s="46" t="s">
        <v>23</v>
      </c>
      <c r="S152" s="46" t="s">
        <v>671</v>
      </c>
      <c r="T152" s="46" t="s">
        <v>672</v>
      </c>
      <c r="U152" s="46" t="b">
        <v>1</v>
      </c>
      <c r="V152" s="46" t="s">
        <v>1022</v>
      </c>
      <c r="W152" s="46" t="s">
        <v>1023</v>
      </c>
      <c r="X152" s="46">
        <v>6</v>
      </c>
      <c r="Y152" s="46" t="b">
        <v>1</v>
      </c>
      <c r="Z152" s="46" t="s">
        <v>675</v>
      </c>
      <c r="AA152" s="46" t="s">
        <v>676</v>
      </c>
      <c r="AB152" s="46" t="s">
        <v>677</v>
      </c>
      <c r="AC152" s="46">
        <v>0</v>
      </c>
      <c r="AD152" s="46" t="s">
        <v>678</v>
      </c>
      <c r="AE152" s="46">
        <v>5</v>
      </c>
      <c r="AF152" s="46" t="s">
        <v>1024</v>
      </c>
      <c r="AG152" s="46">
        <v>131.21899999999999</v>
      </c>
      <c r="AH152" s="46" t="b">
        <v>1</v>
      </c>
      <c r="AI152" s="46">
        <v>-1</v>
      </c>
      <c r="AJ152" s="46" t="s">
        <v>680</v>
      </c>
      <c r="AK152" s="46">
        <v>0</v>
      </c>
      <c r="AL152" s="46" t="b">
        <v>0</v>
      </c>
      <c r="AM152" s="46">
        <v>2288.645</v>
      </c>
      <c r="AN152" s="46" t="b">
        <v>1</v>
      </c>
      <c r="AO152" s="46">
        <v>0</v>
      </c>
      <c r="AP152" s="46" t="b">
        <v>0</v>
      </c>
      <c r="AQ152" s="46">
        <v>1587.2760000000001</v>
      </c>
      <c r="AS152" s="46">
        <v>1587.2760000000001</v>
      </c>
      <c r="AT152" s="46">
        <v>6</v>
      </c>
      <c r="AU152" s="46" t="b">
        <v>1</v>
      </c>
      <c r="AV152" s="46" t="b">
        <v>0</v>
      </c>
    </row>
    <row r="153" spans="2:48">
      <c r="B153" s="46" t="s">
        <v>665</v>
      </c>
      <c r="C153" s="46" t="s">
        <v>666</v>
      </c>
      <c r="D153" s="46">
        <v>20231201</v>
      </c>
      <c r="E153" s="46">
        <v>2023</v>
      </c>
      <c r="F153" s="46">
        <v>12</v>
      </c>
      <c r="G153" s="46" t="s">
        <v>726</v>
      </c>
      <c r="H153" s="46">
        <v>818</v>
      </c>
      <c r="I153" s="46" t="s">
        <v>668</v>
      </c>
      <c r="J153" s="46" t="s">
        <v>57</v>
      </c>
      <c r="K153" s="46" t="s">
        <v>666</v>
      </c>
      <c r="L153" s="46" t="s">
        <v>669</v>
      </c>
      <c r="M153" s="46">
        <v>568</v>
      </c>
      <c r="N153" s="46" t="s">
        <v>682</v>
      </c>
      <c r="O153" s="46" t="s">
        <v>683</v>
      </c>
      <c r="P153" s="46">
        <v>0</v>
      </c>
      <c r="Q153" s="46" t="s">
        <v>670</v>
      </c>
      <c r="R153" s="46" t="s">
        <v>23</v>
      </c>
      <c r="S153" s="46" t="s">
        <v>671</v>
      </c>
      <c r="T153" s="46" t="s">
        <v>672</v>
      </c>
      <c r="U153" s="46" t="b">
        <v>1</v>
      </c>
      <c r="V153" s="46" t="s">
        <v>1022</v>
      </c>
      <c r="W153" s="46" t="s">
        <v>1023</v>
      </c>
      <c r="X153" s="46">
        <v>6</v>
      </c>
      <c r="Y153" s="46" t="b">
        <v>1</v>
      </c>
      <c r="Z153" s="46" t="s">
        <v>675</v>
      </c>
      <c r="AA153" s="46" t="s">
        <v>676</v>
      </c>
      <c r="AB153" s="46" t="s">
        <v>677</v>
      </c>
      <c r="AC153" s="46">
        <v>0</v>
      </c>
      <c r="AD153" s="46" t="s">
        <v>678</v>
      </c>
      <c r="AE153" s="46">
        <v>5</v>
      </c>
      <c r="AF153" s="46" t="s">
        <v>1024</v>
      </c>
      <c r="AG153" s="46">
        <v>9.9990000000000006</v>
      </c>
      <c r="AH153" s="46" t="b">
        <v>1</v>
      </c>
      <c r="AI153" s="46">
        <v>-1</v>
      </c>
      <c r="AJ153" s="46" t="s">
        <v>680</v>
      </c>
      <c r="AK153" s="46">
        <v>0</v>
      </c>
      <c r="AL153" s="46" t="b">
        <v>0</v>
      </c>
      <c r="AM153" s="46">
        <v>174.404</v>
      </c>
      <c r="AN153" s="46" t="b">
        <v>1</v>
      </c>
      <c r="AO153" s="46">
        <v>0</v>
      </c>
      <c r="AP153" s="46" t="b">
        <v>0</v>
      </c>
      <c r="AQ153" s="46">
        <v>120.95699999999999</v>
      </c>
      <c r="AS153" s="46">
        <v>120.95699999999999</v>
      </c>
      <c r="AT153" s="46">
        <v>6</v>
      </c>
      <c r="AU153" s="46" t="b">
        <v>1</v>
      </c>
      <c r="AV153" s="46" t="b">
        <v>0</v>
      </c>
    </row>
    <row r="154" spans="2:48">
      <c r="B154" s="46" t="s">
        <v>665</v>
      </c>
      <c r="C154" s="46" t="s">
        <v>666</v>
      </c>
      <c r="D154" s="46">
        <v>20231201</v>
      </c>
      <c r="E154" s="46">
        <v>2023</v>
      </c>
      <c r="F154" s="46">
        <v>12</v>
      </c>
      <c r="G154" s="46" t="s">
        <v>726</v>
      </c>
      <c r="H154" s="46">
        <v>818</v>
      </c>
      <c r="I154" s="46" t="s">
        <v>668</v>
      </c>
      <c r="J154" s="46" t="s">
        <v>57</v>
      </c>
      <c r="K154" s="46" t="s">
        <v>666</v>
      </c>
      <c r="L154" s="46" t="s">
        <v>669</v>
      </c>
      <c r="M154" s="46">
        <v>764</v>
      </c>
      <c r="N154" s="46" t="s">
        <v>749</v>
      </c>
      <c r="O154" s="46" t="s">
        <v>55</v>
      </c>
      <c r="P154" s="46">
        <v>0</v>
      </c>
      <c r="Q154" s="46" t="s">
        <v>670</v>
      </c>
      <c r="R154" s="46" t="s">
        <v>23</v>
      </c>
      <c r="S154" s="46" t="s">
        <v>671</v>
      </c>
      <c r="T154" s="46" t="s">
        <v>672</v>
      </c>
      <c r="U154" s="46" t="b">
        <v>1</v>
      </c>
      <c r="V154" s="46" t="s">
        <v>1022</v>
      </c>
      <c r="W154" s="46" t="s">
        <v>1023</v>
      </c>
      <c r="X154" s="46">
        <v>6</v>
      </c>
      <c r="Y154" s="46" t="b">
        <v>1</v>
      </c>
      <c r="Z154" s="46" t="s">
        <v>675</v>
      </c>
      <c r="AA154" s="46" t="s">
        <v>676</v>
      </c>
      <c r="AB154" s="46" t="s">
        <v>677</v>
      </c>
      <c r="AC154" s="46">
        <v>0</v>
      </c>
      <c r="AD154" s="46" t="s">
        <v>678</v>
      </c>
      <c r="AE154" s="46">
        <v>5</v>
      </c>
      <c r="AF154" s="46" t="s">
        <v>1024</v>
      </c>
      <c r="AG154" s="46">
        <v>10.331</v>
      </c>
      <c r="AH154" s="46" t="b">
        <v>1</v>
      </c>
      <c r="AI154" s="46">
        <v>-1</v>
      </c>
      <c r="AJ154" s="46" t="s">
        <v>680</v>
      </c>
      <c r="AK154" s="46">
        <v>0</v>
      </c>
      <c r="AL154" s="46" t="b">
        <v>0</v>
      </c>
      <c r="AM154" s="46">
        <v>180.184</v>
      </c>
      <c r="AN154" s="46" t="b">
        <v>1</v>
      </c>
      <c r="AO154" s="46">
        <v>0</v>
      </c>
      <c r="AP154" s="46" t="b">
        <v>0</v>
      </c>
      <c r="AQ154" s="46">
        <v>124.965</v>
      </c>
      <c r="AS154" s="46">
        <v>124.965</v>
      </c>
      <c r="AT154" s="46">
        <v>6</v>
      </c>
      <c r="AU154" s="46" t="b">
        <v>1</v>
      </c>
      <c r="AV154" s="46" t="b">
        <v>0</v>
      </c>
    </row>
    <row r="155" spans="2:48">
      <c r="B155" s="46" t="s">
        <v>665</v>
      </c>
      <c r="C155" s="46" t="s">
        <v>666</v>
      </c>
      <c r="D155" s="46">
        <v>20231201</v>
      </c>
      <c r="E155" s="46">
        <v>2023</v>
      </c>
      <c r="F155" s="46">
        <v>12</v>
      </c>
      <c r="G155" s="46" t="s">
        <v>726</v>
      </c>
      <c r="H155" s="46">
        <v>818</v>
      </c>
      <c r="I155" s="46" t="s">
        <v>668</v>
      </c>
      <c r="J155" s="46" t="s">
        <v>57</v>
      </c>
      <c r="K155" s="46" t="s">
        <v>666</v>
      </c>
      <c r="L155" s="46" t="s">
        <v>669</v>
      </c>
      <c r="M155" s="46">
        <v>276</v>
      </c>
      <c r="N155" s="46" t="s">
        <v>681</v>
      </c>
      <c r="O155" s="46" t="s">
        <v>30</v>
      </c>
      <c r="P155" s="46">
        <v>0</v>
      </c>
      <c r="Q155" s="46" t="s">
        <v>670</v>
      </c>
      <c r="R155" s="46" t="s">
        <v>23</v>
      </c>
      <c r="S155" s="46" t="s">
        <v>671</v>
      </c>
      <c r="T155" s="46" t="s">
        <v>672</v>
      </c>
      <c r="U155" s="46" t="b">
        <v>1</v>
      </c>
      <c r="V155" s="46" t="s">
        <v>1022</v>
      </c>
      <c r="W155" s="46" t="s">
        <v>1023</v>
      </c>
      <c r="X155" s="46">
        <v>6</v>
      </c>
      <c r="Y155" s="46" t="b">
        <v>1</v>
      </c>
      <c r="Z155" s="46" t="s">
        <v>675</v>
      </c>
      <c r="AA155" s="46" t="s">
        <v>676</v>
      </c>
      <c r="AB155" s="46" t="s">
        <v>677</v>
      </c>
      <c r="AC155" s="46">
        <v>0</v>
      </c>
      <c r="AD155" s="46" t="s">
        <v>678</v>
      </c>
      <c r="AE155" s="46">
        <v>5</v>
      </c>
      <c r="AF155" s="46" t="s">
        <v>1024</v>
      </c>
      <c r="AG155" s="46">
        <v>43.265000000000001</v>
      </c>
      <c r="AH155" s="46" t="b">
        <v>1</v>
      </c>
      <c r="AI155" s="46">
        <v>-1</v>
      </c>
      <c r="AJ155" s="46" t="s">
        <v>680</v>
      </c>
      <c r="AK155" s="46">
        <v>0</v>
      </c>
      <c r="AL155" s="46" t="b">
        <v>0</v>
      </c>
      <c r="AM155" s="46">
        <v>754.60599999999999</v>
      </c>
      <c r="AN155" s="46" t="b">
        <v>1</v>
      </c>
      <c r="AO155" s="46">
        <v>0</v>
      </c>
      <c r="AP155" s="46" t="b">
        <v>0</v>
      </c>
      <c r="AQ155" s="46">
        <v>523.35199999999998</v>
      </c>
      <c r="AS155" s="46">
        <v>523.35199999999998</v>
      </c>
      <c r="AT155" s="46">
        <v>6</v>
      </c>
      <c r="AU155" s="46" t="b">
        <v>1</v>
      </c>
      <c r="AV155" s="46" t="b">
        <v>0</v>
      </c>
    </row>
    <row r="156" spans="2:48">
      <c r="B156" s="46" t="s">
        <v>665</v>
      </c>
      <c r="C156" s="46" t="s">
        <v>666</v>
      </c>
      <c r="D156" s="46">
        <v>20231201</v>
      </c>
      <c r="E156" s="46">
        <v>2023</v>
      </c>
      <c r="F156" s="46">
        <v>12</v>
      </c>
      <c r="G156" s="46" t="s">
        <v>726</v>
      </c>
      <c r="H156" s="46">
        <v>818</v>
      </c>
      <c r="I156" s="46" t="s">
        <v>668</v>
      </c>
      <c r="J156" s="46" t="s">
        <v>57</v>
      </c>
      <c r="K156" s="46" t="s">
        <v>666</v>
      </c>
      <c r="L156" s="46" t="s">
        <v>669</v>
      </c>
      <c r="M156" s="46">
        <v>380</v>
      </c>
      <c r="N156" s="46" t="s">
        <v>689</v>
      </c>
      <c r="O156" s="46" t="s">
        <v>71</v>
      </c>
      <c r="P156" s="46">
        <v>0</v>
      </c>
      <c r="Q156" s="46" t="s">
        <v>670</v>
      </c>
      <c r="R156" s="46" t="s">
        <v>23</v>
      </c>
      <c r="S156" s="46" t="s">
        <v>671</v>
      </c>
      <c r="T156" s="46" t="s">
        <v>672</v>
      </c>
      <c r="U156" s="46" t="b">
        <v>1</v>
      </c>
      <c r="V156" s="46" t="s">
        <v>1022</v>
      </c>
      <c r="W156" s="46" t="s">
        <v>1023</v>
      </c>
      <c r="X156" s="46">
        <v>6</v>
      </c>
      <c r="Y156" s="46" t="b">
        <v>1</v>
      </c>
      <c r="Z156" s="46" t="s">
        <v>675</v>
      </c>
      <c r="AA156" s="46" t="s">
        <v>676</v>
      </c>
      <c r="AB156" s="46" t="s">
        <v>677</v>
      </c>
      <c r="AC156" s="46">
        <v>0</v>
      </c>
      <c r="AD156" s="46" t="s">
        <v>678</v>
      </c>
      <c r="AE156" s="46">
        <v>5</v>
      </c>
      <c r="AF156" s="46" t="s">
        <v>1024</v>
      </c>
      <c r="AG156" s="46">
        <v>34.094999999999999</v>
      </c>
      <c r="AH156" s="46" t="b">
        <v>1</v>
      </c>
      <c r="AI156" s="46">
        <v>-1</v>
      </c>
      <c r="AJ156" s="46" t="s">
        <v>680</v>
      </c>
      <c r="AK156" s="46">
        <v>0</v>
      </c>
      <c r="AL156" s="46" t="b">
        <v>0</v>
      </c>
      <c r="AM156" s="46">
        <v>594.66700000000003</v>
      </c>
      <c r="AN156" s="46" t="b">
        <v>1</v>
      </c>
      <c r="AO156" s="46">
        <v>0</v>
      </c>
      <c r="AP156" s="46" t="b">
        <v>0</v>
      </c>
      <c r="AQ156" s="46">
        <v>412.428</v>
      </c>
      <c r="AS156" s="46">
        <v>412.428</v>
      </c>
      <c r="AT156" s="46">
        <v>6</v>
      </c>
      <c r="AU156" s="46" t="b">
        <v>1</v>
      </c>
      <c r="AV156" s="46" t="b">
        <v>0</v>
      </c>
    </row>
    <row r="157" spans="2:48">
      <c r="B157" s="46" t="s">
        <v>665</v>
      </c>
      <c r="C157" s="46" t="s">
        <v>666</v>
      </c>
      <c r="D157" s="46">
        <v>20240501</v>
      </c>
      <c r="E157" s="46">
        <v>2024</v>
      </c>
      <c r="F157" s="46">
        <v>5</v>
      </c>
      <c r="G157" s="46" t="s">
        <v>699</v>
      </c>
      <c r="H157" s="46">
        <v>818</v>
      </c>
      <c r="I157" s="46" t="s">
        <v>668</v>
      </c>
      <c r="J157" s="46" t="s">
        <v>57</v>
      </c>
      <c r="K157" s="46" t="s">
        <v>666</v>
      </c>
      <c r="L157" s="46" t="s">
        <v>669</v>
      </c>
      <c r="M157" s="46">
        <v>0</v>
      </c>
      <c r="N157" s="46" t="s">
        <v>670</v>
      </c>
      <c r="O157" s="46" t="s">
        <v>23</v>
      </c>
      <c r="P157" s="46">
        <v>0</v>
      </c>
      <c r="Q157" s="46" t="s">
        <v>670</v>
      </c>
      <c r="R157" s="46" t="s">
        <v>23</v>
      </c>
      <c r="S157" s="46" t="s">
        <v>671</v>
      </c>
      <c r="T157" s="46" t="s">
        <v>672</v>
      </c>
      <c r="U157" s="46" t="b">
        <v>1</v>
      </c>
      <c r="V157" s="46" t="s">
        <v>1022</v>
      </c>
      <c r="W157" s="46" t="s">
        <v>1023</v>
      </c>
      <c r="X157" s="46">
        <v>6</v>
      </c>
      <c r="Y157" s="46" t="b">
        <v>1</v>
      </c>
      <c r="Z157" s="46" t="s">
        <v>675</v>
      </c>
      <c r="AA157" s="46" t="s">
        <v>676</v>
      </c>
      <c r="AB157" s="46" t="s">
        <v>677</v>
      </c>
      <c r="AC157" s="46">
        <v>0</v>
      </c>
      <c r="AD157" s="46" t="s">
        <v>678</v>
      </c>
      <c r="AE157" s="46">
        <v>5</v>
      </c>
      <c r="AF157" s="46" t="s">
        <v>1024</v>
      </c>
      <c r="AG157" s="46">
        <v>10038.808000000001</v>
      </c>
      <c r="AH157" s="46" t="b">
        <v>1</v>
      </c>
      <c r="AI157" s="46">
        <v>-1</v>
      </c>
      <c r="AJ157" s="46" t="s">
        <v>680</v>
      </c>
      <c r="AK157" s="46">
        <v>0</v>
      </c>
      <c r="AL157" s="46" t="b">
        <v>0</v>
      </c>
      <c r="AM157" s="46">
        <v>175090.47099999999</v>
      </c>
      <c r="AN157" s="46" t="b">
        <v>1</v>
      </c>
      <c r="AO157" s="46">
        <v>0</v>
      </c>
      <c r="AP157" s="46" t="b">
        <v>0</v>
      </c>
      <c r="AQ157" s="46">
        <v>121432.95699999999</v>
      </c>
      <c r="AS157" s="46">
        <v>121432.95699999999</v>
      </c>
      <c r="AT157" s="46">
        <v>6</v>
      </c>
      <c r="AU157" s="46" t="b">
        <v>0</v>
      </c>
      <c r="AV157" s="46" t="b">
        <v>1</v>
      </c>
    </row>
    <row r="158" spans="2:48">
      <c r="B158" s="46" t="s">
        <v>665</v>
      </c>
      <c r="C158" s="46" t="s">
        <v>666</v>
      </c>
      <c r="D158" s="46">
        <v>20240601</v>
      </c>
      <c r="E158" s="46">
        <v>2024</v>
      </c>
      <c r="F158" s="46">
        <v>6</v>
      </c>
      <c r="G158" s="46" t="s">
        <v>700</v>
      </c>
      <c r="H158" s="46">
        <v>818</v>
      </c>
      <c r="I158" s="46" t="s">
        <v>668</v>
      </c>
      <c r="J158" s="46" t="s">
        <v>57</v>
      </c>
      <c r="K158" s="46" t="s">
        <v>666</v>
      </c>
      <c r="L158" s="46" t="s">
        <v>669</v>
      </c>
      <c r="M158" s="46">
        <v>56</v>
      </c>
      <c r="N158" s="46" t="s">
        <v>696</v>
      </c>
      <c r="O158" s="46" t="s">
        <v>74</v>
      </c>
      <c r="P158" s="46">
        <v>0</v>
      </c>
      <c r="Q158" s="46" t="s">
        <v>670</v>
      </c>
      <c r="R158" s="46" t="s">
        <v>23</v>
      </c>
      <c r="S158" s="46" t="s">
        <v>671</v>
      </c>
      <c r="T158" s="46" t="s">
        <v>672</v>
      </c>
      <c r="U158" s="46" t="b">
        <v>1</v>
      </c>
      <c r="V158" s="46" t="s">
        <v>1022</v>
      </c>
      <c r="W158" s="46" t="s">
        <v>1023</v>
      </c>
      <c r="X158" s="46">
        <v>6</v>
      </c>
      <c r="Y158" s="46" t="b">
        <v>1</v>
      </c>
      <c r="Z158" s="46" t="s">
        <v>675</v>
      </c>
      <c r="AA158" s="46" t="s">
        <v>676</v>
      </c>
      <c r="AB158" s="46" t="s">
        <v>677</v>
      </c>
      <c r="AC158" s="46">
        <v>0</v>
      </c>
      <c r="AD158" s="46" t="s">
        <v>678</v>
      </c>
      <c r="AE158" s="46">
        <v>5</v>
      </c>
      <c r="AF158" s="46" t="s">
        <v>1024</v>
      </c>
      <c r="AG158" s="46">
        <v>16.061</v>
      </c>
      <c r="AH158" s="46" t="b">
        <v>1</v>
      </c>
      <c r="AI158" s="46">
        <v>-1</v>
      </c>
      <c r="AJ158" s="46" t="s">
        <v>680</v>
      </c>
      <c r="AK158" s="46">
        <v>0</v>
      </c>
      <c r="AL158" s="46" t="b">
        <v>0</v>
      </c>
      <c r="AM158" s="46">
        <v>280.13400000000001</v>
      </c>
      <c r="AN158" s="46" t="b">
        <v>1</v>
      </c>
      <c r="AO158" s="46">
        <v>0</v>
      </c>
      <c r="AP158" s="46" t="b">
        <v>0</v>
      </c>
      <c r="AQ158" s="46">
        <v>194.285</v>
      </c>
      <c r="AS158" s="46">
        <v>194.285</v>
      </c>
      <c r="AT158" s="46">
        <v>6</v>
      </c>
      <c r="AU158" s="46" t="b">
        <v>1</v>
      </c>
      <c r="AV158" s="46" t="b">
        <v>0</v>
      </c>
    </row>
    <row r="159" spans="2:48">
      <c r="B159" s="46" t="s">
        <v>665</v>
      </c>
      <c r="C159" s="46" t="s">
        <v>666</v>
      </c>
      <c r="D159" s="46">
        <v>20240501</v>
      </c>
      <c r="E159" s="46">
        <v>2024</v>
      </c>
      <c r="F159" s="46">
        <v>5</v>
      </c>
      <c r="G159" s="46" t="s">
        <v>699</v>
      </c>
      <c r="H159" s="46">
        <v>818</v>
      </c>
      <c r="I159" s="46" t="s">
        <v>668</v>
      </c>
      <c r="J159" s="46" t="s">
        <v>57</v>
      </c>
      <c r="K159" s="46" t="s">
        <v>666</v>
      </c>
      <c r="L159" s="46" t="s">
        <v>669</v>
      </c>
      <c r="M159" s="46">
        <v>156</v>
      </c>
      <c r="N159" s="46" t="s">
        <v>711</v>
      </c>
      <c r="O159" s="46" t="s">
        <v>29</v>
      </c>
      <c r="P159" s="46">
        <v>0</v>
      </c>
      <c r="Q159" s="46" t="s">
        <v>670</v>
      </c>
      <c r="R159" s="46" t="s">
        <v>23</v>
      </c>
      <c r="S159" s="46" t="s">
        <v>671</v>
      </c>
      <c r="T159" s="46" t="s">
        <v>672</v>
      </c>
      <c r="U159" s="46" t="b">
        <v>1</v>
      </c>
      <c r="V159" s="46" t="s">
        <v>1022</v>
      </c>
      <c r="W159" s="46" t="s">
        <v>1023</v>
      </c>
      <c r="X159" s="46">
        <v>6</v>
      </c>
      <c r="Y159" s="46" t="b">
        <v>1</v>
      </c>
      <c r="Z159" s="46" t="s">
        <v>675</v>
      </c>
      <c r="AA159" s="46" t="s">
        <v>676</v>
      </c>
      <c r="AB159" s="46" t="s">
        <v>677</v>
      </c>
      <c r="AC159" s="46">
        <v>0</v>
      </c>
      <c r="AD159" s="46" t="s">
        <v>678</v>
      </c>
      <c r="AE159" s="46">
        <v>5</v>
      </c>
      <c r="AF159" s="46" t="s">
        <v>1024</v>
      </c>
      <c r="AG159" s="46">
        <v>171.48599999999999</v>
      </c>
      <c r="AH159" s="46" t="b">
        <v>1</v>
      </c>
      <c r="AI159" s="46">
        <v>-1</v>
      </c>
      <c r="AJ159" s="46" t="s">
        <v>680</v>
      </c>
      <c r="AK159" s="46">
        <v>0</v>
      </c>
      <c r="AL159" s="46" t="b">
        <v>0</v>
      </c>
      <c r="AM159" s="46">
        <v>2990.951</v>
      </c>
      <c r="AN159" s="46" t="b">
        <v>1</v>
      </c>
      <c r="AO159" s="46">
        <v>0</v>
      </c>
      <c r="AP159" s="46" t="b">
        <v>0</v>
      </c>
      <c r="AQ159" s="46">
        <v>2074.357</v>
      </c>
      <c r="AS159" s="46">
        <v>2074.357</v>
      </c>
      <c r="AT159" s="46">
        <v>6</v>
      </c>
      <c r="AU159" s="46" t="b">
        <v>1</v>
      </c>
      <c r="AV159" s="46" t="b">
        <v>0</v>
      </c>
    </row>
    <row r="160" spans="2:48">
      <c r="B160" s="46" t="s">
        <v>665</v>
      </c>
      <c r="C160" s="46" t="s">
        <v>666</v>
      </c>
      <c r="D160" s="46">
        <v>20240401</v>
      </c>
      <c r="E160" s="46">
        <v>2024</v>
      </c>
      <c r="F160" s="46">
        <v>4</v>
      </c>
      <c r="G160" s="46" t="s">
        <v>695</v>
      </c>
      <c r="H160" s="46">
        <v>818</v>
      </c>
      <c r="I160" s="46" t="s">
        <v>668</v>
      </c>
      <c r="J160" s="46" t="s">
        <v>57</v>
      </c>
      <c r="K160" s="46" t="s">
        <v>666</v>
      </c>
      <c r="L160" s="46" t="s">
        <v>669</v>
      </c>
      <c r="M160" s="46">
        <v>251</v>
      </c>
      <c r="N160" s="46" t="s">
        <v>688</v>
      </c>
      <c r="O160" s="46" t="s">
        <v>69</v>
      </c>
      <c r="P160" s="46">
        <v>0</v>
      </c>
      <c r="Q160" s="46" t="s">
        <v>670</v>
      </c>
      <c r="R160" s="46" t="s">
        <v>23</v>
      </c>
      <c r="S160" s="46" t="s">
        <v>671</v>
      </c>
      <c r="T160" s="46" t="s">
        <v>672</v>
      </c>
      <c r="U160" s="46" t="b">
        <v>1</v>
      </c>
      <c r="V160" s="46" t="s">
        <v>1022</v>
      </c>
      <c r="W160" s="46" t="s">
        <v>1023</v>
      </c>
      <c r="X160" s="46">
        <v>6</v>
      </c>
      <c r="Y160" s="46" t="b">
        <v>1</v>
      </c>
      <c r="Z160" s="46" t="s">
        <v>675</v>
      </c>
      <c r="AA160" s="46" t="s">
        <v>676</v>
      </c>
      <c r="AB160" s="46" t="s">
        <v>677</v>
      </c>
      <c r="AC160" s="46">
        <v>0</v>
      </c>
      <c r="AD160" s="46" t="s">
        <v>678</v>
      </c>
      <c r="AE160" s="46">
        <v>5</v>
      </c>
      <c r="AF160" s="46" t="s">
        <v>1024</v>
      </c>
      <c r="AG160" s="46">
        <v>12.952</v>
      </c>
      <c r="AH160" s="46" t="b">
        <v>1</v>
      </c>
      <c r="AI160" s="46">
        <v>-1</v>
      </c>
      <c r="AJ160" s="46" t="s">
        <v>680</v>
      </c>
      <c r="AK160" s="46">
        <v>0</v>
      </c>
      <c r="AL160" s="46" t="b">
        <v>0</v>
      </c>
      <c r="AM160" s="46">
        <v>225.90100000000001</v>
      </c>
      <c r="AN160" s="46" t="b">
        <v>1</v>
      </c>
      <c r="AO160" s="46">
        <v>0</v>
      </c>
      <c r="AP160" s="46" t="b">
        <v>0</v>
      </c>
      <c r="AQ160" s="46">
        <v>156.673</v>
      </c>
      <c r="AS160" s="46">
        <v>156.673</v>
      </c>
      <c r="AT160" s="46">
        <v>6</v>
      </c>
      <c r="AU160" s="46" t="b">
        <v>1</v>
      </c>
      <c r="AV160" s="46" t="b">
        <v>0</v>
      </c>
    </row>
    <row r="161" spans="2:48">
      <c r="B161" s="46" t="s">
        <v>665</v>
      </c>
      <c r="C161" s="46" t="s">
        <v>666</v>
      </c>
      <c r="D161" s="46">
        <v>20240501</v>
      </c>
      <c r="E161" s="46">
        <v>2024</v>
      </c>
      <c r="F161" s="46">
        <v>5</v>
      </c>
      <c r="G161" s="46" t="s">
        <v>699</v>
      </c>
      <c r="H161" s="46">
        <v>818</v>
      </c>
      <c r="I161" s="46" t="s">
        <v>668</v>
      </c>
      <c r="J161" s="46" t="s">
        <v>57</v>
      </c>
      <c r="K161" s="46" t="s">
        <v>666</v>
      </c>
      <c r="L161" s="46" t="s">
        <v>669</v>
      </c>
      <c r="M161" s="46">
        <v>276</v>
      </c>
      <c r="N161" s="46" t="s">
        <v>681</v>
      </c>
      <c r="O161" s="46" t="s">
        <v>30</v>
      </c>
      <c r="P161" s="46">
        <v>0</v>
      </c>
      <c r="Q161" s="46" t="s">
        <v>670</v>
      </c>
      <c r="R161" s="46" t="s">
        <v>23</v>
      </c>
      <c r="S161" s="46" t="s">
        <v>671</v>
      </c>
      <c r="T161" s="46" t="s">
        <v>672</v>
      </c>
      <c r="U161" s="46" t="b">
        <v>1</v>
      </c>
      <c r="V161" s="46" t="s">
        <v>1022</v>
      </c>
      <c r="W161" s="46" t="s">
        <v>1023</v>
      </c>
      <c r="X161" s="46">
        <v>6</v>
      </c>
      <c r="Y161" s="46" t="b">
        <v>1</v>
      </c>
      <c r="Z161" s="46" t="s">
        <v>675</v>
      </c>
      <c r="AA161" s="46" t="s">
        <v>676</v>
      </c>
      <c r="AB161" s="46" t="s">
        <v>677</v>
      </c>
      <c r="AC161" s="46">
        <v>0</v>
      </c>
      <c r="AD161" s="46" t="s">
        <v>678</v>
      </c>
      <c r="AE161" s="46">
        <v>5</v>
      </c>
      <c r="AF161" s="46" t="s">
        <v>1024</v>
      </c>
      <c r="AG161" s="46">
        <v>1473.4079999999999</v>
      </c>
      <c r="AH161" s="46" t="b">
        <v>1</v>
      </c>
      <c r="AI161" s="46">
        <v>-1</v>
      </c>
      <c r="AJ161" s="46" t="s">
        <v>680</v>
      </c>
      <c r="AK161" s="46">
        <v>0</v>
      </c>
      <c r="AL161" s="46" t="b">
        <v>0</v>
      </c>
      <c r="AM161" s="46">
        <v>25698.235000000001</v>
      </c>
      <c r="AN161" s="46" t="b">
        <v>1</v>
      </c>
      <c r="AO161" s="46">
        <v>0</v>
      </c>
      <c r="AP161" s="46" t="b">
        <v>0</v>
      </c>
      <c r="AQ161" s="46">
        <v>17822.859</v>
      </c>
      <c r="AS161" s="46">
        <v>17822.859</v>
      </c>
      <c r="AT161" s="46">
        <v>6</v>
      </c>
      <c r="AU161" s="46" t="b">
        <v>1</v>
      </c>
      <c r="AV161" s="46" t="b">
        <v>0</v>
      </c>
    </row>
    <row r="162" spans="2:48">
      <c r="B162" s="46" t="s">
        <v>665</v>
      </c>
      <c r="C162" s="46" t="s">
        <v>666</v>
      </c>
      <c r="D162" s="46">
        <v>20240601</v>
      </c>
      <c r="E162" s="46">
        <v>2024</v>
      </c>
      <c r="F162" s="46">
        <v>6</v>
      </c>
      <c r="G162" s="46" t="s">
        <v>700</v>
      </c>
      <c r="H162" s="46">
        <v>818</v>
      </c>
      <c r="I162" s="46" t="s">
        <v>668</v>
      </c>
      <c r="J162" s="46" t="s">
        <v>57</v>
      </c>
      <c r="K162" s="46" t="s">
        <v>666</v>
      </c>
      <c r="L162" s="46" t="s">
        <v>669</v>
      </c>
      <c r="M162" s="46">
        <v>380</v>
      </c>
      <c r="N162" s="46" t="s">
        <v>689</v>
      </c>
      <c r="O162" s="46" t="s">
        <v>71</v>
      </c>
      <c r="P162" s="46">
        <v>0</v>
      </c>
      <c r="Q162" s="46" t="s">
        <v>670</v>
      </c>
      <c r="R162" s="46" t="s">
        <v>23</v>
      </c>
      <c r="S162" s="46" t="s">
        <v>671</v>
      </c>
      <c r="T162" s="46" t="s">
        <v>672</v>
      </c>
      <c r="U162" s="46" t="b">
        <v>1</v>
      </c>
      <c r="V162" s="46" t="s">
        <v>1022</v>
      </c>
      <c r="W162" s="46" t="s">
        <v>1023</v>
      </c>
      <c r="X162" s="46">
        <v>6</v>
      </c>
      <c r="Y162" s="46" t="b">
        <v>1</v>
      </c>
      <c r="Z162" s="46" t="s">
        <v>675</v>
      </c>
      <c r="AA162" s="46" t="s">
        <v>676</v>
      </c>
      <c r="AB162" s="46" t="s">
        <v>677</v>
      </c>
      <c r="AC162" s="46">
        <v>0</v>
      </c>
      <c r="AD162" s="46" t="s">
        <v>678</v>
      </c>
      <c r="AE162" s="46">
        <v>5</v>
      </c>
      <c r="AF162" s="46" t="s">
        <v>1024</v>
      </c>
      <c r="AG162" s="46">
        <v>544.43299999999999</v>
      </c>
      <c r="AH162" s="46" t="b">
        <v>1</v>
      </c>
      <c r="AI162" s="46">
        <v>-1</v>
      </c>
      <c r="AJ162" s="46" t="s">
        <v>680</v>
      </c>
      <c r="AK162" s="46">
        <v>0</v>
      </c>
      <c r="AL162" s="46" t="b">
        <v>0</v>
      </c>
      <c r="AM162" s="46">
        <v>9495.6560000000009</v>
      </c>
      <c r="AN162" s="46" t="b">
        <v>1</v>
      </c>
      <c r="AO162" s="46">
        <v>0</v>
      </c>
      <c r="AP162" s="46" t="b">
        <v>0</v>
      </c>
      <c r="AQ162" s="46">
        <v>6585.6559999999999</v>
      </c>
      <c r="AS162" s="46">
        <v>6585.6559999999999</v>
      </c>
      <c r="AT162" s="46">
        <v>6</v>
      </c>
      <c r="AU162" s="46" t="b">
        <v>1</v>
      </c>
      <c r="AV162" s="46" t="b">
        <v>0</v>
      </c>
    </row>
    <row r="163" spans="2:48">
      <c r="B163" s="46" t="s">
        <v>665</v>
      </c>
      <c r="C163" s="46" t="s">
        <v>666</v>
      </c>
      <c r="D163" s="46">
        <v>20240201</v>
      </c>
      <c r="E163" s="46">
        <v>2024</v>
      </c>
      <c r="F163" s="46">
        <v>2</v>
      </c>
      <c r="G163" s="46" t="s">
        <v>687</v>
      </c>
      <c r="H163" s="46">
        <v>818</v>
      </c>
      <c r="I163" s="46" t="s">
        <v>668</v>
      </c>
      <c r="J163" s="46" t="s">
        <v>57</v>
      </c>
      <c r="K163" s="46" t="s">
        <v>666</v>
      </c>
      <c r="L163" s="46" t="s">
        <v>669</v>
      </c>
      <c r="M163" s="46">
        <v>384</v>
      </c>
      <c r="N163" s="46" t="s">
        <v>1025</v>
      </c>
      <c r="O163" s="46" t="s">
        <v>127</v>
      </c>
      <c r="P163" s="46">
        <v>0</v>
      </c>
      <c r="Q163" s="46" t="s">
        <v>670</v>
      </c>
      <c r="R163" s="46" t="s">
        <v>23</v>
      </c>
      <c r="S163" s="46" t="s">
        <v>671</v>
      </c>
      <c r="T163" s="46" t="s">
        <v>672</v>
      </c>
      <c r="U163" s="46" t="b">
        <v>1</v>
      </c>
      <c r="V163" s="46" t="s">
        <v>1022</v>
      </c>
      <c r="W163" s="46" t="s">
        <v>1023</v>
      </c>
      <c r="X163" s="46">
        <v>6</v>
      </c>
      <c r="Y163" s="46" t="b">
        <v>1</v>
      </c>
      <c r="Z163" s="46" t="s">
        <v>675</v>
      </c>
      <c r="AA163" s="46" t="s">
        <v>676</v>
      </c>
      <c r="AB163" s="46" t="s">
        <v>677</v>
      </c>
      <c r="AC163" s="46">
        <v>0</v>
      </c>
      <c r="AD163" s="46" t="s">
        <v>678</v>
      </c>
      <c r="AE163" s="46">
        <v>5</v>
      </c>
      <c r="AF163" s="46" t="s">
        <v>1024</v>
      </c>
      <c r="AG163" s="46">
        <v>11.188000000000001</v>
      </c>
      <c r="AH163" s="46" t="b">
        <v>1</v>
      </c>
      <c r="AI163" s="46">
        <v>-1</v>
      </c>
      <c r="AJ163" s="46" t="s">
        <v>680</v>
      </c>
      <c r="AK163" s="46">
        <v>0</v>
      </c>
      <c r="AL163" s="46" t="b">
        <v>0</v>
      </c>
      <c r="AM163" s="46">
        <v>195.13800000000001</v>
      </c>
      <c r="AN163" s="46" t="b">
        <v>1</v>
      </c>
      <c r="AO163" s="46">
        <v>0</v>
      </c>
      <c r="AP163" s="46" t="b">
        <v>0</v>
      </c>
      <c r="AQ163" s="46">
        <v>135.33699999999999</v>
      </c>
      <c r="AS163" s="46">
        <v>135.33699999999999</v>
      </c>
      <c r="AT163" s="46">
        <v>6</v>
      </c>
      <c r="AU163" s="46" t="b">
        <v>1</v>
      </c>
      <c r="AV163" s="46" t="b">
        <v>0</v>
      </c>
    </row>
    <row r="164" spans="2:48">
      <c r="B164" s="46" t="s">
        <v>665</v>
      </c>
      <c r="C164" s="46" t="s">
        <v>666</v>
      </c>
      <c r="D164" s="46">
        <v>20240401</v>
      </c>
      <c r="E164" s="46">
        <v>2024</v>
      </c>
      <c r="F164" s="46">
        <v>4</v>
      </c>
      <c r="G164" s="46" t="s">
        <v>695</v>
      </c>
      <c r="H164" s="46">
        <v>818</v>
      </c>
      <c r="I164" s="46" t="s">
        <v>668</v>
      </c>
      <c r="J164" s="46" t="s">
        <v>57</v>
      </c>
      <c r="K164" s="46" t="s">
        <v>666</v>
      </c>
      <c r="L164" s="46" t="s">
        <v>669</v>
      </c>
      <c r="M164" s="46">
        <v>504</v>
      </c>
      <c r="N164" s="46" t="s">
        <v>1026</v>
      </c>
      <c r="O164" s="46" t="s">
        <v>54</v>
      </c>
      <c r="P164" s="46">
        <v>0</v>
      </c>
      <c r="Q164" s="46" t="s">
        <v>670</v>
      </c>
      <c r="R164" s="46" t="s">
        <v>23</v>
      </c>
      <c r="S164" s="46" t="s">
        <v>671</v>
      </c>
      <c r="T164" s="46" t="s">
        <v>672</v>
      </c>
      <c r="U164" s="46" t="b">
        <v>1</v>
      </c>
      <c r="V164" s="46" t="s">
        <v>1022</v>
      </c>
      <c r="W164" s="46" t="s">
        <v>1023</v>
      </c>
      <c r="X164" s="46">
        <v>6</v>
      </c>
      <c r="Y164" s="46" t="b">
        <v>1</v>
      </c>
      <c r="Z164" s="46" t="s">
        <v>675</v>
      </c>
      <c r="AA164" s="46" t="s">
        <v>676</v>
      </c>
      <c r="AB164" s="46" t="s">
        <v>677</v>
      </c>
      <c r="AC164" s="46">
        <v>0</v>
      </c>
      <c r="AD164" s="46" t="s">
        <v>678</v>
      </c>
      <c r="AE164" s="46">
        <v>5</v>
      </c>
      <c r="AF164" s="46" t="s">
        <v>1024</v>
      </c>
      <c r="AG164" s="46">
        <v>6.2560000000000002</v>
      </c>
      <c r="AH164" s="46" t="b">
        <v>1</v>
      </c>
      <c r="AI164" s="46">
        <v>-1</v>
      </c>
      <c r="AJ164" s="46" t="s">
        <v>680</v>
      </c>
      <c r="AK164" s="46">
        <v>0</v>
      </c>
      <c r="AL164" s="46" t="b">
        <v>0</v>
      </c>
      <c r="AM164" s="46">
        <v>109.119</v>
      </c>
      <c r="AN164" s="46" t="b">
        <v>1</v>
      </c>
      <c r="AO164" s="46">
        <v>0</v>
      </c>
      <c r="AP164" s="46" t="b">
        <v>0</v>
      </c>
      <c r="AQ164" s="46">
        <v>75.679000000000002</v>
      </c>
      <c r="AS164" s="46">
        <v>75.679000000000002</v>
      </c>
      <c r="AT164" s="46">
        <v>6</v>
      </c>
      <c r="AU164" s="46" t="b">
        <v>1</v>
      </c>
      <c r="AV164" s="46" t="b">
        <v>0</v>
      </c>
    </row>
    <row r="165" spans="2:48">
      <c r="B165" s="46" t="s">
        <v>665</v>
      </c>
      <c r="C165" s="46" t="s">
        <v>666</v>
      </c>
      <c r="D165" s="46">
        <v>20240201</v>
      </c>
      <c r="E165" s="46">
        <v>2024</v>
      </c>
      <c r="F165" s="46">
        <v>2</v>
      </c>
      <c r="G165" s="46" t="s">
        <v>687</v>
      </c>
      <c r="H165" s="46">
        <v>818</v>
      </c>
      <c r="I165" s="46" t="s">
        <v>668</v>
      </c>
      <c r="J165" s="46" t="s">
        <v>57</v>
      </c>
      <c r="K165" s="46" t="s">
        <v>666</v>
      </c>
      <c r="L165" s="46" t="s">
        <v>669</v>
      </c>
      <c r="M165" s="46">
        <v>528</v>
      </c>
      <c r="N165" s="46" t="s">
        <v>698</v>
      </c>
      <c r="O165" s="46" t="s">
        <v>60</v>
      </c>
      <c r="P165" s="46">
        <v>0</v>
      </c>
      <c r="Q165" s="46" t="s">
        <v>670</v>
      </c>
      <c r="R165" s="46" t="s">
        <v>23</v>
      </c>
      <c r="S165" s="46" t="s">
        <v>671</v>
      </c>
      <c r="T165" s="46" t="s">
        <v>672</v>
      </c>
      <c r="U165" s="46" t="b">
        <v>1</v>
      </c>
      <c r="V165" s="46" t="s">
        <v>1022</v>
      </c>
      <c r="W165" s="46" t="s">
        <v>1023</v>
      </c>
      <c r="X165" s="46">
        <v>6</v>
      </c>
      <c r="Y165" s="46" t="b">
        <v>1</v>
      </c>
      <c r="Z165" s="46" t="s">
        <v>675</v>
      </c>
      <c r="AA165" s="46" t="s">
        <v>676</v>
      </c>
      <c r="AB165" s="46" t="s">
        <v>677</v>
      </c>
      <c r="AC165" s="46">
        <v>0</v>
      </c>
      <c r="AD165" s="46" t="s">
        <v>678</v>
      </c>
      <c r="AE165" s="46">
        <v>5</v>
      </c>
      <c r="AF165" s="46" t="s">
        <v>1024</v>
      </c>
      <c r="AG165" s="46">
        <v>8.9879999999999995</v>
      </c>
      <c r="AH165" s="46" t="b">
        <v>1</v>
      </c>
      <c r="AI165" s="46">
        <v>-1</v>
      </c>
      <c r="AJ165" s="46" t="s">
        <v>680</v>
      </c>
      <c r="AK165" s="46">
        <v>0</v>
      </c>
      <c r="AL165" s="46" t="b">
        <v>0</v>
      </c>
      <c r="AM165" s="46">
        <v>156.76900000000001</v>
      </c>
      <c r="AN165" s="46" t="b">
        <v>1</v>
      </c>
      <c r="AO165" s="46">
        <v>0</v>
      </c>
      <c r="AP165" s="46" t="b">
        <v>0</v>
      </c>
      <c r="AQ165" s="46">
        <v>108.726</v>
      </c>
      <c r="AS165" s="46">
        <v>108.726</v>
      </c>
      <c r="AT165" s="46">
        <v>6</v>
      </c>
      <c r="AU165" s="46" t="b">
        <v>1</v>
      </c>
      <c r="AV165" s="46" t="b">
        <v>0</v>
      </c>
    </row>
    <row r="166" spans="2:48">
      <c r="B166" s="46" t="s">
        <v>665</v>
      </c>
      <c r="C166" s="46" t="s">
        <v>666</v>
      </c>
      <c r="D166" s="46">
        <v>20240201</v>
      </c>
      <c r="E166" s="46">
        <v>2024</v>
      </c>
      <c r="F166" s="46">
        <v>2</v>
      </c>
      <c r="G166" s="46" t="s">
        <v>687</v>
      </c>
      <c r="H166" s="46">
        <v>818</v>
      </c>
      <c r="I166" s="46" t="s">
        <v>668</v>
      </c>
      <c r="J166" s="46" t="s">
        <v>57</v>
      </c>
      <c r="K166" s="46" t="s">
        <v>666</v>
      </c>
      <c r="L166" s="46" t="s">
        <v>669</v>
      </c>
      <c r="M166" s="46">
        <v>554</v>
      </c>
      <c r="N166" s="46" t="s">
        <v>1013</v>
      </c>
      <c r="O166" s="46" t="s">
        <v>36</v>
      </c>
      <c r="P166" s="46">
        <v>0</v>
      </c>
      <c r="Q166" s="46" t="s">
        <v>670</v>
      </c>
      <c r="R166" s="46" t="s">
        <v>23</v>
      </c>
      <c r="S166" s="46" t="s">
        <v>671</v>
      </c>
      <c r="T166" s="46" t="s">
        <v>672</v>
      </c>
      <c r="U166" s="46" t="b">
        <v>1</v>
      </c>
      <c r="V166" s="46" t="s">
        <v>1022</v>
      </c>
      <c r="W166" s="46" t="s">
        <v>1023</v>
      </c>
      <c r="X166" s="46">
        <v>6</v>
      </c>
      <c r="Y166" s="46" t="b">
        <v>1</v>
      </c>
      <c r="Z166" s="46" t="s">
        <v>675</v>
      </c>
      <c r="AA166" s="46" t="s">
        <v>676</v>
      </c>
      <c r="AB166" s="46" t="s">
        <v>677</v>
      </c>
      <c r="AC166" s="46">
        <v>0</v>
      </c>
      <c r="AD166" s="46" t="s">
        <v>678</v>
      </c>
      <c r="AE166" s="46">
        <v>5</v>
      </c>
      <c r="AF166" s="46" t="s">
        <v>1024</v>
      </c>
      <c r="AG166" s="46">
        <v>74.484999999999999</v>
      </c>
      <c r="AH166" s="46" t="b">
        <v>1</v>
      </c>
      <c r="AI166" s="46">
        <v>-1</v>
      </c>
      <c r="AJ166" s="46" t="s">
        <v>680</v>
      </c>
      <c r="AK166" s="46">
        <v>0</v>
      </c>
      <c r="AL166" s="46" t="b">
        <v>0</v>
      </c>
      <c r="AM166" s="46">
        <v>1299.125</v>
      </c>
      <c r="AN166" s="46" t="b">
        <v>1</v>
      </c>
      <c r="AO166" s="46">
        <v>0</v>
      </c>
      <c r="AP166" s="46" t="b">
        <v>0</v>
      </c>
      <c r="AQ166" s="46">
        <v>901</v>
      </c>
      <c r="AS166" s="46">
        <v>901</v>
      </c>
      <c r="AT166" s="46">
        <v>6</v>
      </c>
      <c r="AU166" s="46" t="b">
        <v>1</v>
      </c>
      <c r="AV166" s="46" t="b">
        <v>0</v>
      </c>
    </row>
    <row r="167" spans="2:48">
      <c r="B167" s="46" t="s">
        <v>665</v>
      </c>
      <c r="C167" s="46" t="s">
        <v>666</v>
      </c>
      <c r="D167" s="46">
        <v>20240201</v>
      </c>
      <c r="E167" s="46">
        <v>2024</v>
      </c>
      <c r="F167" s="46">
        <v>2</v>
      </c>
      <c r="G167" s="46" t="s">
        <v>687</v>
      </c>
      <c r="H167" s="46">
        <v>818</v>
      </c>
      <c r="I167" s="46" t="s">
        <v>668</v>
      </c>
      <c r="J167" s="46" t="s">
        <v>57</v>
      </c>
      <c r="K167" s="46" t="s">
        <v>666</v>
      </c>
      <c r="L167" s="46" t="s">
        <v>669</v>
      </c>
      <c r="M167" s="46">
        <v>568</v>
      </c>
      <c r="N167" s="46" t="s">
        <v>682</v>
      </c>
      <c r="O167" s="46" t="s">
        <v>683</v>
      </c>
      <c r="P167" s="46">
        <v>0</v>
      </c>
      <c r="Q167" s="46" t="s">
        <v>670</v>
      </c>
      <c r="R167" s="46" t="s">
        <v>23</v>
      </c>
      <c r="S167" s="46" t="s">
        <v>671</v>
      </c>
      <c r="T167" s="46" t="s">
        <v>672</v>
      </c>
      <c r="U167" s="46" t="b">
        <v>1</v>
      </c>
      <c r="V167" s="46" t="s">
        <v>1022</v>
      </c>
      <c r="W167" s="46" t="s">
        <v>1023</v>
      </c>
      <c r="X167" s="46">
        <v>6</v>
      </c>
      <c r="Y167" s="46" t="b">
        <v>1</v>
      </c>
      <c r="Z167" s="46" t="s">
        <v>675</v>
      </c>
      <c r="AA167" s="46" t="s">
        <v>676</v>
      </c>
      <c r="AB167" s="46" t="s">
        <v>677</v>
      </c>
      <c r="AC167" s="46">
        <v>0</v>
      </c>
      <c r="AD167" s="46" t="s">
        <v>678</v>
      </c>
      <c r="AE167" s="46">
        <v>5</v>
      </c>
      <c r="AF167" s="46" t="s">
        <v>1024</v>
      </c>
      <c r="AG167" s="46">
        <v>5.4169999999999998</v>
      </c>
      <c r="AH167" s="46" t="b">
        <v>1</v>
      </c>
      <c r="AI167" s="46">
        <v>-1</v>
      </c>
      <c r="AJ167" s="46" t="s">
        <v>680</v>
      </c>
      <c r="AK167" s="46">
        <v>0</v>
      </c>
      <c r="AL167" s="46" t="b">
        <v>0</v>
      </c>
      <c r="AM167" s="46">
        <v>94.471000000000004</v>
      </c>
      <c r="AN167" s="46" t="b">
        <v>1</v>
      </c>
      <c r="AO167" s="46">
        <v>0</v>
      </c>
      <c r="AP167" s="46" t="b">
        <v>0</v>
      </c>
      <c r="AQ167" s="46">
        <v>65.52</v>
      </c>
      <c r="AS167" s="46">
        <v>65.52</v>
      </c>
      <c r="AT167" s="46">
        <v>6</v>
      </c>
      <c r="AU167" s="46" t="b">
        <v>1</v>
      </c>
      <c r="AV167" s="46" t="b">
        <v>0</v>
      </c>
    </row>
    <row r="168" spans="2:48">
      <c r="B168" s="46" t="s">
        <v>665</v>
      </c>
      <c r="C168" s="46" t="s">
        <v>666</v>
      </c>
      <c r="D168" s="46">
        <v>20240201</v>
      </c>
      <c r="E168" s="46">
        <v>2024</v>
      </c>
      <c r="F168" s="46">
        <v>2</v>
      </c>
      <c r="G168" s="46" t="s">
        <v>687</v>
      </c>
      <c r="H168" s="46">
        <v>818</v>
      </c>
      <c r="I168" s="46" t="s">
        <v>668</v>
      </c>
      <c r="J168" s="46" t="s">
        <v>57</v>
      </c>
      <c r="K168" s="46" t="s">
        <v>666</v>
      </c>
      <c r="L168" s="46" t="s">
        <v>669</v>
      </c>
      <c r="M168" s="46">
        <v>616</v>
      </c>
      <c r="N168" s="46" t="s">
        <v>999</v>
      </c>
      <c r="O168" s="46" t="s">
        <v>84</v>
      </c>
      <c r="P168" s="46">
        <v>0</v>
      </c>
      <c r="Q168" s="46" t="s">
        <v>670</v>
      </c>
      <c r="R168" s="46" t="s">
        <v>23</v>
      </c>
      <c r="S168" s="46" t="s">
        <v>671</v>
      </c>
      <c r="T168" s="46" t="s">
        <v>672</v>
      </c>
      <c r="U168" s="46" t="b">
        <v>1</v>
      </c>
      <c r="V168" s="46" t="s">
        <v>1022</v>
      </c>
      <c r="W168" s="46" t="s">
        <v>1023</v>
      </c>
      <c r="X168" s="46">
        <v>6</v>
      </c>
      <c r="Y168" s="46" t="b">
        <v>1</v>
      </c>
      <c r="Z168" s="46" t="s">
        <v>675</v>
      </c>
      <c r="AA168" s="46" t="s">
        <v>676</v>
      </c>
      <c r="AB168" s="46" t="s">
        <v>677</v>
      </c>
      <c r="AC168" s="46">
        <v>0</v>
      </c>
      <c r="AD168" s="46" t="s">
        <v>678</v>
      </c>
      <c r="AE168" s="46">
        <v>5</v>
      </c>
      <c r="AF168" s="46" t="s">
        <v>1024</v>
      </c>
      <c r="AG168" s="46">
        <v>13.369</v>
      </c>
      <c r="AH168" s="46" t="b">
        <v>1</v>
      </c>
      <c r="AI168" s="46">
        <v>-1</v>
      </c>
      <c r="AJ168" s="46" t="s">
        <v>680</v>
      </c>
      <c r="AK168" s="46">
        <v>0</v>
      </c>
      <c r="AL168" s="46" t="b">
        <v>0</v>
      </c>
      <c r="AM168" s="46">
        <v>233.18</v>
      </c>
      <c r="AN168" s="46" t="b">
        <v>1</v>
      </c>
      <c r="AO168" s="46">
        <v>0</v>
      </c>
      <c r="AP168" s="46" t="b">
        <v>0</v>
      </c>
      <c r="AQ168" s="46">
        <v>161.721</v>
      </c>
      <c r="AS168" s="46">
        <v>161.721</v>
      </c>
      <c r="AT168" s="46">
        <v>6</v>
      </c>
      <c r="AU168" s="46" t="b">
        <v>1</v>
      </c>
      <c r="AV168" s="46" t="b">
        <v>0</v>
      </c>
    </row>
    <row r="169" spans="2:48">
      <c r="B169" s="46" t="s">
        <v>665</v>
      </c>
      <c r="C169" s="46" t="s">
        <v>666</v>
      </c>
      <c r="D169" s="46">
        <v>20240301</v>
      </c>
      <c r="E169" s="46">
        <v>2024</v>
      </c>
      <c r="F169" s="46">
        <v>3</v>
      </c>
      <c r="G169" s="46" t="s">
        <v>692</v>
      </c>
      <c r="H169" s="46">
        <v>818</v>
      </c>
      <c r="I169" s="46" t="s">
        <v>668</v>
      </c>
      <c r="J169" s="46" t="s">
        <v>57</v>
      </c>
      <c r="K169" s="46" t="s">
        <v>666</v>
      </c>
      <c r="L169" s="46" t="s">
        <v>669</v>
      </c>
      <c r="M169" s="46">
        <v>620</v>
      </c>
      <c r="N169" s="46" t="s">
        <v>693</v>
      </c>
      <c r="O169" s="46" t="s">
        <v>85</v>
      </c>
      <c r="P169" s="46">
        <v>0</v>
      </c>
      <c r="Q169" s="46" t="s">
        <v>670</v>
      </c>
      <c r="R169" s="46" t="s">
        <v>23</v>
      </c>
      <c r="S169" s="46" t="s">
        <v>671</v>
      </c>
      <c r="T169" s="46" t="s">
        <v>672</v>
      </c>
      <c r="U169" s="46" t="b">
        <v>1</v>
      </c>
      <c r="V169" s="46" t="s">
        <v>1022</v>
      </c>
      <c r="W169" s="46" t="s">
        <v>1023</v>
      </c>
      <c r="X169" s="46">
        <v>6</v>
      </c>
      <c r="Y169" s="46" t="b">
        <v>1</v>
      </c>
      <c r="Z169" s="46" t="s">
        <v>675</v>
      </c>
      <c r="AA169" s="46" t="s">
        <v>676</v>
      </c>
      <c r="AB169" s="46" t="s">
        <v>677</v>
      </c>
      <c r="AC169" s="46">
        <v>0</v>
      </c>
      <c r="AD169" s="46" t="s">
        <v>678</v>
      </c>
      <c r="AE169" s="46">
        <v>5</v>
      </c>
      <c r="AF169" s="46" t="s">
        <v>1024</v>
      </c>
      <c r="AG169" s="46">
        <v>19.922999999999998</v>
      </c>
      <c r="AH169" s="46" t="b">
        <v>1</v>
      </c>
      <c r="AI169" s="46">
        <v>-1</v>
      </c>
      <c r="AJ169" s="46" t="s">
        <v>680</v>
      </c>
      <c r="AK169" s="46">
        <v>0</v>
      </c>
      <c r="AL169" s="46" t="b">
        <v>0</v>
      </c>
      <c r="AM169" s="46">
        <v>347.49099999999999</v>
      </c>
      <c r="AN169" s="46" t="b">
        <v>1</v>
      </c>
      <c r="AO169" s="46">
        <v>0</v>
      </c>
      <c r="AP169" s="46" t="b">
        <v>0</v>
      </c>
      <c r="AQ169" s="46">
        <v>241</v>
      </c>
      <c r="AS169" s="46">
        <v>241</v>
      </c>
      <c r="AT169" s="46">
        <v>6</v>
      </c>
      <c r="AU169" s="46" t="b">
        <v>1</v>
      </c>
      <c r="AV169" s="46" t="b">
        <v>0</v>
      </c>
    </row>
    <row r="170" spans="2:48">
      <c r="B170" s="46" t="s">
        <v>665</v>
      </c>
      <c r="C170" s="46" t="s">
        <v>666</v>
      </c>
      <c r="D170" s="46">
        <v>20240601</v>
      </c>
      <c r="E170" s="46">
        <v>2024</v>
      </c>
      <c r="F170" s="46">
        <v>6</v>
      </c>
      <c r="G170" s="46" t="s">
        <v>700</v>
      </c>
      <c r="H170" s="46">
        <v>818</v>
      </c>
      <c r="I170" s="46" t="s">
        <v>668</v>
      </c>
      <c r="J170" s="46" t="s">
        <v>57</v>
      </c>
      <c r="K170" s="46" t="s">
        <v>666</v>
      </c>
      <c r="L170" s="46" t="s">
        <v>669</v>
      </c>
      <c r="M170" s="46">
        <v>699</v>
      </c>
      <c r="N170" s="46" t="s">
        <v>748</v>
      </c>
      <c r="O170" s="46" t="s">
        <v>0</v>
      </c>
      <c r="P170" s="46">
        <v>0</v>
      </c>
      <c r="Q170" s="46" t="s">
        <v>670</v>
      </c>
      <c r="R170" s="46" t="s">
        <v>23</v>
      </c>
      <c r="S170" s="46" t="s">
        <v>671</v>
      </c>
      <c r="T170" s="46" t="s">
        <v>672</v>
      </c>
      <c r="U170" s="46" t="b">
        <v>1</v>
      </c>
      <c r="V170" s="46" t="s">
        <v>1022</v>
      </c>
      <c r="W170" s="46" t="s">
        <v>1023</v>
      </c>
      <c r="X170" s="46">
        <v>6</v>
      </c>
      <c r="Y170" s="46" t="b">
        <v>1</v>
      </c>
      <c r="Z170" s="46" t="s">
        <v>675</v>
      </c>
      <c r="AA170" s="46" t="s">
        <v>676</v>
      </c>
      <c r="AB170" s="46" t="s">
        <v>677</v>
      </c>
      <c r="AC170" s="46">
        <v>0</v>
      </c>
      <c r="AD170" s="46" t="s">
        <v>678</v>
      </c>
      <c r="AE170" s="46">
        <v>5</v>
      </c>
      <c r="AF170" s="46" t="s">
        <v>1024</v>
      </c>
      <c r="AG170" s="46">
        <v>10068.662</v>
      </c>
      <c r="AH170" s="46" t="b">
        <v>1</v>
      </c>
      <c r="AI170" s="46">
        <v>-1</v>
      </c>
      <c r="AJ170" s="46" t="s">
        <v>680</v>
      </c>
      <c r="AK170" s="46">
        <v>0</v>
      </c>
      <c r="AL170" s="46" t="b">
        <v>0</v>
      </c>
      <c r="AM170" s="46">
        <v>175611.17199999999</v>
      </c>
      <c r="AN170" s="46" t="b">
        <v>1</v>
      </c>
      <c r="AO170" s="46">
        <v>0</v>
      </c>
      <c r="AP170" s="46" t="b">
        <v>0</v>
      </c>
      <c r="AQ170" s="46">
        <v>121794.086</v>
      </c>
      <c r="AS170" s="46">
        <v>121794.086</v>
      </c>
      <c r="AT170" s="46">
        <v>6</v>
      </c>
      <c r="AU170" s="46" t="b">
        <v>1</v>
      </c>
      <c r="AV170" s="46" t="b">
        <v>0</v>
      </c>
    </row>
    <row r="171" spans="2:48">
      <c r="B171" s="46" t="s">
        <v>665</v>
      </c>
      <c r="C171" s="46" t="s">
        <v>666</v>
      </c>
      <c r="D171" s="46">
        <v>20240101</v>
      </c>
      <c r="E171" s="46">
        <v>2024</v>
      </c>
      <c r="F171" s="46">
        <v>1</v>
      </c>
      <c r="G171" s="46" t="s">
        <v>667</v>
      </c>
      <c r="H171" s="46">
        <v>818</v>
      </c>
      <c r="I171" s="46" t="s">
        <v>668</v>
      </c>
      <c r="J171" s="46" t="s">
        <v>57</v>
      </c>
      <c r="K171" s="46" t="s">
        <v>666</v>
      </c>
      <c r="L171" s="46" t="s">
        <v>669</v>
      </c>
      <c r="M171" s="46">
        <v>710</v>
      </c>
      <c r="N171" s="46" t="s">
        <v>995</v>
      </c>
      <c r="O171" s="46" t="s">
        <v>40</v>
      </c>
      <c r="P171" s="46">
        <v>0</v>
      </c>
      <c r="Q171" s="46" t="s">
        <v>670</v>
      </c>
      <c r="R171" s="46" t="s">
        <v>23</v>
      </c>
      <c r="S171" s="46" t="s">
        <v>671</v>
      </c>
      <c r="T171" s="46" t="s">
        <v>672</v>
      </c>
      <c r="U171" s="46" t="b">
        <v>1</v>
      </c>
      <c r="V171" s="46" t="s">
        <v>1022</v>
      </c>
      <c r="W171" s="46" t="s">
        <v>1023</v>
      </c>
      <c r="X171" s="46">
        <v>6</v>
      </c>
      <c r="Y171" s="46" t="b">
        <v>1</v>
      </c>
      <c r="Z171" s="46" t="s">
        <v>675</v>
      </c>
      <c r="AA171" s="46" t="s">
        <v>676</v>
      </c>
      <c r="AB171" s="46" t="s">
        <v>677</v>
      </c>
      <c r="AC171" s="46">
        <v>0</v>
      </c>
      <c r="AD171" s="46" t="s">
        <v>678</v>
      </c>
      <c r="AE171" s="46">
        <v>5</v>
      </c>
      <c r="AF171" s="46" t="s">
        <v>1024</v>
      </c>
      <c r="AG171" s="46">
        <v>10.882</v>
      </c>
      <c r="AH171" s="46" t="b">
        <v>1</v>
      </c>
      <c r="AI171" s="46">
        <v>-1</v>
      </c>
      <c r="AJ171" s="46" t="s">
        <v>680</v>
      </c>
      <c r="AK171" s="46">
        <v>0</v>
      </c>
      <c r="AL171" s="46" t="b">
        <v>0</v>
      </c>
      <c r="AM171" s="46">
        <v>189.80099999999999</v>
      </c>
      <c r="AN171" s="46" t="b">
        <v>1</v>
      </c>
      <c r="AO171" s="46">
        <v>0</v>
      </c>
      <c r="AP171" s="46" t="b">
        <v>0</v>
      </c>
      <c r="AQ171" s="46">
        <v>131.636</v>
      </c>
      <c r="AS171" s="46">
        <v>131.636</v>
      </c>
      <c r="AT171" s="46">
        <v>6</v>
      </c>
      <c r="AU171" s="46" t="b">
        <v>1</v>
      </c>
      <c r="AV171" s="46" t="b">
        <v>0</v>
      </c>
    </row>
    <row r="172" spans="2:48">
      <c r="B172" s="46" t="s">
        <v>665</v>
      </c>
      <c r="C172" s="46" t="s">
        <v>666</v>
      </c>
      <c r="D172" s="46">
        <v>20240201</v>
      </c>
      <c r="E172" s="46">
        <v>2024</v>
      </c>
      <c r="F172" s="46">
        <v>2</v>
      </c>
      <c r="G172" s="46" t="s">
        <v>687</v>
      </c>
      <c r="H172" s="46">
        <v>818</v>
      </c>
      <c r="I172" s="46" t="s">
        <v>668</v>
      </c>
      <c r="J172" s="46" t="s">
        <v>57</v>
      </c>
      <c r="K172" s="46" t="s">
        <v>666</v>
      </c>
      <c r="L172" s="46" t="s">
        <v>669</v>
      </c>
      <c r="M172" s="46">
        <v>724</v>
      </c>
      <c r="N172" s="46" t="s">
        <v>684</v>
      </c>
      <c r="O172" s="46" t="s">
        <v>51</v>
      </c>
      <c r="P172" s="46">
        <v>0</v>
      </c>
      <c r="Q172" s="46" t="s">
        <v>670</v>
      </c>
      <c r="R172" s="46" t="s">
        <v>23</v>
      </c>
      <c r="S172" s="46" t="s">
        <v>671</v>
      </c>
      <c r="T172" s="46" t="s">
        <v>672</v>
      </c>
      <c r="U172" s="46" t="b">
        <v>1</v>
      </c>
      <c r="V172" s="46" t="s">
        <v>1022</v>
      </c>
      <c r="W172" s="46" t="s">
        <v>1023</v>
      </c>
      <c r="X172" s="46">
        <v>6</v>
      </c>
      <c r="Y172" s="46" t="b">
        <v>1</v>
      </c>
      <c r="Z172" s="46" t="s">
        <v>675</v>
      </c>
      <c r="AA172" s="46" t="s">
        <v>676</v>
      </c>
      <c r="AB172" s="46" t="s">
        <v>677</v>
      </c>
      <c r="AC172" s="46">
        <v>0</v>
      </c>
      <c r="AD172" s="46" t="s">
        <v>678</v>
      </c>
      <c r="AE172" s="46">
        <v>5</v>
      </c>
      <c r="AF172" s="46" t="s">
        <v>1024</v>
      </c>
      <c r="AG172" s="46">
        <v>890.06299999999999</v>
      </c>
      <c r="AH172" s="46" t="b">
        <v>1</v>
      </c>
      <c r="AI172" s="46">
        <v>-1</v>
      </c>
      <c r="AJ172" s="46" t="s">
        <v>680</v>
      </c>
      <c r="AK172" s="46">
        <v>0</v>
      </c>
      <c r="AL172" s="46" t="b">
        <v>0</v>
      </c>
      <c r="AM172" s="46">
        <v>15523.91</v>
      </c>
      <c r="AN172" s="46" t="b">
        <v>1</v>
      </c>
      <c r="AO172" s="46">
        <v>0</v>
      </c>
      <c r="AP172" s="46" t="b">
        <v>0</v>
      </c>
      <c r="AQ172" s="46">
        <v>10766.514999999999</v>
      </c>
      <c r="AS172" s="46">
        <v>10766.514999999999</v>
      </c>
      <c r="AT172" s="46">
        <v>6</v>
      </c>
      <c r="AU172" s="46" t="b">
        <v>1</v>
      </c>
      <c r="AV172" s="46" t="b">
        <v>0</v>
      </c>
    </row>
    <row r="173" spans="2:48">
      <c r="B173" s="46" t="s">
        <v>665</v>
      </c>
      <c r="C173" s="46" t="s">
        <v>666</v>
      </c>
      <c r="D173" s="46">
        <v>20240301</v>
      </c>
      <c r="E173" s="46">
        <v>2024</v>
      </c>
      <c r="F173" s="46">
        <v>3</v>
      </c>
      <c r="G173" s="46" t="s">
        <v>692</v>
      </c>
      <c r="H173" s="46">
        <v>818</v>
      </c>
      <c r="I173" s="46" t="s">
        <v>668</v>
      </c>
      <c r="J173" s="46" t="s">
        <v>57</v>
      </c>
      <c r="K173" s="46" t="s">
        <v>666</v>
      </c>
      <c r="L173" s="46" t="s">
        <v>669</v>
      </c>
      <c r="M173" s="46">
        <v>757</v>
      </c>
      <c r="N173" s="46" t="s">
        <v>996</v>
      </c>
      <c r="O173" s="46" t="s">
        <v>41</v>
      </c>
      <c r="P173" s="46">
        <v>0</v>
      </c>
      <c r="Q173" s="46" t="s">
        <v>670</v>
      </c>
      <c r="R173" s="46" t="s">
        <v>23</v>
      </c>
      <c r="S173" s="46" t="s">
        <v>671</v>
      </c>
      <c r="T173" s="46" t="s">
        <v>672</v>
      </c>
      <c r="U173" s="46" t="b">
        <v>1</v>
      </c>
      <c r="V173" s="46" t="s">
        <v>1022</v>
      </c>
      <c r="W173" s="46" t="s">
        <v>1023</v>
      </c>
      <c r="X173" s="46">
        <v>6</v>
      </c>
      <c r="Y173" s="46" t="b">
        <v>1</v>
      </c>
      <c r="Z173" s="46" t="s">
        <v>675</v>
      </c>
      <c r="AA173" s="46" t="s">
        <v>676</v>
      </c>
      <c r="AB173" s="46" t="s">
        <v>677</v>
      </c>
      <c r="AC173" s="46">
        <v>0</v>
      </c>
      <c r="AD173" s="46" t="s">
        <v>678</v>
      </c>
      <c r="AE173" s="46">
        <v>5</v>
      </c>
      <c r="AF173" s="46" t="s">
        <v>1024</v>
      </c>
      <c r="AG173" s="46">
        <v>47.204000000000001</v>
      </c>
      <c r="AH173" s="46" t="b">
        <v>1</v>
      </c>
      <c r="AI173" s="46">
        <v>-1</v>
      </c>
      <c r="AJ173" s="46" t="s">
        <v>680</v>
      </c>
      <c r="AK173" s="46">
        <v>0</v>
      </c>
      <c r="AL173" s="46" t="b">
        <v>0</v>
      </c>
      <c r="AM173" s="46">
        <v>823.30700000000002</v>
      </c>
      <c r="AN173" s="46" t="b">
        <v>1</v>
      </c>
      <c r="AO173" s="46">
        <v>0</v>
      </c>
      <c r="AP173" s="46" t="b">
        <v>0</v>
      </c>
      <c r="AQ173" s="46">
        <v>571</v>
      </c>
      <c r="AS173" s="46">
        <v>571</v>
      </c>
      <c r="AT173" s="46">
        <v>6</v>
      </c>
      <c r="AU173" s="46" t="b">
        <v>1</v>
      </c>
      <c r="AV173" s="46" t="b">
        <v>0</v>
      </c>
    </row>
    <row r="174" spans="2:48">
      <c r="B174" s="46" t="s">
        <v>665</v>
      </c>
      <c r="C174" s="46" t="s">
        <v>666</v>
      </c>
      <c r="D174" s="46">
        <v>20240301</v>
      </c>
      <c r="E174" s="46">
        <v>2024</v>
      </c>
      <c r="F174" s="46">
        <v>3</v>
      </c>
      <c r="G174" s="46" t="s">
        <v>692</v>
      </c>
      <c r="H174" s="46">
        <v>818</v>
      </c>
      <c r="I174" s="46" t="s">
        <v>668</v>
      </c>
      <c r="J174" s="46" t="s">
        <v>57</v>
      </c>
      <c r="K174" s="46" t="s">
        <v>666</v>
      </c>
      <c r="L174" s="46" t="s">
        <v>669</v>
      </c>
      <c r="M174" s="46">
        <v>764</v>
      </c>
      <c r="N174" s="46" t="s">
        <v>749</v>
      </c>
      <c r="O174" s="46" t="s">
        <v>55</v>
      </c>
      <c r="P174" s="46">
        <v>0</v>
      </c>
      <c r="Q174" s="46" t="s">
        <v>670</v>
      </c>
      <c r="R174" s="46" t="s">
        <v>23</v>
      </c>
      <c r="S174" s="46" t="s">
        <v>671</v>
      </c>
      <c r="T174" s="46" t="s">
        <v>672</v>
      </c>
      <c r="U174" s="46" t="b">
        <v>1</v>
      </c>
      <c r="V174" s="46" t="s">
        <v>1022</v>
      </c>
      <c r="W174" s="46" t="s">
        <v>1023</v>
      </c>
      <c r="X174" s="46">
        <v>6</v>
      </c>
      <c r="Y174" s="46" t="b">
        <v>1</v>
      </c>
      <c r="Z174" s="46" t="s">
        <v>675</v>
      </c>
      <c r="AA174" s="46" t="s">
        <v>676</v>
      </c>
      <c r="AB174" s="46" t="s">
        <v>677</v>
      </c>
      <c r="AC174" s="46">
        <v>0</v>
      </c>
      <c r="AD174" s="46" t="s">
        <v>678</v>
      </c>
      <c r="AE174" s="46">
        <v>5</v>
      </c>
      <c r="AF174" s="46" t="s">
        <v>1024</v>
      </c>
      <c r="AG174" s="46">
        <v>56.381</v>
      </c>
      <c r="AH174" s="46" t="b">
        <v>1</v>
      </c>
      <c r="AI174" s="46">
        <v>-1</v>
      </c>
      <c r="AJ174" s="46" t="s">
        <v>680</v>
      </c>
      <c r="AK174" s="46">
        <v>0</v>
      </c>
      <c r="AL174" s="46" t="b">
        <v>0</v>
      </c>
      <c r="AM174" s="46">
        <v>983.35500000000002</v>
      </c>
      <c r="AN174" s="46" t="b">
        <v>1</v>
      </c>
      <c r="AO174" s="46">
        <v>0</v>
      </c>
      <c r="AP174" s="46" t="b">
        <v>0</v>
      </c>
      <c r="AQ174" s="46">
        <v>682</v>
      </c>
      <c r="AS174" s="46">
        <v>682</v>
      </c>
      <c r="AT174" s="46">
        <v>6</v>
      </c>
      <c r="AU174" s="46" t="b">
        <v>1</v>
      </c>
      <c r="AV174" s="46" t="b">
        <v>0</v>
      </c>
    </row>
    <row r="175" spans="2:48">
      <c r="B175" s="46" t="s">
        <v>665</v>
      </c>
      <c r="C175" s="46" t="s">
        <v>666</v>
      </c>
      <c r="D175" s="46">
        <v>20240101</v>
      </c>
      <c r="E175" s="46">
        <v>2024</v>
      </c>
      <c r="F175" s="46">
        <v>1</v>
      </c>
      <c r="G175" s="46" t="s">
        <v>667</v>
      </c>
      <c r="H175" s="46">
        <v>818</v>
      </c>
      <c r="I175" s="46" t="s">
        <v>668</v>
      </c>
      <c r="J175" s="46" t="s">
        <v>57</v>
      </c>
      <c r="K175" s="46" t="s">
        <v>666</v>
      </c>
      <c r="L175" s="46" t="s">
        <v>669</v>
      </c>
      <c r="M175" s="46">
        <v>784</v>
      </c>
      <c r="N175" s="46" t="s">
        <v>694</v>
      </c>
      <c r="O175" s="46" t="s">
        <v>25</v>
      </c>
      <c r="P175" s="46">
        <v>0</v>
      </c>
      <c r="Q175" s="46" t="s">
        <v>670</v>
      </c>
      <c r="R175" s="46" t="s">
        <v>23</v>
      </c>
      <c r="S175" s="46" t="s">
        <v>671</v>
      </c>
      <c r="T175" s="46" t="s">
        <v>672</v>
      </c>
      <c r="U175" s="46" t="b">
        <v>1</v>
      </c>
      <c r="V175" s="46" t="s">
        <v>1022</v>
      </c>
      <c r="W175" s="46" t="s">
        <v>1023</v>
      </c>
      <c r="X175" s="46">
        <v>6</v>
      </c>
      <c r="Y175" s="46" t="b">
        <v>1</v>
      </c>
      <c r="Z175" s="46" t="s">
        <v>675</v>
      </c>
      <c r="AA175" s="46" t="s">
        <v>676</v>
      </c>
      <c r="AB175" s="46" t="s">
        <v>677</v>
      </c>
      <c r="AC175" s="46">
        <v>0</v>
      </c>
      <c r="AD175" s="46" t="s">
        <v>678</v>
      </c>
      <c r="AE175" s="46">
        <v>5</v>
      </c>
      <c r="AF175" s="46" t="s">
        <v>1024</v>
      </c>
      <c r="AG175" s="46">
        <v>11.243</v>
      </c>
      <c r="AH175" s="46" t="b">
        <v>1</v>
      </c>
      <c r="AI175" s="46">
        <v>-1</v>
      </c>
      <c r="AJ175" s="46" t="s">
        <v>680</v>
      </c>
      <c r="AK175" s="46">
        <v>0</v>
      </c>
      <c r="AL175" s="46" t="b">
        <v>0</v>
      </c>
      <c r="AM175" s="46">
        <v>196.09399999999999</v>
      </c>
      <c r="AN175" s="46" t="b">
        <v>1</v>
      </c>
      <c r="AO175" s="46">
        <v>0</v>
      </c>
      <c r="AP175" s="46" t="b">
        <v>0</v>
      </c>
      <c r="AQ175" s="46">
        <v>136</v>
      </c>
      <c r="AS175" s="46">
        <v>136</v>
      </c>
      <c r="AT175" s="46">
        <v>6</v>
      </c>
      <c r="AU175" s="46" t="b">
        <v>1</v>
      </c>
      <c r="AV175" s="46" t="b">
        <v>0</v>
      </c>
    </row>
    <row r="176" spans="2:48">
      <c r="B176" s="46" t="s">
        <v>665</v>
      </c>
      <c r="C176" s="46" t="s">
        <v>666</v>
      </c>
      <c r="D176" s="46">
        <v>20240601</v>
      </c>
      <c r="E176" s="46">
        <v>2024</v>
      </c>
      <c r="F176" s="46">
        <v>6</v>
      </c>
      <c r="G176" s="46" t="s">
        <v>700</v>
      </c>
      <c r="H176" s="46">
        <v>818</v>
      </c>
      <c r="I176" s="46" t="s">
        <v>668</v>
      </c>
      <c r="J176" s="46" t="s">
        <v>57</v>
      </c>
      <c r="K176" s="46" t="s">
        <v>666</v>
      </c>
      <c r="L176" s="46" t="s">
        <v>669</v>
      </c>
      <c r="M176" s="46">
        <v>792</v>
      </c>
      <c r="N176" s="46" t="s">
        <v>691</v>
      </c>
      <c r="O176" s="46" t="s">
        <v>63</v>
      </c>
      <c r="P176" s="46">
        <v>0</v>
      </c>
      <c r="Q176" s="46" t="s">
        <v>670</v>
      </c>
      <c r="R176" s="46" t="s">
        <v>23</v>
      </c>
      <c r="S176" s="46" t="s">
        <v>671</v>
      </c>
      <c r="T176" s="46" t="s">
        <v>672</v>
      </c>
      <c r="U176" s="46" t="b">
        <v>1</v>
      </c>
      <c r="V176" s="46" t="s">
        <v>1022</v>
      </c>
      <c r="W176" s="46" t="s">
        <v>1023</v>
      </c>
      <c r="X176" s="46">
        <v>6</v>
      </c>
      <c r="Y176" s="46" t="b">
        <v>1</v>
      </c>
      <c r="Z176" s="46" t="s">
        <v>675</v>
      </c>
      <c r="AA176" s="46" t="s">
        <v>676</v>
      </c>
      <c r="AB176" s="46" t="s">
        <v>677</v>
      </c>
      <c r="AC176" s="46">
        <v>0</v>
      </c>
      <c r="AD176" s="46" t="s">
        <v>678</v>
      </c>
      <c r="AE176" s="46">
        <v>5</v>
      </c>
      <c r="AF176" s="46" t="s">
        <v>1024</v>
      </c>
      <c r="AG176" s="46">
        <v>45.886000000000003</v>
      </c>
      <c r="AH176" s="46" t="b">
        <v>1</v>
      </c>
      <c r="AI176" s="46">
        <v>-1</v>
      </c>
      <c r="AJ176" s="46" t="s">
        <v>680</v>
      </c>
      <c r="AK176" s="46">
        <v>0</v>
      </c>
      <c r="AL176" s="46" t="b">
        <v>0</v>
      </c>
      <c r="AM176" s="46">
        <v>800.30899999999997</v>
      </c>
      <c r="AN176" s="46" t="b">
        <v>1</v>
      </c>
      <c r="AO176" s="46">
        <v>0</v>
      </c>
      <c r="AP176" s="46" t="b">
        <v>0</v>
      </c>
      <c r="AQ176" s="46">
        <v>555.04999999999995</v>
      </c>
      <c r="AS176" s="46">
        <v>555.04999999999995</v>
      </c>
      <c r="AT176" s="46">
        <v>6</v>
      </c>
      <c r="AU176" s="46" t="b">
        <v>1</v>
      </c>
      <c r="AV176" s="46" t="b">
        <v>0</v>
      </c>
    </row>
    <row r="177" spans="2:48">
      <c r="B177" s="46" t="s">
        <v>665</v>
      </c>
      <c r="C177" s="46" t="s">
        <v>666</v>
      </c>
      <c r="D177" s="46">
        <v>20240601</v>
      </c>
      <c r="E177" s="46">
        <v>2024</v>
      </c>
      <c r="F177" s="46">
        <v>6</v>
      </c>
      <c r="G177" s="46" t="s">
        <v>700</v>
      </c>
      <c r="H177" s="46">
        <v>818</v>
      </c>
      <c r="I177" s="46" t="s">
        <v>668</v>
      </c>
      <c r="J177" s="46" t="s">
        <v>57</v>
      </c>
      <c r="K177" s="46" t="s">
        <v>666</v>
      </c>
      <c r="L177" s="46" t="s">
        <v>669</v>
      </c>
      <c r="M177" s="46">
        <v>826</v>
      </c>
      <c r="N177" s="46" t="s">
        <v>685</v>
      </c>
      <c r="O177" s="46" t="s">
        <v>64</v>
      </c>
      <c r="P177" s="46">
        <v>0</v>
      </c>
      <c r="Q177" s="46" t="s">
        <v>670</v>
      </c>
      <c r="R177" s="46" t="s">
        <v>23</v>
      </c>
      <c r="S177" s="46" t="s">
        <v>671</v>
      </c>
      <c r="T177" s="46" t="s">
        <v>672</v>
      </c>
      <c r="U177" s="46" t="b">
        <v>1</v>
      </c>
      <c r="V177" s="46" t="s">
        <v>1022</v>
      </c>
      <c r="W177" s="46" t="s">
        <v>1023</v>
      </c>
      <c r="X177" s="46">
        <v>6</v>
      </c>
      <c r="Y177" s="46" t="b">
        <v>1</v>
      </c>
      <c r="Z177" s="46" t="s">
        <v>675</v>
      </c>
      <c r="AA177" s="46" t="s">
        <v>676</v>
      </c>
      <c r="AB177" s="46" t="s">
        <v>677</v>
      </c>
      <c r="AC177" s="46">
        <v>0</v>
      </c>
      <c r="AD177" s="46" t="s">
        <v>678</v>
      </c>
      <c r="AE177" s="46">
        <v>5</v>
      </c>
      <c r="AF177" s="46" t="s">
        <v>1024</v>
      </c>
      <c r="AG177" s="46">
        <v>39.387999999999998</v>
      </c>
      <c r="AH177" s="46" t="b">
        <v>1</v>
      </c>
      <c r="AI177" s="46">
        <v>-1</v>
      </c>
      <c r="AJ177" s="46" t="s">
        <v>680</v>
      </c>
      <c r="AK177" s="46">
        <v>0</v>
      </c>
      <c r="AL177" s="46" t="b">
        <v>0</v>
      </c>
      <c r="AM177" s="46">
        <v>686.98699999999997</v>
      </c>
      <c r="AN177" s="46" t="b">
        <v>1</v>
      </c>
      <c r="AO177" s="46">
        <v>0</v>
      </c>
      <c r="AP177" s="46" t="b">
        <v>0</v>
      </c>
      <c r="AQ177" s="46">
        <v>476.45600000000002</v>
      </c>
      <c r="AS177" s="46">
        <v>476.45600000000002</v>
      </c>
      <c r="AT177" s="46">
        <v>6</v>
      </c>
      <c r="AU177" s="46" t="b">
        <v>1</v>
      </c>
      <c r="AV177" s="46" t="b">
        <v>0</v>
      </c>
    </row>
    <row r="178" spans="2:48">
      <c r="B178" s="46" t="s">
        <v>665</v>
      </c>
      <c r="C178" s="46" t="s">
        <v>666</v>
      </c>
      <c r="D178" s="46">
        <v>20240501</v>
      </c>
      <c r="E178" s="46">
        <v>2024</v>
      </c>
      <c r="F178" s="46">
        <v>5</v>
      </c>
      <c r="G178" s="46" t="s">
        <v>699</v>
      </c>
      <c r="H178" s="46">
        <v>818</v>
      </c>
      <c r="I178" s="46" t="s">
        <v>668</v>
      </c>
      <c r="J178" s="46" t="s">
        <v>57</v>
      </c>
      <c r="K178" s="46" t="s">
        <v>666</v>
      </c>
      <c r="L178" s="46" t="s">
        <v>669</v>
      </c>
      <c r="M178" s="46">
        <v>842</v>
      </c>
      <c r="N178" s="46" t="s">
        <v>713</v>
      </c>
      <c r="O178" s="46" t="s">
        <v>713</v>
      </c>
      <c r="P178" s="46">
        <v>0</v>
      </c>
      <c r="Q178" s="46" t="s">
        <v>670</v>
      </c>
      <c r="R178" s="46" t="s">
        <v>23</v>
      </c>
      <c r="S178" s="46" t="s">
        <v>671</v>
      </c>
      <c r="T178" s="46" t="s">
        <v>672</v>
      </c>
      <c r="U178" s="46" t="b">
        <v>1</v>
      </c>
      <c r="V178" s="46" t="s">
        <v>1022</v>
      </c>
      <c r="W178" s="46" t="s">
        <v>1023</v>
      </c>
      <c r="X178" s="46">
        <v>6</v>
      </c>
      <c r="Y178" s="46" t="b">
        <v>1</v>
      </c>
      <c r="Z178" s="46" t="s">
        <v>675</v>
      </c>
      <c r="AA178" s="46" t="s">
        <v>676</v>
      </c>
      <c r="AB178" s="46" t="s">
        <v>677</v>
      </c>
      <c r="AC178" s="46">
        <v>0</v>
      </c>
      <c r="AD178" s="46" t="s">
        <v>678</v>
      </c>
      <c r="AE178" s="46">
        <v>5</v>
      </c>
      <c r="AF178" s="46" t="s">
        <v>1024</v>
      </c>
      <c r="AG178" s="46">
        <v>91.07</v>
      </c>
      <c r="AH178" s="46" t="b">
        <v>1</v>
      </c>
      <c r="AI178" s="46">
        <v>-1</v>
      </c>
      <c r="AJ178" s="46" t="s">
        <v>680</v>
      </c>
      <c r="AK178" s="46">
        <v>0</v>
      </c>
      <c r="AL178" s="46" t="b">
        <v>0</v>
      </c>
      <c r="AM178" s="46">
        <v>1588.393</v>
      </c>
      <c r="AN178" s="46" t="b">
        <v>1</v>
      </c>
      <c r="AO178" s="46">
        <v>0</v>
      </c>
      <c r="AP178" s="46" t="b">
        <v>0</v>
      </c>
      <c r="AQ178" s="46">
        <v>1101.6210000000001</v>
      </c>
      <c r="AS178" s="46">
        <v>1101.6210000000001</v>
      </c>
      <c r="AT178" s="46">
        <v>6</v>
      </c>
      <c r="AU178" s="46" t="b">
        <v>1</v>
      </c>
      <c r="AV178" s="46" t="b">
        <v>0</v>
      </c>
    </row>
    <row r="179" spans="2:48">
      <c r="B179" s="46" t="s">
        <v>665</v>
      </c>
      <c r="C179" s="46" t="s">
        <v>666</v>
      </c>
      <c r="D179" s="46">
        <v>20240401</v>
      </c>
      <c r="E179" s="46">
        <v>2024</v>
      </c>
      <c r="F179" s="46">
        <v>4</v>
      </c>
      <c r="G179" s="46" t="s">
        <v>695</v>
      </c>
      <c r="H179" s="46">
        <v>818</v>
      </c>
      <c r="I179" s="46" t="s">
        <v>668</v>
      </c>
      <c r="J179" s="46" t="s">
        <v>57</v>
      </c>
      <c r="K179" s="46" t="s">
        <v>666</v>
      </c>
      <c r="L179" s="46" t="s">
        <v>669</v>
      </c>
      <c r="M179" s="46">
        <v>0</v>
      </c>
      <c r="N179" s="46" t="s">
        <v>670</v>
      </c>
      <c r="O179" s="46" t="s">
        <v>23</v>
      </c>
      <c r="P179" s="46">
        <v>0</v>
      </c>
      <c r="Q179" s="46" t="s">
        <v>670</v>
      </c>
      <c r="R179" s="46" t="s">
        <v>23</v>
      </c>
      <c r="S179" s="46" t="s">
        <v>671</v>
      </c>
      <c r="T179" s="46" t="s">
        <v>672</v>
      </c>
      <c r="U179" s="46" t="b">
        <v>1</v>
      </c>
      <c r="V179" s="46" t="s">
        <v>1022</v>
      </c>
      <c r="W179" s="46" t="s">
        <v>1023</v>
      </c>
      <c r="X179" s="46">
        <v>6</v>
      </c>
      <c r="Y179" s="46" t="b">
        <v>1</v>
      </c>
      <c r="Z179" s="46" t="s">
        <v>675</v>
      </c>
      <c r="AA179" s="46" t="s">
        <v>676</v>
      </c>
      <c r="AB179" s="46" t="s">
        <v>677</v>
      </c>
      <c r="AC179" s="46">
        <v>0</v>
      </c>
      <c r="AD179" s="46" t="s">
        <v>678</v>
      </c>
      <c r="AE179" s="46">
        <v>5</v>
      </c>
      <c r="AF179" s="46" t="s">
        <v>1024</v>
      </c>
      <c r="AG179" s="46">
        <v>8399.357</v>
      </c>
      <c r="AH179" s="46" t="b">
        <v>1</v>
      </c>
      <c r="AI179" s="46">
        <v>-1</v>
      </c>
      <c r="AJ179" s="46" t="s">
        <v>680</v>
      </c>
      <c r="AK179" s="46">
        <v>0</v>
      </c>
      <c r="AL179" s="46" t="b">
        <v>0</v>
      </c>
      <c r="AM179" s="46">
        <v>146496.217</v>
      </c>
      <c r="AN179" s="46" t="b">
        <v>1</v>
      </c>
      <c r="AO179" s="46">
        <v>0</v>
      </c>
      <c r="AP179" s="46" t="b">
        <v>0</v>
      </c>
      <c r="AQ179" s="46">
        <v>101601.58100000001</v>
      </c>
      <c r="AS179" s="46">
        <v>101601.58100000001</v>
      </c>
      <c r="AT179" s="46">
        <v>6</v>
      </c>
      <c r="AU179" s="46" t="b">
        <v>0</v>
      </c>
      <c r="AV179" s="46" t="b">
        <v>1</v>
      </c>
    </row>
    <row r="180" spans="2:48">
      <c r="B180" s="46" t="s">
        <v>665</v>
      </c>
      <c r="C180" s="46" t="s">
        <v>666</v>
      </c>
      <c r="D180" s="46">
        <v>20240101</v>
      </c>
      <c r="E180" s="46">
        <v>2024</v>
      </c>
      <c r="F180" s="46">
        <v>1</v>
      </c>
      <c r="G180" s="46" t="s">
        <v>667</v>
      </c>
      <c r="H180" s="46">
        <v>818</v>
      </c>
      <c r="I180" s="46" t="s">
        <v>668</v>
      </c>
      <c r="J180" s="46" t="s">
        <v>57</v>
      </c>
      <c r="K180" s="46" t="s">
        <v>666</v>
      </c>
      <c r="L180" s="46" t="s">
        <v>669</v>
      </c>
      <c r="M180" s="46">
        <v>0</v>
      </c>
      <c r="N180" s="46" t="s">
        <v>670</v>
      </c>
      <c r="O180" s="46" t="s">
        <v>23</v>
      </c>
      <c r="P180" s="46">
        <v>0</v>
      </c>
      <c r="Q180" s="46" t="s">
        <v>670</v>
      </c>
      <c r="R180" s="46" t="s">
        <v>23</v>
      </c>
      <c r="S180" s="46" t="s">
        <v>671</v>
      </c>
      <c r="T180" s="46" t="s">
        <v>672</v>
      </c>
      <c r="U180" s="46" t="b">
        <v>1</v>
      </c>
      <c r="V180" s="46" t="s">
        <v>1022</v>
      </c>
      <c r="W180" s="46" t="s">
        <v>1023</v>
      </c>
      <c r="X180" s="46">
        <v>6</v>
      </c>
      <c r="Y180" s="46" t="b">
        <v>1</v>
      </c>
      <c r="Z180" s="46" t="s">
        <v>675</v>
      </c>
      <c r="AA180" s="46" t="s">
        <v>676</v>
      </c>
      <c r="AB180" s="46" t="s">
        <v>677</v>
      </c>
      <c r="AC180" s="46">
        <v>0</v>
      </c>
      <c r="AD180" s="46" t="s">
        <v>678</v>
      </c>
      <c r="AE180" s="46">
        <v>5</v>
      </c>
      <c r="AF180" s="46" t="s">
        <v>1024</v>
      </c>
      <c r="AG180" s="46">
        <v>12312.782999999999</v>
      </c>
      <c r="AH180" s="46" t="b">
        <v>1</v>
      </c>
      <c r="AI180" s="46">
        <v>-1</v>
      </c>
      <c r="AJ180" s="46" t="s">
        <v>680</v>
      </c>
      <c r="AK180" s="46">
        <v>0</v>
      </c>
      <c r="AL180" s="46" t="b">
        <v>0</v>
      </c>
      <c r="AM180" s="46">
        <v>214751.693</v>
      </c>
      <c r="AN180" s="46" t="b">
        <v>1</v>
      </c>
      <c r="AO180" s="46">
        <v>0</v>
      </c>
      <c r="AP180" s="46" t="b">
        <v>0</v>
      </c>
      <c r="AQ180" s="46">
        <v>148939.76199999999</v>
      </c>
      <c r="AS180" s="46">
        <v>148939.76199999999</v>
      </c>
      <c r="AT180" s="46">
        <v>6</v>
      </c>
      <c r="AU180" s="46" t="b">
        <v>0</v>
      </c>
      <c r="AV180" s="46" t="b">
        <v>1</v>
      </c>
    </row>
    <row r="181" spans="2:48">
      <c r="B181" s="46" t="s">
        <v>665</v>
      </c>
      <c r="C181" s="46" t="s">
        <v>666</v>
      </c>
      <c r="D181" s="46">
        <v>20240301</v>
      </c>
      <c r="E181" s="46">
        <v>2024</v>
      </c>
      <c r="F181" s="46">
        <v>3</v>
      </c>
      <c r="G181" s="46" t="s">
        <v>692</v>
      </c>
      <c r="H181" s="46">
        <v>818</v>
      </c>
      <c r="I181" s="46" t="s">
        <v>668</v>
      </c>
      <c r="J181" s="46" t="s">
        <v>57</v>
      </c>
      <c r="K181" s="46" t="s">
        <v>666</v>
      </c>
      <c r="L181" s="46" t="s">
        <v>669</v>
      </c>
      <c r="M181" s="46">
        <v>0</v>
      </c>
      <c r="N181" s="46" t="s">
        <v>670</v>
      </c>
      <c r="O181" s="46" t="s">
        <v>23</v>
      </c>
      <c r="P181" s="46">
        <v>0</v>
      </c>
      <c r="Q181" s="46" t="s">
        <v>670</v>
      </c>
      <c r="R181" s="46" t="s">
        <v>23</v>
      </c>
      <c r="S181" s="46" t="s">
        <v>671</v>
      </c>
      <c r="T181" s="46" t="s">
        <v>672</v>
      </c>
      <c r="U181" s="46" t="b">
        <v>1</v>
      </c>
      <c r="V181" s="46" t="s">
        <v>1022</v>
      </c>
      <c r="W181" s="46" t="s">
        <v>1023</v>
      </c>
      <c r="X181" s="46">
        <v>6</v>
      </c>
      <c r="Y181" s="46" t="b">
        <v>1</v>
      </c>
      <c r="Z181" s="46" t="s">
        <v>675</v>
      </c>
      <c r="AA181" s="46" t="s">
        <v>676</v>
      </c>
      <c r="AB181" s="46" t="s">
        <v>677</v>
      </c>
      <c r="AC181" s="46">
        <v>0</v>
      </c>
      <c r="AD181" s="46" t="s">
        <v>678</v>
      </c>
      <c r="AE181" s="46">
        <v>5</v>
      </c>
      <c r="AF181" s="46" t="s">
        <v>1024</v>
      </c>
      <c r="AG181" s="46">
        <v>8194.1419999999998</v>
      </c>
      <c r="AH181" s="46" t="b">
        <v>1</v>
      </c>
      <c r="AI181" s="46">
        <v>-1</v>
      </c>
      <c r="AJ181" s="46" t="s">
        <v>680</v>
      </c>
      <c r="AK181" s="46">
        <v>0</v>
      </c>
      <c r="AL181" s="46" t="b">
        <v>0</v>
      </c>
      <c r="AM181" s="46">
        <v>142916.99100000001</v>
      </c>
      <c r="AN181" s="46" t="b">
        <v>1</v>
      </c>
      <c r="AO181" s="46">
        <v>0</v>
      </c>
      <c r="AP181" s="46" t="b">
        <v>0</v>
      </c>
      <c r="AQ181" s="46">
        <v>99119.231</v>
      </c>
      <c r="AS181" s="46">
        <v>99119.231</v>
      </c>
      <c r="AT181" s="46">
        <v>6</v>
      </c>
      <c r="AU181" s="46" t="b">
        <v>0</v>
      </c>
      <c r="AV181" s="46" t="b">
        <v>1</v>
      </c>
    </row>
    <row r="182" spans="2:48">
      <c r="B182" s="46" t="s">
        <v>665</v>
      </c>
      <c r="C182" s="46" t="s">
        <v>666</v>
      </c>
      <c r="D182" s="46">
        <v>20240201</v>
      </c>
      <c r="E182" s="46">
        <v>2024</v>
      </c>
      <c r="F182" s="46">
        <v>2</v>
      </c>
      <c r="G182" s="46" t="s">
        <v>687</v>
      </c>
      <c r="H182" s="46">
        <v>818</v>
      </c>
      <c r="I182" s="46" t="s">
        <v>668</v>
      </c>
      <c r="J182" s="46" t="s">
        <v>57</v>
      </c>
      <c r="K182" s="46" t="s">
        <v>666</v>
      </c>
      <c r="L182" s="46" t="s">
        <v>669</v>
      </c>
      <c r="M182" s="46">
        <v>0</v>
      </c>
      <c r="N182" s="46" t="s">
        <v>670</v>
      </c>
      <c r="O182" s="46" t="s">
        <v>23</v>
      </c>
      <c r="P182" s="46">
        <v>0</v>
      </c>
      <c r="Q182" s="46" t="s">
        <v>670</v>
      </c>
      <c r="R182" s="46" t="s">
        <v>23</v>
      </c>
      <c r="S182" s="46" t="s">
        <v>671</v>
      </c>
      <c r="T182" s="46" t="s">
        <v>672</v>
      </c>
      <c r="U182" s="46" t="b">
        <v>1</v>
      </c>
      <c r="V182" s="46" t="s">
        <v>1022</v>
      </c>
      <c r="W182" s="46" t="s">
        <v>1023</v>
      </c>
      <c r="X182" s="46">
        <v>6</v>
      </c>
      <c r="Y182" s="46" t="b">
        <v>1</v>
      </c>
      <c r="Z182" s="46" t="s">
        <v>675</v>
      </c>
      <c r="AA182" s="46" t="s">
        <v>676</v>
      </c>
      <c r="AB182" s="46" t="s">
        <v>677</v>
      </c>
      <c r="AC182" s="46">
        <v>0</v>
      </c>
      <c r="AD182" s="46" t="s">
        <v>678</v>
      </c>
      <c r="AE182" s="46">
        <v>5</v>
      </c>
      <c r="AF182" s="46" t="s">
        <v>1024</v>
      </c>
      <c r="AG182" s="46">
        <v>2199.002</v>
      </c>
      <c r="AH182" s="46" t="b">
        <v>1</v>
      </c>
      <c r="AI182" s="46">
        <v>-1</v>
      </c>
      <c r="AJ182" s="46" t="s">
        <v>680</v>
      </c>
      <c r="AK182" s="46">
        <v>0</v>
      </c>
      <c r="AL182" s="46" t="b">
        <v>0</v>
      </c>
      <c r="AM182" s="46">
        <v>38353.593000000001</v>
      </c>
      <c r="AN182" s="46" t="b">
        <v>1</v>
      </c>
      <c r="AO182" s="46">
        <v>0</v>
      </c>
      <c r="AP182" s="46" t="b">
        <v>0</v>
      </c>
      <c r="AQ182" s="46">
        <v>26599.906999999999</v>
      </c>
      <c r="AS182" s="46">
        <v>26599.906999999999</v>
      </c>
      <c r="AT182" s="46">
        <v>6</v>
      </c>
      <c r="AU182" s="46" t="b">
        <v>0</v>
      </c>
      <c r="AV182" s="46" t="b">
        <v>1</v>
      </c>
    </row>
    <row r="183" spans="2:48">
      <c r="B183" s="46" t="s">
        <v>665</v>
      </c>
      <c r="C183" s="46" t="s">
        <v>666</v>
      </c>
      <c r="D183" s="46">
        <v>20240601</v>
      </c>
      <c r="E183" s="46">
        <v>2024</v>
      </c>
      <c r="F183" s="46">
        <v>6</v>
      </c>
      <c r="G183" s="46" t="s">
        <v>700</v>
      </c>
      <c r="H183" s="46">
        <v>818</v>
      </c>
      <c r="I183" s="46" t="s">
        <v>668</v>
      </c>
      <c r="J183" s="46" t="s">
        <v>57</v>
      </c>
      <c r="K183" s="46" t="s">
        <v>666</v>
      </c>
      <c r="L183" s="46" t="s">
        <v>669</v>
      </c>
      <c r="M183" s="46">
        <v>0</v>
      </c>
      <c r="N183" s="46" t="s">
        <v>670</v>
      </c>
      <c r="O183" s="46" t="s">
        <v>23</v>
      </c>
      <c r="P183" s="46">
        <v>0</v>
      </c>
      <c r="Q183" s="46" t="s">
        <v>670</v>
      </c>
      <c r="R183" s="46" t="s">
        <v>23</v>
      </c>
      <c r="S183" s="46" t="s">
        <v>671</v>
      </c>
      <c r="T183" s="46" t="s">
        <v>672</v>
      </c>
      <c r="U183" s="46" t="b">
        <v>1</v>
      </c>
      <c r="V183" s="46" t="s">
        <v>1022</v>
      </c>
      <c r="W183" s="46" t="s">
        <v>1023</v>
      </c>
      <c r="X183" s="46">
        <v>6</v>
      </c>
      <c r="Y183" s="46" t="b">
        <v>1</v>
      </c>
      <c r="Z183" s="46" t="s">
        <v>675</v>
      </c>
      <c r="AA183" s="46" t="s">
        <v>676</v>
      </c>
      <c r="AB183" s="46" t="s">
        <v>677</v>
      </c>
      <c r="AC183" s="46">
        <v>0</v>
      </c>
      <c r="AD183" s="46" t="s">
        <v>678</v>
      </c>
      <c r="AE183" s="46">
        <v>5</v>
      </c>
      <c r="AF183" s="46" t="s">
        <v>1024</v>
      </c>
      <c r="AG183" s="46">
        <v>11019.29</v>
      </c>
      <c r="AH183" s="46" t="b">
        <v>1</v>
      </c>
      <c r="AI183" s="46">
        <v>-1</v>
      </c>
      <c r="AJ183" s="46" t="s">
        <v>680</v>
      </c>
      <c r="AK183" s="46">
        <v>0</v>
      </c>
      <c r="AL183" s="46" t="b">
        <v>0</v>
      </c>
      <c r="AM183" s="46">
        <v>192191.40900000001</v>
      </c>
      <c r="AN183" s="46" t="b">
        <v>1</v>
      </c>
      <c r="AO183" s="46">
        <v>0</v>
      </c>
      <c r="AP183" s="46" t="b">
        <v>0</v>
      </c>
      <c r="AQ183" s="46">
        <v>133293.21100000001</v>
      </c>
      <c r="AS183" s="46">
        <v>133293.21100000001</v>
      </c>
      <c r="AT183" s="46">
        <v>6</v>
      </c>
      <c r="AU183" s="46" t="b">
        <v>0</v>
      </c>
      <c r="AV183" s="46" t="b">
        <v>1</v>
      </c>
    </row>
    <row r="184" spans="2:48">
      <c r="B184" s="46" t="s">
        <v>665</v>
      </c>
      <c r="C184" s="46" t="s">
        <v>666</v>
      </c>
      <c r="D184" s="46">
        <v>20240501</v>
      </c>
      <c r="E184" s="46">
        <v>2024</v>
      </c>
      <c r="F184" s="46">
        <v>5</v>
      </c>
      <c r="G184" s="46" t="s">
        <v>699</v>
      </c>
      <c r="H184" s="46">
        <v>818</v>
      </c>
      <c r="I184" s="46" t="s">
        <v>668</v>
      </c>
      <c r="J184" s="46" t="s">
        <v>57</v>
      </c>
      <c r="K184" s="46" t="s">
        <v>666</v>
      </c>
      <c r="L184" s="46" t="s">
        <v>669</v>
      </c>
      <c r="M184" s="46">
        <v>56</v>
      </c>
      <c r="N184" s="46" t="s">
        <v>696</v>
      </c>
      <c r="O184" s="46" t="s">
        <v>74</v>
      </c>
      <c r="P184" s="46">
        <v>0</v>
      </c>
      <c r="Q184" s="46" t="s">
        <v>670</v>
      </c>
      <c r="R184" s="46" t="s">
        <v>23</v>
      </c>
      <c r="S184" s="46" t="s">
        <v>671</v>
      </c>
      <c r="T184" s="46" t="s">
        <v>672</v>
      </c>
      <c r="U184" s="46" t="b">
        <v>1</v>
      </c>
      <c r="V184" s="46" t="s">
        <v>1022</v>
      </c>
      <c r="W184" s="46" t="s">
        <v>1023</v>
      </c>
      <c r="X184" s="46">
        <v>6</v>
      </c>
      <c r="Y184" s="46" t="b">
        <v>1</v>
      </c>
      <c r="Z184" s="46" t="s">
        <v>675</v>
      </c>
      <c r="AA184" s="46" t="s">
        <v>676</v>
      </c>
      <c r="AB184" s="46" t="s">
        <v>677</v>
      </c>
      <c r="AC184" s="46">
        <v>0</v>
      </c>
      <c r="AD184" s="46" t="s">
        <v>678</v>
      </c>
      <c r="AE184" s="46">
        <v>5</v>
      </c>
      <c r="AF184" s="46" t="s">
        <v>1024</v>
      </c>
      <c r="AG184" s="46">
        <v>146.524</v>
      </c>
      <c r="AH184" s="46" t="b">
        <v>1</v>
      </c>
      <c r="AI184" s="46">
        <v>-1</v>
      </c>
      <c r="AJ184" s="46" t="s">
        <v>680</v>
      </c>
      <c r="AK184" s="46">
        <v>0</v>
      </c>
      <c r="AL184" s="46" t="b">
        <v>0</v>
      </c>
      <c r="AM184" s="46">
        <v>2555.5729999999999</v>
      </c>
      <c r="AN184" s="46" t="b">
        <v>1</v>
      </c>
      <c r="AO184" s="46">
        <v>0</v>
      </c>
      <c r="AP184" s="46" t="b">
        <v>0</v>
      </c>
      <c r="AQ184" s="46">
        <v>1772.402</v>
      </c>
      <c r="AS184" s="46">
        <v>1772.402</v>
      </c>
      <c r="AT184" s="46">
        <v>6</v>
      </c>
      <c r="AU184" s="46" t="b">
        <v>1</v>
      </c>
      <c r="AV184" s="46" t="b">
        <v>0</v>
      </c>
    </row>
    <row r="185" spans="2:48">
      <c r="B185" s="46" t="s">
        <v>665</v>
      </c>
      <c r="C185" s="46" t="s">
        <v>666</v>
      </c>
      <c r="D185" s="46">
        <v>20240101</v>
      </c>
      <c r="E185" s="46">
        <v>2024</v>
      </c>
      <c r="F185" s="46">
        <v>1</v>
      </c>
      <c r="G185" s="46" t="s">
        <v>667</v>
      </c>
      <c r="H185" s="46">
        <v>818</v>
      </c>
      <c r="I185" s="46" t="s">
        <v>668</v>
      </c>
      <c r="J185" s="46" t="s">
        <v>57</v>
      </c>
      <c r="K185" s="46" t="s">
        <v>666</v>
      </c>
      <c r="L185" s="46" t="s">
        <v>669</v>
      </c>
      <c r="M185" s="46">
        <v>56</v>
      </c>
      <c r="N185" s="46" t="s">
        <v>696</v>
      </c>
      <c r="O185" s="46" t="s">
        <v>74</v>
      </c>
      <c r="P185" s="46">
        <v>0</v>
      </c>
      <c r="Q185" s="46" t="s">
        <v>670</v>
      </c>
      <c r="R185" s="46" t="s">
        <v>23</v>
      </c>
      <c r="S185" s="46" t="s">
        <v>671</v>
      </c>
      <c r="T185" s="46" t="s">
        <v>672</v>
      </c>
      <c r="U185" s="46" t="b">
        <v>1</v>
      </c>
      <c r="V185" s="46" t="s">
        <v>1022</v>
      </c>
      <c r="W185" s="46" t="s">
        <v>1023</v>
      </c>
      <c r="X185" s="46">
        <v>6</v>
      </c>
      <c r="Y185" s="46" t="b">
        <v>1</v>
      </c>
      <c r="Z185" s="46" t="s">
        <v>675</v>
      </c>
      <c r="AA185" s="46" t="s">
        <v>676</v>
      </c>
      <c r="AB185" s="46" t="s">
        <v>677</v>
      </c>
      <c r="AC185" s="46">
        <v>0</v>
      </c>
      <c r="AD185" s="46" t="s">
        <v>678</v>
      </c>
      <c r="AE185" s="46">
        <v>5</v>
      </c>
      <c r="AF185" s="46" t="s">
        <v>1024</v>
      </c>
      <c r="AG185" s="46">
        <v>32.512999999999998</v>
      </c>
      <c r="AH185" s="46" t="b">
        <v>1</v>
      </c>
      <c r="AI185" s="46">
        <v>-1</v>
      </c>
      <c r="AJ185" s="46" t="s">
        <v>680</v>
      </c>
      <c r="AK185" s="46">
        <v>0</v>
      </c>
      <c r="AL185" s="46" t="b">
        <v>0</v>
      </c>
      <c r="AM185" s="46">
        <v>567.07500000000005</v>
      </c>
      <c r="AN185" s="46" t="b">
        <v>1</v>
      </c>
      <c r="AO185" s="46">
        <v>0</v>
      </c>
      <c r="AP185" s="46" t="b">
        <v>0</v>
      </c>
      <c r="AQ185" s="46">
        <v>393.29199999999997</v>
      </c>
      <c r="AS185" s="46">
        <v>393.29199999999997</v>
      </c>
      <c r="AT185" s="46">
        <v>6</v>
      </c>
      <c r="AU185" s="46" t="b">
        <v>1</v>
      </c>
      <c r="AV185" s="46" t="b">
        <v>0</v>
      </c>
    </row>
    <row r="186" spans="2:48">
      <c r="B186" s="46" t="s">
        <v>665</v>
      </c>
      <c r="C186" s="46" t="s">
        <v>666</v>
      </c>
      <c r="D186" s="46">
        <v>20240401</v>
      </c>
      <c r="E186" s="46">
        <v>2024</v>
      </c>
      <c r="F186" s="46">
        <v>4</v>
      </c>
      <c r="G186" s="46" t="s">
        <v>695</v>
      </c>
      <c r="H186" s="46">
        <v>818</v>
      </c>
      <c r="I186" s="46" t="s">
        <v>668</v>
      </c>
      <c r="J186" s="46" t="s">
        <v>57</v>
      </c>
      <c r="K186" s="46" t="s">
        <v>666</v>
      </c>
      <c r="L186" s="46" t="s">
        <v>669</v>
      </c>
      <c r="M186" s="46">
        <v>56</v>
      </c>
      <c r="N186" s="46" t="s">
        <v>696</v>
      </c>
      <c r="O186" s="46" t="s">
        <v>74</v>
      </c>
      <c r="P186" s="46">
        <v>0</v>
      </c>
      <c r="Q186" s="46" t="s">
        <v>670</v>
      </c>
      <c r="R186" s="46" t="s">
        <v>23</v>
      </c>
      <c r="S186" s="46" t="s">
        <v>671</v>
      </c>
      <c r="T186" s="46" t="s">
        <v>672</v>
      </c>
      <c r="U186" s="46" t="b">
        <v>1</v>
      </c>
      <c r="V186" s="46" t="s">
        <v>1022</v>
      </c>
      <c r="W186" s="46" t="s">
        <v>1023</v>
      </c>
      <c r="X186" s="46">
        <v>6</v>
      </c>
      <c r="Y186" s="46" t="b">
        <v>1</v>
      </c>
      <c r="Z186" s="46" t="s">
        <v>675</v>
      </c>
      <c r="AA186" s="46" t="s">
        <v>676</v>
      </c>
      <c r="AB186" s="46" t="s">
        <v>677</v>
      </c>
      <c r="AC186" s="46">
        <v>0</v>
      </c>
      <c r="AD186" s="46" t="s">
        <v>678</v>
      </c>
      <c r="AE186" s="46">
        <v>5</v>
      </c>
      <c r="AF186" s="46" t="s">
        <v>1024</v>
      </c>
      <c r="AG186" s="46">
        <v>43.746000000000002</v>
      </c>
      <c r="AH186" s="46" t="b">
        <v>1</v>
      </c>
      <c r="AI186" s="46">
        <v>-1</v>
      </c>
      <c r="AJ186" s="46" t="s">
        <v>680</v>
      </c>
      <c r="AK186" s="46">
        <v>0</v>
      </c>
      <c r="AL186" s="46" t="b">
        <v>0</v>
      </c>
      <c r="AM186" s="46">
        <v>762.99599999999998</v>
      </c>
      <c r="AN186" s="46" t="b">
        <v>1</v>
      </c>
      <c r="AO186" s="46">
        <v>0</v>
      </c>
      <c r="AP186" s="46" t="b">
        <v>0</v>
      </c>
      <c r="AQ186" s="46">
        <v>529.17100000000005</v>
      </c>
      <c r="AS186" s="46">
        <v>529.17100000000005</v>
      </c>
      <c r="AT186" s="46">
        <v>6</v>
      </c>
      <c r="AU186" s="46" t="b">
        <v>1</v>
      </c>
      <c r="AV186" s="46" t="b">
        <v>0</v>
      </c>
    </row>
    <row r="187" spans="2:48">
      <c r="B187" s="46" t="s">
        <v>665</v>
      </c>
      <c r="C187" s="46" t="s">
        <v>666</v>
      </c>
      <c r="D187" s="46">
        <v>20240301</v>
      </c>
      <c r="E187" s="46">
        <v>2024</v>
      </c>
      <c r="F187" s="46">
        <v>3</v>
      </c>
      <c r="G187" s="46" t="s">
        <v>692</v>
      </c>
      <c r="H187" s="46">
        <v>818</v>
      </c>
      <c r="I187" s="46" t="s">
        <v>668</v>
      </c>
      <c r="J187" s="46" t="s">
        <v>57</v>
      </c>
      <c r="K187" s="46" t="s">
        <v>666</v>
      </c>
      <c r="L187" s="46" t="s">
        <v>669</v>
      </c>
      <c r="M187" s="46">
        <v>56</v>
      </c>
      <c r="N187" s="46" t="s">
        <v>696</v>
      </c>
      <c r="O187" s="46" t="s">
        <v>74</v>
      </c>
      <c r="P187" s="46">
        <v>0</v>
      </c>
      <c r="Q187" s="46" t="s">
        <v>670</v>
      </c>
      <c r="R187" s="46" t="s">
        <v>23</v>
      </c>
      <c r="S187" s="46" t="s">
        <v>671</v>
      </c>
      <c r="T187" s="46" t="s">
        <v>672</v>
      </c>
      <c r="U187" s="46" t="b">
        <v>1</v>
      </c>
      <c r="V187" s="46" t="s">
        <v>1022</v>
      </c>
      <c r="W187" s="46" t="s">
        <v>1023</v>
      </c>
      <c r="X187" s="46">
        <v>6</v>
      </c>
      <c r="Y187" s="46" t="b">
        <v>1</v>
      </c>
      <c r="Z187" s="46" t="s">
        <v>675</v>
      </c>
      <c r="AA187" s="46" t="s">
        <v>676</v>
      </c>
      <c r="AB187" s="46" t="s">
        <v>677</v>
      </c>
      <c r="AC187" s="46">
        <v>0</v>
      </c>
      <c r="AD187" s="46" t="s">
        <v>678</v>
      </c>
      <c r="AE187" s="46">
        <v>5</v>
      </c>
      <c r="AF187" s="46" t="s">
        <v>1024</v>
      </c>
      <c r="AG187" s="46">
        <v>16.238</v>
      </c>
      <c r="AH187" s="46" t="b">
        <v>1</v>
      </c>
      <c r="AI187" s="46">
        <v>-1</v>
      </c>
      <c r="AJ187" s="46" t="s">
        <v>680</v>
      </c>
      <c r="AK187" s="46">
        <v>0</v>
      </c>
      <c r="AL187" s="46" t="b">
        <v>0</v>
      </c>
      <c r="AM187" s="46">
        <v>283.21300000000002</v>
      </c>
      <c r="AN187" s="46" t="b">
        <v>1</v>
      </c>
      <c r="AO187" s="46">
        <v>0</v>
      </c>
      <c r="AP187" s="46" t="b">
        <v>0</v>
      </c>
      <c r="AQ187" s="46">
        <v>196.42099999999999</v>
      </c>
      <c r="AS187" s="46">
        <v>196.42099999999999</v>
      </c>
      <c r="AT187" s="46">
        <v>6</v>
      </c>
      <c r="AU187" s="46" t="b">
        <v>1</v>
      </c>
      <c r="AV187" s="46" t="b">
        <v>0</v>
      </c>
    </row>
    <row r="188" spans="2:48">
      <c r="B188" s="46" t="s">
        <v>665</v>
      </c>
      <c r="C188" s="46" t="s">
        <v>666</v>
      </c>
      <c r="D188" s="46">
        <v>20240201</v>
      </c>
      <c r="E188" s="46">
        <v>2024</v>
      </c>
      <c r="F188" s="46">
        <v>2</v>
      </c>
      <c r="G188" s="46" t="s">
        <v>687</v>
      </c>
      <c r="H188" s="46">
        <v>818</v>
      </c>
      <c r="I188" s="46" t="s">
        <v>668</v>
      </c>
      <c r="J188" s="46" t="s">
        <v>57</v>
      </c>
      <c r="K188" s="46" t="s">
        <v>666</v>
      </c>
      <c r="L188" s="46" t="s">
        <v>669</v>
      </c>
      <c r="M188" s="46">
        <v>56</v>
      </c>
      <c r="N188" s="46" t="s">
        <v>696</v>
      </c>
      <c r="O188" s="46" t="s">
        <v>74</v>
      </c>
      <c r="P188" s="46">
        <v>0</v>
      </c>
      <c r="Q188" s="46" t="s">
        <v>670</v>
      </c>
      <c r="R188" s="46" t="s">
        <v>23</v>
      </c>
      <c r="S188" s="46" t="s">
        <v>671</v>
      </c>
      <c r="T188" s="46" t="s">
        <v>672</v>
      </c>
      <c r="U188" s="46" t="b">
        <v>1</v>
      </c>
      <c r="V188" s="46" t="s">
        <v>1022</v>
      </c>
      <c r="W188" s="46" t="s">
        <v>1023</v>
      </c>
      <c r="X188" s="46">
        <v>6</v>
      </c>
      <c r="Y188" s="46" t="b">
        <v>1</v>
      </c>
      <c r="Z188" s="46" t="s">
        <v>675</v>
      </c>
      <c r="AA188" s="46" t="s">
        <v>676</v>
      </c>
      <c r="AB188" s="46" t="s">
        <v>677</v>
      </c>
      <c r="AC188" s="46">
        <v>0</v>
      </c>
      <c r="AD188" s="46" t="s">
        <v>678</v>
      </c>
      <c r="AE188" s="46">
        <v>5</v>
      </c>
      <c r="AF188" s="46" t="s">
        <v>1024</v>
      </c>
      <c r="AG188" s="46">
        <v>12.59</v>
      </c>
      <c r="AH188" s="46" t="b">
        <v>1</v>
      </c>
      <c r="AI188" s="46">
        <v>-1</v>
      </c>
      <c r="AJ188" s="46" t="s">
        <v>680</v>
      </c>
      <c r="AK188" s="46">
        <v>0</v>
      </c>
      <c r="AL188" s="46" t="b">
        <v>0</v>
      </c>
      <c r="AM188" s="46">
        <v>219.58799999999999</v>
      </c>
      <c r="AN188" s="46" t="b">
        <v>1</v>
      </c>
      <c r="AO188" s="46">
        <v>0</v>
      </c>
      <c r="AP188" s="46" t="b">
        <v>0</v>
      </c>
      <c r="AQ188" s="46">
        <v>152.29400000000001</v>
      </c>
      <c r="AS188" s="46">
        <v>152.29400000000001</v>
      </c>
      <c r="AT188" s="46">
        <v>6</v>
      </c>
      <c r="AU188" s="46" t="b">
        <v>1</v>
      </c>
      <c r="AV188" s="46" t="b">
        <v>0</v>
      </c>
    </row>
    <row r="189" spans="2:48">
      <c r="B189" s="46" t="s">
        <v>665</v>
      </c>
      <c r="C189" s="46" t="s">
        <v>666</v>
      </c>
      <c r="D189" s="46">
        <v>20240401</v>
      </c>
      <c r="E189" s="46">
        <v>2024</v>
      </c>
      <c r="F189" s="46">
        <v>4</v>
      </c>
      <c r="G189" s="46" t="s">
        <v>695</v>
      </c>
      <c r="H189" s="46">
        <v>818</v>
      </c>
      <c r="I189" s="46" t="s">
        <v>668</v>
      </c>
      <c r="J189" s="46" t="s">
        <v>57</v>
      </c>
      <c r="K189" s="46" t="s">
        <v>666</v>
      </c>
      <c r="L189" s="46" t="s">
        <v>669</v>
      </c>
      <c r="M189" s="46">
        <v>156</v>
      </c>
      <c r="N189" s="46" t="s">
        <v>711</v>
      </c>
      <c r="O189" s="46" t="s">
        <v>29</v>
      </c>
      <c r="P189" s="46">
        <v>0</v>
      </c>
      <c r="Q189" s="46" t="s">
        <v>670</v>
      </c>
      <c r="R189" s="46" t="s">
        <v>23</v>
      </c>
      <c r="S189" s="46" t="s">
        <v>671</v>
      </c>
      <c r="T189" s="46" t="s">
        <v>672</v>
      </c>
      <c r="U189" s="46" t="b">
        <v>1</v>
      </c>
      <c r="V189" s="46" t="s">
        <v>1022</v>
      </c>
      <c r="W189" s="46" t="s">
        <v>1023</v>
      </c>
      <c r="X189" s="46">
        <v>6</v>
      </c>
      <c r="Y189" s="46" t="b">
        <v>1</v>
      </c>
      <c r="Z189" s="46" t="s">
        <v>675</v>
      </c>
      <c r="AA189" s="46" t="s">
        <v>676</v>
      </c>
      <c r="AB189" s="46" t="s">
        <v>677</v>
      </c>
      <c r="AC189" s="46">
        <v>0</v>
      </c>
      <c r="AD189" s="46" t="s">
        <v>678</v>
      </c>
      <c r="AE189" s="46">
        <v>5</v>
      </c>
      <c r="AF189" s="46" t="s">
        <v>1024</v>
      </c>
      <c r="AG189" s="46">
        <v>1042.194</v>
      </c>
      <c r="AH189" s="46" t="b">
        <v>1</v>
      </c>
      <c r="AI189" s="46">
        <v>-1</v>
      </c>
      <c r="AJ189" s="46" t="s">
        <v>680</v>
      </c>
      <c r="AK189" s="46">
        <v>0</v>
      </c>
      <c r="AL189" s="46" t="b">
        <v>0</v>
      </c>
      <c r="AM189" s="46">
        <v>18177.280999999999</v>
      </c>
      <c r="AN189" s="46" t="b">
        <v>1</v>
      </c>
      <c r="AO189" s="46">
        <v>0</v>
      </c>
      <c r="AP189" s="46" t="b">
        <v>0</v>
      </c>
      <c r="AQ189" s="46">
        <v>12606.745000000001</v>
      </c>
      <c r="AS189" s="46">
        <v>12606.745000000001</v>
      </c>
      <c r="AT189" s="46">
        <v>6</v>
      </c>
      <c r="AU189" s="46" t="b">
        <v>1</v>
      </c>
      <c r="AV189" s="46" t="b">
        <v>0</v>
      </c>
    </row>
    <row r="190" spans="2:48">
      <c r="B190" s="46" t="s">
        <v>665</v>
      </c>
      <c r="C190" s="46" t="s">
        <v>666</v>
      </c>
      <c r="D190" s="46">
        <v>20240101</v>
      </c>
      <c r="E190" s="46">
        <v>2024</v>
      </c>
      <c r="F190" s="46">
        <v>1</v>
      </c>
      <c r="G190" s="46" t="s">
        <v>667</v>
      </c>
      <c r="H190" s="46">
        <v>818</v>
      </c>
      <c r="I190" s="46" t="s">
        <v>668</v>
      </c>
      <c r="J190" s="46" t="s">
        <v>57</v>
      </c>
      <c r="K190" s="46" t="s">
        <v>666</v>
      </c>
      <c r="L190" s="46" t="s">
        <v>669</v>
      </c>
      <c r="M190" s="46">
        <v>156</v>
      </c>
      <c r="N190" s="46" t="s">
        <v>711</v>
      </c>
      <c r="O190" s="46" t="s">
        <v>29</v>
      </c>
      <c r="P190" s="46">
        <v>0</v>
      </c>
      <c r="Q190" s="46" t="s">
        <v>670</v>
      </c>
      <c r="R190" s="46" t="s">
        <v>23</v>
      </c>
      <c r="S190" s="46" t="s">
        <v>671</v>
      </c>
      <c r="T190" s="46" t="s">
        <v>672</v>
      </c>
      <c r="U190" s="46" t="b">
        <v>1</v>
      </c>
      <c r="V190" s="46" t="s">
        <v>1022</v>
      </c>
      <c r="W190" s="46" t="s">
        <v>1023</v>
      </c>
      <c r="X190" s="46">
        <v>6</v>
      </c>
      <c r="Y190" s="46" t="b">
        <v>1</v>
      </c>
      <c r="Z190" s="46" t="s">
        <v>675</v>
      </c>
      <c r="AA190" s="46" t="s">
        <v>676</v>
      </c>
      <c r="AB190" s="46" t="s">
        <v>677</v>
      </c>
      <c r="AC190" s="46">
        <v>0</v>
      </c>
      <c r="AD190" s="46" t="s">
        <v>678</v>
      </c>
      <c r="AE190" s="46">
        <v>5</v>
      </c>
      <c r="AF190" s="46" t="s">
        <v>1024</v>
      </c>
      <c r="AG190" s="46">
        <v>698.62900000000002</v>
      </c>
      <c r="AH190" s="46" t="b">
        <v>1</v>
      </c>
      <c r="AI190" s="46">
        <v>-1</v>
      </c>
      <c r="AJ190" s="46" t="s">
        <v>680</v>
      </c>
      <c r="AK190" s="46">
        <v>0</v>
      </c>
      <c r="AL190" s="46" t="b">
        <v>0</v>
      </c>
      <c r="AM190" s="46">
        <v>12185.038</v>
      </c>
      <c r="AN190" s="46" t="b">
        <v>1</v>
      </c>
      <c r="AO190" s="46">
        <v>0</v>
      </c>
      <c r="AP190" s="46" t="b">
        <v>0</v>
      </c>
      <c r="AQ190" s="46">
        <v>8450.8610000000008</v>
      </c>
      <c r="AS190" s="46">
        <v>8450.8610000000008</v>
      </c>
      <c r="AT190" s="46">
        <v>6</v>
      </c>
      <c r="AU190" s="46" t="b">
        <v>1</v>
      </c>
      <c r="AV190" s="46" t="b">
        <v>0</v>
      </c>
    </row>
    <row r="191" spans="2:48">
      <c r="B191" s="46" t="s">
        <v>665</v>
      </c>
      <c r="C191" s="46" t="s">
        <v>666</v>
      </c>
      <c r="D191" s="46">
        <v>20240301</v>
      </c>
      <c r="E191" s="46">
        <v>2024</v>
      </c>
      <c r="F191" s="46">
        <v>3</v>
      </c>
      <c r="G191" s="46" t="s">
        <v>692</v>
      </c>
      <c r="H191" s="46">
        <v>818</v>
      </c>
      <c r="I191" s="46" t="s">
        <v>668</v>
      </c>
      <c r="J191" s="46" t="s">
        <v>57</v>
      </c>
      <c r="K191" s="46" t="s">
        <v>666</v>
      </c>
      <c r="L191" s="46" t="s">
        <v>669</v>
      </c>
      <c r="M191" s="46">
        <v>156</v>
      </c>
      <c r="N191" s="46" t="s">
        <v>711</v>
      </c>
      <c r="O191" s="46" t="s">
        <v>29</v>
      </c>
      <c r="P191" s="46">
        <v>0</v>
      </c>
      <c r="Q191" s="46" t="s">
        <v>670</v>
      </c>
      <c r="R191" s="46" t="s">
        <v>23</v>
      </c>
      <c r="S191" s="46" t="s">
        <v>671</v>
      </c>
      <c r="T191" s="46" t="s">
        <v>672</v>
      </c>
      <c r="U191" s="46" t="b">
        <v>1</v>
      </c>
      <c r="V191" s="46" t="s">
        <v>1022</v>
      </c>
      <c r="W191" s="46" t="s">
        <v>1023</v>
      </c>
      <c r="X191" s="46">
        <v>6</v>
      </c>
      <c r="Y191" s="46" t="b">
        <v>1</v>
      </c>
      <c r="Z191" s="46" t="s">
        <v>675</v>
      </c>
      <c r="AA191" s="46" t="s">
        <v>676</v>
      </c>
      <c r="AB191" s="46" t="s">
        <v>677</v>
      </c>
      <c r="AC191" s="46">
        <v>0</v>
      </c>
      <c r="AD191" s="46" t="s">
        <v>678</v>
      </c>
      <c r="AE191" s="46">
        <v>5</v>
      </c>
      <c r="AF191" s="46" t="s">
        <v>1024</v>
      </c>
      <c r="AG191" s="46">
        <v>67.885999999999996</v>
      </c>
      <c r="AH191" s="46" t="b">
        <v>1</v>
      </c>
      <c r="AI191" s="46">
        <v>-1</v>
      </c>
      <c r="AJ191" s="46" t="s">
        <v>680</v>
      </c>
      <c r="AK191" s="46">
        <v>0</v>
      </c>
      <c r="AL191" s="46" t="b">
        <v>0</v>
      </c>
      <c r="AM191" s="46">
        <v>1184.021</v>
      </c>
      <c r="AN191" s="46" t="b">
        <v>1</v>
      </c>
      <c r="AO191" s="46">
        <v>0</v>
      </c>
      <c r="AP191" s="46" t="b">
        <v>0</v>
      </c>
      <c r="AQ191" s="46">
        <v>821.17</v>
      </c>
      <c r="AS191" s="46">
        <v>821.17</v>
      </c>
      <c r="AT191" s="46">
        <v>6</v>
      </c>
      <c r="AU191" s="46" t="b">
        <v>1</v>
      </c>
      <c r="AV191" s="46" t="b">
        <v>0</v>
      </c>
    </row>
    <row r="192" spans="2:48">
      <c r="B192" s="46" t="s">
        <v>665</v>
      </c>
      <c r="C192" s="46" t="s">
        <v>666</v>
      </c>
      <c r="D192" s="46">
        <v>20240201</v>
      </c>
      <c r="E192" s="46">
        <v>2024</v>
      </c>
      <c r="F192" s="46">
        <v>2</v>
      </c>
      <c r="G192" s="46" t="s">
        <v>687</v>
      </c>
      <c r="H192" s="46">
        <v>818</v>
      </c>
      <c r="I192" s="46" t="s">
        <v>668</v>
      </c>
      <c r="J192" s="46" t="s">
        <v>57</v>
      </c>
      <c r="K192" s="46" t="s">
        <v>666</v>
      </c>
      <c r="L192" s="46" t="s">
        <v>669</v>
      </c>
      <c r="M192" s="46">
        <v>156</v>
      </c>
      <c r="N192" s="46" t="s">
        <v>711</v>
      </c>
      <c r="O192" s="46" t="s">
        <v>29</v>
      </c>
      <c r="P192" s="46">
        <v>0</v>
      </c>
      <c r="Q192" s="46" t="s">
        <v>670</v>
      </c>
      <c r="R192" s="46" t="s">
        <v>23</v>
      </c>
      <c r="S192" s="46" t="s">
        <v>671</v>
      </c>
      <c r="T192" s="46" t="s">
        <v>672</v>
      </c>
      <c r="U192" s="46" t="b">
        <v>1</v>
      </c>
      <c r="V192" s="46" t="s">
        <v>1022</v>
      </c>
      <c r="W192" s="46" t="s">
        <v>1023</v>
      </c>
      <c r="X192" s="46">
        <v>6</v>
      </c>
      <c r="Y192" s="46" t="b">
        <v>1</v>
      </c>
      <c r="Z192" s="46" t="s">
        <v>675</v>
      </c>
      <c r="AA192" s="46" t="s">
        <v>676</v>
      </c>
      <c r="AB192" s="46" t="s">
        <v>677</v>
      </c>
      <c r="AC192" s="46">
        <v>0</v>
      </c>
      <c r="AD192" s="46" t="s">
        <v>678</v>
      </c>
      <c r="AE192" s="46">
        <v>5</v>
      </c>
      <c r="AF192" s="46" t="s">
        <v>1024</v>
      </c>
      <c r="AG192" s="46">
        <v>391.92399999999998</v>
      </c>
      <c r="AH192" s="46" t="b">
        <v>1</v>
      </c>
      <c r="AI192" s="46">
        <v>-1</v>
      </c>
      <c r="AJ192" s="46" t="s">
        <v>680</v>
      </c>
      <c r="AK192" s="46">
        <v>0</v>
      </c>
      <c r="AL192" s="46" t="b">
        <v>0</v>
      </c>
      <c r="AM192" s="46">
        <v>6835.692</v>
      </c>
      <c r="AN192" s="46" t="b">
        <v>1</v>
      </c>
      <c r="AO192" s="46">
        <v>0</v>
      </c>
      <c r="AP192" s="46" t="b">
        <v>0</v>
      </c>
      <c r="AQ192" s="46">
        <v>4740.8540000000003</v>
      </c>
      <c r="AS192" s="46">
        <v>4740.8540000000003</v>
      </c>
      <c r="AT192" s="46">
        <v>6</v>
      </c>
      <c r="AU192" s="46" t="b">
        <v>1</v>
      </c>
      <c r="AV192" s="46" t="b">
        <v>0</v>
      </c>
    </row>
    <row r="193" spans="2:48">
      <c r="B193" s="46" t="s">
        <v>665</v>
      </c>
      <c r="C193" s="46" t="s">
        <v>666</v>
      </c>
      <c r="D193" s="46">
        <v>20240601</v>
      </c>
      <c r="E193" s="46">
        <v>2024</v>
      </c>
      <c r="F193" s="46">
        <v>6</v>
      </c>
      <c r="G193" s="46" t="s">
        <v>700</v>
      </c>
      <c r="H193" s="46">
        <v>818</v>
      </c>
      <c r="I193" s="46" t="s">
        <v>668</v>
      </c>
      <c r="J193" s="46" t="s">
        <v>57</v>
      </c>
      <c r="K193" s="46" t="s">
        <v>666</v>
      </c>
      <c r="L193" s="46" t="s">
        <v>669</v>
      </c>
      <c r="M193" s="46">
        <v>156</v>
      </c>
      <c r="N193" s="46" t="s">
        <v>711</v>
      </c>
      <c r="O193" s="46" t="s">
        <v>29</v>
      </c>
      <c r="P193" s="46">
        <v>0</v>
      </c>
      <c r="Q193" s="46" t="s">
        <v>670</v>
      </c>
      <c r="R193" s="46" t="s">
        <v>23</v>
      </c>
      <c r="S193" s="46" t="s">
        <v>671</v>
      </c>
      <c r="T193" s="46" t="s">
        <v>672</v>
      </c>
      <c r="U193" s="46" t="b">
        <v>1</v>
      </c>
      <c r="V193" s="46" t="s">
        <v>1022</v>
      </c>
      <c r="W193" s="46" t="s">
        <v>1023</v>
      </c>
      <c r="X193" s="46">
        <v>6</v>
      </c>
      <c r="Y193" s="46" t="b">
        <v>1</v>
      </c>
      <c r="Z193" s="46" t="s">
        <v>675</v>
      </c>
      <c r="AA193" s="46" t="s">
        <v>676</v>
      </c>
      <c r="AB193" s="46" t="s">
        <v>677</v>
      </c>
      <c r="AC193" s="46">
        <v>0</v>
      </c>
      <c r="AD193" s="46" t="s">
        <v>678</v>
      </c>
      <c r="AE193" s="46">
        <v>5</v>
      </c>
      <c r="AF193" s="46" t="s">
        <v>1024</v>
      </c>
      <c r="AG193" s="46">
        <v>56.582999999999998</v>
      </c>
      <c r="AH193" s="46" t="b">
        <v>1</v>
      </c>
      <c r="AI193" s="46">
        <v>-1</v>
      </c>
      <c r="AJ193" s="46" t="s">
        <v>680</v>
      </c>
      <c r="AK193" s="46">
        <v>0</v>
      </c>
      <c r="AL193" s="46" t="b">
        <v>0</v>
      </c>
      <c r="AM193" s="46">
        <v>986.88499999999999</v>
      </c>
      <c r="AN193" s="46" t="b">
        <v>1</v>
      </c>
      <c r="AO193" s="46">
        <v>0</v>
      </c>
      <c r="AP193" s="46" t="b">
        <v>0</v>
      </c>
      <c r="AQ193" s="46">
        <v>684.44799999999998</v>
      </c>
      <c r="AS193" s="46">
        <v>684.44799999999998</v>
      </c>
      <c r="AT193" s="46">
        <v>6</v>
      </c>
      <c r="AU193" s="46" t="b">
        <v>1</v>
      </c>
      <c r="AV193" s="46" t="b">
        <v>0</v>
      </c>
    </row>
    <row r="194" spans="2:48">
      <c r="B194" s="46" t="s">
        <v>665</v>
      </c>
      <c r="C194" s="46" t="s">
        <v>666</v>
      </c>
      <c r="D194" s="46">
        <v>20240301</v>
      </c>
      <c r="E194" s="46">
        <v>2024</v>
      </c>
      <c r="F194" s="46">
        <v>3</v>
      </c>
      <c r="G194" s="46" t="s">
        <v>692</v>
      </c>
      <c r="H194" s="46">
        <v>818</v>
      </c>
      <c r="I194" s="46" t="s">
        <v>668</v>
      </c>
      <c r="J194" s="46" t="s">
        <v>57</v>
      </c>
      <c r="K194" s="46" t="s">
        <v>666</v>
      </c>
      <c r="L194" s="46" t="s">
        <v>669</v>
      </c>
      <c r="M194" s="46">
        <v>251</v>
      </c>
      <c r="N194" s="46" t="s">
        <v>688</v>
      </c>
      <c r="O194" s="46" t="s">
        <v>69</v>
      </c>
      <c r="P194" s="46">
        <v>0</v>
      </c>
      <c r="Q194" s="46" t="s">
        <v>670</v>
      </c>
      <c r="R194" s="46" t="s">
        <v>23</v>
      </c>
      <c r="S194" s="46" t="s">
        <v>671</v>
      </c>
      <c r="T194" s="46" t="s">
        <v>672</v>
      </c>
      <c r="U194" s="46" t="b">
        <v>1</v>
      </c>
      <c r="V194" s="46" t="s">
        <v>1022</v>
      </c>
      <c r="W194" s="46" t="s">
        <v>1023</v>
      </c>
      <c r="X194" s="46">
        <v>6</v>
      </c>
      <c r="Y194" s="46" t="b">
        <v>1</v>
      </c>
      <c r="Z194" s="46" t="s">
        <v>675</v>
      </c>
      <c r="AA194" s="46" t="s">
        <v>676</v>
      </c>
      <c r="AB194" s="46" t="s">
        <v>677</v>
      </c>
      <c r="AC194" s="46">
        <v>0</v>
      </c>
      <c r="AD194" s="46" t="s">
        <v>678</v>
      </c>
      <c r="AE194" s="46">
        <v>5</v>
      </c>
      <c r="AF194" s="46" t="s">
        <v>1024</v>
      </c>
      <c r="AG194" s="46">
        <v>29.747</v>
      </c>
      <c r="AH194" s="46" t="b">
        <v>1</v>
      </c>
      <c r="AI194" s="46">
        <v>-1</v>
      </c>
      <c r="AJ194" s="46" t="s">
        <v>680</v>
      </c>
      <c r="AK194" s="46">
        <v>0</v>
      </c>
      <c r="AL194" s="46" t="b">
        <v>0</v>
      </c>
      <c r="AM194" s="46">
        <v>518.82799999999997</v>
      </c>
      <c r="AN194" s="46" t="b">
        <v>1</v>
      </c>
      <c r="AO194" s="46">
        <v>0</v>
      </c>
      <c r="AP194" s="46" t="b">
        <v>0</v>
      </c>
      <c r="AQ194" s="46">
        <v>359.83</v>
      </c>
      <c r="AS194" s="46">
        <v>359.83</v>
      </c>
      <c r="AT194" s="46">
        <v>6</v>
      </c>
      <c r="AU194" s="46" t="b">
        <v>1</v>
      </c>
      <c r="AV194" s="46" t="b">
        <v>0</v>
      </c>
    </row>
    <row r="195" spans="2:48">
      <c r="B195" s="46" t="s">
        <v>665</v>
      </c>
      <c r="C195" s="46" t="s">
        <v>666</v>
      </c>
      <c r="D195" s="46">
        <v>20240201</v>
      </c>
      <c r="E195" s="46">
        <v>2024</v>
      </c>
      <c r="F195" s="46">
        <v>2</v>
      </c>
      <c r="G195" s="46" t="s">
        <v>687</v>
      </c>
      <c r="H195" s="46">
        <v>818</v>
      </c>
      <c r="I195" s="46" t="s">
        <v>668</v>
      </c>
      <c r="J195" s="46" t="s">
        <v>57</v>
      </c>
      <c r="K195" s="46" t="s">
        <v>666</v>
      </c>
      <c r="L195" s="46" t="s">
        <v>669</v>
      </c>
      <c r="M195" s="46">
        <v>251</v>
      </c>
      <c r="N195" s="46" t="s">
        <v>688</v>
      </c>
      <c r="O195" s="46" t="s">
        <v>69</v>
      </c>
      <c r="P195" s="46">
        <v>0</v>
      </c>
      <c r="Q195" s="46" t="s">
        <v>670</v>
      </c>
      <c r="R195" s="46" t="s">
        <v>23</v>
      </c>
      <c r="S195" s="46" t="s">
        <v>671</v>
      </c>
      <c r="T195" s="46" t="s">
        <v>672</v>
      </c>
      <c r="U195" s="46" t="b">
        <v>1</v>
      </c>
      <c r="V195" s="46" t="s">
        <v>1022</v>
      </c>
      <c r="W195" s="46" t="s">
        <v>1023</v>
      </c>
      <c r="X195" s="46">
        <v>6</v>
      </c>
      <c r="Y195" s="46" t="b">
        <v>1</v>
      </c>
      <c r="Z195" s="46" t="s">
        <v>675</v>
      </c>
      <c r="AA195" s="46" t="s">
        <v>676</v>
      </c>
      <c r="AB195" s="46" t="s">
        <v>677</v>
      </c>
      <c r="AC195" s="46">
        <v>0</v>
      </c>
      <c r="AD195" s="46" t="s">
        <v>678</v>
      </c>
      <c r="AE195" s="46">
        <v>5</v>
      </c>
      <c r="AF195" s="46" t="s">
        <v>1024</v>
      </c>
      <c r="AG195" s="46">
        <v>24.254999999999999</v>
      </c>
      <c r="AH195" s="46" t="b">
        <v>1</v>
      </c>
      <c r="AI195" s="46">
        <v>-1</v>
      </c>
      <c r="AJ195" s="46" t="s">
        <v>680</v>
      </c>
      <c r="AK195" s="46">
        <v>0</v>
      </c>
      <c r="AL195" s="46" t="b">
        <v>0</v>
      </c>
      <c r="AM195" s="46">
        <v>423.03399999999999</v>
      </c>
      <c r="AN195" s="46" t="b">
        <v>1</v>
      </c>
      <c r="AO195" s="46">
        <v>0</v>
      </c>
      <c r="AP195" s="46" t="b">
        <v>0</v>
      </c>
      <c r="AQ195" s="46">
        <v>293.392</v>
      </c>
      <c r="AS195" s="46">
        <v>293.392</v>
      </c>
      <c r="AT195" s="46">
        <v>6</v>
      </c>
      <c r="AU195" s="46" t="b">
        <v>1</v>
      </c>
      <c r="AV195" s="46" t="b">
        <v>0</v>
      </c>
    </row>
    <row r="196" spans="2:48">
      <c r="B196" s="46" t="s">
        <v>665</v>
      </c>
      <c r="C196" s="46" t="s">
        <v>666</v>
      </c>
      <c r="D196" s="46">
        <v>20240401</v>
      </c>
      <c r="E196" s="46">
        <v>2024</v>
      </c>
      <c r="F196" s="46">
        <v>4</v>
      </c>
      <c r="G196" s="46" t="s">
        <v>695</v>
      </c>
      <c r="H196" s="46">
        <v>818</v>
      </c>
      <c r="I196" s="46" t="s">
        <v>668</v>
      </c>
      <c r="J196" s="46" t="s">
        <v>57</v>
      </c>
      <c r="K196" s="46" t="s">
        <v>666</v>
      </c>
      <c r="L196" s="46" t="s">
        <v>669</v>
      </c>
      <c r="M196" s="46">
        <v>276</v>
      </c>
      <c r="N196" s="46" t="s">
        <v>681</v>
      </c>
      <c r="O196" s="46" t="s">
        <v>30</v>
      </c>
      <c r="P196" s="46">
        <v>0</v>
      </c>
      <c r="Q196" s="46" t="s">
        <v>670</v>
      </c>
      <c r="R196" s="46" t="s">
        <v>23</v>
      </c>
      <c r="S196" s="46" t="s">
        <v>671</v>
      </c>
      <c r="T196" s="46" t="s">
        <v>672</v>
      </c>
      <c r="U196" s="46" t="b">
        <v>1</v>
      </c>
      <c r="V196" s="46" t="s">
        <v>1022</v>
      </c>
      <c r="W196" s="46" t="s">
        <v>1023</v>
      </c>
      <c r="X196" s="46">
        <v>6</v>
      </c>
      <c r="Y196" s="46" t="b">
        <v>1</v>
      </c>
      <c r="Z196" s="46" t="s">
        <v>675</v>
      </c>
      <c r="AA196" s="46" t="s">
        <v>676</v>
      </c>
      <c r="AB196" s="46" t="s">
        <v>677</v>
      </c>
      <c r="AC196" s="46">
        <v>0</v>
      </c>
      <c r="AD196" s="46" t="s">
        <v>678</v>
      </c>
      <c r="AE196" s="46">
        <v>5</v>
      </c>
      <c r="AF196" s="46" t="s">
        <v>1024</v>
      </c>
      <c r="AG196" s="46">
        <v>194.08799999999999</v>
      </c>
      <c r="AH196" s="46" t="b">
        <v>1</v>
      </c>
      <c r="AI196" s="46">
        <v>-1</v>
      </c>
      <c r="AJ196" s="46" t="s">
        <v>680</v>
      </c>
      <c r="AK196" s="46">
        <v>0</v>
      </c>
      <c r="AL196" s="46" t="b">
        <v>0</v>
      </c>
      <c r="AM196" s="46">
        <v>3385.1579999999999</v>
      </c>
      <c r="AN196" s="46" t="b">
        <v>1</v>
      </c>
      <c r="AO196" s="46">
        <v>0</v>
      </c>
      <c r="AP196" s="46" t="b">
        <v>0</v>
      </c>
      <c r="AQ196" s="46">
        <v>2347.7559999999999</v>
      </c>
      <c r="AS196" s="46">
        <v>2347.7559999999999</v>
      </c>
      <c r="AT196" s="46">
        <v>6</v>
      </c>
      <c r="AU196" s="46" t="b">
        <v>1</v>
      </c>
      <c r="AV196" s="46" t="b">
        <v>0</v>
      </c>
    </row>
    <row r="197" spans="2:48">
      <c r="B197" s="46" t="s">
        <v>665</v>
      </c>
      <c r="C197" s="46" t="s">
        <v>666</v>
      </c>
      <c r="D197" s="46">
        <v>20240101</v>
      </c>
      <c r="E197" s="46">
        <v>2024</v>
      </c>
      <c r="F197" s="46">
        <v>1</v>
      </c>
      <c r="G197" s="46" t="s">
        <v>667</v>
      </c>
      <c r="H197" s="46">
        <v>818</v>
      </c>
      <c r="I197" s="46" t="s">
        <v>668</v>
      </c>
      <c r="J197" s="46" t="s">
        <v>57</v>
      </c>
      <c r="K197" s="46" t="s">
        <v>666</v>
      </c>
      <c r="L197" s="46" t="s">
        <v>669</v>
      </c>
      <c r="M197" s="46">
        <v>276</v>
      </c>
      <c r="N197" s="46" t="s">
        <v>681</v>
      </c>
      <c r="O197" s="46" t="s">
        <v>30</v>
      </c>
      <c r="P197" s="46">
        <v>0</v>
      </c>
      <c r="Q197" s="46" t="s">
        <v>670</v>
      </c>
      <c r="R197" s="46" t="s">
        <v>23</v>
      </c>
      <c r="S197" s="46" t="s">
        <v>671</v>
      </c>
      <c r="T197" s="46" t="s">
        <v>672</v>
      </c>
      <c r="U197" s="46" t="b">
        <v>1</v>
      </c>
      <c r="V197" s="46" t="s">
        <v>1022</v>
      </c>
      <c r="W197" s="46" t="s">
        <v>1023</v>
      </c>
      <c r="X197" s="46">
        <v>6</v>
      </c>
      <c r="Y197" s="46" t="b">
        <v>1</v>
      </c>
      <c r="Z197" s="46" t="s">
        <v>675</v>
      </c>
      <c r="AA197" s="46" t="s">
        <v>676</v>
      </c>
      <c r="AB197" s="46" t="s">
        <v>677</v>
      </c>
      <c r="AC197" s="46">
        <v>0</v>
      </c>
      <c r="AD197" s="46" t="s">
        <v>678</v>
      </c>
      <c r="AE197" s="46">
        <v>5</v>
      </c>
      <c r="AF197" s="46" t="s">
        <v>1024</v>
      </c>
      <c r="AG197" s="46">
        <v>139.249</v>
      </c>
      <c r="AH197" s="46" t="b">
        <v>1</v>
      </c>
      <c r="AI197" s="46">
        <v>-1</v>
      </c>
      <c r="AJ197" s="46" t="s">
        <v>680</v>
      </c>
      <c r="AK197" s="46">
        <v>0</v>
      </c>
      <c r="AL197" s="46" t="b">
        <v>0</v>
      </c>
      <c r="AM197" s="46">
        <v>2428.692</v>
      </c>
      <c r="AN197" s="46" t="b">
        <v>1</v>
      </c>
      <c r="AO197" s="46">
        <v>0</v>
      </c>
      <c r="AP197" s="46" t="b">
        <v>0</v>
      </c>
      <c r="AQ197" s="46">
        <v>1684.405</v>
      </c>
      <c r="AS197" s="46">
        <v>1684.405</v>
      </c>
      <c r="AT197" s="46">
        <v>6</v>
      </c>
      <c r="AU197" s="46" t="b">
        <v>1</v>
      </c>
      <c r="AV197" s="46" t="b">
        <v>0</v>
      </c>
    </row>
    <row r="198" spans="2:48">
      <c r="B198" s="46" t="s">
        <v>665</v>
      </c>
      <c r="C198" s="46" t="s">
        <v>666</v>
      </c>
      <c r="D198" s="46">
        <v>20240301</v>
      </c>
      <c r="E198" s="46">
        <v>2024</v>
      </c>
      <c r="F198" s="46">
        <v>3</v>
      </c>
      <c r="G198" s="46" t="s">
        <v>692</v>
      </c>
      <c r="H198" s="46">
        <v>818</v>
      </c>
      <c r="I198" s="46" t="s">
        <v>668</v>
      </c>
      <c r="J198" s="46" t="s">
        <v>57</v>
      </c>
      <c r="K198" s="46" t="s">
        <v>666</v>
      </c>
      <c r="L198" s="46" t="s">
        <v>669</v>
      </c>
      <c r="M198" s="46">
        <v>276</v>
      </c>
      <c r="N198" s="46" t="s">
        <v>681</v>
      </c>
      <c r="O198" s="46" t="s">
        <v>30</v>
      </c>
      <c r="P198" s="46">
        <v>0</v>
      </c>
      <c r="Q198" s="46" t="s">
        <v>670</v>
      </c>
      <c r="R198" s="46" t="s">
        <v>23</v>
      </c>
      <c r="S198" s="46" t="s">
        <v>671</v>
      </c>
      <c r="T198" s="46" t="s">
        <v>672</v>
      </c>
      <c r="U198" s="46" t="b">
        <v>1</v>
      </c>
      <c r="V198" s="46" t="s">
        <v>1022</v>
      </c>
      <c r="W198" s="46" t="s">
        <v>1023</v>
      </c>
      <c r="X198" s="46">
        <v>6</v>
      </c>
      <c r="Y198" s="46" t="b">
        <v>1</v>
      </c>
      <c r="Z198" s="46" t="s">
        <v>675</v>
      </c>
      <c r="AA198" s="46" t="s">
        <v>676</v>
      </c>
      <c r="AB198" s="46" t="s">
        <v>677</v>
      </c>
      <c r="AC198" s="46">
        <v>0</v>
      </c>
      <c r="AD198" s="46" t="s">
        <v>678</v>
      </c>
      <c r="AE198" s="46">
        <v>5</v>
      </c>
      <c r="AF198" s="46" t="s">
        <v>1024</v>
      </c>
      <c r="AG198" s="46">
        <v>128.94800000000001</v>
      </c>
      <c r="AH198" s="46" t="b">
        <v>1</v>
      </c>
      <c r="AI198" s="46">
        <v>-1</v>
      </c>
      <c r="AJ198" s="46" t="s">
        <v>680</v>
      </c>
      <c r="AK198" s="46">
        <v>0</v>
      </c>
      <c r="AL198" s="46" t="b">
        <v>0</v>
      </c>
      <c r="AM198" s="46">
        <v>2249.0340000000001</v>
      </c>
      <c r="AN198" s="46" t="b">
        <v>1</v>
      </c>
      <c r="AO198" s="46">
        <v>0</v>
      </c>
      <c r="AP198" s="46" t="b">
        <v>0</v>
      </c>
      <c r="AQ198" s="46">
        <v>1559.8040000000001</v>
      </c>
      <c r="AS198" s="46">
        <v>1559.8040000000001</v>
      </c>
      <c r="AT198" s="46">
        <v>6</v>
      </c>
      <c r="AU198" s="46" t="b">
        <v>1</v>
      </c>
      <c r="AV198" s="46" t="b">
        <v>0</v>
      </c>
    </row>
    <row r="199" spans="2:48">
      <c r="B199" s="46" t="s">
        <v>665</v>
      </c>
      <c r="C199" s="46" t="s">
        <v>666</v>
      </c>
      <c r="D199" s="46">
        <v>20240201</v>
      </c>
      <c r="E199" s="46">
        <v>2024</v>
      </c>
      <c r="F199" s="46">
        <v>2</v>
      </c>
      <c r="G199" s="46" t="s">
        <v>687</v>
      </c>
      <c r="H199" s="46">
        <v>818</v>
      </c>
      <c r="I199" s="46" t="s">
        <v>668</v>
      </c>
      <c r="J199" s="46" t="s">
        <v>57</v>
      </c>
      <c r="K199" s="46" t="s">
        <v>666</v>
      </c>
      <c r="L199" s="46" t="s">
        <v>669</v>
      </c>
      <c r="M199" s="46">
        <v>276</v>
      </c>
      <c r="N199" s="46" t="s">
        <v>681</v>
      </c>
      <c r="O199" s="46" t="s">
        <v>30</v>
      </c>
      <c r="P199" s="46">
        <v>0</v>
      </c>
      <c r="Q199" s="46" t="s">
        <v>670</v>
      </c>
      <c r="R199" s="46" t="s">
        <v>23</v>
      </c>
      <c r="S199" s="46" t="s">
        <v>671</v>
      </c>
      <c r="T199" s="46" t="s">
        <v>672</v>
      </c>
      <c r="U199" s="46" t="b">
        <v>1</v>
      </c>
      <c r="V199" s="46" t="s">
        <v>1022</v>
      </c>
      <c r="W199" s="46" t="s">
        <v>1023</v>
      </c>
      <c r="X199" s="46">
        <v>6</v>
      </c>
      <c r="Y199" s="46" t="b">
        <v>1</v>
      </c>
      <c r="Z199" s="46" t="s">
        <v>675</v>
      </c>
      <c r="AA199" s="46" t="s">
        <v>676</v>
      </c>
      <c r="AB199" s="46" t="s">
        <v>677</v>
      </c>
      <c r="AC199" s="46">
        <v>0</v>
      </c>
      <c r="AD199" s="46" t="s">
        <v>678</v>
      </c>
      <c r="AE199" s="46">
        <v>5</v>
      </c>
      <c r="AF199" s="46" t="s">
        <v>1024</v>
      </c>
      <c r="AG199" s="46">
        <v>265.11500000000001</v>
      </c>
      <c r="AH199" s="46" t="b">
        <v>1</v>
      </c>
      <c r="AI199" s="46">
        <v>-1</v>
      </c>
      <c r="AJ199" s="46" t="s">
        <v>680</v>
      </c>
      <c r="AK199" s="46">
        <v>0</v>
      </c>
      <c r="AL199" s="46" t="b">
        <v>0</v>
      </c>
      <c r="AM199" s="46">
        <v>4623.9620000000004</v>
      </c>
      <c r="AN199" s="46" t="b">
        <v>1</v>
      </c>
      <c r="AO199" s="46">
        <v>0</v>
      </c>
      <c r="AP199" s="46" t="b">
        <v>0</v>
      </c>
      <c r="AQ199" s="46">
        <v>3206.922</v>
      </c>
      <c r="AS199" s="46">
        <v>3206.922</v>
      </c>
      <c r="AT199" s="46">
        <v>6</v>
      </c>
      <c r="AU199" s="46" t="b">
        <v>1</v>
      </c>
      <c r="AV199" s="46" t="b">
        <v>0</v>
      </c>
    </row>
    <row r="200" spans="2:48">
      <c r="B200" s="46" t="s">
        <v>665</v>
      </c>
      <c r="C200" s="46" t="s">
        <v>666</v>
      </c>
      <c r="D200" s="46">
        <v>20240601</v>
      </c>
      <c r="E200" s="46">
        <v>2024</v>
      </c>
      <c r="F200" s="46">
        <v>6</v>
      </c>
      <c r="G200" s="46" t="s">
        <v>700</v>
      </c>
      <c r="H200" s="46">
        <v>818</v>
      </c>
      <c r="I200" s="46" t="s">
        <v>668</v>
      </c>
      <c r="J200" s="46" t="s">
        <v>57</v>
      </c>
      <c r="K200" s="46" t="s">
        <v>666</v>
      </c>
      <c r="L200" s="46" t="s">
        <v>669</v>
      </c>
      <c r="M200" s="46">
        <v>276</v>
      </c>
      <c r="N200" s="46" t="s">
        <v>681</v>
      </c>
      <c r="O200" s="46" t="s">
        <v>30</v>
      </c>
      <c r="P200" s="46">
        <v>0</v>
      </c>
      <c r="Q200" s="46" t="s">
        <v>670</v>
      </c>
      <c r="R200" s="46" t="s">
        <v>23</v>
      </c>
      <c r="S200" s="46" t="s">
        <v>671</v>
      </c>
      <c r="T200" s="46" t="s">
        <v>672</v>
      </c>
      <c r="U200" s="46" t="b">
        <v>1</v>
      </c>
      <c r="V200" s="46" t="s">
        <v>1022</v>
      </c>
      <c r="W200" s="46" t="s">
        <v>1023</v>
      </c>
      <c r="X200" s="46">
        <v>6</v>
      </c>
      <c r="Y200" s="46" t="b">
        <v>1</v>
      </c>
      <c r="Z200" s="46" t="s">
        <v>675</v>
      </c>
      <c r="AA200" s="46" t="s">
        <v>676</v>
      </c>
      <c r="AB200" s="46" t="s">
        <v>677</v>
      </c>
      <c r="AC200" s="46">
        <v>0</v>
      </c>
      <c r="AD200" s="46" t="s">
        <v>678</v>
      </c>
      <c r="AE200" s="46">
        <v>5</v>
      </c>
      <c r="AF200" s="46" t="s">
        <v>1024</v>
      </c>
      <c r="AG200" s="46">
        <v>98.569000000000003</v>
      </c>
      <c r="AH200" s="46" t="b">
        <v>1</v>
      </c>
      <c r="AI200" s="46">
        <v>-1</v>
      </c>
      <c r="AJ200" s="46" t="s">
        <v>680</v>
      </c>
      <c r="AK200" s="46">
        <v>0</v>
      </c>
      <c r="AL200" s="46" t="b">
        <v>0</v>
      </c>
      <c r="AM200" s="46">
        <v>1719.1690000000001</v>
      </c>
      <c r="AN200" s="46" t="b">
        <v>1</v>
      </c>
      <c r="AO200" s="46">
        <v>0</v>
      </c>
      <c r="AP200" s="46" t="b">
        <v>0</v>
      </c>
      <c r="AQ200" s="46">
        <v>1192.32</v>
      </c>
      <c r="AS200" s="46">
        <v>1192.32</v>
      </c>
      <c r="AT200" s="46">
        <v>6</v>
      </c>
      <c r="AU200" s="46" t="b">
        <v>1</v>
      </c>
      <c r="AV200" s="46" t="b">
        <v>0</v>
      </c>
    </row>
    <row r="201" spans="2:48">
      <c r="B201" s="46" t="s">
        <v>665</v>
      </c>
      <c r="C201" s="46" t="s">
        <v>666</v>
      </c>
      <c r="D201" s="46">
        <v>20240501</v>
      </c>
      <c r="E201" s="46">
        <v>2024</v>
      </c>
      <c r="F201" s="46">
        <v>5</v>
      </c>
      <c r="G201" s="46" t="s">
        <v>699</v>
      </c>
      <c r="H201" s="46">
        <v>818</v>
      </c>
      <c r="I201" s="46" t="s">
        <v>668</v>
      </c>
      <c r="J201" s="46" t="s">
        <v>57</v>
      </c>
      <c r="K201" s="46" t="s">
        <v>666</v>
      </c>
      <c r="L201" s="46" t="s">
        <v>669</v>
      </c>
      <c r="M201" s="46">
        <v>380</v>
      </c>
      <c r="N201" s="46" t="s">
        <v>689</v>
      </c>
      <c r="O201" s="46" t="s">
        <v>71</v>
      </c>
      <c r="P201" s="46">
        <v>0</v>
      </c>
      <c r="Q201" s="46" t="s">
        <v>670</v>
      </c>
      <c r="R201" s="46" t="s">
        <v>23</v>
      </c>
      <c r="S201" s="46" t="s">
        <v>671</v>
      </c>
      <c r="T201" s="46" t="s">
        <v>672</v>
      </c>
      <c r="U201" s="46" t="b">
        <v>1</v>
      </c>
      <c r="V201" s="46" t="s">
        <v>1022</v>
      </c>
      <c r="W201" s="46" t="s">
        <v>1023</v>
      </c>
      <c r="X201" s="46">
        <v>6</v>
      </c>
      <c r="Y201" s="46" t="b">
        <v>1</v>
      </c>
      <c r="Z201" s="46" t="s">
        <v>675</v>
      </c>
      <c r="AA201" s="46" t="s">
        <v>676</v>
      </c>
      <c r="AB201" s="46" t="s">
        <v>677</v>
      </c>
      <c r="AC201" s="46">
        <v>0</v>
      </c>
      <c r="AD201" s="46" t="s">
        <v>678</v>
      </c>
      <c r="AE201" s="46">
        <v>5</v>
      </c>
      <c r="AF201" s="46" t="s">
        <v>1024</v>
      </c>
      <c r="AG201" s="46">
        <v>694.952</v>
      </c>
      <c r="AH201" s="46" t="b">
        <v>1</v>
      </c>
      <c r="AI201" s="46">
        <v>-1</v>
      </c>
      <c r="AJ201" s="46" t="s">
        <v>680</v>
      </c>
      <c r="AK201" s="46">
        <v>0</v>
      </c>
      <c r="AL201" s="46" t="b">
        <v>0</v>
      </c>
      <c r="AM201" s="46">
        <v>12120.909</v>
      </c>
      <c r="AN201" s="46" t="b">
        <v>1</v>
      </c>
      <c r="AO201" s="46">
        <v>0</v>
      </c>
      <c r="AP201" s="46" t="b">
        <v>0</v>
      </c>
      <c r="AQ201" s="46">
        <v>8406.3850000000002</v>
      </c>
      <c r="AS201" s="46">
        <v>8406.3850000000002</v>
      </c>
      <c r="AT201" s="46">
        <v>6</v>
      </c>
      <c r="AU201" s="46" t="b">
        <v>1</v>
      </c>
      <c r="AV201" s="46" t="b">
        <v>0</v>
      </c>
    </row>
    <row r="202" spans="2:48">
      <c r="B202" s="46" t="s">
        <v>665</v>
      </c>
      <c r="C202" s="46" t="s">
        <v>666</v>
      </c>
      <c r="D202" s="46">
        <v>20240101</v>
      </c>
      <c r="E202" s="46">
        <v>2024</v>
      </c>
      <c r="F202" s="46">
        <v>1</v>
      </c>
      <c r="G202" s="46" t="s">
        <v>667</v>
      </c>
      <c r="H202" s="46">
        <v>818</v>
      </c>
      <c r="I202" s="46" t="s">
        <v>668</v>
      </c>
      <c r="J202" s="46" t="s">
        <v>57</v>
      </c>
      <c r="K202" s="46" t="s">
        <v>666</v>
      </c>
      <c r="L202" s="46" t="s">
        <v>669</v>
      </c>
      <c r="M202" s="46">
        <v>380</v>
      </c>
      <c r="N202" s="46" t="s">
        <v>689</v>
      </c>
      <c r="O202" s="46" t="s">
        <v>71</v>
      </c>
      <c r="P202" s="46">
        <v>0</v>
      </c>
      <c r="Q202" s="46" t="s">
        <v>670</v>
      </c>
      <c r="R202" s="46" t="s">
        <v>23</v>
      </c>
      <c r="S202" s="46" t="s">
        <v>671</v>
      </c>
      <c r="T202" s="46" t="s">
        <v>672</v>
      </c>
      <c r="U202" s="46" t="b">
        <v>1</v>
      </c>
      <c r="V202" s="46" t="s">
        <v>1022</v>
      </c>
      <c r="W202" s="46" t="s">
        <v>1023</v>
      </c>
      <c r="X202" s="46">
        <v>6</v>
      </c>
      <c r="Y202" s="46" t="b">
        <v>1</v>
      </c>
      <c r="Z202" s="46" t="s">
        <v>675</v>
      </c>
      <c r="AA202" s="46" t="s">
        <v>676</v>
      </c>
      <c r="AB202" s="46" t="s">
        <v>677</v>
      </c>
      <c r="AC202" s="46">
        <v>0</v>
      </c>
      <c r="AD202" s="46" t="s">
        <v>678</v>
      </c>
      <c r="AE202" s="46">
        <v>5</v>
      </c>
      <c r="AF202" s="46" t="s">
        <v>1024</v>
      </c>
      <c r="AG202" s="46">
        <v>455.93599999999998</v>
      </c>
      <c r="AH202" s="46" t="b">
        <v>1</v>
      </c>
      <c r="AI202" s="46">
        <v>-1</v>
      </c>
      <c r="AJ202" s="46" t="s">
        <v>680</v>
      </c>
      <c r="AK202" s="46">
        <v>0</v>
      </c>
      <c r="AL202" s="46" t="b">
        <v>0</v>
      </c>
      <c r="AM202" s="46">
        <v>7952.1379999999999</v>
      </c>
      <c r="AN202" s="46" t="b">
        <v>1</v>
      </c>
      <c r="AO202" s="46">
        <v>0</v>
      </c>
      <c r="AP202" s="46" t="b">
        <v>0</v>
      </c>
      <c r="AQ202" s="46">
        <v>5515.1580000000004</v>
      </c>
      <c r="AS202" s="46">
        <v>5515.1580000000004</v>
      </c>
      <c r="AT202" s="46">
        <v>6</v>
      </c>
      <c r="AU202" s="46" t="b">
        <v>1</v>
      </c>
      <c r="AV202" s="46" t="b">
        <v>0</v>
      </c>
    </row>
    <row r="203" spans="2:48">
      <c r="B203" s="46" t="s">
        <v>665</v>
      </c>
      <c r="C203" s="46" t="s">
        <v>666</v>
      </c>
      <c r="D203" s="46">
        <v>20240401</v>
      </c>
      <c r="E203" s="46">
        <v>2024</v>
      </c>
      <c r="F203" s="46">
        <v>4</v>
      </c>
      <c r="G203" s="46" t="s">
        <v>695</v>
      </c>
      <c r="H203" s="46">
        <v>818</v>
      </c>
      <c r="I203" s="46" t="s">
        <v>668</v>
      </c>
      <c r="J203" s="46" t="s">
        <v>57</v>
      </c>
      <c r="K203" s="46" t="s">
        <v>666</v>
      </c>
      <c r="L203" s="46" t="s">
        <v>669</v>
      </c>
      <c r="M203" s="46">
        <v>380</v>
      </c>
      <c r="N203" s="46" t="s">
        <v>689</v>
      </c>
      <c r="O203" s="46" t="s">
        <v>71</v>
      </c>
      <c r="P203" s="46">
        <v>0</v>
      </c>
      <c r="Q203" s="46" t="s">
        <v>670</v>
      </c>
      <c r="R203" s="46" t="s">
        <v>23</v>
      </c>
      <c r="S203" s="46" t="s">
        <v>671</v>
      </c>
      <c r="T203" s="46" t="s">
        <v>672</v>
      </c>
      <c r="U203" s="46" t="b">
        <v>1</v>
      </c>
      <c r="V203" s="46" t="s">
        <v>1022</v>
      </c>
      <c r="W203" s="46" t="s">
        <v>1023</v>
      </c>
      <c r="X203" s="46">
        <v>6</v>
      </c>
      <c r="Y203" s="46" t="b">
        <v>1</v>
      </c>
      <c r="Z203" s="46" t="s">
        <v>675</v>
      </c>
      <c r="AA203" s="46" t="s">
        <v>676</v>
      </c>
      <c r="AB203" s="46" t="s">
        <v>677</v>
      </c>
      <c r="AC203" s="46">
        <v>0</v>
      </c>
      <c r="AD203" s="46" t="s">
        <v>678</v>
      </c>
      <c r="AE203" s="46">
        <v>5</v>
      </c>
      <c r="AF203" s="46" t="s">
        <v>1024</v>
      </c>
      <c r="AG203" s="46">
        <v>102.855</v>
      </c>
      <c r="AH203" s="46" t="b">
        <v>1</v>
      </c>
      <c r="AI203" s="46">
        <v>-1</v>
      </c>
      <c r="AJ203" s="46" t="s">
        <v>680</v>
      </c>
      <c r="AK203" s="46">
        <v>0</v>
      </c>
      <c r="AL203" s="46" t="b">
        <v>0</v>
      </c>
      <c r="AM203" s="46">
        <v>1793.9259999999999</v>
      </c>
      <c r="AN203" s="46" t="b">
        <v>1</v>
      </c>
      <c r="AO203" s="46">
        <v>0</v>
      </c>
      <c r="AP203" s="46" t="b">
        <v>0</v>
      </c>
      <c r="AQ203" s="46">
        <v>1244.1669999999999</v>
      </c>
      <c r="AS203" s="46">
        <v>1244.1669999999999</v>
      </c>
      <c r="AT203" s="46">
        <v>6</v>
      </c>
      <c r="AU203" s="46" t="b">
        <v>1</v>
      </c>
      <c r="AV203" s="46" t="b">
        <v>0</v>
      </c>
    </row>
    <row r="204" spans="2:48">
      <c r="B204" s="46" t="s">
        <v>665</v>
      </c>
      <c r="C204" s="46" t="s">
        <v>666</v>
      </c>
      <c r="D204" s="46">
        <v>20240301</v>
      </c>
      <c r="E204" s="46">
        <v>2024</v>
      </c>
      <c r="F204" s="46">
        <v>3</v>
      </c>
      <c r="G204" s="46" t="s">
        <v>692</v>
      </c>
      <c r="H204" s="46">
        <v>818</v>
      </c>
      <c r="I204" s="46" t="s">
        <v>668</v>
      </c>
      <c r="J204" s="46" t="s">
        <v>57</v>
      </c>
      <c r="K204" s="46" t="s">
        <v>666</v>
      </c>
      <c r="L204" s="46" t="s">
        <v>669</v>
      </c>
      <c r="M204" s="46">
        <v>380</v>
      </c>
      <c r="N204" s="46" t="s">
        <v>689</v>
      </c>
      <c r="O204" s="46" t="s">
        <v>71</v>
      </c>
      <c r="P204" s="46">
        <v>0</v>
      </c>
      <c r="Q204" s="46" t="s">
        <v>670</v>
      </c>
      <c r="R204" s="46" t="s">
        <v>23</v>
      </c>
      <c r="S204" s="46" t="s">
        <v>671</v>
      </c>
      <c r="T204" s="46" t="s">
        <v>672</v>
      </c>
      <c r="U204" s="46" t="b">
        <v>1</v>
      </c>
      <c r="V204" s="46" t="s">
        <v>1022</v>
      </c>
      <c r="W204" s="46" t="s">
        <v>1023</v>
      </c>
      <c r="X204" s="46">
        <v>6</v>
      </c>
      <c r="Y204" s="46" t="b">
        <v>1</v>
      </c>
      <c r="Z204" s="46" t="s">
        <v>675</v>
      </c>
      <c r="AA204" s="46" t="s">
        <v>676</v>
      </c>
      <c r="AB204" s="46" t="s">
        <v>677</v>
      </c>
      <c r="AC204" s="46">
        <v>0</v>
      </c>
      <c r="AD204" s="46" t="s">
        <v>678</v>
      </c>
      <c r="AE204" s="46">
        <v>5</v>
      </c>
      <c r="AF204" s="46" t="s">
        <v>1024</v>
      </c>
      <c r="AG204" s="46">
        <v>274.28500000000003</v>
      </c>
      <c r="AH204" s="46" t="b">
        <v>1</v>
      </c>
      <c r="AI204" s="46">
        <v>-1</v>
      </c>
      <c r="AJ204" s="46" t="s">
        <v>680</v>
      </c>
      <c r="AK204" s="46">
        <v>0</v>
      </c>
      <c r="AL204" s="46" t="b">
        <v>0</v>
      </c>
      <c r="AM204" s="46">
        <v>4783.9009999999998</v>
      </c>
      <c r="AN204" s="46" t="b">
        <v>1</v>
      </c>
      <c r="AO204" s="46">
        <v>0</v>
      </c>
      <c r="AP204" s="46" t="b">
        <v>0</v>
      </c>
      <c r="AQ204" s="46">
        <v>3317.846</v>
      </c>
      <c r="AS204" s="46">
        <v>3317.846</v>
      </c>
      <c r="AT204" s="46">
        <v>6</v>
      </c>
      <c r="AU204" s="46" t="b">
        <v>1</v>
      </c>
      <c r="AV204" s="46" t="b">
        <v>0</v>
      </c>
    </row>
    <row r="205" spans="2:48">
      <c r="B205" s="46" t="s">
        <v>665</v>
      </c>
      <c r="C205" s="46" t="s">
        <v>666</v>
      </c>
      <c r="D205" s="46">
        <v>20240201</v>
      </c>
      <c r="E205" s="46">
        <v>2024</v>
      </c>
      <c r="F205" s="46">
        <v>2</v>
      </c>
      <c r="G205" s="46" t="s">
        <v>687</v>
      </c>
      <c r="H205" s="46">
        <v>818</v>
      </c>
      <c r="I205" s="46" t="s">
        <v>668</v>
      </c>
      <c r="J205" s="46" t="s">
        <v>57</v>
      </c>
      <c r="K205" s="46" t="s">
        <v>666</v>
      </c>
      <c r="L205" s="46" t="s">
        <v>669</v>
      </c>
      <c r="M205" s="46">
        <v>380</v>
      </c>
      <c r="N205" s="46" t="s">
        <v>689</v>
      </c>
      <c r="O205" s="46" t="s">
        <v>71</v>
      </c>
      <c r="P205" s="46">
        <v>0</v>
      </c>
      <c r="Q205" s="46" t="s">
        <v>670</v>
      </c>
      <c r="R205" s="46" t="s">
        <v>23</v>
      </c>
      <c r="S205" s="46" t="s">
        <v>671</v>
      </c>
      <c r="T205" s="46" t="s">
        <v>672</v>
      </c>
      <c r="U205" s="46" t="b">
        <v>1</v>
      </c>
      <c r="V205" s="46" t="s">
        <v>1022</v>
      </c>
      <c r="W205" s="46" t="s">
        <v>1023</v>
      </c>
      <c r="X205" s="46">
        <v>6</v>
      </c>
      <c r="Y205" s="46" t="b">
        <v>1</v>
      </c>
      <c r="Z205" s="46" t="s">
        <v>675</v>
      </c>
      <c r="AA205" s="46" t="s">
        <v>676</v>
      </c>
      <c r="AB205" s="46" t="s">
        <v>677</v>
      </c>
      <c r="AC205" s="46">
        <v>0</v>
      </c>
      <c r="AD205" s="46" t="s">
        <v>678</v>
      </c>
      <c r="AE205" s="46">
        <v>5</v>
      </c>
      <c r="AF205" s="46" t="s">
        <v>1024</v>
      </c>
      <c r="AG205" s="46">
        <v>339.87700000000001</v>
      </c>
      <c r="AH205" s="46" t="b">
        <v>1</v>
      </c>
      <c r="AI205" s="46">
        <v>-1</v>
      </c>
      <c r="AJ205" s="46" t="s">
        <v>680</v>
      </c>
      <c r="AK205" s="46">
        <v>0</v>
      </c>
      <c r="AL205" s="46" t="b">
        <v>0</v>
      </c>
      <c r="AM205" s="46">
        <v>5927.9129999999996</v>
      </c>
      <c r="AN205" s="46" t="b">
        <v>1</v>
      </c>
      <c r="AO205" s="46">
        <v>0</v>
      </c>
      <c r="AP205" s="46" t="b">
        <v>0</v>
      </c>
      <c r="AQ205" s="46">
        <v>4111.2690000000002</v>
      </c>
      <c r="AS205" s="46">
        <v>4111.2690000000002</v>
      </c>
      <c r="AT205" s="46">
        <v>6</v>
      </c>
      <c r="AU205" s="46" t="b">
        <v>1</v>
      </c>
      <c r="AV205" s="46" t="b">
        <v>0</v>
      </c>
    </row>
    <row r="206" spans="2:48">
      <c r="B206" s="46" t="s">
        <v>665</v>
      </c>
      <c r="C206" s="46" t="s">
        <v>666</v>
      </c>
      <c r="D206" s="46">
        <v>20240601</v>
      </c>
      <c r="E206" s="46">
        <v>2024</v>
      </c>
      <c r="F206" s="46">
        <v>6</v>
      </c>
      <c r="G206" s="46" t="s">
        <v>700</v>
      </c>
      <c r="H206" s="46">
        <v>818</v>
      </c>
      <c r="I206" s="46" t="s">
        <v>668</v>
      </c>
      <c r="J206" s="46" t="s">
        <v>57</v>
      </c>
      <c r="K206" s="46" t="s">
        <v>666</v>
      </c>
      <c r="L206" s="46" t="s">
        <v>669</v>
      </c>
      <c r="M206" s="46">
        <v>528</v>
      </c>
      <c r="N206" s="46" t="s">
        <v>698</v>
      </c>
      <c r="O206" s="46" t="s">
        <v>60</v>
      </c>
      <c r="P206" s="46">
        <v>0</v>
      </c>
      <c r="Q206" s="46" t="s">
        <v>670</v>
      </c>
      <c r="R206" s="46" t="s">
        <v>23</v>
      </c>
      <c r="S206" s="46" t="s">
        <v>671</v>
      </c>
      <c r="T206" s="46" t="s">
        <v>672</v>
      </c>
      <c r="U206" s="46" t="b">
        <v>1</v>
      </c>
      <c r="V206" s="46" t="s">
        <v>1022</v>
      </c>
      <c r="W206" s="46" t="s">
        <v>1023</v>
      </c>
      <c r="X206" s="46">
        <v>6</v>
      </c>
      <c r="Y206" s="46" t="b">
        <v>1</v>
      </c>
      <c r="Z206" s="46" t="s">
        <v>675</v>
      </c>
      <c r="AA206" s="46" t="s">
        <v>676</v>
      </c>
      <c r="AB206" s="46" t="s">
        <v>677</v>
      </c>
      <c r="AC206" s="46">
        <v>0</v>
      </c>
      <c r="AD206" s="46" t="s">
        <v>678</v>
      </c>
      <c r="AE206" s="46">
        <v>5</v>
      </c>
      <c r="AF206" s="46" t="s">
        <v>1024</v>
      </c>
      <c r="AG206" s="46">
        <v>33.232999999999997</v>
      </c>
      <c r="AH206" s="46" t="b">
        <v>1</v>
      </c>
      <c r="AI206" s="46">
        <v>-1</v>
      </c>
      <c r="AJ206" s="46" t="s">
        <v>680</v>
      </c>
      <c r="AK206" s="46">
        <v>0</v>
      </c>
      <c r="AL206" s="46" t="b">
        <v>0</v>
      </c>
      <c r="AM206" s="46">
        <v>579.63199999999995</v>
      </c>
      <c r="AN206" s="46" t="b">
        <v>1</v>
      </c>
      <c r="AO206" s="46">
        <v>0</v>
      </c>
      <c r="AP206" s="46" t="b">
        <v>0</v>
      </c>
      <c r="AQ206" s="46">
        <v>402</v>
      </c>
      <c r="AS206" s="46">
        <v>402</v>
      </c>
      <c r="AT206" s="46">
        <v>6</v>
      </c>
      <c r="AU206" s="46" t="b">
        <v>1</v>
      </c>
      <c r="AV206" s="46" t="b">
        <v>0</v>
      </c>
    </row>
    <row r="207" spans="2:48">
      <c r="B207" s="46" t="s">
        <v>665</v>
      </c>
      <c r="C207" s="46" t="s">
        <v>666</v>
      </c>
      <c r="D207" s="46">
        <v>20240501</v>
      </c>
      <c r="E207" s="46">
        <v>2024</v>
      </c>
      <c r="F207" s="46">
        <v>5</v>
      </c>
      <c r="G207" s="46" t="s">
        <v>699</v>
      </c>
      <c r="H207" s="46">
        <v>818</v>
      </c>
      <c r="I207" s="46" t="s">
        <v>668</v>
      </c>
      <c r="J207" s="46" t="s">
        <v>57</v>
      </c>
      <c r="K207" s="46" t="s">
        <v>666</v>
      </c>
      <c r="L207" s="46" t="s">
        <v>669</v>
      </c>
      <c r="M207" s="46">
        <v>528</v>
      </c>
      <c r="N207" s="46" t="s">
        <v>698</v>
      </c>
      <c r="O207" s="46" t="s">
        <v>60</v>
      </c>
      <c r="P207" s="46">
        <v>0</v>
      </c>
      <c r="Q207" s="46" t="s">
        <v>670</v>
      </c>
      <c r="R207" s="46" t="s">
        <v>23</v>
      </c>
      <c r="S207" s="46" t="s">
        <v>671</v>
      </c>
      <c r="T207" s="46" t="s">
        <v>672</v>
      </c>
      <c r="U207" s="46" t="b">
        <v>1</v>
      </c>
      <c r="V207" s="46" t="s">
        <v>1022</v>
      </c>
      <c r="W207" s="46" t="s">
        <v>1023</v>
      </c>
      <c r="X207" s="46">
        <v>6</v>
      </c>
      <c r="Y207" s="46" t="b">
        <v>1</v>
      </c>
      <c r="Z207" s="46" t="s">
        <v>675</v>
      </c>
      <c r="AA207" s="46" t="s">
        <v>676</v>
      </c>
      <c r="AB207" s="46" t="s">
        <v>677</v>
      </c>
      <c r="AC207" s="46">
        <v>0</v>
      </c>
      <c r="AD207" s="46" t="s">
        <v>678</v>
      </c>
      <c r="AE207" s="46">
        <v>5</v>
      </c>
      <c r="AF207" s="46" t="s">
        <v>1024</v>
      </c>
      <c r="AG207" s="46">
        <v>22.045999999999999</v>
      </c>
      <c r="AH207" s="46" t="b">
        <v>1</v>
      </c>
      <c r="AI207" s="46">
        <v>-1</v>
      </c>
      <c r="AJ207" s="46" t="s">
        <v>680</v>
      </c>
      <c r="AK207" s="46">
        <v>0</v>
      </c>
      <c r="AL207" s="46" t="b">
        <v>0</v>
      </c>
      <c r="AM207" s="46">
        <v>384.51600000000002</v>
      </c>
      <c r="AN207" s="46" t="b">
        <v>1</v>
      </c>
      <c r="AO207" s="46">
        <v>0</v>
      </c>
      <c r="AP207" s="46" t="b">
        <v>0</v>
      </c>
      <c r="AQ207" s="46">
        <v>266.67899999999997</v>
      </c>
      <c r="AS207" s="46">
        <v>266.67899999999997</v>
      </c>
      <c r="AT207" s="46">
        <v>6</v>
      </c>
      <c r="AU207" s="46" t="b">
        <v>1</v>
      </c>
      <c r="AV207" s="46" t="b">
        <v>0</v>
      </c>
    </row>
    <row r="208" spans="2:48">
      <c r="B208" s="46" t="s">
        <v>665</v>
      </c>
      <c r="C208" s="46" t="s">
        <v>666</v>
      </c>
      <c r="D208" s="46">
        <v>20240101</v>
      </c>
      <c r="E208" s="46">
        <v>2024</v>
      </c>
      <c r="F208" s="46">
        <v>1</v>
      </c>
      <c r="G208" s="46" t="s">
        <v>667</v>
      </c>
      <c r="H208" s="46">
        <v>818</v>
      </c>
      <c r="I208" s="46" t="s">
        <v>668</v>
      </c>
      <c r="J208" s="46" t="s">
        <v>57</v>
      </c>
      <c r="K208" s="46" t="s">
        <v>666</v>
      </c>
      <c r="L208" s="46" t="s">
        <v>669</v>
      </c>
      <c r="M208" s="46">
        <v>528</v>
      </c>
      <c r="N208" s="46" t="s">
        <v>698</v>
      </c>
      <c r="O208" s="46" t="s">
        <v>60</v>
      </c>
      <c r="P208" s="46">
        <v>0</v>
      </c>
      <c r="Q208" s="46" t="s">
        <v>670</v>
      </c>
      <c r="R208" s="46" t="s">
        <v>23</v>
      </c>
      <c r="S208" s="46" t="s">
        <v>671</v>
      </c>
      <c r="T208" s="46" t="s">
        <v>672</v>
      </c>
      <c r="U208" s="46" t="b">
        <v>1</v>
      </c>
      <c r="V208" s="46" t="s">
        <v>1022</v>
      </c>
      <c r="W208" s="46" t="s">
        <v>1023</v>
      </c>
      <c r="X208" s="46">
        <v>6</v>
      </c>
      <c r="Y208" s="46" t="b">
        <v>1</v>
      </c>
      <c r="Z208" s="46" t="s">
        <v>675</v>
      </c>
      <c r="AA208" s="46" t="s">
        <v>676</v>
      </c>
      <c r="AB208" s="46" t="s">
        <v>677</v>
      </c>
      <c r="AC208" s="46">
        <v>0</v>
      </c>
      <c r="AD208" s="46" t="s">
        <v>678</v>
      </c>
      <c r="AE208" s="46">
        <v>5</v>
      </c>
      <c r="AF208" s="46" t="s">
        <v>1024</v>
      </c>
      <c r="AG208" s="46">
        <v>51.36</v>
      </c>
      <c r="AH208" s="46" t="b">
        <v>1</v>
      </c>
      <c r="AI208" s="46">
        <v>-1</v>
      </c>
      <c r="AJ208" s="46" t="s">
        <v>680</v>
      </c>
      <c r="AK208" s="46">
        <v>0</v>
      </c>
      <c r="AL208" s="46" t="b">
        <v>0</v>
      </c>
      <c r="AM208" s="46">
        <v>895.78899999999999</v>
      </c>
      <c r="AN208" s="46" t="b">
        <v>1</v>
      </c>
      <c r="AO208" s="46">
        <v>0</v>
      </c>
      <c r="AP208" s="46" t="b">
        <v>0</v>
      </c>
      <c r="AQ208" s="46">
        <v>621.26900000000001</v>
      </c>
      <c r="AS208" s="46">
        <v>621.26900000000001</v>
      </c>
      <c r="AT208" s="46">
        <v>6</v>
      </c>
      <c r="AU208" s="46" t="b">
        <v>1</v>
      </c>
      <c r="AV208" s="46" t="b">
        <v>0</v>
      </c>
    </row>
    <row r="209" spans="2:48">
      <c r="B209" s="46" t="s">
        <v>665</v>
      </c>
      <c r="C209" s="46" t="s">
        <v>666</v>
      </c>
      <c r="D209" s="46">
        <v>20240301</v>
      </c>
      <c r="E209" s="46">
        <v>2024</v>
      </c>
      <c r="F209" s="46">
        <v>3</v>
      </c>
      <c r="G209" s="46" t="s">
        <v>692</v>
      </c>
      <c r="H209" s="46">
        <v>818</v>
      </c>
      <c r="I209" s="46" t="s">
        <v>668</v>
      </c>
      <c r="J209" s="46" t="s">
        <v>57</v>
      </c>
      <c r="K209" s="46" t="s">
        <v>666</v>
      </c>
      <c r="L209" s="46" t="s">
        <v>669</v>
      </c>
      <c r="M209" s="46">
        <v>528</v>
      </c>
      <c r="N209" s="46" t="s">
        <v>698</v>
      </c>
      <c r="O209" s="46" t="s">
        <v>60</v>
      </c>
      <c r="P209" s="46">
        <v>0</v>
      </c>
      <c r="Q209" s="46" t="s">
        <v>670</v>
      </c>
      <c r="R209" s="46" t="s">
        <v>23</v>
      </c>
      <c r="S209" s="46" t="s">
        <v>671</v>
      </c>
      <c r="T209" s="46" t="s">
        <v>672</v>
      </c>
      <c r="U209" s="46" t="b">
        <v>1</v>
      </c>
      <c r="V209" s="46" t="s">
        <v>1022</v>
      </c>
      <c r="W209" s="46" t="s">
        <v>1023</v>
      </c>
      <c r="X209" s="46">
        <v>6</v>
      </c>
      <c r="Y209" s="46" t="b">
        <v>1</v>
      </c>
      <c r="Z209" s="46" t="s">
        <v>675</v>
      </c>
      <c r="AA209" s="46" t="s">
        <v>676</v>
      </c>
      <c r="AB209" s="46" t="s">
        <v>677</v>
      </c>
      <c r="AC209" s="46">
        <v>0</v>
      </c>
      <c r="AD209" s="46" t="s">
        <v>678</v>
      </c>
      <c r="AE209" s="46">
        <v>5</v>
      </c>
      <c r="AF209" s="46" t="s">
        <v>1024</v>
      </c>
      <c r="AG209" s="46">
        <v>22.533999999999999</v>
      </c>
      <c r="AH209" s="46" t="b">
        <v>1</v>
      </c>
      <c r="AI209" s="46">
        <v>-1</v>
      </c>
      <c r="AJ209" s="46" t="s">
        <v>680</v>
      </c>
      <c r="AK209" s="46">
        <v>0</v>
      </c>
      <c r="AL209" s="46" t="b">
        <v>0</v>
      </c>
      <c r="AM209" s="46">
        <v>393.024</v>
      </c>
      <c r="AN209" s="46" t="b">
        <v>1</v>
      </c>
      <c r="AO209" s="46">
        <v>0</v>
      </c>
      <c r="AP209" s="46" t="b">
        <v>0</v>
      </c>
      <c r="AQ209" s="46">
        <v>272.57900000000001</v>
      </c>
      <c r="AS209" s="46">
        <v>272.57900000000001</v>
      </c>
      <c r="AT209" s="46">
        <v>6</v>
      </c>
      <c r="AU209" s="46" t="b">
        <v>1</v>
      </c>
      <c r="AV209" s="46" t="b">
        <v>0</v>
      </c>
    </row>
    <row r="210" spans="2:48">
      <c r="B210" s="46" t="s">
        <v>665</v>
      </c>
      <c r="C210" s="46" t="s">
        <v>666</v>
      </c>
      <c r="D210" s="46">
        <v>20240601</v>
      </c>
      <c r="E210" s="46">
        <v>2024</v>
      </c>
      <c r="F210" s="46">
        <v>6</v>
      </c>
      <c r="G210" s="46" t="s">
        <v>700</v>
      </c>
      <c r="H210" s="46">
        <v>818</v>
      </c>
      <c r="I210" s="46" t="s">
        <v>668</v>
      </c>
      <c r="J210" s="46" t="s">
        <v>57</v>
      </c>
      <c r="K210" s="46" t="s">
        <v>666</v>
      </c>
      <c r="L210" s="46" t="s">
        <v>669</v>
      </c>
      <c r="M210" s="46">
        <v>568</v>
      </c>
      <c r="N210" s="46" t="s">
        <v>682</v>
      </c>
      <c r="O210" s="46" t="s">
        <v>683</v>
      </c>
      <c r="P210" s="46">
        <v>0</v>
      </c>
      <c r="Q210" s="46" t="s">
        <v>670</v>
      </c>
      <c r="R210" s="46" t="s">
        <v>23</v>
      </c>
      <c r="S210" s="46" t="s">
        <v>671</v>
      </c>
      <c r="T210" s="46" t="s">
        <v>672</v>
      </c>
      <c r="U210" s="46" t="b">
        <v>1</v>
      </c>
      <c r="V210" s="46" t="s">
        <v>1022</v>
      </c>
      <c r="W210" s="46" t="s">
        <v>1023</v>
      </c>
      <c r="X210" s="46">
        <v>6</v>
      </c>
      <c r="Y210" s="46" t="b">
        <v>1</v>
      </c>
      <c r="Z210" s="46" t="s">
        <v>675</v>
      </c>
      <c r="AA210" s="46" t="s">
        <v>676</v>
      </c>
      <c r="AB210" s="46" t="s">
        <v>677</v>
      </c>
      <c r="AC210" s="46">
        <v>0</v>
      </c>
      <c r="AD210" s="46" t="s">
        <v>678</v>
      </c>
      <c r="AE210" s="46">
        <v>5</v>
      </c>
      <c r="AF210" s="46" t="s">
        <v>1024</v>
      </c>
      <c r="AG210" s="46">
        <v>27.065999999999999</v>
      </c>
      <c r="AH210" s="46" t="b">
        <v>1</v>
      </c>
      <c r="AI210" s="46">
        <v>-1</v>
      </c>
      <c r="AJ210" s="46" t="s">
        <v>680</v>
      </c>
      <c r="AK210" s="46">
        <v>0</v>
      </c>
      <c r="AL210" s="46" t="b">
        <v>0</v>
      </c>
      <c r="AM210" s="46">
        <v>472.065</v>
      </c>
      <c r="AN210" s="46" t="b">
        <v>1</v>
      </c>
      <c r="AO210" s="46">
        <v>0</v>
      </c>
      <c r="AP210" s="46" t="b">
        <v>0</v>
      </c>
      <c r="AQ210" s="46">
        <v>327.39800000000002</v>
      </c>
      <c r="AS210" s="46">
        <v>327.39800000000002</v>
      </c>
      <c r="AT210" s="46">
        <v>6</v>
      </c>
      <c r="AU210" s="46" t="b">
        <v>1</v>
      </c>
      <c r="AV210" s="46" t="b">
        <v>0</v>
      </c>
    </row>
    <row r="211" spans="2:48">
      <c r="B211" s="46" t="s">
        <v>665</v>
      </c>
      <c r="C211" s="46" t="s">
        <v>666</v>
      </c>
      <c r="D211" s="46">
        <v>20240501</v>
      </c>
      <c r="E211" s="46">
        <v>2024</v>
      </c>
      <c r="F211" s="46">
        <v>5</v>
      </c>
      <c r="G211" s="46" t="s">
        <v>699</v>
      </c>
      <c r="H211" s="46">
        <v>818</v>
      </c>
      <c r="I211" s="46" t="s">
        <v>668</v>
      </c>
      <c r="J211" s="46" t="s">
        <v>57</v>
      </c>
      <c r="K211" s="46" t="s">
        <v>666</v>
      </c>
      <c r="L211" s="46" t="s">
        <v>669</v>
      </c>
      <c r="M211" s="46">
        <v>568</v>
      </c>
      <c r="N211" s="46" t="s">
        <v>682</v>
      </c>
      <c r="O211" s="46" t="s">
        <v>683</v>
      </c>
      <c r="P211" s="46">
        <v>0</v>
      </c>
      <c r="Q211" s="46" t="s">
        <v>670</v>
      </c>
      <c r="R211" s="46" t="s">
        <v>23</v>
      </c>
      <c r="S211" s="46" t="s">
        <v>671</v>
      </c>
      <c r="T211" s="46" t="s">
        <v>672</v>
      </c>
      <c r="U211" s="46" t="b">
        <v>1</v>
      </c>
      <c r="V211" s="46" t="s">
        <v>1022</v>
      </c>
      <c r="W211" s="46" t="s">
        <v>1023</v>
      </c>
      <c r="X211" s="46">
        <v>6</v>
      </c>
      <c r="Y211" s="46" t="b">
        <v>1</v>
      </c>
      <c r="Z211" s="46" t="s">
        <v>675</v>
      </c>
      <c r="AA211" s="46" t="s">
        <v>676</v>
      </c>
      <c r="AB211" s="46" t="s">
        <v>677</v>
      </c>
      <c r="AC211" s="46">
        <v>0</v>
      </c>
      <c r="AD211" s="46" t="s">
        <v>678</v>
      </c>
      <c r="AE211" s="46">
        <v>5</v>
      </c>
      <c r="AF211" s="46" t="s">
        <v>1024</v>
      </c>
      <c r="AG211" s="46">
        <v>35.746000000000002</v>
      </c>
      <c r="AH211" s="46" t="b">
        <v>1</v>
      </c>
      <c r="AI211" s="46">
        <v>-1</v>
      </c>
      <c r="AJ211" s="46" t="s">
        <v>680</v>
      </c>
      <c r="AK211" s="46">
        <v>0</v>
      </c>
      <c r="AL211" s="46" t="b">
        <v>0</v>
      </c>
      <c r="AM211" s="46">
        <v>623.46299999999997</v>
      </c>
      <c r="AN211" s="46" t="b">
        <v>1</v>
      </c>
      <c r="AO211" s="46">
        <v>0</v>
      </c>
      <c r="AP211" s="46" t="b">
        <v>0</v>
      </c>
      <c r="AQ211" s="46">
        <v>432.399</v>
      </c>
      <c r="AS211" s="46">
        <v>432.399</v>
      </c>
      <c r="AT211" s="46">
        <v>6</v>
      </c>
      <c r="AU211" s="46" t="b">
        <v>1</v>
      </c>
      <c r="AV211" s="46" t="b">
        <v>0</v>
      </c>
    </row>
    <row r="212" spans="2:48">
      <c r="B212" s="46" t="s">
        <v>665</v>
      </c>
      <c r="C212" s="46" t="s">
        <v>666</v>
      </c>
      <c r="D212" s="46">
        <v>20240201</v>
      </c>
      <c r="E212" s="46">
        <v>2024</v>
      </c>
      <c r="F212" s="46">
        <v>2</v>
      </c>
      <c r="G212" s="46" t="s">
        <v>687</v>
      </c>
      <c r="H212" s="46">
        <v>818</v>
      </c>
      <c r="I212" s="46" t="s">
        <v>668</v>
      </c>
      <c r="J212" s="46" t="s">
        <v>57</v>
      </c>
      <c r="K212" s="46" t="s">
        <v>666</v>
      </c>
      <c r="L212" s="46" t="s">
        <v>669</v>
      </c>
      <c r="M212" s="46">
        <v>620</v>
      </c>
      <c r="N212" s="46" t="s">
        <v>693</v>
      </c>
      <c r="O212" s="46" t="s">
        <v>85</v>
      </c>
      <c r="P212" s="46">
        <v>0</v>
      </c>
      <c r="Q212" s="46" t="s">
        <v>670</v>
      </c>
      <c r="R212" s="46" t="s">
        <v>23</v>
      </c>
      <c r="S212" s="46" t="s">
        <v>671</v>
      </c>
      <c r="T212" s="46" t="s">
        <v>672</v>
      </c>
      <c r="U212" s="46" t="b">
        <v>1</v>
      </c>
      <c r="V212" s="46" t="s">
        <v>1022</v>
      </c>
      <c r="W212" s="46" t="s">
        <v>1023</v>
      </c>
      <c r="X212" s="46">
        <v>6</v>
      </c>
      <c r="Y212" s="46" t="b">
        <v>1</v>
      </c>
      <c r="Z212" s="46" t="s">
        <v>675</v>
      </c>
      <c r="AA212" s="46" t="s">
        <v>676</v>
      </c>
      <c r="AB212" s="46" t="s">
        <v>677</v>
      </c>
      <c r="AC212" s="46">
        <v>0</v>
      </c>
      <c r="AD212" s="46" t="s">
        <v>678</v>
      </c>
      <c r="AE212" s="46">
        <v>5</v>
      </c>
      <c r="AF212" s="46" t="s">
        <v>1024</v>
      </c>
      <c r="AG212" s="46">
        <v>39.847000000000001</v>
      </c>
      <c r="AH212" s="46" t="b">
        <v>1</v>
      </c>
      <c r="AI212" s="46">
        <v>-1</v>
      </c>
      <c r="AJ212" s="46" t="s">
        <v>680</v>
      </c>
      <c r="AK212" s="46">
        <v>0</v>
      </c>
      <c r="AL212" s="46" t="b">
        <v>0</v>
      </c>
      <c r="AM212" s="46">
        <v>694.98099999999999</v>
      </c>
      <c r="AN212" s="46" t="b">
        <v>1</v>
      </c>
      <c r="AO212" s="46">
        <v>0</v>
      </c>
      <c r="AP212" s="46" t="b">
        <v>0</v>
      </c>
      <c r="AQ212" s="46">
        <v>482</v>
      </c>
      <c r="AS212" s="46">
        <v>482</v>
      </c>
      <c r="AT212" s="46">
        <v>6</v>
      </c>
      <c r="AU212" s="46" t="b">
        <v>1</v>
      </c>
      <c r="AV212" s="46" t="b">
        <v>0</v>
      </c>
    </row>
    <row r="213" spans="2:48">
      <c r="B213" s="46" t="s">
        <v>665</v>
      </c>
      <c r="C213" s="46" t="s">
        <v>666</v>
      </c>
      <c r="D213" s="46">
        <v>20240501</v>
      </c>
      <c r="E213" s="46">
        <v>2024</v>
      </c>
      <c r="F213" s="46">
        <v>5</v>
      </c>
      <c r="G213" s="46" t="s">
        <v>699</v>
      </c>
      <c r="H213" s="46">
        <v>818</v>
      </c>
      <c r="I213" s="46" t="s">
        <v>668</v>
      </c>
      <c r="J213" s="46" t="s">
        <v>57</v>
      </c>
      <c r="K213" s="46" t="s">
        <v>666</v>
      </c>
      <c r="L213" s="46" t="s">
        <v>669</v>
      </c>
      <c r="M213" s="46">
        <v>699</v>
      </c>
      <c r="N213" s="46" t="s">
        <v>748</v>
      </c>
      <c r="O213" s="46" t="s">
        <v>0</v>
      </c>
      <c r="P213" s="46">
        <v>0</v>
      </c>
      <c r="Q213" s="46" t="s">
        <v>670</v>
      </c>
      <c r="R213" s="46" t="s">
        <v>23</v>
      </c>
      <c r="S213" s="46" t="s">
        <v>671</v>
      </c>
      <c r="T213" s="46" t="s">
        <v>672</v>
      </c>
      <c r="U213" s="46" t="b">
        <v>1</v>
      </c>
      <c r="V213" s="46" t="s">
        <v>1022</v>
      </c>
      <c r="W213" s="46" t="s">
        <v>1023</v>
      </c>
      <c r="X213" s="46">
        <v>6</v>
      </c>
      <c r="Y213" s="46" t="b">
        <v>1</v>
      </c>
      <c r="Z213" s="46" t="s">
        <v>675</v>
      </c>
      <c r="AA213" s="46" t="s">
        <v>676</v>
      </c>
      <c r="AB213" s="46" t="s">
        <v>677</v>
      </c>
      <c r="AC213" s="46">
        <v>0</v>
      </c>
      <c r="AD213" s="46" t="s">
        <v>678</v>
      </c>
      <c r="AE213" s="46">
        <v>5</v>
      </c>
      <c r="AF213" s="46" t="s">
        <v>1024</v>
      </c>
      <c r="AG213" s="46">
        <v>6984.1490000000003</v>
      </c>
      <c r="AH213" s="46" t="b">
        <v>1</v>
      </c>
      <c r="AI213" s="46">
        <v>-1</v>
      </c>
      <c r="AJ213" s="46" t="s">
        <v>680</v>
      </c>
      <c r="AK213" s="46">
        <v>0</v>
      </c>
      <c r="AL213" s="46" t="b">
        <v>0</v>
      </c>
      <c r="AM213" s="46">
        <v>121813.06299999999</v>
      </c>
      <c r="AN213" s="46" t="b">
        <v>1</v>
      </c>
      <c r="AO213" s="46">
        <v>0</v>
      </c>
      <c r="AP213" s="46" t="b">
        <v>0</v>
      </c>
      <c r="AQ213" s="46">
        <v>84482.726999999999</v>
      </c>
      <c r="AS213" s="46">
        <v>84482.726999999999</v>
      </c>
      <c r="AT213" s="46">
        <v>6</v>
      </c>
      <c r="AU213" s="46" t="b">
        <v>1</v>
      </c>
      <c r="AV213" s="46" t="b">
        <v>0</v>
      </c>
    </row>
    <row r="214" spans="2:48">
      <c r="B214" s="46" t="s">
        <v>665</v>
      </c>
      <c r="C214" s="46" t="s">
        <v>666</v>
      </c>
      <c r="D214" s="46">
        <v>20240401</v>
      </c>
      <c r="E214" s="46">
        <v>2024</v>
      </c>
      <c r="F214" s="46">
        <v>4</v>
      </c>
      <c r="G214" s="46" t="s">
        <v>695</v>
      </c>
      <c r="H214" s="46">
        <v>818</v>
      </c>
      <c r="I214" s="46" t="s">
        <v>668</v>
      </c>
      <c r="J214" s="46" t="s">
        <v>57</v>
      </c>
      <c r="K214" s="46" t="s">
        <v>666</v>
      </c>
      <c r="L214" s="46" t="s">
        <v>669</v>
      </c>
      <c r="M214" s="46">
        <v>699</v>
      </c>
      <c r="N214" s="46" t="s">
        <v>748</v>
      </c>
      <c r="O214" s="46" t="s">
        <v>0</v>
      </c>
      <c r="P214" s="46">
        <v>0</v>
      </c>
      <c r="Q214" s="46" t="s">
        <v>670</v>
      </c>
      <c r="R214" s="46" t="s">
        <v>23</v>
      </c>
      <c r="S214" s="46" t="s">
        <v>671</v>
      </c>
      <c r="T214" s="46" t="s">
        <v>672</v>
      </c>
      <c r="U214" s="46" t="b">
        <v>1</v>
      </c>
      <c r="V214" s="46" t="s">
        <v>1022</v>
      </c>
      <c r="W214" s="46" t="s">
        <v>1023</v>
      </c>
      <c r="X214" s="46">
        <v>6</v>
      </c>
      <c r="Y214" s="46" t="b">
        <v>1</v>
      </c>
      <c r="Z214" s="46" t="s">
        <v>675</v>
      </c>
      <c r="AA214" s="46" t="s">
        <v>676</v>
      </c>
      <c r="AB214" s="46" t="s">
        <v>677</v>
      </c>
      <c r="AC214" s="46">
        <v>0</v>
      </c>
      <c r="AD214" s="46" t="s">
        <v>678</v>
      </c>
      <c r="AE214" s="46">
        <v>5</v>
      </c>
      <c r="AF214" s="46" t="s">
        <v>1024</v>
      </c>
      <c r="AG214" s="46">
        <v>6837.32</v>
      </c>
      <c r="AH214" s="46" t="b">
        <v>1</v>
      </c>
      <c r="AI214" s="46">
        <v>-1</v>
      </c>
      <c r="AJ214" s="46" t="s">
        <v>680</v>
      </c>
      <c r="AK214" s="46">
        <v>0</v>
      </c>
      <c r="AL214" s="46" t="b">
        <v>0</v>
      </c>
      <c r="AM214" s="46">
        <v>119252.162</v>
      </c>
      <c r="AN214" s="46" t="b">
        <v>1</v>
      </c>
      <c r="AO214" s="46">
        <v>0</v>
      </c>
      <c r="AP214" s="46" t="b">
        <v>0</v>
      </c>
      <c r="AQ214" s="46">
        <v>82706.629000000001</v>
      </c>
      <c r="AS214" s="46">
        <v>82706.629000000001</v>
      </c>
      <c r="AT214" s="46">
        <v>6</v>
      </c>
      <c r="AU214" s="46" t="b">
        <v>1</v>
      </c>
      <c r="AV214" s="46" t="b">
        <v>0</v>
      </c>
    </row>
    <row r="215" spans="2:48">
      <c r="B215" s="46" t="s">
        <v>665</v>
      </c>
      <c r="C215" s="46" t="s">
        <v>666</v>
      </c>
      <c r="D215" s="46">
        <v>20240101</v>
      </c>
      <c r="E215" s="46">
        <v>2024</v>
      </c>
      <c r="F215" s="46">
        <v>1</v>
      </c>
      <c r="G215" s="46" t="s">
        <v>667</v>
      </c>
      <c r="H215" s="46">
        <v>818</v>
      </c>
      <c r="I215" s="46" t="s">
        <v>668</v>
      </c>
      <c r="J215" s="46" t="s">
        <v>57</v>
      </c>
      <c r="K215" s="46" t="s">
        <v>666</v>
      </c>
      <c r="L215" s="46" t="s">
        <v>669</v>
      </c>
      <c r="M215" s="46">
        <v>699</v>
      </c>
      <c r="N215" s="46" t="s">
        <v>748</v>
      </c>
      <c r="O215" s="46" t="s">
        <v>0</v>
      </c>
      <c r="P215" s="46">
        <v>0</v>
      </c>
      <c r="Q215" s="46" t="s">
        <v>670</v>
      </c>
      <c r="R215" s="46" t="s">
        <v>23</v>
      </c>
      <c r="S215" s="46" t="s">
        <v>671</v>
      </c>
      <c r="T215" s="46" t="s">
        <v>672</v>
      </c>
      <c r="U215" s="46" t="b">
        <v>1</v>
      </c>
      <c r="V215" s="46" t="s">
        <v>1022</v>
      </c>
      <c r="W215" s="46" t="s">
        <v>1023</v>
      </c>
      <c r="X215" s="46">
        <v>6</v>
      </c>
      <c r="Y215" s="46" t="b">
        <v>1</v>
      </c>
      <c r="Z215" s="46" t="s">
        <v>675</v>
      </c>
      <c r="AA215" s="46" t="s">
        <v>676</v>
      </c>
      <c r="AB215" s="46" t="s">
        <v>677</v>
      </c>
      <c r="AC215" s="46">
        <v>0</v>
      </c>
      <c r="AD215" s="46" t="s">
        <v>678</v>
      </c>
      <c r="AE215" s="46">
        <v>5</v>
      </c>
      <c r="AF215" s="46" t="s">
        <v>1024</v>
      </c>
      <c r="AG215" s="46">
        <v>10776.93</v>
      </c>
      <c r="AH215" s="46" t="b">
        <v>1</v>
      </c>
      <c r="AI215" s="46">
        <v>-1</v>
      </c>
      <c r="AJ215" s="46" t="s">
        <v>680</v>
      </c>
      <c r="AK215" s="46">
        <v>0</v>
      </c>
      <c r="AL215" s="46" t="b">
        <v>0</v>
      </c>
      <c r="AM215" s="46">
        <v>187964.33</v>
      </c>
      <c r="AN215" s="46" t="b">
        <v>1</v>
      </c>
      <c r="AO215" s="46">
        <v>0</v>
      </c>
      <c r="AP215" s="46" t="b">
        <v>0</v>
      </c>
      <c r="AQ215" s="46">
        <v>130361.545</v>
      </c>
      <c r="AS215" s="46">
        <v>130361.545</v>
      </c>
      <c r="AT215" s="46">
        <v>6</v>
      </c>
      <c r="AU215" s="46" t="b">
        <v>1</v>
      </c>
      <c r="AV215" s="46" t="b">
        <v>0</v>
      </c>
    </row>
    <row r="216" spans="2:48">
      <c r="B216" s="46" t="s">
        <v>665</v>
      </c>
      <c r="C216" s="46" t="s">
        <v>666</v>
      </c>
      <c r="D216" s="46">
        <v>20240301</v>
      </c>
      <c r="E216" s="46">
        <v>2024</v>
      </c>
      <c r="F216" s="46">
        <v>3</v>
      </c>
      <c r="G216" s="46" t="s">
        <v>692</v>
      </c>
      <c r="H216" s="46">
        <v>818</v>
      </c>
      <c r="I216" s="46" t="s">
        <v>668</v>
      </c>
      <c r="J216" s="46" t="s">
        <v>57</v>
      </c>
      <c r="K216" s="46" t="s">
        <v>666</v>
      </c>
      <c r="L216" s="46" t="s">
        <v>669</v>
      </c>
      <c r="M216" s="46">
        <v>699</v>
      </c>
      <c r="N216" s="46" t="s">
        <v>748</v>
      </c>
      <c r="O216" s="46" t="s">
        <v>0</v>
      </c>
      <c r="P216" s="46">
        <v>0</v>
      </c>
      <c r="Q216" s="46" t="s">
        <v>670</v>
      </c>
      <c r="R216" s="46" t="s">
        <v>23</v>
      </c>
      <c r="S216" s="46" t="s">
        <v>671</v>
      </c>
      <c r="T216" s="46" t="s">
        <v>672</v>
      </c>
      <c r="U216" s="46" t="b">
        <v>1</v>
      </c>
      <c r="V216" s="46" t="s">
        <v>1022</v>
      </c>
      <c r="W216" s="46" t="s">
        <v>1023</v>
      </c>
      <c r="X216" s="46">
        <v>6</v>
      </c>
      <c r="Y216" s="46" t="b">
        <v>1</v>
      </c>
      <c r="Z216" s="46" t="s">
        <v>675</v>
      </c>
      <c r="AA216" s="46" t="s">
        <v>676</v>
      </c>
      <c r="AB216" s="46" t="s">
        <v>677</v>
      </c>
      <c r="AC216" s="46">
        <v>0</v>
      </c>
      <c r="AD216" s="46" t="s">
        <v>678</v>
      </c>
      <c r="AE216" s="46">
        <v>5</v>
      </c>
      <c r="AF216" s="46" t="s">
        <v>1024</v>
      </c>
      <c r="AG216" s="46">
        <v>7016.7889999999998</v>
      </c>
      <c r="AH216" s="46" t="b">
        <v>1</v>
      </c>
      <c r="AI216" s="46">
        <v>-1</v>
      </c>
      <c r="AJ216" s="46" t="s">
        <v>680</v>
      </c>
      <c r="AK216" s="46">
        <v>0</v>
      </c>
      <c r="AL216" s="46" t="b">
        <v>0</v>
      </c>
      <c r="AM216" s="46">
        <v>122382.359</v>
      </c>
      <c r="AN216" s="46" t="b">
        <v>1</v>
      </c>
      <c r="AO216" s="46">
        <v>0</v>
      </c>
      <c r="AP216" s="46" t="b">
        <v>0</v>
      </c>
      <c r="AQ216" s="46">
        <v>84877.558999999994</v>
      </c>
      <c r="AS216" s="46">
        <v>84877.558999999994</v>
      </c>
      <c r="AT216" s="46">
        <v>6</v>
      </c>
      <c r="AU216" s="46" t="b">
        <v>1</v>
      </c>
      <c r="AV216" s="46" t="b">
        <v>0</v>
      </c>
    </row>
    <row r="217" spans="2:48">
      <c r="B217" s="46" t="s">
        <v>665</v>
      </c>
      <c r="C217" s="46" t="s">
        <v>666</v>
      </c>
      <c r="D217" s="46">
        <v>20240201</v>
      </c>
      <c r="E217" s="46">
        <v>2024</v>
      </c>
      <c r="F217" s="46">
        <v>2</v>
      </c>
      <c r="G217" s="46" t="s">
        <v>687</v>
      </c>
      <c r="H217" s="46">
        <v>818</v>
      </c>
      <c r="I217" s="46" t="s">
        <v>668</v>
      </c>
      <c r="J217" s="46" t="s">
        <v>57</v>
      </c>
      <c r="K217" s="46" t="s">
        <v>666</v>
      </c>
      <c r="L217" s="46" t="s">
        <v>669</v>
      </c>
      <c r="M217" s="46">
        <v>710</v>
      </c>
      <c r="N217" s="46" t="s">
        <v>995</v>
      </c>
      <c r="O217" s="46" t="s">
        <v>40</v>
      </c>
      <c r="P217" s="46">
        <v>0</v>
      </c>
      <c r="Q217" s="46" t="s">
        <v>670</v>
      </c>
      <c r="R217" s="46" t="s">
        <v>23</v>
      </c>
      <c r="S217" s="46" t="s">
        <v>671</v>
      </c>
      <c r="T217" s="46" t="s">
        <v>672</v>
      </c>
      <c r="U217" s="46" t="b">
        <v>1</v>
      </c>
      <c r="V217" s="46" t="s">
        <v>1022</v>
      </c>
      <c r="W217" s="46" t="s">
        <v>1023</v>
      </c>
      <c r="X217" s="46">
        <v>6</v>
      </c>
      <c r="Y217" s="46" t="b">
        <v>1</v>
      </c>
      <c r="Z217" s="46" t="s">
        <v>675</v>
      </c>
      <c r="AA217" s="46" t="s">
        <v>676</v>
      </c>
      <c r="AB217" s="46" t="s">
        <v>677</v>
      </c>
      <c r="AC217" s="46">
        <v>0</v>
      </c>
      <c r="AD217" s="46" t="s">
        <v>678</v>
      </c>
      <c r="AE217" s="46">
        <v>5</v>
      </c>
      <c r="AF217" s="46" t="s">
        <v>1024</v>
      </c>
      <c r="AG217" s="46">
        <v>8.9879999999999995</v>
      </c>
      <c r="AH217" s="46" t="b">
        <v>1</v>
      </c>
      <c r="AI217" s="46">
        <v>-1</v>
      </c>
      <c r="AJ217" s="46" t="s">
        <v>680</v>
      </c>
      <c r="AK217" s="46">
        <v>0</v>
      </c>
      <c r="AL217" s="46" t="b">
        <v>0</v>
      </c>
      <c r="AM217" s="46">
        <v>156.76900000000001</v>
      </c>
      <c r="AN217" s="46" t="b">
        <v>1</v>
      </c>
      <c r="AO217" s="46">
        <v>0</v>
      </c>
      <c r="AP217" s="46" t="b">
        <v>0</v>
      </c>
      <c r="AQ217" s="46">
        <v>108.726</v>
      </c>
      <c r="AS217" s="46">
        <v>108.726</v>
      </c>
      <c r="AT217" s="46">
        <v>6</v>
      </c>
      <c r="AU217" s="46" t="b">
        <v>1</v>
      </c>
      <c r="AV217" s="46" t="b">
        <v>0</v>
      </c>
    </row>
    <row r="218" spans="2:48">
      <c r="B218" s="46" t="s">
        <v>665</v>
      </c>
      <c r="C218" s="46" t="s">
        <v>666</v>
      </c>
      <c r="D218" s="46">
        <v>20240301</v>
      </c>
      <c r="E218" s="46">
        <v>2024</v>
      </c>
      <c r="F218" s="46">
        <v>3</v>
      </c>
      <c r="G218" s="46" t="s">
        <v>692</v>
      </c>
      <c r="H218" s="46">
        <v>818</v>
      </c>
      <c r="I218" s="46" t="s">
        <v>668</v>
      </c>
      <c r="J218" s="46" t="s">
        <v>57</v>
      </c>
      <c r="K218" s="46" t="s">
        <v>666</v>
      </c>
      <c r="L218" s="46" t="s">
        <v>669</v>
      </c>
      <c r="M218" s="46">
        <v>724</v>
      </c>
      <c r="N218" s="46" t="s">
        <v>684</v>
      </c>
      <c r="O218" s="46" t="s">
        <v>51</v>
      </c>
      <c r="P218" s="46">
        <v>0</v>
      </c>
      <c r="Q218" s="46" t="s">
        <v>670</v>
      </c>
      <c r="R218" s="46" t="s">
        <v>23</v>
      </c>
      <c r="S218" s="46" t="s">
        <v>671</v>
      </c>
      <c r="T218" s="46" t="s">
        <v>672</v>
      </c>
      <c r="U218" s="46" t="b">
        <v>1</v>
      </c>
      <c r="V218" s="46" t="s">
        <v>1022</v>
      </c>
      <c r="W218" s="46" t="s">
        <v>1023</v>
      </c>
      <c r="X218" s="46">
        <v>6</v>
      </c>
      <c r="Y218" s="46" t="b">
        <v>1</v>
      </c>
      <c r="Z218" s="46" t="s">
        <v>675</v>
      </c>
      <c r="AA218" s="46" t="s">
        <v>676</v>
      </c>
      <c r="AB218" s="46" t="s">
        <v>677</v>
      </c>
      <c r="AC218" s="46">
        <v>0</v>
      </c>
      <c r="AD218" s="46" t="s">
        <v>678</v>
      </c>
      <c r="AE218" s="46">
        <v>5</v>
      </c>
      <c r="AF218" s="46" t="s">
        <v>1024</v>
      </c>
      <c r="AG218" s="46">
        <v>58.683999999999997</v>
      </c>
      <c r="AH218" s="46" t="b">
        <v>1</v>
      </c>
      <c r="AI218" s="46">
        <v>-1</v>
      </c>
      <c r="AJ218" s="46" t="s">
        <v>680</v>
      </c>
      <c r="AK218" s="46">
        <v>0</v>
      </c>
      <c r="AL218" s="46" t="b">
        <v>0</v>
      </c>
      <c r="AM218" s="46">
        <v>1023.52</v>
      </c>
      <c r="AN218" s="46" t="b">
        <v>1</v>
      </c>
      <c r="AO218" s="46">
        <v>0</v>
      </c>
      <c r="AP218" s="46" t="b">
        <v>0</v>
      </c>
      <c r="AQ218" s="46">
        <v>709.85599999999999</v>
      </c>
      <c r="AS218" s="46">
        <v>709.85599999999999</v>
      </c>
      <c r="AT218" s="46">
        <v>6</v>
      </c>
      <c r="AU218" s="46" t="b">
        <v>1</v>
      </c>
      <c r="AV218" s="46" t="b">
        <v>0</v>
      </c>
    </row>
    <row r="219" spans="2:48">
      <c r="B219" s="46" t="s">
        <v>665</v>
      </c>
      <c r="C219" s="46" t="s">
        <v>666</v>
      </c>
      <c r="D219" s="46">
        <v>20240601</v>
      </c>
      <c r="E219" s="46">
        <v>2024</v>
      </c>
      <c r="F219" s="46">
        <v>6</v>
      </c>
      <c r="G219" s="46" t="s">
        <v>700</v>
      </c>
      <c r="H219" s="46">
        <v>818</v>
      </c>
      <c r="I219" s="46" t="s">
        <v>668</v>
      </c>
      <c r="J219" s="46" t="s">
        <v>57</v>
      </c>
      <c r="K219" s="46" t="s">
        <v>666</v>
      </c>
      <c r="L219" s="46" t="s">
        <v>669</v>
      </c>
      <c r="M219" s="46">
        <v>724</v>
      </c>
      <c r="N219" s="46" t="s">
        <v>684</v>
      </c>
      <c r="O219" s="46" t="s">
        <v>51</v>
      </c>
      <c r="P219" s="46">
        <v>0</v>
      </c>
      <c r="Q219" s="46" t="s">
        <v>670</v>
      </c>
      <c r="R219" s="46" t="s">
        <v>23</v>
      </c>
      <c r="S219" s="46" t="s">
        <v>671</v>
      </c>
      <c r="T219" s="46" t="s">
        <v>672</v>
      </c>
      <c r="U219" s="46" t="b">
        <v>1</v>
      </c>
      <c r="V219" s="46" t="s">
        <v>1022</v>
      </c>
      <c r="W219" s="46" t="s">
        <v>1023</v>
      </c>
      <c r="X219" s="46">
        <v>6</v>
      </c>
      <c r="Y219" s="46" t="b">
        <v>1</v>
      </c>
      <c r="Z219" s="46" t="s">
        <v>675</v>
      </c>
      <c r="AA219" s="46" t="s">
        <v>676</v>
      </c>
      <c r="AB219" s="46" t="s">
        <v>677</v>
      </c>
      <c r="AC219" s="46">
        <v>0</v>
      </c>
      <c r="AD219" s="46" t="s">
        <v>678</v>
      </c>
      <c r="AE219" s="46">
        <v>5</v>
      </c>
      <c r="AF219" s="46" t="s">
        <v>1024</v>
      </c>
      <c r="AG219" s="46">
        <v>14.879</v>
      </c>
      <c r="AH219" s="46" t="b">
        <v>1</v>
      </c>
      <c r="AI219" s="46">
        <v>-1</v>
      </c>
      <c r="AJ219" s="46" t="s">
        <v>680</v>
      </c>
      <c r="AK219" s="46">
        <v>0</v>
      </c>
      <c r="AL219" s="46" t="b">
        <v>0</v>
      </c>
      <c r="AM219" s="46">
        <v>259.50400000000002</v>
      </c>
      <c r="AN219" s="46" t="b">
        <v>1</v>
      </c>
      <c r="AO219" s="46">
        <v>0</v>
      </c>
      <c r="AP219" s="46" t="b">
        <v>0</v>
      </c>
      <c r="AQ219" s="46">
        <v>179.977</v>
      </c>
      <c r="AS219" s="46">
        <v>179.977</v>
      </c>
      <c r="AT219" s="46">
        <v>6</v>
      </c>
      <c r="AU219" s="46" t="b">
        <v>1</v>
      </c>
      <c r="AV219" s="46" t="b">
        <v>0</v>
      </c>
    </row>
    <row r="220" spans="2:48">
      <c r="B220" s="46" t="s">
        <v>665</v>
      </c>
      <c r="C220" s="46" t="s">
        <v>666</v>
      </c>
      <c r="D220" s="46">
        <v>20240501</v>
      </c>
      <c r="E220" s="46">
        <v>2024</v>
      </c>
      <c r="F220" s="46">
        <v>5</v>
      </c>
      <c r="G220" s="46" t="s">
        <v>699</v>
      </c>
      <c r="H220" s="46">
        <v>818</v>
      </c>
      <c r="I220" s="46" t="s">
        <v>668</v>
      </c>
      <c r="J220" s="46" t="s">
        <v>57</v>
      </c>
      <c r="K220" s="46" t="s">
        <v>666</v>
      </c>
      <c r="L220" s="46" t="s">
        <v>669</v>
      </c>
      <c r="M220" s="46">
        <v>757</v>
      </c>
      <c r="N220" s="46" t="s">
        <v>996</v>
      </c>
      <c r="O220" s="46" t="s">
        <v>41</v>
      </c>
      <c r="P220" s="46">
        <v>0</v>
      </c>
      <c r="Q220" s="46" t="s">
        <v>670</v>
      </c>
      <c r="R220" s="46" t="s">
        <v>23</v>
      </c>
      <c r="S220" s="46" t="s">
        <v>671</v>
      </c>
      <c r="T220" s="46" t="s">
        <v>672</v>
      </c>
      <c r="U220" s="46" t="b">
        <v>1</v>
      </c>
      <c r="V220" s="46" t="s">
        <v>1022</v>
      </c>
      <c r="W220" s="46" t="s">
        <v>1023</v>
      </c>
      <c r="X220" s="46">
        <v>6</v>
      </c>
      <c r="Y220" s="46" t="b">
        <v>1</v>
      </c>
      <c r="Z220" s="46" t="s">
        <v>675</v>
      </c>
      <c r="AA220" s="46" t="s">
        <v>676</v>
      </c>
      <c r="AB220" s="46" t="s">
        <v>677</v>
      </c>
      <c r="AC220" s="46">
        <v>0</v>
      </c>
      <c r="AD220" s="46" t="s">
        <v>678</v>
      </c>
      <c r="AE220" s="46">
        <v>5</v>
      </c>
      <c r="AF220" s="46" t="s">
        <v>1024</v>
      </c>
      <c r="AG220" s="46">
        <v>172.101</v>
      </c>
      <c r="AH220" s="46" t="b">
        <v>1</v>
      </c>
      <c r="AI220" s="46">
        <v>-1</v>
      </c>
      <c r="AJ220" s="46" t="s">
        <v>680</v>
      </c>
      <c r="AK220" s="46">
        <v>0</v>
      </c>
      <c r="AL220" s="46" t="b">
        <v>0</v>
      </c>
      <c r="AM220" s="46">
        <v>3001.674</v>
      </c>
      <c r="AN220" s="46" t="b">
        <v>1</v>
      </c>
      <c r="AO220" s="46">
        <v>0</v>
      </c>
      <c r="AP220" s="46" t="b">
        <v>0</v>
      </c>
      <c r="AQ220" s="46">
        <v>2081.7930000000001</v>
      </c>
      <c r="AS220" s="46">
        <v>2081.7930000000001</v>
      </c>
      <c r="AT220" s="46">
        <v>6</v>
      </c>
      <c r="AU220" s="46" t="b">
        <v>1</v>
      </c>
      <c r="AV220" s="46" t="b">
        <v>0</v>
      </c>
    </row>
    <row r="221" spans="2:48">
      <c r="B221" s="46" t="s">
        <v>665</v>
      </c>
      <c r="C221" s="46" t="s">
        <v>666</v>
      </c>
      <c r="D221" s="46">
        <v>20240401</v>
      </c>
      <c r="E221" s="46">
        <v>2024</v>
      </c>
      <c r="F221" s="46">
        <v>4</v>
      </c>
      <c r="G221" s="46" t="s">
        <v>695</v>
      </c>
      <c r="H221" s="46">
        <v>818</v>
      </c>
      <c r="I221" s="46" t="s">
        <v>668</v>
      </c>
      <c r="J221" s="46" t="s">
        <v>57</v>
      </c>
      <c r="K221" s="46" t="s">
        <v>666</v>
      </c>
      <c r="L221" s="46" t="s">
        <v>669</v>
      </c>
      <c r="M221" s="46">
        <v>757</v>
      </c>
      <c r="N221" s="46" t="s">
        <v>996</v>
      </c>
      <c r="O221" s="46" t="s">
        <v>41</v>
      </c>
      <c r="P221" s="46">
        <v>0</v>
      </c>
      <c r="Q221" s="46" t="s">
        <v>670</v>
      </c>
      <c r="R221" s="46" t="s">
        <v>23</v>
      </c>
      <c r="S221" s="46" t="s">
        <v>671</v>
      </c>
      <c r="T221" s="46" t="s">
        <v>672</v>
      </c>
      <c r="U221" s="46" t="b">
        <v>1</v>
      </c>
      <c r="V221" s="46" t="s">
        <v>1022</v>
      </c>
      <c r="W221" s="46" t="s">
        <v>1023</v>
      </c>
      <c r="X221" s="46">
        <v>6</v>
      </c>
      <c r="Y221" s="46" t="b">
        <v>1</v>
      </c>
      <c r="Z221" s="46" t="s">
        <v>675</v>
      </c>
      <c r="AA221" s="46" t="s">
        <v>676</v>
      </c>
      <c r="AB221" s="46" t="s">
        <v>677</v>
      </c>
      <c r="AC221" s="46">
        <v>0</v>
      </c>
      <c r="AD221" s="46" t="s">
        <v>678</v>
      </c>
      <c r="AE221" s="46">
        <v>5</v>
      </c>
      <c r="AF221" s="46" t="s">
        <v>1024</v>
      </c>
      <c r="AG221" s="46">
        <v>41.64</v>
      </c>
      <c r="AH221" s="46" t="b">
        <v>1</v>
      </c>
      <c r="AI221" s="46">
        <v>-1</v>
      </c>
      <c r="AJ221" s="46" t="s">
        <v>680</v>
      </c>
      <c r="AK221" s="46">
        <v>0</v>
      </c>
      <c r="AL221" s="46" t="b">
        <v>0</v>
      </c>
      <c r="AM221" s="46">
        <v>726.25099999999998</v>
      </c>
      <c r="AN221" s="46" t="b">
        <v>1</v>
      </c>
      <c r="AO221" s="46">
        <v>0</v>
      </c>
      <c r="AP221" s="46" t="b">
        <v>0</v>
      </c>
      <c r="AQ221" s="46">
        <v>503.68700000000001</v>
      </c>
      <c r="AS221" s="46">
        <v>503.68700000000001</v>
      </c>
      <c r="AT221" s="46">
        <v>6</v>
      </c>
      <c r="AU221" s="46" t="b">
        <v>1</v>
      </c>
      <c r="AV221" s="46" t="b">
        <v>0</v>
      </c>
    </row>
    <row r="222" spans="2:48">
      <c r="B222" s="46" t="s">
        <v>665</v>
      </c>
      <c r="C222" s="46" t="s">
        <v>666</v>
      </c>
      <c r="D222" s="46">
        <v>20240101</v>
      </c>
      <c r="E222" s="46">
        <v>2024</v>
      </c>
      <c r="F222" s="46">
        <v>1</v>
      </c>
      <c r="G222" s="46" t="s">
        <v>667</v>
      </c>
      <c r="H222" s="46">
        <v>818</v>
      </c>
      <c r="I222" s="46" t="s">
        <v>668</v>
      </c>
      <c r="J222" s="46" t="s">
        <v>57</v>
      </c>
      <c r="K222" s="46" t="s">
        <v>666</v>
      </c>
      <c r="L222" s="46" t="s">
        <v>669</v>
      </c>
      <c r="M222" s="46">
        <v>757</v>
      </c>
      <c r="N222" s="46" t="s">
        <v>996</v>
      </c>
      <c r="O222" s="46" t="s">
        <v>41</v>
      </c>
      <c r="P222" s="46">
        <v>0</v>
      </c>
      <c r="Q222" s="46" t="s">
        <v>670</v>
      </c>
      <c r="R222" s="46" t="s">
        <v>23</v>
      </c>
      <c r="S222" s="46" t="s">
        <v>671</v>
      </c>
      <c r="T222" s="46" t="s">
        <v>672</v>
      </c>
      <c r="U222" s="46" t="b">
        <v>1</v>
      </c>
      <c r="V222" s="46" t="s">
        <v>1022</v>
      </c>
      <c r="W222" s="46" t="s">
        <v>1023</v>
      </c>
      <c r="X222" s="46">
        <v>6</v>
      </c>
      <c r="Y222" s="46" t="b">
        <v>1</v>
      </c>
      <c r="Z222" s="46" t="s">
        <v>675</v>
      </c>
      <c r="AA222" s="46" t="s">
        <v>676</v>
      </c>
      <c r="AB222" s="46" t="s">
        <v>677</v>
      </c>
      <c r="AC222" s="46">
        <v>0</v>
      </c>
      <c r="AD222" s="46" t="s">
        <v>678</v>
      </c>
      <c r="AE222" s="46">
        <v>5</v>
      </c>
      <c r="AF222" s="46" t="s">
        <v>1024</v>
      </c>
      <c r="AG222" s="46">
        <v>64.599999999999994</v>
      </c>
      <c r="AH222" s="46" t="b">
        <v>1</v>
      </c>
      <c r="AI222" s="46">
        <v>-1</v>
      </c>
      <c r="AJ222" s="46" t="s">
        <v>680</v>
      </c>
      <c r="AK222" s="46">
        <v>0</v>
      </c>
      <c r="AL222" s="46" t="b">
        <v>0</v>
      </c>
      <c r="AM222" s="46">
        <v>1126.711</v>
      </c>
      <c r="AN222" s="46" t="b">
        <v>1</v>
      </c>
      <c r="AO222" s="46">
        <v>0</v>
      </c>
      <c r="AP222" s="46" t="b">
        <v>0</v>
      </c>
      <c r="AQ222" s="46">
        <v>781.423</v>
      </c>
      <c r="AS222" s="46">
        <v>781.423</v>
      </c>
      <c r="AT222" s="46">
        <v>6</v>
      </c>
      <c r="AU222" s="46" t="b">
        <v>1</v>
      </c>
      <c r="AV222" s="46" t="b">
        <v>0</v>
      </c>
    </row>
    <row r="223" spans="2:48">
      <c r="B223" s="46" t="s">
        <v>665</v>
      </c>
      <c r="C223" s="46" t="s">
        <v>666</v>
      </c>
      <c r="D223" s="46">
        <v>20240201</v>
      </c>
      <c r="E223" s="46">
        <v>2024</v>
      </c>
      <c r="F223" s="46">
        <v>2</v>
      </c>
      <c r="G223" s="46" t="s">
        <v>687</v>
      </c>
      <c r="H223" s="46">
        <v>818</v>
      </c>
      <c r="I223" s="46" t="s">
        <v>668</v>
      </c>
      <c r="J223" s="46" t="s">
        <v>57</v>
      </c>
      <c r="K223" s="46" t="s">
        <v>666</v>
      </c>
      <c r="L223" s="46" t="s">
        <v>669</v>
      </c>
      <c r="M223" s="46">
        <v>757</v>
      </c>
      <c r="N223" s="46" t="s">
        <v>996</v>
      </c>
      <c r="O223" s="46" t="s">
        <v>41</v>
      </c>
      <c r="P223" s="46">
        <v>0</v>
      </c>
      <c r="Q223" s="46" t="s">
        <v>670</v>
      </c>
      <c r="R223" s="46" t="s">
        <v>23</v>
      </c>
      <c r="S223" s="46" t="s">
        <v>671</v>
      </c>
      <c r="T223" s="46" t="s">
        <v>672</v>
      </c>
      <c r="U223" s="46" t="b">
        <v>1</v>
      </c>
      <c r="V223" s="46" t="s">
        <v>1022</v>
      </c>
      <c r="W223" s="46" t="s">
        <v>1023</v>
      </c>
      <c r="X223" s="46">
        <v>6</v>
      </c>
      <c r="Y223" s="46" t="b">
        <v>1</v>
      </c>
      <c r="Z223" s="46" t="s">
        <v>675</v>
      </c>
      <c r="AA223" s="46" t="s">
        <v>676</v>
      </c>
      <c r="AB223" s="46" t="s">
        <v>677</v>
      </c>
      <c r="AC223" s="46">
        <v>0</v>
      </c>
      <c r="AD223" s="46" t="s">
        <v>678</v>
      </c>
      <c r="AE223" s="46">
        <v>5</v>
      </c>
      <c r="AF223" s="46" t="s">
        <v>1024</v>
      </c>
      <c r="AG223" s="46">
        <v>27.446000000000002</v>
      </c>
      <c r="AH223" s="46" t="b">
        <v>1</v>
      </c>
      <c r="AI223" s="46">
        <v>-1</v>
      </c>
      <c r="AJ223" s="46" t="s">
        <v>680</v>
      </c>
      <c r="AK223" s="46">
        <v>0</v>
      </c>
      <c r="AL223" s="46" t="b">
        <v>0</v>
      </c>
      <c r="AM223" s="46">
        <v>478.70100000000002</v>
      </c>
      <c r="AN223" s="46" t="b">
        <v>1</v>
      </c>
      <c r="AO223" s="46">
        <v>0</v>
      </c>
      <c r="AP223" s="46" t="b">
        <v>0</v>
      </c>
      <c r="AQ223" s="46">
        <v>332</v>
      </c>
      <c r="AS223" s="46">
        <v>332</v>
      </c>
      <c r="AT223" s="46">
        <v>6</v>
      </c>
      <c r="AU223" s="46" t="b">
        <v>1</v>
      </c>
      <c r="AV223" s="46" t="b">
        <v>0</v>
      </c>
    </row>
    <row r="224" spans="2:48">
      <c r="B224" s="46" t="s">
        <v>665</v>
      </c>
      <c r="C224" s="46" t="s">
        <v>666</v>
      </c>
      <c r="D224" s="46">
        <v>20240401</v>
      </c>
      <c r="E224" s="46">
        <v>2024</v>
      </c>
      <c r="F224" s="46">
        <v>4</v>
      </c>
      <c r="G224" s="46" t="s">
        <v>695</v>
      </c>
      <c r="H224" s="46">
        <v>818</v>
      </c>
      <c r="I224" s="46" t="s">
        <v>668</v>
      </c>
      <c r="J224" s="46" t="s">
        <v>57</v>
      </c>
      <c r="K224" s="46" t="s">
        <v>666</v>
      </c>
      <c r="L224" s="46" t="s">
        <v>669</v>
      </c>
      <c r="M224" s="46">
        <v>764</v>
      </c>
      <c r="N224" s="46" t="s">
        <v>749</v>
      </c>
      <c r="O224" s="46" t="s">
        <v>55</v>
      </c>
      <c r="P224" s="46">
        <v>0</v>
      </c>
      <c r="Q224" s="46" t="s">
        <v>670</v>
      </c>
      <c r="R224" s="46" t="s">
        <v>23</v>
      </c>
      <c r="S224" s="46" t="s">
        <v>671</v>
      </c>
      <c r="T224" s="46" t="s">
        <v>672</v>
      </c>
      <c r="U224" s="46" t="b">
        <v>1</v>
      </c>
      <c r="V224" s="46" t="s">
        <v>1022</v>
      </c>
      <c r="W224" s="46" t="s">
        <v>1023</v>
      </c>
      <c r="X224" s="46">
        <v>6</v>
      </c>
      <c r="Y224" s="46" t="b">
        <v>1</v>
      </c>
      <c r="Z224" s="46" t="s">
        <v>675</v>
      </c>
      <c r="AA224" s="46" t="s">
        <v>676</v>
      </c>
      <c r="AB224" s="46" t="s">
        <v>677</v>
      </c>
      <c r="AC224" s="46">
        <v>0</v>
      </c>
      <c r="AD224" s="46" t="s">
        <v>678</v>
      </c>
      <c r="AE224" s="46">
        <v>5</v>
      </c>
      <c r="AF224" s="46" t="s">
        <v>1024</v>
      </c>
      <c r="AG224" s="46">
        <v>49.683999999999997</v>
      </c>
      <c r="AH224" s="46" t="b">
        <v>1</v>
      </c>
      <c r="AI224" s="46">
        <v>-1</v>
      </c>
      <c r="AJ224" s="46" t="s">
        <v>680</v>
      </c>
      <c r="AK224" s="46">
        <v>0</v>
      </c>
      <c r="AL224" s="46" t="b">
        <v>0</v>
      </c>
      <c r="AM224" s="46">
        <v>866.56399999999996</v>
      </c>
      <c r="AN224" s="46" t="b">
        <v>1</v>
      </c>
      <c r="AO224" s="46">
        <v>0</v>
      </c>
      <c r="AP224" s="46" t="b">
        <v>0</v>
      </c>
      <c r="AQ224" s="46">
        <v>601</v>
      </c>
      <c r="AS224" s="46">
        <v>601</v>
      </c>
      <c r="AT224" s="46">
        <v>6</v>
      </c>
      <c r="AU224" s="46" t="b">
        <v>1</v>
      </c>
      <c r="AV224" s="46" t="b">
        <v>0</v>
      </c>
    </row>
    <row r="225" spans="2:48">
      <c r="B225" s="46" t="s">
        <v>665</v>
      </c>
      <c r="C225" s="46" t="s">
        <v>666</v>
      </c>
      <c r="D225" s="46">
        <v>20240601</v>
      </c>
      <c r="E225" s="46">
        <v>2024</v>
      </c>
      <c r="F225" s="46">
        <v>6</v>
      </c>
      <c r="G225" s="46" t="s">
        <v>700</v>
      </c>
      <c r="H225" s="46">
        <v>818</v>
      </c>
      <c r="I225" s="46" t="s">
        <v>668</v>
      </c>
      <c r="J225" s="46" t="s">
        <v>57</v>
      </c>
      <c r="K225" s="46" t="s">
        <v>666</v>
      </c>
      <c r="L225" s="46" t="s">
        <v>669</v>
      </c>
      <c r="M225" s="46">
        <v>784</v>
      </c>
      <c r="N225" s="46" t="s">
        <v>694</v>
      </c>
      <c r="O225" s="46" t="s">
        <v>25</v>
      </c>
      <c r="P225" s="46">
        <v>0</v>
      </c>
      <c r="Q225" s="46" t="s">
        <v>670</v>
      </c>
      <c r="R225" s="46" t="s">
        <v>23</v>
      </c>
      <c r="S225" s="46" t="s">
        <v>671</v>
      </c>
      <c r="T225" s="46" t="s">
        <v>672</v>
      </c>
      <c r="U225" s="46" t="b">
        <v>1</v>
      </c>
      <c r="V225" s="46" t="s">
        <v>1022</v>
      </c>
      <c r="W225" s="46" t="s">
        <v>1023</v>
      </c>
      <c r="X225" s="46">
        <v>6</v>
      </c>
      <c r="Y225" s="46" t="b">
        <v>1</v>
      </c>
      <c r="Z225" s="46" t="s">
        <v>675</v>
      </c>
      <c r="AA225" s="46" t="s">
        <v>676</v>
      </c>
      <c r="AB225" s="46" t="s">
        <v>677</v>
      </c>
      <c r="AC225" s="46">
        <v>0</v>
      </c>
      <c r="AD225" s="46" t="s">
        <v>678</v>
      </c>
      <c r="AE225" s="46">
        <v>5</v>
      </c>
      <c r="AF225" s="46" t="s">
        <v>1024</v>
      </c>
      <c r="AG225" s="46">
        <v>33.15</v>
      </c>
      <c r="AH225" s="46" t="b">
        <v>1</v>
      </c>
      <c r="AI225" s="46">
        <v>-1</v>
      </c>
      <c r="AJ225" s="46" t="s">
        <v>680</v>
      </c>
      <c r="AK225" s="46">
        <v>0</v>
      </c>
      <c r="AL225" s="46" t="b">
        <v>0</v>
      </c>
      <c r="AM225" s="46">
        <v>578.19000000000005</v>
      </c>
      <c r="AN225" s="46" t="b">
        <v>1</v>
      </c>
      <c r="AO225" s="46">
        <v>0</v>
      </c>
      <c r="AP225" s="46" t="b">
        <v>0</v>
      </c>
      <c r="AQ225" s="46">
        <v>401</v>
      </c>
      <c r="AS225" s="46">
        <v>401</v>
      </c>
      <c r="AT225" s="46">
        <v>6</v>
      </c>
      <c r="AU225" s="46" t="b">
        <v>1</v>
      </c>
      <c r="AV225" s="46" t="b">
        <v>0</v>
      </c>
    </row>
    <row r="226" spans="2:48">
      <c r="B226" s="46" t="s">
        <v>665</v>
      </c>
      <c r="C226" s="46" t="s">
        <v>666</v>
      </c>
      <c r="D226" s="46">
        <v>20240501</v>
      </c>
      <c r="E226" s="46">
        <v>2024</v>
      </c>
      <c r="F226" s="46">
        <v>5</v>
      </c>
      <c r="G226" s="46" t="s">
        <v>699</v>
      </c>
      <c r="H226" s="46">
        <v>818</v>
      </c>
      <c r="I226" s="46" t="s">
        <v>668</v>
      </c>
      <c r="J226" s="46" t="s">
        <v>57</v>
      </c>
      <c r="K226" s="46" t="s">
        <v>666</v>
      </c>
      <c r="L226" s="46" t="s">
        <v>669</v>
      </c>
      <c r="M226" s="46">
        <v>792</v>
      </c>
      <c r="N226" s="46" t="s">
        <v>691</v>
      </c>
      <c r="O226" s="46" t="s">
        <v>63</v>
      </c>
      <c r="P226" s="46">
        <v>0</v>
      </c>
      <c r="Q226" s="46" t="s">
        <v>670</v>
      </c>
      <c r="R226" s="46" t="s">
        <v>23</v>
      </c>
      <c r="S226" s="46" t="s">
        <v>671</v>
      </c>
      <c r="T226" s="46" t="s">
        <v>672</v>
      </c>
      <c r="U226" s="46" t="b">
        <v>1</v>
      </c>
      <c r="V226" s="46" t="s">
        <v>1022</v>
      </c>
      <c r="W226" s="46" t="s">
        <v>1023</v>
      </c>
      <c r="X226" s="46">
        <v>6</v>
      </c>
      <c r="Y226" s="46" t="b">
        <v>1</v>
      </c>
      <c r="Z226" s="46" t="s">
        <v>675</v>
      </c>
      <c r="AA226" s="46" t="s">
        <v>676</v>
      </c>
      <c r="AB226" s="46" t="s">
        <v>677</v>
      </c>
      <c r="AC226" s="46">
        <v>0</v>
      </c>
      <c r="AD226" s="46" t="s">
        <v>678</v>
      </c>
      <c r="AE226" s="46">
        <v>5</v>
      </c>
      <c r="AF226" s="46" t="s">
        <v>1024</v>
      </c>
      <c r="AG226" s="46">
        <v>247.32599999999999</v>
      </c>
      <c r="AH226" s="46" t="b">
        <v>1</v>
      </c>
      <c r="AI226" s="46">
        <v>-1</v>
      </c>
      <c r="AJ226" s="46" t="s">
        <v>680</v>
      </c>
      <c r="AK226" s="46">
        <v>0</v>
      </c>
      <c r="AL226" s="46" t="b">
        <v>0</v>
      </c>
      <c r="AM226" s="46">
        <v>4313.6949999999997</v>
      </c>
      <c r="AN226" s="46" t="b">
        <v>1</v>
      </c>
      <c r="AO226" s="46">
        <v>0</v>
      </c>
      <c r="AP226" s="46" t="b">
        <v>0</v>
      </c>
      <c r="AQ226" s="46">
        <v>2991.7370000000001</v>
      </c>
      <c r="AS226" s="46">
        <v>2991.7370000000001</v>
      </c>
      <c r="AT226" s="46">
        <v>6</v>
      </c>
      <c r="AU226" s="46" t="b">
        <v>1</v>
      </c>
      <c r="AV226" s="46" t="b">
        <v>0</v>
      </c>
    </row>
    <row r="227" spans="2:48">
      <c r="B227" s="46" t="s">
        <v>665</v>
      </c>
      <c r="C227" s="46" t="s">
        <v>666</v>
      </c>
      <c r="D227" s="46">
        <v>20240401</v>
      </c>
      <c r="E227" s="46">
        <v>2024</v>
      </c>
      <c r="F227" s="46">
        <v>4</v>
      </c>
      <c r="G227" s="46" t="s">
        <v>695</v>
      </c>
      <c r="H227" s="46">
        <v>818</v>
      </c>
      <c r="I227" s="46" t="s">
        <v>668</v>
      </c>
      <c r="J227" s="46" t="s">
        <v>57</v>
      </c>
      <c r="K227" s="46" t="s">
        <v>666</v>
      </c>
      <c r="L227" s="46" t="s">
        <v>669</v>
      </c>
      <c r="M227" s="46">
        <v>792</v>
      </c>
      <c r="N227" s="46" t="s">
        <v>691</v>
      </c>
      <c r="O227" s="46" t="s">
        <v>63</v>
      </c>
      <c r="P227" s="46">
        <v>0</v>
      </c>
      <c r="Q227" s="46" t="s">
        <v>670</v>
      </c>
      <c r="R227" s="46" t="s">
        <v>23</v>
      </c>
      <c r="S227" s="46" t="s">
        <v>671</v>
      </c>
      <c r="T227" s="46" t="s">
        <v>672</v>
      </c>
      <c r="U227" s="46" t="b">
        <v>1</v>
      </c>
      <c r="V227" s="46" t="s">
        <v>1022</v>
      </c>
      <c r="W227" s="46" t="s">
        <v>1023</v>
      </c>
      <c r="X227" s="46">
        <v>6</v>
      </c>
      <c r="Y227" s="46" t="b">
        <v>1</v>
      </c>
      <c r="Z227" s="46" t="s">
        <v>675</v>
      </c>
      <c r="AA227" s="46" t="s">
        <v>676</v>
      </c>
      <c r="AB227" s="46" t="s">
        <v>677</v>
      </c>
      <c r="AC227" s="46">
        <v>0</v>
      </c>
      <c r="AD227" s="46" t="s">
        <v>678</v>
      </c>
      <c r="AE227" s="46">
        <v>5</v>
      </c>
      <c r="AF227" s="46" t="s">
        <v>1024</v>
      </c>
      <c r="AG227" s="46">
        <v>27.204000000000001</v>
      </c>
      <c r="AH227" s="46" t="b">
        <v>1</v>
      </c>
      <c r="AI227" s="46">
        <v>-1</v>
      </c>
      <c r="AJ227" s="46" t="s">
        <v>680</v>
      </c>
      <c r="AK227" s="46">
        <v>0</v>
      </c>
      <c r="AL227" s="46" t="b">
        <v>0</v>
      </c>
      <c r="AM227" s="46">
        <v>474.48200000000003</v>
      </c>
      <c r="AN227" s="46" t="b">
        <v>1</v>
      </c>
      <c r="AO227" s="46">
        <v>0</v>
      </c>
      <c r="AP227" s="46" t="b">
        <v>0</v>
      </c>
      <c r="AQ227" s="46">
        <v>329.07400000000001</v>
      </c>
      <c r="AS227" s="46">
        <v>329.07400000000001</v>
      </c>
      <c r="AT227" s="46">
        <v>6</v>
      </c>
      <c r="AU227" s="46" t="b">
        <v>1</v>
      </c>
      <c r="AV227" s="46" t="b">
        <v>0</v>
      </c>
    </row>
    <row r="228" spans="2:48">
      <c r="B228" s="46" t="s">
        <v>665</v>
      </c>
      <c r="C228" s="46" t="s">
        <v>666</v>
      </c>
      <c r="D228" s="46">
        <v>20240201</v>
      </c>
      <c r="E228" s="46">
        <v>2024</v>
      </c>
      <c r="F228" s="46">
        <v>2</v>
      </c>
      <c r="G228" s="46" t="s">
        <v>687</v>
      </c>
      <c r="H228" s="46">
        <v>818</v>
      </c>
      <c r="I228" s="46" t="s">
        <v>668</v>
      </c>
      <c r="J228" s="46" t="s">
        <v>57</v>
      </c>
      <c r="K228" s="46" t="s">
        <v>666</v>
      </c>
      <c r="L228" s="46" t="s">
        <v>669</v>
      </c>
      <c r="M228" s="46">
        <v>792</v>
      </c>
      <c r="N228" s="46" t="s">
        <v>691</v>
      </c>
      <c r="O228" s="46" t="s">
        <v>63</v>
      </c>
      <c r="P228" s="46">
        <v>0</v>
      </c>
      <c r="Q228" s="46" t="s">
        <v>670</v>
      </c>
      <c r="R228" s="46" t="s">
        <v>23</v>
      </c>
      <c r="S228" s="46" t="s">
        <v>671</v>
      </c>
      <c r="T228" s="46" t="s">
        <v>672</v>
      </c>
      <c r="U228" s="46" t="b">
        <v>1</v>
      </c>
      <c r="V228" s="46" t="s">
        <v>1022</v>
      </c>
      <c r="W228" s="46" t="s">
        <v>1023</v>
      </c>
      <c r="X228" s="46">
        <v>6</v>
      </c>
      <c r="Y228" s="46" t="b">
        <v>1</v>
      </c>
      <c r="Z228" s="46" t="s">
        <v>675</v>
      </c>
      <c r="AA228" s="46" t="s">
        <v>676</v>
      </c>
      <c r="AB228" s="46" t="s">
        <v>677</v>
      </c>
      <c r="AC228" s="46">
        <v>0</v>
      </c>
      <c r="AD228" s="46" t="s">
        <v>678</v>
      </c>
      <c r="AE228" s="46">
        <v>5</v>
      </c>
      <c r="AF228" s="46" t="s">
        <v>1024</v>
      </c>
      <c r="AG228" s="46">
        <v>21.163</v>
      </c>
      <c r="AH228" s="46" t="b">
        <v>1</v>
      </c>
      <c r="AI228" s="46">
        <v>-1</v>
      </c>
      <c r="AJ228" s="46" t="s">
        <v>680</v>
      </c>
      <c r="AK228" s="46">
        <v>0</v>
      </c>
      <c r="AL228" s="46" t="b">
        <v>0</v>
      </c>
      <c r="AM228" s="46">
        <v>369.11900000000003</v>
      </c>
      <c r="AN228" s="46" t="b">
        <v>1</v>
      </c>
      <c r="AO228" s="46">
        <v>0</v>
      </c>
      <c r="AP228" s="46" t="b">
        <v>0</v>
      </c>
      <c r="AQ228" s="46">
        <v>256</v>
      </c>
      <c r="AS228" s="46">
        <v>256</v>
      </c>
      <c r="AT228" s="46">
        <v>6</v>
      </c>
      <c r="AU228" s="46" t="b">
        <v>1</v>
      </c>
      <c r="AV228" s="46" t="b">
        <v>0</v>
      </c>
    </row>
    <row r="229" spans="2:48">
      <c r="B229" s="46" t="s">
        <v>665</v>
      </c>
      <c r="C229" s="46" t="s">
        <v>666</v>
      </c>
      <c r="D229" s="46">
        <v>20240301</v>
      </c>
      <c r="E229" s="46">
        <v>2024</v>
      </c>
      <c r="F229" s="46">
        <v>3</v>
      </c>
      <c r="G229" s="46" t="s">
        <v>692</v>
      </c>
      <c r="H229" s="46">
        <v>818</v>
      </c>
      <c r="I229" s="46" t="s">
        <v>668</v>
      </c>
      <c r="J229" s="46" t="s">
        <v>57</v>
      </c>
      <c r="K229" s="46" t="s">
        <v>666</v>
      </c>
      <c r="L229" s="46" t="s">
        <v>669</v>
      </c>
      <c r="M229" s="46">
        <v>792</v>
      </c>
      <c r="N229" s="46" t="s">
        <v>691</v>
      </c>
      <c r="O229" s="46" t="s">
        <v>63</v>
      </c>
      <c r="P229" s="46">
        <v>0</v>
      </c>
      <c r="Q229" s="46" t="s">
        <v>670</v>
      </c>
      <c r="R229" s="46" t="s">
        <v>23</v>
      </c>
      <c r="S229" s="46" t="s">
        <v>671</v>
      </c>
      <c r="T229" s="46" t="s">
        <v>672</v>
      </c>
      <c r="U229" s="46" t="b">
        <v>1</v>
      </c>
      <c r="V229" s="46" t="s">
        <v>1022</v>
      </c>
      <c r="W229" s="46" t="s">
        <v>1023</v>
      </c>
      <c r="X229" s="46">
        <v>6</v>
      </c>
      <c r="Y229" s="46" t="b">
        <v>1</v>
      </c>
      <c r="Z229" s="46" t="s">
        <v>675</v>
      </c>
      <c r="AA229" s="46" t="s">
        <v>676</v>
      </c>
      <c r="AB229" s="46" t="s">
        <v>677</v>
      </c>
      <c r="AC229" s="46">
        <v>0</v>
      </c>
      <c r="AD229" s="46" t="s">
        <v>678</v>
      </c>
      <c r="AE229" s="46">
        <v>5</v>
      </c>
      <c r="AF229" s="46" t="s">
        <v>1024</v>
      </c>
      <c r="AG229" s="46">
        <v>272.45600000000002</v>
      </c>
      <c r="AH229" s="46" t="b">
        <v>1</v>
      </c>
      <c r="AI229" s="46">
        <v>-1</v>
      </c>
      <c r="AJ229" s="46" t="s">
        <v>680</v>
      </c>
      <c r="AK229" s="46">
        <v>0</v>
      </c>
      <c r="AL229" s="46" t="b">
        <v>0</v>
      </c>
      <c r="AM229" s="46">
        <v>4752.0039999999999</v>
      </c>
      <c r="AN229" s="46" t="b">
        <v>1</v>
      </c>
      <c r="AO229" s="46">
        <v>0</v>
      </c>
      <c r="AP229" s="46" t="b">
        <v>0</v>
      </c>
      <c r="AQ229" s="46">
        <v>3295.7240000000002</v>
      </c>
      <c r="AS229" s="46">
        <v>3295.7240000000002</v>
      </c>
      <c r="AT229" s="46">
        <v>6</v>
      </c>
      <c r="AU229" s="46" t="b">
        <v>1</v>
      </c>
      <c r="AV229" s="46" t="b">
        <v>0</v>
      </c>
    </row>
    <row r="230" spans="2:48">
      <c r="B230" s="46" t="s">
        <v>665</v>
      </c>
      <c r="C230" s="46" t="s">
        <v>666</v>
      </c>
      <c r="D230" s="46">
        <v>20240401</v>
      </c>
      <c r="E230" s="46">
        <v>2024</v>
      </c>
      <c r="F230" s="46">
        <v>4</v>
      </c>
      <c r="G230" s="46" t="s">
        <v>695</v>
      </c>
      <c r="H230" s="46">
        <v>818</v>
      </c>
      <c r="I230" s="46" t="s">
        <v>668</v>
      </c>
      <c r="J230" s="46" t="s">
        <v>57</v>
      </c>
      <c r="K230" s="46" t="s">
        <v>666</v>
      </c>
      <c r="L230" s="46" t="s">
        <v>669</v>
      </c>
      <c r="M230" s="46">
        <v>842</v>
      </c>
      <c r="N230" s="46" t="s">
        <v>713</v>
      </c>
      <c r="O230" s="46" t="s">
        <v>713</v>
      </c>
      <c r="P230" s="46">
        <v>0</v>
      </c>
      <c r="Q230" s="46" t="s">
        <v>670</v>
      </c>
      <c r="R230" s="46" t="s">
        <v>23</v>
      </c>
      <c r="S230" s="46" t="s">
        <v>671</v>
      </c>
      <c r="T230" s="46" t="s">
        <v>672</v>
      </c>
      <c r="U230" s="46" t="b">
        <v>1</v>
      </c>
      <c r="V230" s="46" t="s">
        <v>1022</v>
      </c>
      <c r="W230" s="46" t="s">
        <v>1023</v>
      </c>
      <c r="X230" s="46">
        <v>6</v>
      </c>
      <c r="Y230" s="46" t="b">
        <v>1</v>
      </c>
      <c r="Z230" s="46" t="s">
        <v>675</v>
      </c>
      <c r="AA230" s="46" t="s">
        <v>676</v>
      </c>
      <c r="AB230" s="46" t="s">
        <v>677</v>
      </c>
      <c r="AC230" s="46">
        <v>0</v>
      </c>
      <c r="AD230" s="46" t="s">
        <v>678</v>
      </c>
      <c r="AE230" s="46">
        <v>5</v>
      </c>
      <c r="AF230" s="46" t="s">
        <v>1024</v>
      </c>
      <c r="AG230" s="46">
        <v>41.417000000000002</v>
      </c>
      <c r="AH230" s="46" t="b">
        <v>1</v>
      </c>
      <c r="AI230" s="46">
        <v>-1</v>
      </c>
      <c r="AJ230" s="46" t="s">
        <v>680</v>
      </c>
      <c r="AK230" s="46">
        <v>0</v>
      </c>
      <c r="AL230" s="46" t="b">
        <v>0</v>
      </c>
      <c r="AM230" s="46">
        <v>722.37699999999995</v>
      </c>
      <c r="AN230" s="46" t="b">
        <v>1</v>
      </c>
      <c r="AO230" s="46">
        <v>0</v>
      </c>
      <c r="AP230" s="46" t="b">
        <v>0</v>
      </c>
      <c r="AQ230" s="46">
        <v>501</v>
      </c>
      <c r="AS230" s="46">
        <v>501</v>
      </c>
      <c r="AT230" s="46">
        <v>6</v>
      </c>
      <c r="AU230" s="46" t="b">
        <v>1</v>
      </c>
      <c r="AV230" s="46" t="b">
        <v>0</v>
      </c>
    </row>
    <row r="231" spans="2:48">
      <c r="B231" s="46" t="s">
        <v>665</v>
      </c>
      <c r="C231" s="46" t="s">
        <v>666</v>
      </c>
      <c r="D231" s="46">
        <v>20240101</v>
      </c>
      <c r="E231" s="46">
        <v>2024</v>
      </c>
      <c r="F231" s="46">
        <v>1</v>
      </c>
      <c r="G231" s="46" t="s">
        <v>667</v>
      </c>
      <c r="H231" s="46">
        <v>818</v>
      </c>
      <c r="I231" s="46" t="s">
        <v>668</v>
      </c>
      <c r="J231" s="46" t="s">
        <v>57</v>
      </c>
      <c r="K231" s="46" t="s">
        <v>666</v>
      </c>
      <c r="L231" s="46" t="s">
        <v>669</v>
      </c>
      <c r="M231" s="46">
        <v>842</v>
      </c>
      <c r="N231" s="46" t="s">
        <v>713</v>
      </c>
      <c r="O231" s="46" t="s">
        <v>713</v>
      </c>
      <c r="P231" s="46">
        <v>0</v>
      </c>
      <c r="Q231" s="46" t="s">
        <v>670</v>
      </c>
      <c r="R231" s="46" t="s">
        <v>23</v>
      </c>
      <c r="S231" s="46" t="s">
        <v>671</v>
      </c>
      <c r="T231" s="46" t="s">
        <v>672</v>
      </c>
      <c r="U231" s="46" t="b">
        <v>1</v>
      </c>
      <c r="V231" s="46" t="s">
        <v>1022</v>
      </c>
      <c r="W231" s="46" t="s">
        <v>1023</v>
      </c>
      <c r="X231" s="46">
        <v>6</v>
      </c>
      <c r="Y231" s="46" t="b">
        <v>1</v>
      </c>
      <c r="Z231" s="46" t="s">
        <v>675</v>
      </c>
      <c r="AA231" s="46" t="s">
        <v>676</v>
      </c>
      <c r="AB231" s="46" t="s">
        <v>677</v>
      </c>
      <c r="AC231" s="46">
        <v>0</v>
      </c>
      <c r="AD231" s="46" t="s">
        <v>678</v>
      </c>
      <c r="AE231" s="46">
        <v>5</v>
      </c>
      <c r="AF231" s="46" t="s">
        <v>1024</v>
      </c>
      <c r="AG231" s="46">
        <v>71.441000000000003</v>
      </c>
      <c r="AH231" s="46" t="b">
        <v>1</v>
      </c>
      <c r="AI231" s="46">
        <v>-1</v>
      </c>
      <c r="AJ231" s="46" t="s">
        <v>680</v>
      </c>
      <c r="AK231" s="46">
        <v>0</v>
      </c>
      <c r="AL231" s="46" t="b">
        <v>0</v>
      </c>
      <c r="AM231" s="46">
        <v>1246.0250000000001</v>
      </c>
      <c r="AN231" s="46" t="b">
        <v>1</v>
      </c>
      <c r="AO231" s="46">
        <v>0</v>
      </c>
      <c r="AP231" s="46" t="b">
        <v>0</v>
      </c>
      <c r="AQ231" s="46">
        <v>864.173</v>
      </c>
      <c r="AS231" s="46">
        <v>864.173</v>
      </c>
      <c r="AT231" s="46">
        <v>6</v>
      </c>
      <c r="AU231" s="46" t="b">
        <v>1</v>
      </c>
      <c r="AV231" s="46" t="b">
        <v>0</v>
      </c>
    </row>
    <row r="232" spans="2:48">
      <c r="B232" s="46" t="s">
        <v>665</v>
      </c>
      <c r="C232" s="46" t="s">
        <v>666</v>
      </c>
      <c r="D232" s="46">
        <v>20240201</v>
      </c>
      <c r="E232" s="46">
        <v>2024</v>
      </c>
      <c r="F232" s="46">
        <v>2</v>
      </c>
      <c r="G232" s="46" t="s">
        <v>687</v>
      </c>
      <c r="H232" s="46">
        <v>818</v>
      </c>
      <c r="I232" s="46" t="s">
        <v>668</v>
      </c>
      <c r="J232" s="46" t="s">
        <v>57</v>
      </c>
      <c r="K232" s="46" t="s">
        <v>666</v>
      </c>
      <c r="L232" s="46" t="s">
        <v>669</v>
      </c>
      <c r="M232" s="46">
        <v>842</v>
      </c>
      <c r="N232" s="46" t="s">
        <v>713</v>
      </c>
      <c r="O232" s="46" t="s">
        <v>713</v>
      </c>
      <c r="P232" s="46">
        <v>0</v>
      </c>
      <c r="Q232" s="46" t="s">
        <v>670</v>
      </c>
      <c r="R232" s="46" t="s">
        <v>23</v>
      </c>
      <c r="S232" s="46" t="s">
        <v>671</v>
      </c>
      <c r="T232" s="46" t="s">
        <v>672</v>
      </c>
      <c r="U232" s="46" t="b">
        <v>1</v>
      </c>
      <c r="V232" s="46" t="s">
        <v>1022</v>
      </c>
      <c r="W232" s="46" t="s">
        <v>1023</v>
      </c>
      <c r="X232" s="46">
        <v>6</v>
      </c>
      <c r="Y232" s="46" t="b">
        <v>1</v>
      </c>
      <c r="Z232" s="46" t="s">
        <v>675</v>
      </c>
      <c r="AA232" s="46" t="s">
        <v>676</v>
      </c>
      <c r="AB232" s="46" t="s">
        <v>677</v>
      </c>
      <c r="AC232" s="46">
        <v>0</v>
      </c>
      <c r="AD232" s="46" t="s">
        <v>678</v>
      </c>
      <c r="AE232" s="46">
        <v>5</v>
      </c>
      <c r="AF232" s="46" t="s">
        <v>1024</v>
      </c>
      <c r="AG232" s="46">
        <v>64.286000000000001</v>
      </c>
      <c r="AH232" s="46" t="b">
        <v>1</v>
      </c>
      <c r="AI232" s="46">
        <v>-1</v>
      </c>
      <c r="AJ232" s="46" t="s">
        <v>680</v>
      </c>
      <c r="AK232" s="46">
        <v>0</v>
      </c>
      <c r="AL232" s="46" t="b">
        <v>0</v>
      </c>
      <c r="AM232" s="46">
        <v>1121.241</v>
      </c>
      <c r="AN232" s="46" t="b">
        <v>1</v>
      </c>
      <c r="AO232" s="46">
        <v>0</v>
      </c>
      <c r="AP232" s="46" t="b">
        <v>0</v>
      </c>
      <c r="AQ232" s="46">
        <v>777.63</v>
      </c>
      <c r="AS232" s="46">
        <v>777.63</v>
      </c>
      <c r="AT232" s="46">
        <v>6</v>
      </c>
      <c r="AU232" s="46" t="b">
        <v>1</v>
      </c>
      <c r="AV232" s="46" t="b">
        <v>0</v>
      </c>
    </row>
    <row r="233" spans="2:48">
      <c r="B233" s="46" t="s">
        <v>665</v>
      </c>
      <c r="C233" s="46" t="s">
        <v>666</v>
      </c>
      <c r="D233" s="46">
        <v>20240301</v>
      </c>
      <c r="E233" s="46">
        <v>2024</v>
      </c>
      <c r="F233" s="46">
        <v>3</v>
      </c>
      <c r="G233" s="46" t="s">
        <v>692</v>
      </c>
      <c r="H233" s="46">
        <v>818</v>
      </c>
      <c r="I233" s="46" t="s">
        <v>668</v>
      </c>
      <c r="J233" s="46" t="s">
        <v>57</v>
      </c>
      <c r="K233" s="46" t="s">
        <v>666</v>
      </c>
      <c r="L233" s="46" t="s">
        <v>669</v>
      </c>
      <c r="M233" s="46">
        <v>842</v>
      </c>
      <c r="N233" s="46" t="s">
        <v>713</v>
      </c>
      <c r="O233" s="46" t="s">
        <v>713</v>
      </c>
      <c r="P233" s="46">
        <v>0</v>
      </c>
      <c r="Q233" s="46" t="s">
        <v>670</v>
      </c>
      <c r="R233" s="46" t="s">
        <v>23</v>
      </c>
      <c r="S233" s="46" t="s">
        <v>671</v>
      </c>
      <c r="T233" s="46" t="s">
        <v>672</v>
      </c>
      <c r="U233" s="46" t="b">
        <v>1</v>
      </c>
      <c r="V233" s="46" t="s">
        <v>1022</v>
      </c>
      <c r="W233" s="46" t="s">
        <v>1023</v>
      </c>
      <c r="X233" s="46">
        <v>6</v>
      </c>
      <c r="Y233" s="46" t="b">
        <v>1</v>
      </c>
      <c r="Z233" s="46" t="s">
        <v>675</v>
      </c>
      <c r="AA233" s="46" t="s">
        <v>676</v>
      </c>
      <c r="AB233" s="46" t="s">
        <v>677</v>
      </c>
      <c r="AC233" s="46">
        <v>0</v>
      </c>
      <c r="AD233" s="46" t="s">
        <v>678</v>
      </c>
      <c r="AE233" s="46">
        <v>5</v>
      </c>
      <c r="AF233" s="46" t="s">
        <v>1024</v>
      </c>
      <c r="AG233" s="46">
        <v>183.06700000000001</v>
      </c>
      <c r="AH233" s="46" t="b">
        <v>1</v>
      </c>
      <c r="AI233" s="46">
        <v>-1</v>
      </c>
      <c r="AJ233" s="46" t="s">
        <v>680</v>
      </c>
      <c r="AK233" s="46">
        <v>0</v>
      </c>
      <c r="AL233" s="46" t="b">
        <v>0</v>
      </c>
      <c r="AM233" s="46">
        <v>3192.9349999999999</v>
      </c>
      <c r="AN233" s="46" t="b">
        <v>1</v>
      </c>
      <c r="AO233" s="46">
        <v>0</v>
      </c>
      <c r="AP233" s="46" t="b">
        <v>0</v>
      </c>
      <c r="AQ233" s="46">
        <v>2214.4409999999998</v>
      </c>
      <c r="AS233" s="46">
        <v>2214.4409999999998</v>
      </c>
      <c r="AT233" s="46">
        <v>6</v>
      </c>
      <c r="AU233" s="46" t="b">
        <v>1</v>
      </c>
      <c r="AV233" s="46" t="b">
        <v>0</v>
      </c>
    </row>
    <row r="234" spans="2:48">
      <c r="B234" s="46" t="s">
        <v>665</v>
      </c>
      <c r="C234" s="46" t="s">
        <v>666</v>
      </c>
      <c r="D234" s="46">
        <v>20240601</v>
      </c>
      <c r="E234" s="46">
        <v>2024</v>
      </c>
      <c r="F234" s="46">
        <v>6</v>
      </c>
      <c r="G234" s="46" t="s">
        <v>700</v>
      </c>
      <c r="H234" s="46">
        <v>818</v>
      </c>
      <c r="I234" s="46" t="s">
        <v>668</v>
      </c>
      <c r="J234" s="46" t="s">
        <v>57</v>
      </c>
      <c r="K234" s="46" t="s">
        <v>666</v>
      </c>
      <c r="L234" s="46" t="s">
        <v>669</v>
      </c>
      <c r="M234" s="46">
        <v>842</v>
      </c>
      <c r="N234" s="46" t="s">
        <v>713</v>
      </c>
      <c r="O234" s="46" t="s">
        <v>713</v>
      </c>
      <c r="P234" s="46">
        <v>0</v>
      </c>
      <c r="Q234" s="46" t="s">
        <v>670</v>
      </c>
      <c r="R234" s="46" t="s">
        <v>23</v>
      </c>
      <c r="S234" s="46" t="s">
        <v>671</v>
      </c>
      <c r="T234" s="46" t="s">
        <v>672</v>
      </c>
      <c r="U234" s="46" t="b">
        <v>1</v>
      </c>
      <c r="V234" s="46" t="s">
        <v>1022</v>
      </c>
      <c r="W234" s="46" t="s">
        <v>1023</v>
      </c>
      <c r="X234" s="46">
        <v>6</v>
      </c>
      <c r="Y234" s="46" t="b">
        <v>1</v>
      </c>
      <c r="Z234" s="46" t="s">
        <v>675</v>
      </c>
      <c r="AA234" s="46" t="s">
        <v>676</v>
      </c>
      <c r="AB234" s="46" t="s">
        <v>677</v>
      </c>
      <c r="AC234" s="46">
        <v>0</v>
      </c>
      <c r="AD234" s="46" t="s">
        <v>678</v>
      </c>
      <c r="AE234" s="46">
        <v>5</v>
      </c>
      <c r="AF234" s="46" t="s">
        <v>1024</v>
      </c>
      <c r="AG234" s="46">
        <v>41.378999999999998</v>
      </c>
      <c r="AH234" s="46" t="b">
        <v>1</v>
      </c>
      <c r="AI234" s="46">
        <v>-1</v>
      </c>
      <c r="AJ234" s="46" t="s">
        <v>680</v>
      </c>
      <c r="AK234" s="46">
        <v>0</v>
      </c>
      <c r="AL234" s="46" t="b">
        <v>0</v>
      </c>
      <c r="AM234" s="46">
        <v>721.70600000000002</v>
      </c>
      <c r="AN234" s="46" t="b">
        <v>1</v>
      </c>
      <c r="AO234" s="46">
        <v>0</v>
      </c>
      <c r="AP234" s="46" t="b">
        <v>0</v>
      </c>
      <c r="AQ234" s="46">
        <v>500.53500000000003</v>
      </c>
      <c r="AS234" s="46">
        <v>500.53500000000003</v>
      </c>
      <c r="AT234" s="46">
        <v>6</v>
      </c>
      <c r="AU234" s="46" t="b">
        <v>1</v>
      </c>
      <c r="AV234" s="46" t="b">
        <v>0</v>
      </c>
    </row>
  </sheetData>
  <mergeCells count="8">
    <mergeCell ref="C11:H11"/>
    <mergeCell ref="I11:N11"/>
    <mergeCell ref="P11:P12"/>
    <mergeCell ref="Q11:Q12"/>
    <mergeCell ref="C50:H50"/>
    <mergeCell ref="I50:N50"/>
    <mergeCell ref="P50:P51"/>
    <mergeCell ref="Q50:Q51"/>
  </mergeCells>
  <hyperlinks>
    <hyperlink ref="A3" r:id="rId3" display="http://comtrade.un.org/" xr:uid="{CA5EECD8-6513-45D1-A97B-BD2E49068E3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3F62-C028-436C-8A04-EDEA070B2CD1}">
  <dimension ref="A1:AV324"/>
  <sheetViews>
    <sheetView topLeftCell="A72" workbookViewId="0">
      <selection activeCell="P102" sqref="P102"/>
    </sheetView>
  </sheetViews>
  <sheetFormatPr defaultRowHeight="13.5"/>
  <cols>
    <col min="1" max="1" width="11.85546875" style="46" customWidth="1"/>
    <col min="2" max="2" width="20.7109375" style="46" customWidth="1"/>
    <col min="3" max="3" width="18.7109375" style="46" customWidth="1"/>
    <col min="4" max="4" width="24.5703125" style="46" customWidth="1"/>
    <col min="5" max="6" width="12.85546875" style="46" bestFit="1" customWidth="1"/>
    <col min="7" max="7" width="11.7109375" style="46" bestFit="1" customWidth="1"/>
    <col min="8" max="14" width="12.85546875" style="46" bestFit="1" customWidth="1"/>
    <col min="15" max="15" width="22.5703125" style="46" customWidth="1"/>
    <col min="16" max="18" width="9.140625" style="46"/>
    <col min="19" max="19" width="19.140625" style="46" bestFit="1" customWidth="1"/>
    <col min="20" max="23" width="12.85546875" style="46" bestFit="1" customWidth="1"/>
    <col min="24" max="24" width="12.140625" style="46" bestFit="1" customWidth="1"/>
    <col min="25" max="31" width="12.85546875" style="46" bestFit="1" customWidth="1"/>
    <col min="32" max="32" width="14" style="46" bestFit="1" customWidth="1"/>
    <col min="33" max="34" width="12" style="46" bestFit="1" customWidth="1"/>
    <col min="35" max="16384" width="9.140625" style="46"/>
  </cols>
  <sheetData>
    <row r="1" spans="1:32">
      <c r="A1" s="25" t="s">
        <v>880</v>
      </c>
      <c r="B1" s="240"/>
      <c r="C1" s="240"/>
      <c r="D1" s="241">
        <f>'EX-1A SV Summary'!D35</f>
        <v>39232990</v>
      </c>
    </row>
    <row r="2" spans="1:32">
      <c r="A2" s="26" t="s">
        <v>1027</v>
      </c>
      <c r="B2" s="242"/>
      <c r="C2" s="242"/>
      <c r="D2" s="242"/>
    </row>
    <row r="3" spans="1:32">
      <c r="A3" s="243" t="s">
        <v>882</v>
      </c>
    </row>
    <row r="4" spans="1:32">
      <c r="S4" s="100" t="s">
        <v>733</v>
      </c>
      <c r="T4" s="100" t="s">
        <v>621</v>
      </c>
      <c r="U4" s="100" t="s">
        <v>622</v>
      </c>
    </row>
    <row r="5" spans="1:32" ht="27">
      <c r="A5" s="29"/>
      <c r="B5" s="102" t="s">
        <v>203</v>
      </c>
      <c r="C5" s="102" t="s">
        <v>48</v>
      </c>
      <c r="D5" s="102" t="s">
        <v>204</v>
      </c>
      <c r="T5" s="46">
        <v>2023</v>
      </c>
      <c r="Z5" s="46">
        <v>2024</v>
      </c>
      <c r="AF5" s="46" t="s">
        <v>732</v>
      </c>
    </row>
    <row r="6" spans="1:32">
      <c r="A6" s="29"/>
      <c r="B6" s="103">
        <f>SUMIFS(O:O,P:P,"Include",Q:Q,"QTY")*1000</f>
        <v>1433490713.9999998</v>
      </c>
      <c r="C6" s="103">
        <f>SUMIFS(O:O,P:P,"Include",Q:Q,"VAL")*1000</f>
        <v>9155964230.9999981</v>
      </c>
      <c r="D6" s="104">
        <f>C6/B6</f>
        <v>6.3871807062155828</v>
      </c>
      <c r="S6" s="100" t="s">
        <v>631</v>
      </c>
      <c r="T6" s="46">
        <v>7</v>
      </c>
      <c r="U6" s="46">
        <v>8</v>
      </c>
      <c r="V6" s="46">
        <v>9</v>
      </c>
      <c r="W6" s="46">
        <v>10</v>
      </c>
      <c r="X6" s="46">
        <v>11</v>
      </c>
      <c r="Y6" s="46">
        <v>12</v>
      </c>
      <c r="Z6" s="46">
        <v>1</v>
      </c>
      <c r="AA6" s="46">
        <v>2</v>
      </c>
      <c r="AB6" s="46">
        <v>3</v>
      </c>
      <c r="AC6" s="46">
        <v>4</v>
      </c>
      <c r="AD6" s="46">
        <v>5</v>
      </c>
      <c r="AE6" s="46">
        <v>6</v>
      </c>
    </row>
    <row r="7" spans="1:32">
      <c r="S7" s="46" t="s">
        <v>1031</v>
      </c>
      <c r="U7" s="46">
        <v>1.877</v>
      </c>
      <c r="Z7" s="46">
        <v>31.821999999999999</v>
      </c>
      <c r="AF7" s="46">
        <v>33.698999999999998</v>
      </c>
    </row>
    <row r="8" spans="1:32">
      <c r="A8" s="99" t="s">
        <v>740</v>
      </c>
      <c r="B8" s="99" t="s">
        <v>45</v>
      </c>
      <c r="C8" s="26"/>
      <c r="S8" s="46" t="s">
        <v>43</v>
      </c>
      <c r="U8" s="46">
        <v>3112.1860000000001</v>
      </c>
      <c r="X8" s="46">
        <v>2712.2890000000002</v>
      </c>
      <c r="AA8" s="46">
        <v>2492.9180000000001</v>
      </c>
      <c r="AD8" s="46">
        <v>3885.19</v>
      </c>
      <c r="AE8" s="46">
        <v>11204.387000000001</v>
      </c>
      <c r="AF8" s="46">
        <v>23406.97</v>
      </c>
    </row>
    <row r="9" spans="1:32">
      <c r="B9" s="29" t="s">
        <v>902</v>
      </c>
      <c r="C9" s="26"/>
      <c r="S9" s="46" t="s">
        <v>74</v>
      </c>
      <c r="V9" s="46">
        <v>6.6630000000000003</v>
      </c>
      <c r="Y9" s="46">
        <v>78.438000000000002</v>
      </c>
      <c r="AC9" s="46">
        <v>3.4980000000000002</v>
      </c>
      <c r="AF9" s="46">
        <v>88.599000000000004</v>
      </c>
    </row>
    <row r="10" spans="1:32">
      <c r="A10" s="29"/>
      <c r="B10" s="134"/>
      <c r="C10" s="133"/>
      <c r="S10" s="46" t="s">
        <v>81</v>
      </c>
      <c r="AC10" s="46">
        <v>101.7</v>
      </c>
      <c r="AF10" s="46">
        <v>101.7</v>
      </c>
    </row>
    <row r="11" spans="1:32">
      <c r="B11" s="105"/>
      <c r="C11" s="324">
        <v>2023</v>
      </c>
      <c r="D11" s="324"/>
      <c r="E11" s="324"/>
      <c r="F11" s="324"/>
      <c r="G11" s="324"/>
      <c r="H11" s="324"/>
      <c r="I11" s="324">
        <v>2024</v>
      </c>
      <c r="J11" s="324"/>
      <c r="K11" s="324"/>
      <c r="L11" s="324"/>
      <c r="M11" s="324"/>
      <c r="N11" s="324"/>
      <c r="O11" s="112" t="s">
        <v>732</v>
      </c>
      <c r="P11" s="320" t="s">
        <v>209</v>
      </c>
      <c r="Q11" s="320" t="s">
        <v>155</v>
      </c>
      <c r="S11" s="46" t="s">
        <v>101</v>
      </c>
      <c r="AC11" s="46">
        <v>20486.859</v>
      </c>
      <c r="AF11" s="46">
        <v>20486.859</v>
      </c>
    </row>
    <row r="12" spans="1:32">
      <c r="B12" s="107" t="s">
        <v>631</v>
      </c>
      <c r="C12" s="113">
        <v>7</v>
      </c>
      <c r="D12" s="113">
        <v>8</v>
      </c>
      <c r="E12" s="113">
        <v>9</v>
      </c>
      <c r="F12" s="113">
        <v>10</v>
      </c>
      <c r="G12" s="113">
        <v>11</v>
      </c>
      <c r="H12" s="113">
        <v>12</v>
      </c>
      <c r="I12" s="113">
        <v>1</v>
      </c>
      <c r="J12" s="113">
        <v>2</v>
      </c>
      <c r="K12" s="113">
        <v>3</v>
      </c>
      <c r="L12" s="113">
        <v>4</v>
      </c>
      <c r="M12" s="113">
        <v>5</v>
      </c>
      <c r="N12" s="113">
        <v>6</v>
      </c>
      <c r="O12" s="113"/>
      <c r="P12" s="320"/>
      <c r="Q12" s="320"/>
      <c r="S12" s="46" t="s">
        <v>29</v>
      </c>
      <c r="T12" s="46">
        <v>50662.79</v>
      </c>
      <c r="U12" s="46">
        <v>14775.777</v>
      </c>
      <c r="V12" s="46">
        <v>9113.9879999999994</v>
      </c>
      <c r="W12" s="46">
        <v>27104.817999999999</v>
      </c>
      <c r="X12" s="46">
        <v>14752.081</v>
      </c>
      <c r="Y12" s="46">
        <v>12730.934999999999</v>
      </c>
      <c r="Z12" s="46">
        <v>22235.091</v>
      </c>
      <c r="AA12" s="46">
        <v>18980.996999999999</v>
      </c>
      <c r="AB12" s="46">
        <v>37964.947999999997</v>
      </c>
      <c r="AC12" s="46">
        <v>23489.599999999999</v>
      </c>
      <c r="AD12" s="46">
        <v>23919.48</v>
      </c>
      <c r="AE12" s="46">
        <v>30651.200000000001</v>
      </c>
      <c r="AF12" s="46">
        <v>286381.70500000002</v>
      </c>
    </row>
    <row r="13" spans="1:32">
      <c r="B13" s="304" t="s">
        <v>1031</v>
      </c>
      <c r="C13" s="304"/>
      <c r="D13" s="304">
        <v>1.877</v>
      </c>
      <c r="E13" s="304"/>
      <c r="F13" s="304"/>
      <c r="G13" s="304"/>
      <c r="H13" s="304"/>
      <c r="I13" s="304">
        <v>31.821999999999999</v>
      </c>
      <c r="J13" s="304"/>
      <c r="K13" s="304"/>
      <c r="L13" s="304"/>
      <c r="M13" s="304"/>
      <c r="N13" s="304"/>
      <c r="O13" s="304">
        <v>33.698999999999998</v>
      </c>
      <c r="P13" s="105" t="s">
        <v>210</v>
      </c>
      <c r="Q13" s="105" t="s">
        <v>744</v>
      </c>
      <c r="S13" s="46" t="s">
        <v>990</v>
      </c>
      <c r="T13" s="46">
        <v>1871.1610000000001</v>
      </c>
      <c r="U13" s="46">
        <v>2447.4789999999998</v>
      </c>
      <c r="V13" s="46">
        <v>2209.21</v>
      </c>
      <c r="X13" s="46">
        <v>3292.547</v>
      </c>
      <c r="Y13" s="46">
        <v>5159.1289999999999</v>
      </c>
      <c r="Z13" s="46">
        <v>96.257000000000005</v>
      </c>
      <c r="AB13" s="46">
        <v>311.89299999999997</v>
      </c>
      <c r="AC13" s="46">
        <v>1219.123</v>
      </c>
      <c r="AD13" s="46">
        <v>202.00800000000001</v>
      </c>
      <c r="AE13" s="46">
        <v>270.15199999999999</v>
      </c>
      <c r="AF13" s="46">
        <v>17078.958999999999</v>
      </c>
    </row>
    <row r="14" spans="1:32">
      <c r="B14" s="304" t="s">
        <v>43</v>
      </c>
      <c r="C14" s="304"/>
      <c r="D14" s="304">
        <v>3112.1860000000001</v>
      </c>
      <c r="E14" s="304"/>
      <c r="F14" s="304"/>
      <c r="G14" s="304">
        <v>2712.2890000000002</v>
      </c>
      <c r="H14" s="304"/>
      <c r="I14" s="304"/>
      <c r="J14" s="304">
        <v>2492.9180000000001</v>
      </c>
      <c r="K14" s="304"/>
      <c r="L14" s="304"/>
      <c r="M14" s="304">
        <v>3885.19</v>
      </c>
      <c r="N14" s="304">
        <v>11204.387000000001</v>
      </c>
      <c r="O14" s="304">
        <v>23406.97</v>
      </c>
      <c r="P14" s="105" t="s">
        <v>211</v>
      </c>
      <c r="Q14" s="105" t="s">
        <v>744</v>
      </c>
      <c r="S14" s="46" t="s">
        <v>753</v>
      </c>
      <c r="AE14" s="46">
        <v>6224.8320000000003</v>
      </c>
      <c r="AF14" s="46">
        <v>6224.8320000000003</v>
      </c>
    </row>
    <row r="15" spans="1:32">
      <c r="B15" s="304" t="s">
        <v>74</v>
      </c>
      <c r="C15" s="304"/>
      <c r="D15" s="304"/>
      <c r="E15" s="304">
        <v>6.6630000000000003</v>
      </c>
      <c r="F15" s="304"/>
      <c r="G15" s="304"/>
      <c r="H15" s="304">
        <v>78.438000000000002</v>
      </c>
      <c r="I15" s="304"/>
      <c r="J15" s="304"/>
      <c r="K15" s="304"/>
      <c r="L15" s="304">
        <v>3.4980000000000002</v>
      </c>
      <c r="M15" s="304"/>
      <c r="N15" s="304"/>
      <c r="O15" s="304">
        <v>88.599000000000004</v>
      </c>
      <c r="P15" s="105" t="s">
        <v>211</v>
      </c>
      <c r="Q15" s="105" t="s">
        <v>744</v>
      </c>
      <c r="S15" s="46" t="s">
        <v>72</v>
      </c>
      <c r="X15" s="46">
        <v>6.5709999999999997</v>
      </c>
      <c r="AB15" s="46">
        <v>53.518000000000001</v>
      </c>
      <c r="AF15" s="46">
        <v>60.088999999999999</v>
      </c>
    </row>
    <row r="16" spans="1:32">
      <c r="B16" s="304" t="s">
        <v>81</v>
      </c>
      <c r="C16" s="304"/>
      <c r="D16" s="304"/>
      <c r="E16" s="304"/>
      <c r="F16" s="304"/>
      <c r="G16" s="304"/>
      <c r="H16" s="304"/>
      <c r="I16" s="304"/>
      <c r="J16" s="304"/>
      <c r="K16" s="304"/>
      <c r="L16" s="304">
        <v>101.7</v>
      </c>
      <c r="M16" s="304"/>
      <c r="N16" s="304"/>
      <c r="O16" s="304">
        <v>101.7</v>
      </c>
      <c r="P16" s="105" t="s">
        <v>211</v>
      </c>
      <c r="Q16" s="105" t="s">
        <v>744</v>
      </c>
      <c r="S16" s="46" t="s">
        <v>69</v>
      </c>
      <c r="U16" s="46">
        <v>1100.2090000000001</v>
      </c>
      <c r="V16" s="46">
        <v>1582.74</v>
      </c>
      <c r="W16" s="46">
        <v>16.527000000000001</v>
      </c>
      <c r="X16" s="46">
        <v>54.618000000000002</v>
      </c>
      <c r="Y16" s="46">
        <v>1330.924</v>
      </c>
      <c r="Z16" s="46">
        <v>92.799000000000007</v>
      </c>
      <c r="AA16" s="46">
        <v>1562.7059999999999</v>
      </c>
      <c r="AB16" s="46">
        <v>1128.9939999999999</v>
      </c>
      <c r="AD16" s="46">
        <v>875.78800000000001</v>
      </c>
      <c r="AE16" s="46">
        <v>444.339</v>
      </c>
      <c r="AF16" s="46">
        <v>8189.6440000000002</v>
      </c>
    </row>
    <row r="17" spans="2:32">
      <c r="B17" s="304" t="s">
        <v>101</v>
      </c>
      <c r="C17" s="304"/>
      <c r="D17" s="304"/>
      <c r="E17" s="304"/>
      <c r="F17" s="304"/>
      <c r="G17" s="304"/>
      <c r="H17" s="304"/>
      <c r="I17" s="304"/>
      <c r="J17" s="304"/>
      <c r="K17" s="304"/>
      <c r="L17" s="304">
        <v>20486.859</v>
      </c>
      <c r="M17" s="304"/>
      <c r="N17" s="304"/>
      <c r="O17" s="304">
        <v>20486.859</v>
      </c>
      <c r="P17" s="105" t="s">
        <v>211</v>
      </c>
      <c r="Q17" s="105" t="s">
        <v>744</v>
      </c>
      <c r="S17" s="46" t="s">
        <v>30</v>
      </c>
      <c r="U17" s="46">
        <v>31672.853999999999</v>
      </c>
      <c r="V17" s="46">
        <v>9674.1720000000005</v>
      </c>
      <c r="Y17" s="46">
        <v>443.22300000000001</v>
      </c>
      <c r="AB17" s="46">
        <v>10.119</v>
      </c>
      <c r="AF17" s="46">
        <v>41800.367999999995</v>
      </c>
    </row>
    <row r="18" spans="2:32">
      <c r="B18" s="304" t="s">
        <v>29</v>
      </c>
      <c r="C18" s="304">
        <v>50662.79</v>
      </c>
      <c r="D18" s="304">
        <v>14775.777</v>
      </c>
      <c r="E18" s="304">
        <v>9113.9879999999994</v>
      </c>
      <c r="F18" s="304">
        <v>27104.817999999999</v>
      </c>
      <c r="G18" s="304">
        <v>14752.081</v>
      </c>
      <c r="H18" s="304">
        <v>12730.934999999999</v>
      </c>
      <c r="I18" s="304">
        <v>22235.091</v>
      </c>
      <c r="J18" s="304">
        <v>18980.996999999999</v>
      </c>
      <c r="K18" s="304">
        <v>37964.947999999997</v>
      </c>
      <c r="L18" s="304">
        <v>23489.599999999999</v>
      </c>
      <c r="M18" s="304">
        <v>23919.48</v>
      </c>
      <c r="N18" s="304">
        <v>30651.200000000001</v>
      </c>
      <c r="O18" s="304">
        <v>286381.70500000002</v>
      </c>
      <c r="P18" s="105" t="s">
        <v>210</v>
      </c>
      <c r="Q18" s="105" t="s">
        <v>744</v>
      </c>
      <c r="S18" s="46" t="s">
        <v>65</v>
      </c>
      <c r="U18" s="46">
        <v>1909.97</v>
      </c>
      <c r="W18" s="46">
        <v>10.872999999999999</v>
      </c>
      <c r="Z18" s="46">
        <v>124.758</v>
      </c>
      <c r="AF18" s="46">
        <v>2045.6010000000001</v>
      </c>
    </row>
    <row r="19" spans="2:32">
      <c r="B19" s="304" t="s">
        <v>990</v>
      </c>
      <c r="C19" s="304">
        <v>1871.1610000000001</v>
      </c>
      <c r="D19" s="304">
        <v>2447.4789999999998</v>
      </c>
      <c r="E19" s="304">
        <v>2209.21</v>
      </c>
      <c r="F19" s="304"/>
      <c r="G19" s="304">
        <v>3292.547</v>
      </c>
      <c r="H19" s="304">
        <v>5159.1289999999999</v>
      </c>
      <c r="I19" s="304">
        <v>96.257000000000005</v>
      </c>
      <c r="J19" s="304"/>
      <c r="K19" s="304">
        <v>311.89299999999997</v>
      </c>
      <c r="L19" s="304">
        <v>1219.123</v>
      </c>
      <c r="M19" s="304">
        <v>202.00800000000001</v>
      </c>
      <c r="N19" s="304">
        <v>270.15199999999999</v>
      </c>
      <c r="O19" s="304">
        <v>17078.958999999999</v>
      </c>
      <c r="P19" s="105" t="s">
        <v>210</v>
      </c>
      <c r="Q19" s="105" t="s">
        <v>744</v>
      </c>
      <c r="S19" s="46" t="s">
        <v>82</v>
      </c>
      <c r="W19" s="46">
        <v>170.66</v>
      </c>
      <c r="Y19" s="46">
        <v>17463.358</v>
      </c>
      <c r="AA19" s="46">
        <v>735.81200000000001</v>
      </c>
      <c r="AC19" s="46">
        <v>1201.6220000000001</v>
      </c>
      <c r="AF19" s="46">
        <v>19571.452000000001</v>
      </c>
    </row>
    <row r="20" spans="2:32">
      <c r="B20" s="304" t="s">
        <v>753</v>
      </c>
      <c r="C20" s="304"/>
      <c r="D20" s="304"/>
      <c r="E20" s="304"/>
      <c r="F20" s="304"/>
      <c r="G20" s="304"/>
      <c r="H20" s="304"/>
      <c r="I20" s="304"/>
      <c r="J20" s="304"/>
      <c r="K20" s="304"/>
      <c r="L20" s="304"/>
      <c r="M20" s="304"/>
      <c r="N20" s="304">
        <v>6224.8320000000003</v>
      </c>
      <c r="O20" s="304">
        <v>6224.8320000000003</v>
      </c>
      <c r="P20" s="105" t="s">
        <v>211</v>
      </c>
      <c r="Q20" s="105" t="s">
        <v>744</v>
      </c>
      <c r="S20" s="46" t="s">
        <v>0</v>
      </c>
      <c r="T20" s="46">
        <v>11571.611999999999</v>
      </c>
      <c r="U20" s="46">
        <v>60296.737000000001</v>
      </c>
      <c r="V20" s="46">
        <v>22180.273000000001</v>
      </c>
      <c r="W20" s="46">
        <v>0.93899999999999995</v>
      </c>
      <c r="Y20" s="46">
        <v>298.53699999999998</v>
      </c>
      <c r="Z20" s="46">
        <v>315.81400000000002</v>
      </c>
      <c r="AA20" s="46">
        <v>1048.204</v>
      </c>
      <c r="AC20" s="46">
        <v>7348.5519999999997</v>
      </c>
      <c r="AD20" s="46">
        <v>510.08100000000002</v>
      </c>
      <c r="AE20" s="46">
        <v>2833.886</v>
      </c>
      <c r="AF20" s="46">
        <v>106404.63499999999</v>
      </c>
    </row>
    <row r="21" spans="2:32">
      <c r="B21" s="304" t="s">
        <v>72</v>
      </c>
      <c r="C21" s="304"/>
      <c r="D21" s="304"/>
      <c r="E21" s="304"/>
      <c r="F21" s="304"/>
      <c r="G21" s="304">
        <v>6.5709999999999997</v>
      </c>
      <c r="H21" s="304"/>
      <c r="I21" s="304"/>
      <c r="J21" s="304"/>
      <c r="K21" s="304">
        <v>53.518000000000001</v>
      </c>
      <c r="L21" s="304"/>
      <c r="M21" s="304"/>
      <c r="N21" s="304"/>
      <c r="O21" s="304">
        <v>60.088999999999999</v>
      </c>
      <c r="P21" s="105" t="s">
        <v>211</v>
      </c>
      <c r="Q21" s="105" t="s">
        <v>744</v>
      </c>
      <c r="S21" s="46" t="s">
        <v>87</v>
      </c>
      <c r="Z21" s="46">
        <v>4198.3220000000001</v>
      </c>
      <c r="AF21" s="46">
        <v>4198.3220000000001</v>
      </c>
    </row>
    <row r="22" spans="2:32">
      <c r="B22" s="304" t="s">
        <v>69</v>
      </c>
      <c r="C22" s="304"/>
      <c r="D22" s="304">
        <v>1100.2090000000001</v>
      </c>
      <c r="E22" s="304">
        <v>1582.74</v>
      </c>
      <c r="F22" s="304">
        <v>16.527000000000001</v>
      </c>
      <c r="G22" s="304">
        <v>54.618000000000002</v>
      </c>
      <c r="H22" s="304">
        <v>1330.924</v>
      </c>
      <c r="I22" s="304">
        <v>92.799000000000007</v>
      </c>
      <c r="J22" s="304">
        <v>1562.7059999999999</v>
      </c>
      <c r="K22" s="304">
        <v>1128.9939999999999</v>
      </c>
      <c r="L22" s="304"/>
      <c r="M22" s="304">
        <v>875.78800000000001</v>
      </c>
      <c r="N22" s="304">
        <v>444.339</v>
      </c>
      <c r="O22" s="304">
        <v>8189.6440000000002</v>
      </c>
      <c r="P22" s="105" t="s">
        <v>211</v>
      </c>
      <c r="Q22" s="105" t="s">
        <v>744</v>
      </c>
      <c r="S22" s="46" t="s">
        <v>100</v>
      </c>
      <c r="U22" s="46">
        <v>23218.580999999998</v>
      </c>
      <c r="W22" s="46">
        <v>11915.27</v>
      </c>
      <c r="X22" s="46">
        <v>9838.8140000000003</v>
      </c>
      <c r="AA22" s="46">
        <v>9964.1659999999993</v>
      </c>
      <c r="AF22" s="46">
        <v>54936.830999999991</v>
      </c>
    </row>
    <row r="23" spans="2:32">
      <c r="B23" s="304" t="s">
        <v>30</v>
      </c>
      <c r="C23" s="304"/>
      <c r="D23" s="304">
        <v>31672.853999999999</v>
      </c>
      <c r="E23" s="304">
        <v>9674.1720000000005</v>
      </c>
      <c r="F23" s="304"/>
      <c r="G23" s="304"/>
      <c r="H23" s="304">
        <v>443.22300000000001</v>
      </c>
      <c r="I23" s="304"/>
      <c r="J23" s="304"/>
      <c r="K23" s="304">
        <v>10.119</v>
      </c>
      <c r="L23" s="304"/>
      <c r="M23" s="304"/>
      <c r="N23" s="304"/>
      <c r="O23" s="304">
        <v>41800.367999999995</v>
      </c>
      <c r="P23" s="105" t="s">
        <v>211</v>
      </c>
      <c r="Q23" s="105" t="s">
        <v>744</v>
      </c>
      <c r="S23" s="46" t="s">
        <v>71</v>
      </c>
      <c r="T23" s="46">
        <v>27781.496999999999</v>
      </c>
      <c r="U23" s="46">
        <v>80628.005000000005</v>
      </c>
      <c r="V23" s="46">
        <v>7191.482</v>
      </c>
      <c r="W23" s="46">
        <v>17877.181</v>
      </c>
      <c r="X23" s="46">
        <v>16130.489</v>
      </c>
      <c r="Y23" s="46">
        <v>22468.361000000001</v>
      </c>
      <c r="Z23" s="46">
        <v>44316.671999999999</v>
      </c>
      <c r="AA23" s="46">
        <v>29714.654999999999</v>
      </c>
      <c r="AB23" s="46">
        <v>20846.103999999999</v>
      </c>
      <c r="AC23" s="46">
        <v>61319.803999999996</v>
      </c>
      <c r="AD23" s="46">
        <v>68997.082999999999</v>
      </c>
      <c r="AE23" s="46">
        <v>557.27099999999996</v>
      </c>
      <c r="AF23" s="46">
        <v>397828.60399999999</v>
      </c>
    </row>
    <row r="24" spans="2:32">
      <c r="B24" s="304" t="s">
        <v>65</v>
      </c>
      <c r="C24" s="304"/>
      <c r="D24" s="304">
        <v>1909.97</v>
      </c>
      <c r="E24" s="304"/>
      <c r="F24" s="304">
        <v>10.872999999999999</v>
      </c>
      <c r="G24" s="304"/>
      <c r="H24" s="304"/>
      <c r="I24" s="304">
        <v>124.758</v>
      </c>
      <c r="J24" s="304"/>
      <c r="K24" s="304"/>
      <c r="L24" s="304"/>
      <c r="M24" s="304"/>
      <c r="N24" s="304"/>
      <c r="O24" s="304">
        <v>2045.6010000000001</v>
      </c>
      <c r="P24" s="105" t="s">
        <v>211</v>
      </c>
      <c r="Q24" s="105" t="s">
        <v>744</v>
      </c>
      <c r="S24" s="46" t="s">
        <v>32</v>
      </c>
      <c r="T24" s="46">
        <v>335.59899999999999</v>
      </c>
      <c r="AF24" s="46">
        <v>335.59899999999999</v>
      </c>
    </row>
    <row r="25" spans="2:32">
      <c r="B25" s="304" t="s">
        <v>82</v>
      </c>
      <c r="C25" s="304"/>
      <c r="D25" s="304"/>
      <c r="E25" s="304"/>
      <c r="F25" s="304">
        <v>170.66</v>
      </c>
      <c r="G25" s="304"/>
      <c r="H25" s="304">
        <v>17463.358</v>
      </c>
      <c r="I25" s="304"/>
      <c r="J25" s="304">
        <v>735.81200000000001</v>
      </c>
      <c r="K25" s="304"/>
      <c r="L25" s="304">
        <v>1201.6220000000001</v>
      </c>
      <c r="M25" s="304"/>
      <c r="N25" s="304"/>
      <c r="O25" s="304">
        <v>19571.452000000001</v>
      </c>
      <c r="P25" s="105" t="s">
        <v>211</v>
      </c>
      <c r="Q25" s="105" t="s">
        <v>744</v>
      </c>
      <c r="S25" s="46" t="s">
        <v>214</v>
      </c>
      <c r="U25" s="46">
        <v>10521.665999999999</v>
      </c>
      <c r="W25" s="46">
        <v>9688.4779999999992</v>
      </c>
      <c r="AF25" s="46">
        <v>20210.144</v>
      </c>
    </row>
    <row r="26" spans="2:32">
      <c r="B26" s="304" t="s">
        <v>0</v>
      </c>
      <c r="C26" s="304">
        <v>11571.611999999999</v>
      </c>
      <c r="D26" s="304">
        <v>60296.737000000001</v>
      </c>
      <c r="E26" s="304">
        <v>22180.273000000001</v>
      </c>
      <c r="F26" s="304">
        <v>0.93899999999999995</v>
      </c>
      <c r="G26" s="304"/>
      <c r="H26" s="304">
        <v>298.53699999999998</v>
      </c>
      <c r="I26" s="304">
        <v>315.81400000000002</v>
      </c>
      <c r="J26" s="304">
        <v>1048.204</v>
      </c>
      <c r="K26" s="304"/>
      <c r="L26" s="304">
        <v>7348.5519999999997</v>
      </c>
      <c r="M26" s="304">
        <v>510.08100000000002</v>
      </c>
      <c r="N26" s="304">
        <v>2833.886</v>
      </c>
      <c r="O26" s="304">
        <v>106404.63499999999</v>
      </c>
      <c r="P26" s="105" t="s">
        <v>211</v>
      </c>
      <c r="Q26" s="105" t="s">
        <v>744</v>
      </c>
      <c r="S26" s="46" t="s">
        <v>117</v>
      </c>
      <c r="AA26" s="46">
        <v>3.1469999999999998</v>
      </c>
      <c r="AF26" s="46">
        <v>3.1469999999999998</v>
      </c>
    </row>
    <row r="27" spans="2:32">
      <c r="B27" s="304" t="s">
        <v>87</v>
      </c>
      <c r="C27" s="304"/>
      <c r="D27" s="304"/>
      <c r="E27" s="304"/>
      <c r="F27" s="304"/>
      <c r="G27" s="304"/>
      <c r="H27" s="304"/>
      <c r="I27" s="304">
        <v>4198.3220000000001</v>
      </c>
      <c r="J27" s="304"/>
      <c r="K27" s="304"/>
      <c r="L27" s="304"/>
      <c r="M27" s="304"/>
      <c r="N27" s="304"/>
      <c r="O27" s="304">
        <v>4198.3220000000001</v>
      </c>
      <c r="P27" s="105" t="s">
        <v>211</v>
      </c>
      <c r="Q27" s="105" t="s">
        <v>744</v>
      </c>
      <c r="S27" s="46" t="s">
        <v>225</v>
      </c>
      <c r="Z27" s="46">
        <v>2136.3809999999999</v>
      </c>
      <c r="AC27" s="46">
        <v>3801.61</v>
      </c>
      <c r="AD27" s="46">
        <v>2962.6819999999998</v>
      </c>
      <c r="AE27" s="46">
        <v>1455.492</v>
      </c>
      <c r="AF27" s="46">
        <v>10356.164999999999</v>
      </c>
    </row>
    <row r="28" spans="2:32">
      <c r="B28" s="304" t="s">
        <v>100</v>
      </c>
      <c r="C28" s="304"/>
      <c r="D28" s="304">
        <v>23218.580999999998</v>
      </c>
      <c r="E28" s="304"/>
      <c r="F28" s="304">
        <v>11915.27</v>
      </c>
      <c r="G28" s="304">
        <v>9838.8140000000003</v>
      </c>
      <c r="H28" s="304"/>
      <c r="I28" s="304"/>
      <c r="J28" s="304">
        <v>9964.1659999999993</v>
      </c>
      <c r="K28" s="304"/>
      <c r="L28" s="304"/>
      <c r="M28" s="304"/>
      <c r="N28" s="304"/>
      <c r="O28" s="304">
        <v>54936.830999999991</v>
      </c>
      <c r="P28" s="105" t="s">
        <v>211</v>
      </c>
      <c r="Q28" s="105" t="s">
        <v>744</v>
      </c>
      <c r="S28" s="46" t="s">
        <v>60</v>
      </c>
      <c r="T28" s="46">
        <v>15.475</v>
      </c>
      <c r="U28" s="46">
        <v>250.339</v>
      </c>
      <c r="V28" s="46">
        <v>37.408999999999999</v>
      </c>
      <c r="AB28" s="46">
        <v>49.875</v>
      </c>
      <c r="AF28" s="46">
        <v>353.09800000000001</v>
      </c>
    </row>
    <row r="29" spans="2:32">
      <c r="B29" s="304" t="s">
        <v>71</v>
      </c>
      <c r="C29" s="304">
        <v>27781.496999999999</v>
      </c>
      <c r="D29" s="304">
        <v>80628.005000000005</v>
      </c>
      <c r="E29" s="304">
        <v>7191.482</v>
      </c>
      <c r="F29" s="304">
        <v>17877.181</v>
      </c>
      <c r="G29" s="304">
        <v>16130.489</v>
      </c>
      <c r="H29" s="304">
        <v>22468.361000000001</v>
      </c>
      <c r="I29" s="304">
        <v>44316.671999999999</v>
      </c>
      <c r="J29" s="304">
        <v>29714.654999999999</v>
      </c>
      <c r="K29" s="304">
        <v>20846.103999999999</v>
      </c>
      <c r="L29" s="304">
        <v>61319.803999999996</v>
      </c>
      <c r="M29" s="304">
        <v>68997.082999999999</v>
      </c>
      <c r="N29" s="304">
        <v>557.27099999999996</v>
      </c>
      <c r="O29" s="304">
        <v>397828.60399999999</v>
      </c>
      <c r="P29" s="105" t="s">
        <v>211</v>
      </c>
      <c r="Q29" s="105" t="s">
        <v>744</v>
      </c>
      <c r="S29" s="46" t="s">
        <v>763</v>
      </c>
      <c r="T29" s="46">
        <v>2460.636</v>
      </c>
      <c r="U29" s="46">
        <v>2973.36</v>
      </c>
      <c r="V29" s="46">
        <v>112.444</v>
      </c>
      <c r="W29" s="46">
        <v>56.023000000000003</v>
      </c>
      <c r="Y29" s="46">
        <v>185.803</v>
      </c>
      <c r="AA29" s="46">
        <v>449.84199999999998</v>
      </c>
      <c r="AB29" s="46">
        <v>414.39</v>
      </c>
      <c r="AD29" s="46">
        <v>438.93</v>
      </c>
      <c r="AF29" s="46">
        <v>7091.4280000000008</v>
      </c>
    </row>
    <row r="30" spans="2:32">
      <c r="B30" s="304" t="s">
        <v>32</v>
      </c>
      <c r="C30" s="304">
        <v>335.59899999999999</v>
      </c>
      <c r="D30" s="304"/>
      <c r="E30" s="304"/>
      <c r="F30" s="304"/>
      <c r="G30" s="304"/>
      <c r="H30" s="304"/>
      <c r="I30" s="304"/>
      <c r="J30" s="304"/>
      <c r="K30" s="304"/>
      <c r="L30" s="304"/>
      <c r="M30" s="304"/>
      <c r="N30" s="304"/>
      <c r="O30" s="304">
        <v>335.59899999999999</v>
      </c>
      <c r="P30" s="105" t="s">
        <v>211</v>
      </c>
      <c r="Q30" s="105" t="s">
        <v>744</v>
      </c>
      <c r="S30" s="46" t="s">
        <v>683</v>
      </c>
      <c r="U30" s="46">
        <v>468.70699999999999</v>
      </c>
      <c r="AF30" s="46">
        <v>468.70699999999999</v>
      </c>
    </row>
    <row r="31" spans="2:32">
      <c r="B31" s="304" t="s">
        <v>214</v>
      </c>
      <c r="C31" s="304"/>
      <c r="D31" s="304">
        <v>10521.665999999999</v>
      </c>
      <c r="E31" s="304"/>
      <c r="F31" s="304">
        <v>9688.4779999999992</v>
      </c>
      <c r="G31" s="304"/>
      <c r="H31" s="304"/>
      <c r="I31" s="304"/>
      <c r="J31" s="304"/>
      <c r="K31" s="304"/>
      <c r="L31" s="304"/>
      <c r="M31" s="304"/>
      <c r="N31" s="304"/>
      <c r="O31" s="304">
        <v>20210.144</v>
      </c>
      <c r="P31" s="105" t="s">
        <v>211</v>
      </c>
      <c r="Q31" s="105" t="s">
        <v>744</v>
      </c>
      <c r="S31" s="46" t="s">
        <v>83</v>
      </c>
      <c r="X31" s="46">
        <v>171.94499999999999</v>
      </c>
      <c r="AF31" s="46">
        <v>171.94499999999999</v>
      </c>
    </row>
    <row r="32" spans="2:32">
      <c r="B32" s="304" t="s">
        <v>117</v>
      </c>
      <c r="C32" s="304"/>
      <c r="D32" s="304"/>
      <c r="E32" s="304"/>
      <c r="F32" s="304"/>
      <c r="G32" s="304"/>
      <c r="H32" s="304"/>
      <c r="I32" s="304"/>
      <c r="J32" s="304">
        <v>3.1469999999999998</v>
      </c>
      <c r="K32" s="304"/>
      <c r="L32" s="304"/>
      <c r="M32" s="304"/>
      <c r="N32" s="304"/>
      <c r="O32" s="304">
        <v>3.1469999999999998</v>
      </c>
      <c r="P32" s="105" t="s">
        <v>211</v>
      </c>
      <c r="Q32" s="105" t="s">
        <v>744</v>
      </c>
      <c r="S32" s="46" t="s">
        <v>84</v>
      </c>
      <c r="Y32" s="46">
        <v>7566.7790000000005</v>
      </c>
      <c r="Z32" s="46">
        <v>3536.9929999999999</v>
      </c>
      <c r="AC32" s="46">
        <v>7179.3549999999996</v>
      </c>
      <c r="AD32" s="46">
        <v>13824.487999999999</v>
      </c>
      <c r="AF32" s="46">
        <v>32107.614999999998</v>
      </c>
    </row>
    <row r="33" spans="2:32">
      <c r="B33" s="304" t="s">
        <v>225</v>
      </c>
      <c r="C33" s="304"/>
      <c r="D33" s="304"/>
      <c r="E33" s="304"/>
      <c r="F33" s="304"/>
      <c r="G33" s="304"/>
      <c r="H33" s="304"/>
      <c r="I33" s="304">
        <v>2136.3809999999999</v>
      </c>
      <c r="J33" s="304"/>
      <c r="K33" s="304"/>
      <c r="L33" s="304">
        <v>3801.61</v>
      </c>
      <c r="M33" s="304">
        <v>2962.6819999999998</v>
      </c>
      <c r="N33" s="304">
        <v>1455.492</v>
      </c>
      <c r="O33" s="304">
        <v>10356.164999999999</v>
      </c>
      <c r="P33" s="105" t="s">
        <v>211</v>
      </c>
      <c r="Q33" s="105" t="s">
        <v>744</v>
      </c>
      <c r="S33" s="46" t="s">
        <v>85</v>
      </c>
      <c r="X33" s="46">
        <v>965.31700000000001</v>
      </c>
      <c r="AB33" s="46">
        <v>19773.205999999998</v>
      </c>
      <c r="AD33" s="46">
        <v>32783.962</v>
      </c>
      <c r="AF33" s="46">
        <v>53522.485000000001</v>
      </c>
    </row>
    <row r="34" spans="2:32">
      <c r="B34" s="304" t="s">
        <v>60</v>
      </c>
      <c r="C34" s="304">
        <v>15.475</v>
      </c>
      <c r="D34" s="304">
        <v>250.339</v>
      </c>
      <c r="E34" s="304">
        <v>37.408999999999999</v>
      </c>
      <c r="F34" s="304"/>
      <c r="G34" s="304"/>
      <c r="H34" s="304"/>
      <c r="I34" s="304"/>
      <c r="J34" s="304"/>
      <c r="K34" s="304">
        <v>49.875</v>
      </c>
      <c r="L34" s="304"/>
      <c r="M34" s="304"/>
      <c r="N34" s="304"/>
      <c r="O34" s="304">
        <v>353.09800000000001</v>
      </c>
      <c r="P34" s="105" t="s">
        <v>211</v>
      </c>
      <c r="Q34" s="105" t="s">
        <v>744</v>
      </c>
      <c r="S34" s="46" t="s">
        <v>37</v>
      </c>
      <c r="AB34" s="46">
        <v>0.51100000000000001</v>
      </c>
      <c r="AF34" s="46">
        <v>0.51100000000000001</v>
      </c>
    </row>
    <row r="35" spans="2:32">
      <c r="B35" s="304" t="s">
        <v>763</v>
      </c>
      <c r="C35" s="304">
        <v>2460.636</v>
      </c>
      <c r="D35" s="304">
        <v>2973.36</v>
      </c>
      <c r="E35" s="304">
        <v>112.444</v>
      </c>
      <c r="F35" s="304">
        <v>56.023000000000003</v>
      </c>
      <c r="G35" s="304"/>
      <c r="H35" s="304">
        <v>185.803</v>
      </c>
      <c r="I35" s="304"/>
      <c r="J35" s="304">
        <v>449.84199999999998</v>
      </c>
      <c r="K35" s="304">
        <v>414.39</v>
      </c>
      <c r="L35" s="304"/>
      <c r="M35" s="304">
        <v>438.93</v>
      </c>
      <c r="N35" s="304"/>
      <c r="O35" s="304">
        <v>7091.4280000000008</v>
      </c>
      <c r="P35" s="105" t="s">
        <v>211</v>
      </c>
      <c r="Q35" s="105" t="s">
        <v>744</v>
      </c>
      <c r="S35" s="46" t="s">
        <v>755</v>
      </c>
      <c r="T35" s="46">
        <v>938.38</v>
      </c>
      <c r="U35" s="46">
        <v>1.722</v>
      </c>
      <c r="V35" s="46">
        <v>745.14099999999996</v>
      </c>
      <c r="W35" s="46">
        <v>7025.5929999999998</v>
      </c>
      <c r="AC35" s="46">
        <v>300.947</v>
      </c>
      <c r="AD35" s="46">
        <v>752.428</v>
      </c>
      <c r="AE35" s="46">
        <v>5018.4170000000004</v>
      </c>
      <c r="AF35" s="46">
        <v>14782.628000000001</v>
      </c>
    </row>
    <row r="36" spans="2:32">
      <c r="B36" s="304" t="s">
        <v>683</v>
      </c>
      <c r="C36" s="304"/>
      <c r="D36" s="304">
        <v>468.70699999999999</v>
      </c>
      <c r="E36" s="304"/>
      <c r="F36" s="304"/>
      <c r="G36" s="304"/>
      <c r="H36" s="304"/>
      <c r="I36" s="304"/>
      <c r="J36" s="304"/>
      <c r="K36" s="304"/>
      <c r="L36" s="304"/>
      <c r="M36" s="304"/>
      <c r="N36" s="304"/>
      <c r="O36" s="304">
        <v>468.70699999999999</v>
      </c>
      <c r="P36" s="105" t="s">
        <v>210</v>
      </c>
      <c r="Q36" s="105" t="s">
        <v>744</v>
      </c>
      <c r="S36" s="46" t="s">
        <v>79</v>
      </c>
      <c r="Y36" s="46">
        <v>12066.287</v>
      </c>
      <c r="AF36" s="46">
        <v>12066.287</v>
      </c>
    </row>
    <row r="37" spans="2:32">
      <c r="B37" s="304" t="s">
        <v>83</v>
      </c>
      <c r="C37" s="304"/>
      <c r="D37" s="304"/>
      <c r="E37" s="304"/>
      <c r="F37" s="304"/>
      <c r="G37" s="304">
        <v>171.94499999999999</v>
      </c>
      <c r="H37" s="304"/>
      <c r="I37" s="304"/>
      <c r="J37" s="304"/>
      <c r="K37" s="304"/>
      <c r="L37" s="304"/>
      <c r="M37" s="304"/>
      <c r="N37" s="304"/>
      <c r="O37" s="304">
        <v>171.94499999999999</v>
      </c>
      <c r="P37" s="105" t="s">
        <v>211</v>
      </c>
      <c r="Q37" s="105" t="s">
        <v>744</v>
      </c>
      <c r="S37" s="46" t="s">
        <v>38</v>
      </c>
      <c r="W37" s="46">
        <v>1586.9469999999999</v>
      </c>
      <c r="X37" s="46">
        <v>31.939</v>
      </c>
      <c r="Y37" s="46">
        <v>1996.13</v>
      </c>
      <c r="AF37" s="46">
        <v>3615.0160000000001</v>
      </c>
    </row>
    <row r="38" spans="2:32">
      <c r="B38" s="304" t="s">
        <v>84</v>
      </c>
      <c r="C38" s="304"/>
      <c r="D38" s="304"/>
      <c r="E38" s="304"/>
      <c r="F38" s="304"/>
      <c r="G38" s="304"/>
      <c r="H38" s="304">
        <v>7566.7790000000005</v>
      </c>
      <c r="I38" s="304">
        <v>3536.9929999999999</v>
      </c>
      <c r="J38" s="304"/>
      <c r="K38" s="304"/>
      <c r="L38" s="304">
        <v>7179.3549999999996</v>
      </c>
      <c r="M38" s="304">
        <v>13824.487999999999</v>
      </c>
      <c r="N38" s="304"/>
      <c r="O38" s="304">
        <v>32107.614999999998</v>
      </c>
      <c r="P38" s="105" t="s">
        <v>211</v>
      </c>
      <c r="Q38" s="105" t="s">
        <v>744</v>
      </c>
      <c r="S38" s="46" t="s">
        <v>39</v>
      </c>
      <c r="T38" s="46">
        <v>136.88300000000001</v>
      </c>
      <c r="U38" s="46">
        <v>13828.721</v>
      </c>
      <c r="V38" s="46">
        <v>21525.151999999998</v>
      </c>
      <c r="Y38" s="46">
        <v>3685.3040000000001</v>
      </c>
      <c r="Z38" s="46">
        <v>8092.56</v>
      </c>
      <c r="AA38" s="46">
        <v>12.643000000000001</v>
      </c>
      <c r="AB38" s="46">
        <v>50206.555999999997</v>
      </c>
      <c r="AC38" s="46">
        <v>55974.718000000001</v>
      </c>
      <c r="AE38" s="46">
        <v>95616.657999999996</v>
      </c>
      <c r="AF38" s="46">
        <v>249079.19499999998</v>
      </c>
    </row>
    <row r="39" spans="2:32">
      <c r="B39" s="304" t="s">
        <v>85</v>
      </c>
      <c r="C39" s="304"/>
      <c r="D39" s="304"/>
      <c r="E39" s="304"/>
      <c r="F39" s="304"/>
      <c r="G39" s="304">
        <v>965.31700000000001</v>
      </c>
      <c r="H39" s="304"/>
      <c r="I39" s="304"/>
      <c r="J39" s="304"/>
      <c r="K39" s="304">
        <v>19773.205999999998</v>
      </c>
      <c r="L39" s="304"/>
      <c r="M39" s="304">
        <v>32783.962</v>
      </c>
      <c r="N39" s="304"/>
      <c r="O39" s="304">
        <v>53522.485000000001</v>
      </c>
      <c r="P39" s="105" t="s">
        <v>211</v>
      </c>
      <c r="Q39" s="105" t="s">
        <v>744</v>
      </c>
      <c r="S39" s="46" t="s">
        <v>51</v>
      </c>
      <c r="T39" s="46">
        <v>949.28599999999994</v>
      </c>
      <c r="U39" s="46">
        <v>5313.3890000000001</v>
      </c>
      <c r="V39" s="46">
        <v>33205.038999999997</v>
      </c>
      <c r="X39" s="46">
        <v>5916.7690000000002</v>
      </c>
      <c r="Y39" s="46">
        <v>18828.174999999999</v>
      </c>
      <c r="Z39" s="46">
        <v>4168.2849999999999</v>
      </c>
      <c r="AA39" s="46">
        <v>23227.279999999999</v>
      </c>
      <c r="AB39" s="46">
        <v>11593.393</v>
      </c>
      <c r="AC39" s="46">
        <v>1386.1579999999999</v>
      </c>
      <c r="AD39" s="46">
        <v>13605.714</v>
      </c>
      <c r="AE39" s="46">
        <v>522.33100000000002</v>
      </c>
      <c r="AF39" s="46">
        <v>118715.81899999999</v>
      </c>
    </row>
    <row r="40" spans="2:32">
      <c r="B40" s="304" t="s">
        <v>37</v>
      </c>
      <c r="C40" s="304"/>
      <c r="D40" s="304"/>
      <c r="E40" s="304"/>
      <c r="F40" s="304"/>
      <c r="G40" s="304"/>
      <c r="H40" s="304"/>
      <c r="I40" s="304"/>
      <c r="J40" s="304"/>
      <c r="K40" s="304">
        <v>0.51100000000000001</v>
      </c>
      <c r="L40" s="304"/>
      <c r="M40" s="304"/>
      <c r="N40" s="304"/>
      <c r="O40" s="304">
        <v>0.51100000000000001</v>
      </c>
      <c r="P40" s="105" t="s">
        <v>211</v>
      </c>
      <c r="Q40" s="105" t="s">
        <v>744</v>
      </c>
      <c r="S40" s="46" t="s">
        <v>94</v>
      </c>
      <c r="T40" s="46">
        <v>393.92700000000002</v>
      </c>
      <c r="U40" s="46">
        <v>1002.047</v>
      </c>
      <c r="V40" s="46">
        <v>885.16499999999996</v>
      </c>
      <c r="W40" s="46">
        <v>1343.309</v>
      </c>
      <c r="X40" s="46">
        <v>407.70800000000003</v>
      </c>
      <c r="Y40" s="46">
        <v>1269.0160000000001</v>
      </c>
      <c r="Z40" s="46">
        <v>1355.347</v>
      </c>
      <c r="AA40" s="46">
        <v>119.10299999999999</v>
      </c>
      <c r="AC40" s="46">
        <v>1118.1369999999999</v>
      </c>
      <c r="AD40" s="46">
        <v>430.363</v>
      </c>
      <c r="AE40" s="46">
        <v>758.61900000000003</v>
      </c>
      <c r="AF40" s="46">
        <v>9082.741</v>
      </c>
    </row>
    <row r="41" spans="2:32">
      <c r="B41" s="304" t="s">
        <v>755</v>
      </c>
      <c r="C41" s="304">
        <v>938.38</v>
      </c>
      <c r="D41" s="304">
        <v>1.722</v>
      </c>
      <c r="E41" s="304">
        <v>745.14099999999996</v>
      </c>
      <c r="F41" s="304">
        <v>7025.5929999999998</v>
      </c>
      <c r="G41" s="304"/>
      <c r="H41" s="304"/>
      <c r="I41" s="304"/>
      <c r="J41" s="304"/>
      <c r="K41" s="304"/>
      <c r="L41" s="304">
        <v>300.947</v>
      </c>
      <c r="M41" s="304">
        <v>752.428</v>
      </c>
      <c r="N41" s="304">
        <v>5018.4170000000004</v>
      </c>
      <c r="O41" s="304">
        <v>14782.628000000001</v>
      </c>
      <c r="P41" s="105" t="s">
        <v>211</v>
      </c>
      <c r="Q41" s="105" t="s">
        <v>744</v>
      </c>
      <c r="S41" s="46" t="s">
        <v>41</v>
      </c>
      <c r="U41" s="46">
        <v>0.51100000000000001</v>
      </c>
      <c r="AF41" s="46">
        <v>0.51100000000000001</v>
      </c>
    </row>
    <row r="42" spans="2:32">
      <c r="B42" s="304" t="s">
        <v>79</v>
      </c>
      <c r="C42" s="304"/>
      <c r="D42" s="304"/>
      <c r="E42" s="304"/>
      <c r="F42" s="304"/>
      <c r="G42" s="304"/>
      <c r="H42" s="304">
        <v>12066.287</v>
      </c>
      <c r="I42" s="304"/>
      <c r="J42" s="304"/>
      <c r="K42" s="304"/>
      <c r="L42" s="304"/>
      <c r="M42" s="304"/>
      <c r="N42" s="304"/>
      <c r="O42" s="304">
        <v>12066.287</v>
      </c>
      <c r="P42" s="105" t="s">
        <v>211</v>
      </c>
      <c r="Q42" s="105" t="s">
        <v>744</v>
      </c>
      <c r="S42" s="46" t="s">
        <v>55</v>
      </c>
      <c r="T42" s="46">
        <v>8400.0319999999992</v>
      </c>
      <c r="AF42" s="46">
        <v>8400.0319999999992</v>
      </c>
    </row>
    <row r="43" spans="2:32">
      <c r="B43" s="304" t="s">
        <v>38</v>
      </c>
      <c r="C43" s="304"/>
      <c r="D43" s="304"/>
      <c r="E43" s="304"/>
      <c r="F43" s="304">
        <v>1586.9469999999999</v>
      </c>
      <c r="G43" s="304">
        <v>31.939</v>
      </c>
      <c r="H43" s="304">
        <v>1996.13</v>
      </c>
      <c r="I43" s="304"/>
      <c r="J43" s="304"/>
      <c r="K43" s="304"/>
      <c r="L43" s="304"/>
      <c r="M43" s="304"/>
      <c r="N43" s="304"/>
      <c r="O43" s="304">
        <v>3615.0160000000001</v>
      </c>
      <c r="P43" s="105" t="s">
        <v>210</v>
      </c>
      <c r="Q43" s="105" t="s">
        <v>744</v>
      </c>
      <c r="S43" s="46" t="s">
        <v>63</v>
      </c>
      <c r="T43" s="46">
        <v>1987.307</v>
      </c>
      <c r="U43" s="46">
        <v>3965.777</v>
      </c>
      <c r="V43" s="46">
        <v>1966.25</v>
      </c>
      <c r="W43" s="46">
        <v>2938.6120000000001</v>
      </c>
      <c r="X43" s="46">
        <v>13421.794</v>
      </c>
      <c r="Y43" s="46">
        <v>4672.7240000000002</v>
      </c>
      <c r="Z43" s="46">
        <v>5476.1949999999997</v>
      </c>
      <c r="AA43" s="46">
        <v>8418.1749999999993</v>
      </c>
      <c r="AB43" s="46">
        <v>5712.6329999999998</v>
      </c>
      <c r="AC43" s="46">
        <v>7126.09</v>
      </c>
      <c r="AD43" s="46">
        <v>7639.5190000000002</v>
      </c>
      <c r="AE43" s="46">
        <v>21148.117999999999</v>
      </c>
      <c r="AF43" s="46">
        <v>84473.194000000003</v>
      </c>
    </row>
    <row r="44" spans="2:32">
      <c r="B44" s="304" t="s">
        <v>39</v>
      </c>
      <c r="C44" s="304">
        <v>136.88300000000001</v>
      </c>
      <c r="D44" s="304">
        <v>13828.721</v>
      </c>
      <c r="E44" s="304">
        <v>21525.151999999998</v>
      </c>
      <c r="F44" s="304"/>
      <c r="G44" s="304"/>
      <c r="H44" s="304">
        <v>3685.3040000000001</v>
      </c>
      <c r="I44" s="304">
        <v>8092.56</v>
      </c>
      <c r="J44" s="304">
        <v>12.643000000000001</v>
      </c>
      <c r="K44" s="304">
        <v>50206.555999999997</v>
      </c>
      <c r="L44" s="304">
        <v>55974.718000000001</v>
      </c>
      <c r="M44" s="304"/>
      <c r="N44" s="304">
        <v>95616.657999999996</v>
      </c>
      <c r="O44" s="304">
        <v>249079.19499999998</v>
      </c>
      <c r="P44" s="105" t="s">
        <v>211</v>
      </c>
      <c r="Q44" s="105" t="s">
        <v>744</v>
      </c>
      <c r="S44" s="46" t="s">
        <v>25</v>
      </c>
      <c r="T44" s="46">
        <v>4819.5050000000001</v>
      </c>
      <c r="U44" s="46">
        <v>19848.419999999998</v>
      </c>
      <c r="V44" s="46">
        <v>1023.44</v>
      </c>
      <c r="W44" s="46">
        <v>6819.7049999999999</v>
      </c>
      <c r="Z44" s="46">
        <v>8613.6779999999999</v>
      </c>
      <c r="AA44" s="46">
        <v>34029.330999999998</v>
      </c>
      <c r="AB44" s="46">
        <v>11956.043</v>
      </c>
      <c r="AC44" s="46">
        <v>18312.403999999999</v>
      </c>
      <c r="AE44" s="46">
        <v>15941.405000000001</v>
      </c>
      <c r="AF44" s="46">
        <v>121363.931</v>
      </c>
    </row>
    <row r="45" spans="2:32">
      <c r="B45" s="304" t="s">
        <v>51</v>
      </c>
      <c r="C45" s="304">
        <v>949.28599999999994</v>
      </c>
      <c r="D45" s="304">
        <v>5313.3890000000001</v>
      </c>
      <c r="E45" s="304">
        <v>33205.038999999997</v>
      </c>
      <c r="F45" s="304"/>
      <c r="G45" s="304">
        <v>5916.7690000000002</v>
      </c>
      <c r="H45" s="304">
        <v>18828.174999999999</v>
      </c>
      <c r="I45" s="304">
        <v>4168.2849999999999</v>
      </c>
      <c r="J45" s="304">
        <v>23227.279999999999</v>
      </c>
      <c r="K45" s="304">
        <v>11593.393</v>
      </c>
      <c r="L45" s="304">
        <v>1386.1579999999999</v>
      </c>
      <c r="M45" s="304">
        <v>13605.714</v>
      </c>
      <c r="N45" s="304">
        <v>522.33100000000002</v>
      </c>
      <c r="O45" s="304">
        <v>118715.81899999999</v>
      </c>
      <c r="P45" s="105" t="s">
        <v>211</v>
      </c>
      <c r="Q45" s="105" t="s">
        <v>744</v>
      </c>
      <c r="S45" s="46" t="s">
        <v>64</v>
      </c>
      <c r="X45" s="46">
        <v>120.884</v>
      </c>
      <c r="Y45" s="46">
        <v>17.407</v>
      </c>
      <c r="AF45" s="46">
        <v>138.291</v>
      </c>
    </row>
    <row r="46" spans="2:32">
      <c r="B46" s="304" t="s">
        <v>94</v>
      </c>
      <c r="C46" s="304">
        <v>393.92700000000002</v>
      </c>
      <c r="D46" s="304">
        <v>1002.047</v>
      </c>
      <c r="E46" s="304">
        <v>885.16499999999996</v>
      </c>
      <c r="F46" s="304">
        <v>1343.309</v>
      </c>
      <c r="G46" s="304">
        <v>407.70800000000003</v>
      </c>
      <c r="H46" s="304">
        <v>1269.0160000000001</v>
      </c>
      <c r="I46" s="304">
        <v>1355.347</v>
      </c>
      <c r="J46" s="304">
        <v>119.10299999999999</v>
      </c>
      <c r="K46" s="304"/>
      <c r="L46" s="304">
        <v>1118.1369999999999</v>
      </c>
      <c r="M46" s="304">
        <v>430.363</v>
      </c>
      <c r="N46" s="304">
        <v>758.61900000000003</v>
      </c>
      <c r="O46" s="304">
        <v>9082.741</v>
      </c>
      <c r="P46" s="105" t="s">
        <v>211</v>
      </c>
      <c r="Q46" s="105" t="s">
        <v>744</v>
      </c>
      <c r="S46" s="46" t="s">
        <v>713</v>
      </c>
      <c r="T46" s="46">
        <v>4946.63</v>
      </c>
      <c r="U46" s="46">
        <v>2.5289999999999999</v>
      </c>
      <c r="W46" s="46">
        <v>2.8029999999999999</v>
      </c>
      <c r="AA46" s="46">
        <v>4.4470000000000001</v>
      </c>
      <c r="AB46" s="46">
        <v>931.71400000000006</v>
      </c>
      <c r="AC46" s="46">
        <v>1.722</v>
      </c>
      <c r="AE46" s="46">
        <v>1.597</v>
      </c>
      <c r="AF46" s="46">
        <v>5891.442</v>
      </c>
    </row>
    <row r="47" spans="2:32">
      <c r="B47" s="304" t="s">
        <v>41</v>
      </c>
      <c r="C47" s="304"/>
      <c r="D47" s="304">
        <v>0.51100000000000001</v>
      </c>
      <c r="E47" s="304"/>
      <c r="F47" s="304"/>
      <c r="G47" s="304"/>
      <c r="H47" s="304"/>
      <c r="I47" s="304"/>
      <c r="J47" s="304"/>
      <c r="K47" s="304"/>
      <c r="L47" s="304"/>
      <c r="M47" s="304"/>
      <c r="N47" s="304"/>
      <c r="O47" s="304">
        <v>0.51100000000000001</v>
      </c>
      <c r="P47" s="105" t="s">
        <v>211</v>
      </c>
      <c r="Q47" s="105" t="s">
        <v>744</v>
      </c>
      <c r="S47" s="46" t="s">
        <v>59</v>
      </c>
      <c r="T47" s="46">
        <v>1679.5</v>
      </c>
      <c r="U47" s="46">
        <v>4867.3789999999999</v>
      </c>
      <c r="V47" s="46">
        <v>2375.2379999999998</v>
      </c>
      <c r="W47" s="46">
        <v>2311.2950000000001</v>
      </c>
      <c r="X47" s="46">
        <v>402.767</v>
      </c>
      <c r="Y47" s="46">
        <v>183.672</v>
      </c>
      <c r="Z47" s="46">
        <v>552.15499999999997</v>
      </c>
      <c r="AA47" s="46">
        <v>25225.617999999999</v>
      </c>
      <c r="AB47" s="46">
        <v>268.63099999999997</v>
      </c>
      <c r="AC47" s="46">
        <v>11073.13</v>
      </c>
      <c r="AD47" s="46">
        <v>27276.464</v>
      </c>
      <c r="AE47" s="46">
        <v>29.533000000000001</v>
      </c>
      <c r="AF47" s="46">
        <v>76245.381999999983</v>
      </c>
    </row>
    <row r="48" spans="2:32">
      <c r="B48" s="304" t="s">
        <v>55</v>
      </c>
      <c r="C48" s="304">
        <v>8400.0319999999992</v>
      </c>
      <c r="D48" s="304"/>
      <c r="E48" s="304"/>
      <c r="F48" s="304"/>
      <c r="G48" s="304"/>
      <c r="H48" s="304"/>
      <c r="I48" s="304"/>
      <c r="J48" s="304"/>
      <c r="K48" s="304"/>
      <c r="L48" s="304"/>
      <c r="M48" s="304"/>
      <c r="N48" s="304"/>
      <c r="O48" s="304">
        <v>8400.0319999999992</v>
      </c>
      <c r="P48" s="105" t="s">
        <v>211</v>
      </c>
      <c r="Q48" s="105" t="s">
        <v>744</v>
      </c>
      <c r="S48" s="46" t="s">
        <v>23</v>
      </c>
      <c r="T48" s="46">
        <v>118950.219</v>
      </c>
      <c r="U48" s="46">
        <v>282208.24099999998</v>
      </c>
      <c r="V48" s="46">
        <v>113833.806</v>
      </c>
      <c r="W48" s="46">
        <v>88869.035000000003</v>
      </c>
      <c r="X48" s="46">
        <v>68226.53</v>
      </c>
      <c r="Y48" s="46">
        <v>110444.202</v>
      </c>
      <c r="Z48" s="46">
        <v>105343.128</v>
      </c>
      <c r="AA48" s="46">
        <v>155989.04500000001</v>
      </c>
      <c r="AB48" s="46">
        <v>161222.52600000001</v>
      </c>
      <c r="AC48" s="46">
        <v>221445.03</v>
      </c>
      <c r="AD48" s="46">
        <v>198104.18</v>
      </c>
      <c r="AE48" s="46">
        <v>192678.23800000001</v>
      </c>
      <c r="AF48" s="46">
        <v>1817314.1800000002</v>
      </c>
    </row>
    <row r="49" spans="1:32">
      <c r="B49" s="304" t="s">
        <v>63</v>
      </c>
      <c r="C49" s="304">
        <v>1987.307</v>
      </c>
      <c r="D49" s="304">
        <v>3965.777</v>
      </c>
      <c r="E49" s="304">
        <v>1966.25</v>
      </c>
      <c r="F49" s="304">
        <v>2938.6120000000001</v>
      </c>
      <c r="G49" s="304">
        <v>13421.794</v>
      </c>
      <c r="H49" s="304">
        <v>4672.7240000000002</v>
      </c>
      <c r="I49" s="304">
        <v>5476.1949999999997</v>
      </c>
      <c r="J49" s="304">
        <v>8418.1749999999993</v>
      </c>
      <c r="K49" s="304">
        <v>5712.6329999999998</v>
      </c>
      <c r="L49" s="304">
        <v>7126.09</v>
      </c>
      <c r="M49" s="304">
        <v>7639.5190000000002</v>
      </c>
      <c r="N49" s="304">
        <v>21148.117999999999</v>
      </c>
      <c r="O49" s="304">
        <v>84473.194000000003</v>
      </c>
      <c r="P49" s="105" t="s">
        <v>211</v>
      </c>
      <c r="Q49" s="105" t="s">
        <v>744</v>
      </c>
      <c r="S49" s="46" t="s">
        <v>732</v>
      </c>
      <c r="T49" s="46">
        <v>237900.43900000001</v>
      </c>
      <c r="U49" s="46">
        <v>564416.48300000001</v>
      </c>
      <c r="V49" s="46">
        <v>227667.61200000002</v>
      </c>
      <c r="W49" s="46">
        <v>177738.06799999997</v>
      </c>
      <c r="X49" s="46">
        <v>136453.06200000001</v>
      </c>
      <c r="Y49" s="46">
        <v>220888.40400000004</v>
      </c>
      <c r="Z49" s="46">
        <v>210686.25699999998</v>
      </c>
      <c r="AA49" s="46">
        <v>311978.08900000004</v>
      </c>
      <c r="AB49" s="46">
        <v>322445.054</v>
      </c>
      <c r="AC49" s="46">
        <v>442890.05900000001</v>
      </c>
      <c r="AD49" s="46">
        <v>396208.36</v>
      </c>
      <c r="AE49" s="46">
        <v>385356.47499999998</v>
      </c>
      <c r="AF49" s="46">
        <v>3634628.3619999997</v>
      </c>
    </row>
    <row r="50" spans="1:32">
      <c r="B50" s="304" t="s">
        <v>25</v>
      </c>
      <c r="C50" s="304">
        <v>4819.5050000000001</v>
      </c>
      <c r="D50" s="304">
        <v>19848.419999999998</v>
      </c>
      <c r="E50" s="304">
        <v>1023.44</v>
      </c>
      <c r="F50" s="304">
        <v>6819.7049999999999</v>
      </c>
      <c r="G50" s="304"/>
      <c r="H50" s="304"/>
      <c r="I50" s="304">
        <v>8613.6779999999999</v>
      </c>
      <c r="J50" s="304">
        <v>34029.330999999998</v>
      </c>
      <c r="K50" s="304">
        <v>11956.043</v>
      </c>
      <c r="L50" s="304">
        <v>18312.403999999999</v>
      </c>
      <c r="M50" s="304"/>
      <c r="N50" s="304">
        <v>15941.405000000001</v>
      </c>
      <c r="O50" s="304">
        <v>121363.931</v>
      </c>
      <c r="P50" s="105" t="s">
        <v>211</v>
      </c>
      <c r="Q50" s="105" t="s">
        <v>744</v>
      </c>
    </row>
    <row r="51" spans="1:32">
      <c r="B51" s="304" t="s">
        <v>64</v>
      </c>
      <c r="C51" s="304"/>
      <c r="D51" s="304"/>
      <c r="E51" s="304"/>
      <c r="F51" s="304"/>
      <c r="G51" s="304">
        <v>120.884</v>
      </c>
      <c r="H51" s="304">
        <v>17.407</v>
      </c>
      <c r="I51" s="304"/>
      <c r="J51" s="304"/>
      <c r="K51" s="304"/>
      <c r="L51" s="304"/>
      <c r="M51" s="304"/>
      <c r="N51" s="304"/>
      <c r="O51" s="304">
        <v>138.291</v>
      </c>
      <c r="P51" s="105" t="s">
        <v>211</v>
      </c>
      <c r="Q51" s="105" t="s">
        <v>744</v>
      </c>
    </row>
    <row r="52" spans="1:32">
      <c r="B52" s="304" t="s">
        <v>713</v>
      </c>
      <c r="C52" s="304">
        <v>4946.63</v>
      </c>
      <c r="D52" s="304">
        <v>2.5289999999999999</v>
      </c>
      <c r="E52" s="304"/>
      <c r="F52" s="304">
        <v>2.8029999999999999</v>
      </c>
      <c r="G52" s="304"/>
      <c r="H52" s="304"/>
      <c r="I52" s="304"/>
      <c r="J52" s="304">
        <v>4.4470000000000001</v>
      </c>
      <c r="K52" s="304">
        <v>931.71400000000006</v>
      </c>
      <c r="L52" s="304">
        <v>1.722</v>
      </c>
      <c r="M52" s="304"/>
      <c r="N52" s="304">
        <v>1.597</v>
      </c>
      <c r="O52" s="304">
        <v>5891.442</v>
      </c>
      <c r="P52" s="105" t="s">
        <v>211</v>
      </c>
      <c r="Q52" s="105" t="s">
        <v>744</v>
      </c>
      <c r="S52" s="100" t="s">
        <v>734</v>
      </c>
      <c r="T52" s="100" t="s">
        <v>621</v>
      </c>
      <c r="U52" s="100" t="s">
        <v>622</v>
      </c>
    </row>
    <row r="53" spans="1:32">
      <c r="B53" s="304" t="s">
        <v>59</v>
      </c>
      <c r="C53" s="304">
        <v>1679.5</v>
      </c>
      <c r="D53" s="304">
        <v>4867.3789999999999</v>
      </c>
      <c r="E53" s="304">
        <v>2375.2379999999998</v>
      </c>
      <c r="F53" s="304">
        <v>2311.2950000000001</v>
      </c>
      <c r="G53" s="304">
        <v>402.767</v>
      </c>
      <c r="H53" s="304">
        <v>183.672</v>
      </c>
      <c r="I53" s="304">
        <v>552.15499999999997</v>
      </c>
      <c r="J53" s="304">
        <v>25225.617999999999</v>
      </c>
      <c r="K53" s="304">
        <v>268.63099999999997</v>
      </c>
      <c r="L53" s="304">
        <v>11073.13</v>
      </c>
      <c r="M53" s="304">
        <v>27276.464</v>
      </c>
      <c r="N53" s="304">
        <v>29.533000000000001</v>
      </c>
      <c r="O53" s="304">
        <v>76245.381999999983</v>
      </c>
      <c r="P53" s="105" t="s">
        <v>210</v>
      </c>
      <c r="Q53" s="105" t="s">
        <v>744</v>
      </c>
      <c r="T53" s="46">
        <v>2023</v>
      </c>
      <c r="Z53" s="46">
        <v>2024</v>
      </c>
      <c r="AF53" s="46" t="s">
        <v>732</v>
      </c>
    </row>
    <row r="54" spans="1:32">
      <c r="B54" s="304" t="s">
        <v>23</v>
      </c>
      <c r="C54" s="304">
        <v>118950.219</v>
      </c>
      <c r="D54" s="304">
        <v>282208.24099999998</v>
      </c>
      <c r="E54" s="304">
        <v>113833.806</v>
      </c>
      <c r="F54" s="304">
        <v>88869.035000000003</v>
      </c>
      <c r="G54" s="304">
        <v>68226.53</v>
      </c>
      <c r="H54" s="304">
        <v>110444.202</v>
      </c>
      <c r="I54" s="304">
        <v>105343.128</v>
      </c>
      <c r="J54" s="304">
        <v>155989.04500000001</v>
      </c>
      <c r="K54" s="304">
        <v>161222.52600000001</v>
      </c>
      <c r="L54" s="304">
        <v>221445.03</v>
      </c>
      <c r="M54" s="304">
        <v>198104.18</v>
      </c>
      <c r="N54" s="304">
        <v>192678.23800000001</v>
      </c>
      <c r="O54" s="304">
        <v>1817314.1800000002</v>
      </c>
      <c r="P54" s="105" t="s">
        <v>210</v>
      </c>
      <c r="Q54" s="105" t="s">
        <v>744</v>
      </c>
      <c r="S54" s="100" t="s">
        <v>631</v>
      </c>
      <c r="T54" s="46">
        <v>7</v>
      </c>
      <c r="U54" s="46">
        <v>8</v>
      </c>
      <c r="V54" s="46">
        <v>9</v>
      </c>
      <c r="W54" s="46">
        <v>10</v>
      </c>
      <c r="X54" s="46">
        <v>11</v>
      </c>
      <c r="Y54" s="46">
        <v>12</v>
      </c>
      <c r="Z54" s="46">
        <v>1</v>
      </c>
      <c r="AA54" s="46">
        <v>2</v>
      </c>
      <c r="AB54" s="46">
        <v>3</v>
      </c>
      <c r="AC54" s="46">
        <v>4</v>
      </c>
      <c r="AD54" s="46">
        <v>5</v>
      </c>
      <c r="AE54" s="46">
        <v>6</v>
      </c>
    </row>
    <row r="55" spans="1:32">
      <c r="B55" s="305" t="s">
        <v>732</v>
      </c>
      <c r="C55" s="305">
        <v>237900.43900000001</v>
      </c>
      <c r="D55" s="305">
        <v>564416.48300000001</v>
      </c>
      <c r="E55" s="305">
        <v>227667.61200000002</v>
      </c>
      <c r="F55" s="305">
        <v>177738.06799999997</v>
      </c>
      <c r="G55" s="305">
        <v>136453.06200000001</v>
      </c>
      <c r="H55" s="305">
        <v>220888.40400000004</v>
      </c>
      <c r="I55" s="305">
        <v>210686.25699999998</v>
      </c>
      <c r="J55" s="305">
        <v>311978.08900000004</v>
      </c>
      <c r="K55" s="305">
        <v>322445.054</v>
      </c>
      <c r="L55" s="305">
        <v>442890.05900000001</v>
      </c>
      <c r="M55" s="305">
        <v>396208.36</v>
      </c>
      <c r="N55" s="305">
        <v>385356.47499999998</v>
      </c>
      <c r="O55" s="305">
        <v>3634628.3619999997</v>
      </c>
      <c r="P55" s="105"/>
      <c r="Q55" s="105"/>
      <c r="S55" s="46" t="s">
        <v>1031</v>
      </c>
      <c r="T55" s="101"/>
      <c r="U55" s="101">
        <v>11.991</v>
      </c>
      <c r="V55" s="101"/>
      <c r="W55" s="101"/>
      <c r="X55" s="101"/>
      <c r="Y55" s="101"/>
      <c r="Z55" s="101">
        <v>203.25200000000001</v>
      </c>
      <c r="AA55" s="101"/>
      <c r="AB55" s="101"/>
      <c r="AC55" s="101"/>
      <c r="AD55" s="101"/>
      <c r="AE55" s="101"/>
      <c r="AF55" s="101">
        <v>215.24299999999999</v>
      </c>
    </row>
    <row r="56" spans="1:32">
      <c r="B56" s="307"/>
      <c r="C56" s="307"/>
      <c r="D56" s="307"/>
      <c r="E56" s="307"/>
      <c r="F56" s="307"/>
      <c r="G56" s="307"/>
      <c r="H56" s="307"/>
      <c r="I56" s="307"/>
      <c r="J56" s="307"/>
      <c r="K56" s="307"/>
      <c r="L56" s="307"/>
      <c r="M56" s="307"/>
      <c r="N56" s="307"/>
      <c r="O56" s="307"/>
      <c r="S56" s="46" t="s">
        <v>43</v>
      </c>
      <c r="T56" s="101"/>
      <c r="U56" s="101">
        <v>19878.096000000001</v>
      </c>
      <c r="V56" s="101"/>
      <c r="W56" s="101"/>
      <c r="X56" s="101">
        <v>17323.879000000001</v>
      </c>
      <c r="Y56" s="101"/>
      <c r="Z56" s="101"/>
      <c r="AA56" s="101">
        <v>15922.717000000001</v>
      </c>
      <c r="AB56" s="101"/>
      <c r="AC56" s="101"/>
      <c r="AD56" s="101">
        <v>24815.412</v>
      </c>
      <c r="AE56" s="101">
        <v>71564.445000000007</v>
      </c>
      <c r="AF56" s="101">
        <v>149504.549</v>
      </c>
    </row>
    <row r="57" spans="1:32">
      <c r="B57" s="307"/>
      <c r="C57" s="307"/>
      <c r="D57" s="307"/>
      <c r="E57" s="307"/>
      <c r="F57" s="307"/>
      <c r="G57" s="307"/>
      <c r="H57" s="307"/>
      <c r="I57" s="307"/>
      <c r="J57" s="307"/>
      <c r="K57" s="307"/>
      <c r="L57" s="307"/>
      <c r="M57" s="307"/>
      <c r="N57" s="307"/>
      <c r="O57" s="307"/>
      <c r="S57" s="46" t="s">
        <v>74</v>
      </c>
      <c r="T57" s="101"/>
      <c r="U57" s="101"/>
      <c r="V57" s="101">
        <v>42.56</v>
      </c>
      <c r="W57" s="101"/>
      <c r="X57" s="101"/>
      <c r="Y57" s="101">
        <v>501</v>
      </c>
      <c r="Z57" s="101"/>
      <c r="AA57" s="101"/>
      <c r="AB57" s="101"/>
      <c r="AC57" s="101">
        <v>22.344000000000001</v>
      </c>
      <c r="AD57" s="101"/>
      <c r="AE57" s="101"/>
      <c r="AF57" s="101">
        <v>565.904</v>
      </c>
    </row>
    <row r="58" spans="1:32">
      <c r="A58" s="99" t="s">
        <v>741</v>
      </c>
      <c r="B58" s="99" t="s">
        <v>46</v>
      </c>
      <c r="S58" s="46" t="s">
        <v>81</v>
      </c>
      <c r="T58" s="101"/>
      <c r="U58" s="101"/>
      <c r="V58" s="101"/>
      <c r="W58" s="101"/>
      <c r="X58" s="101"/>
      <c r="Y58" s="101"/>
      <c r="Z58" s="101"/>
      <c r="AA58" s="101"/>
      <c r="AB58" s="101"/>
      <c r="AC58" s="101">
        <v>649.57500000000005</v>
      </c>
      <c r="AD58" s="101"/>
      <c r="AE58" s="101"/>
      <c r="AF58" s="101">
        <v>649.57500000000005</v>
      </c>
    </row>
    <row r="59" spans="1:32">
      <c r="B59" s="29" t="s">
        <v>47</v>
      </c>
      <c r="S59" s="46" t="s">
        <v>101</v>
      </c>
      <c r="T59" s="101"/>
      <c r="U59" s="101"/>
      <c r="V59" s="101"/>
      <c r="W59" s="101"/>
      <c r="X59" s="101"/>
      <c r="Y59" s="101"/>
      <c r="Z59" s="101"/>
      <c r="AA59" s="101"/>
      <c r="AB59" s="101"/>
      <c r="AC59" s="101">
        <v>130853.273</v>
      </c>
      <c r="AD59" s="101"/>
      <c r="AE59" s="101"/>
      <c r="AF59" s="101">
        <v>130853.273</v>
      </c>
    </row>
    <row r="60" spans="1:32">
      <c r="S60" s="46" t="s">
        <v>29</v>
      </c>
      <c r="T60" s="101">
        <v>323592.39199999999</v>
      </c>
      <c r="U60" s="101">
        <v>94375.557000000001</v>
      </c>
      <c r="V60" s="101">
        <v>58212.686000000002</v>
      </c>
      <c r="W60" s="101">
        <v>173123.37299999999</v>
      </c>
      <c r="X60" s="101">
        <v>94224.21</v>
      </c>
      <c r="Y60" s="101">
        <v>81314.782000000007</v>
      </c>
      <c r="Z60" s="101">
        <v>142019.54199999999</v>
      </c>
      <c r="AA60" s="101">
        <v>121235.061</v>
      </c>
      <c r="AB60" s="101">
        <v>242488.98199999999</v>
      </c>
      <c r="AC60" s="101">
        <v>150032.32000000001</v>
      </c>
      <c r="AD60" s="101">
        <v>152778.04399999999</v>
      </c>
      <c r="AE60" s="101">
        <v>195774.753</v>
      </c>
      <c r="AF60" s="101">
        <v>1829171.7020000003</v>
      </c>
    </row>
    <row r="61" spans="1:32">
      <c r="B61" s="105"/>
      <c r="C61" s="324">
        <v>2023</v>
      </c>
      <c r="D61" s="324"/>
      <c r="E61" s="324"/>
      <c r="F61" s="324"/>
      <c r="G61" s="324"/>
      <c r="H61" s="324"/>
      <c r="I61" s="324">
        <v>2024</v>
      </c>
      <c r="J61" s="324"/>
      <c r="K61" s="324"/>
      <c r="L61" s="324"/>
      <c r="M61" s="324"/>
      <c r="N61" s="324"/>
      <c r="O61" s="112" t="s">
        <v>732</v>
      </c>
      <c r="P61" s="320" t="s">
        <v>209</v>
      </c>
      <c r="Q61" s="320" t="s">
        <v>155</v>
      </c>
      <c r="S61" s="46" t="s">
        <v>990</v>
      </c>
      <c r="T61" s="101">
        <v>11951.446</v>
      </c>
      <c r="U61" s="101">
        <v>15632.49</v>
      </c>
      <c r="V61" s="101">
        <v>14110.620999999999</v>
      </c>
      <c r="W61" s="101"/>
      <c r="X61" s="101">
        <v>21030.094000000001</v>
      </c>
      <c r="Y61" s="101">
        <v>32952.292000000001</v>
      </c>
      <c r="Z61" s="101">
        <v>614.80999999999995</v>
      </c>
      <c r="AA61" s="101"/>
      <c r="AB61" s="101">
        <v>1992.114</v>
      </c>
      <c r="AC61" s="101">
        <v>7786.76</v>
      </c>
      <c r="AD61" s="101">
        <v>1290.259</v>
      </c>
      <c r="AE61" s="101">
        <v>1725.5070000000001</v>
      </c>
      <c r="AF61" s="101">
        <v>109086.393</v>
      </c>
    </row>
    <row r="62" spans="1:32">
      <c r="B62" s="107" t="s">
        <v>631</v>
      </c>
      <c r="C62" s="113">
        <v>7</v>
      </c>
      <c r="D62" s="113">
        <v>8</v>
      </c>
      <c r="E62" s="113">
        <v>9</v>
      </c>
      <c r="F62" s="113">
        <v>10</v>
      </c>
      <c r="G62" s="113">
        <v>11</v>
      </c>
      <c r="H62" s="113">
        <v>12</v>
      </c>
      <c r="I62" s="113">
        <v>1</v>
      </c>
      <c r="J62" s="113">
        <v>2</v>
      </c>
      <c r="K62" s="113">
        <v>3</v>
      </c>
      <c r="L62" s="113">
        <v>4</v>
      </c>
      <c r="M62" s="113">
        <v>5</v>
      </c>
      <c r="N62" s="113">
        <v>6</v>
      </c>
      <c r="O62" s="113"/>
      <c r="P62" s="320"/>
      <c r="Q62" s="320"/>
      <c r="S62" s="46" t="s">
        <v>753</v>
      </c>
      <c r="T62" s="101"/>
      <c r="U62" s="101"/>
      <c r="V62" s="101"/>
      <c r="W62" s="101"/>
      <c r="X62" s="101"/>
      <c r="Y62" s="101"/>
      <c r="Z62" s="101"/>
      <c r="AA62" s="101"/>
      <c r="AB62" s="101"/>
      <c r="AC62" s="101"/>
      <c r="AD62" s="101"/>
      <c r="AE62" s="101">
        <v>39759.125</v>
      </c>
      <c r="AF62" s="101">
        <v>39759.125</v>
      </c>
    </row>
    <row r="63" spans="1:32">
      <c r="B63" s="304" t="s">
        <v>1031</v>
      </c>
      <c r="C63" s="304"/>
      <c r="D63" s="304">
        <v>11.991</v>
      </c>
      <c r="E63" s="304"/>
      <c r="F63" s="304"/>
      <c r="G63" s="304"/>
      <c r="H63" s="304"/>
      <c r="I63" s="304">
        <v>203.25200000000001</v>
      </c>
      <c r="J63" s="304"/>
      <c r="K63" s="304"/>
      <c r="L63" s="304"/>
      <c r="M63" s="304"/>
      <c r="N63" s="304"/>
      <c r="O63" s="304">
        <v>215.24299999999999</v>
      </c>
      <c r="P63" s="304" t="s">
        <v>210</v>
      </c>
      <c r="Q63" s="304" t="s">
        <v>743</v>
      </c>
      <c r="S63" s="46" t="s">
        <v>72</v>
      </c>
      <c r="T63" s="101"/>
      <c r="U63" s="101"/>
      <c r="V63" s="101"/>
      <c r="W63" s="101"/>
      <c r="X63" s="101">
        <v>41.968000000000004</v>
      </c>
      <c r="Y63" s="101"/>
      <c r="Z63" s="101"/>
      <c r="AA63" s="101"/>
      <c r="AB63" s="101">
        <v>341.827</v>
      </c>
      <c r="AC63" s="101"/>
      <c r="AD63" s="101"/>
      <c r="AE63" s="101"/>
      <c r="AF63" s="101">
        <v>383.79500000000002</v>
      </c>
    </row>
    <row r="64" spans="1:32">
      <c r="B64" s="304" t="s">
        <v>43</v>
      </c>
      <c r="C64" s="304"/>
      <c r="D64" s="304">
        <v>19878.096000000001</v>
      </c>
      <c r="E64" s="304"/>
      <c r="F64" s="304"/>
      <c r="G64" s="304">
        <v>17323.879000000001</v>
      </c>
      <c r="H64" s="304"/>
      <c r="I64" s="304"/>
      <c r="J64" s="304">
        <v>15922.717000000001</v>
      </c>
      <c r="K64" s="304"/>
      <c r="L64" s="304"/>
      <c r="M64" s="304">
        <v>24815.412</v>
      </c>
      <c r="N64" s="304">
        <v>71564.445000000007</v>
      </c>
      <c r="O64" s="304">
        <v>149504.549</v>
      </c>
      <c r="P64" s="304" t="s">
        <v>211</v>
      </c>
      <c r="Q64" s="304" t="s">
        <v>743</v>
      </c>
      <c r="S64" s="46" t="s">
        <v>69</v>
      </c>
      <c r="T64" s="101"/>
      <c r="U64" s="101">
        <v>7027.2349999999997</v>
      </c>
      <c r="V64" s="101">
        <v>10109.246999999999</v>
      </c>
      <c r="W64" s="101">
        <v>105.56</v>
      </c>
      <c r="X64" s="101">
        <v>348.85300000000001</v>
      </c>
      <c r="Y64" s="101">
        <v>8500.8490000000002</v>
      </c>
      <c r="Z64" s="101">
        <v>592.72199999999998</v>
      </c>
      <c r="AA64" s="101">
        <v>9981.2870000000003</v>
      </c>
      <c r="AB64" s="101">
        <v>7211.0910000000003</v>
      </c>
      <c r="AC64" s="101"/>
      <c r="AD64" s="101">
        <v>5593.8149999999996</v>
      </c>
      <c r="AE64" s="101">
        <v>2838.0740000000001</v>
      </c>
      <c r="AF64" s="101">
        <v>52308.733</v>
      </c>
    </row>
    <row r="65" spans="2:32">
      <c r="B65" s="304" t="s">
        <v>74</v>
      </c>
      <c r="C65" s="304"/>
      <c r="D65" s="304"/>
      <c r="E65" s="304">
        <v>42.56</v>
      </c>
      <c r="F65" s="304"/>
      <c r="G65" s="304"/>
      <c r="H65" s="304">
        <v>501</v>
      </c>
      <c r="I65" s="304"/>
      <c r="J65" s="304"/>
      <c r="K65" s="304"/>
      <c r="L65" s="304">
        <v>22.344000000000001</v>
      </c>
      <c r="M65" s="304"/>
      <c r="N65" s="304"/>
      <c r="O65" s="304">
        <v>565.904</v>
      </c>
      <c r="P65" s="304" t="s">
        <v>211</v>
      </c>
      <c r="Q65" s="304" t="s">
        <v>743</v>
      </c>
      <c r="S65" s="46" t="s">
        <v>30</v>
      </c>
      <c r="T65" s="101"/>
      <c r="U65" s="101">
        <v>202300.245</v>
      </c>
      <c r="V65" s="101">
        <v>61790.686000000002</v>
      </c>
      <c r="W65" s="101"/>
      <c r="X65" s="101"/>
      <c r="Y65" s="101">
        <v>2830.9450000000002</v>
      </c>
      <c r="Z65" s="101"/>
      <c r="AA65" s="101"/>
      <c r="AB65" s="101">
        <v>64.635000000000005</v>
      </c>
      <c r="AC65" s="101"/>
      <c r="AD65" s="101"/>
      <c r="AE65" s="101"/>
      <c r="AF65" s="101">
        <v>266986.511</v>
      </c>
    </row>
    <row r="66" spans="2:32">
      <c r="B66" s="304" t="s">
        <v>81</v>
      </c>
      <c r="C66" s="304"/>
      <c r="D66" s="304"/>
      <c r="E66" s="304"/>
      <c r="F66" s="304"/>
      <c r="G66" s="304"/>
      <c r="H66" s="304"/>
      <c r="I66" s="304"/>
      <c r="J66" s="304"/>
      <c r="K66" s="304"/>
      <c r="L66" s="304">
        <v>649.57500000000005</v>
      </c>
      <c r="M66" s="304"/>
      <c r="N66" s="304"/>
      <c r="O66" s="304">
        <v>649.57500000000005</v>
      </c>
      <c r="P66" s="304" t="s">
        <v>211</v>
      </c>
      <c r="Q66" s="304" t="s">
        <v>743</v>
      </c>
      <c r="S66" s="46" t="s">
        <v>65</v>
      </c>
      <c r="T66" s="101"/>
      <c r="U66" s="101">
        <v>12199.324000000001</v>
      </c>
      <c r="V66" s="101"/>
      <c r="W66" s="101">
        <v>69.447999999999993</v>
      </c>
      <c r="X66" s="101"/>
      <c r="Y66" s="101"/>
      <c r="Z66" s="101">
        <v>796.851</v>
      </c>
      <c r="AA66" s="101"/>
      <c r="AB66" s="101"/>
      <c r="AC66" s="101"/>
      <c r="AD66" s="101"/>
      <c r="AE66" s="101"/>
      <c r="AF66" s="101">
        <v>13065.623000000001</v>
      </c>
    </row>
    <row r="67" spans="2:32">
      <c r="B67" s="304" t="s">
        <v>101</v>
      </c>
      <c r="C67" s="304"/>
      <c r="D67" s="304"/>
      <c r="E67" s="304"/>
      <c r="F67" s="304"/>
      <c r="G67" s="304"/>
      <c r="H67" s="304"/>
      <c r="I67" s="304"/>
      <c r="J67" s="304"/>
      <c r="K67" s="304"/>
      <c r="L67" s="304">
        <v>130853.273</v>
      </c>
      <c r="M67" s="304"/>
      <c r="N67" s="304"/>
      <c r="O67" s="304">
        <v>130853.273</v>
      </c>
      <c r="P67" s="304" t="s">
        <v>211</v>
      </c>
      <c r="Q67" s="304" t="s">
        <v>743</v>
      </c>
      <c r="S67" s="46" t="s">
        <v>82</v>
      </c>
      <c r="T67" s="101"/>
      <c r="U67" s="101"/>
      <c r="V67" s="101"/>
      <c r="W67" s="101">
        <v>1090.0350000000001</v>
      </c>
      <c r="X67" s="101"/>
      <c r="Y67" s="101">
        <v>111541.625</v>
      </c>
      <c r="Z67" s="101"/>
      <c r="AA67" s="101">
        <v>4699.7669999999998</v>
      </c>
      <c r="AB67" s="101"/>
      <c r="AC67" s="101">
        <v>7674.9769999999999</v>
      </c>
      <c r="AD67" s="101"/>
      <c r="AE67" s="101"/>
      <c r="AF67" s="101">
        <v>125006.40399999999</v>
      </c>
    </row>
    <row r="68" spans="2:32">
      <c r="B68" s="304" t="s">
        <v>29</v>
      </c>
      <c r="C68" s="304">
        <v>323592.39199999999</v>
      </c>
      <c r="D68" s="304">
        <v>94375.557000000001</v>
      </c>
      <c r="E68" s="304">
        <v>58212.686000000002</v>
      </c>
      <c r="F68" s="304">
        <v>173123.37299999999</v>
      </c>
      <c r="G68" s="304">
        <v>94224.21</v>
      </c>
      <c r="H68" s="304">
        <v>81314.782000000007</v>
      </c>
      <c r="I68" s="304">
        <v>142019.54199999999</v>
      </c>
      <c r="J68" s="304">
        <v>121235.061</v>
      </c>
      <c r="K68" s="304">
        <v>242488.98199999999</v>
      </c>
      <c r="L68" s="304">
        <v>150032.32000000001</v>
      </c>
      <c r="M68" s="304">
        <v>152778.04399999999</v>
      </c>
      <c r="N68" s="304">
        <v>195774.753</v>
      </c>
      <c r="O68" s="304">
        <v>1829171.7020000003</v>
      </c>
      <c r="P68" s="304" t="s">
        <v>210</v>
      </c>
      <c r="Q68" s="304" t="s">
        <v>743</v>
      </c>
      <c r="S68" s="46" t="s">
        <v>0</v>
      </c>
      <c r="T68" s="101">
        <v>73909.976999999999</v>
      </c>
      <c r="U68" s="101">
        <v>385126.15600000002</v>
      </c>
      <c r="V68" s="101">
        <v>141669.41</v>
      </c>
      <c r="W68" s="101">
        <v>6</v>
      </c>
      <c r="X68" s="101"/>
      <c r="Y68" s="101">
        <v>1906.807</v>
      </c>
      <c r="Z68" s="101">
        <v>2017.162</v>
      </c>
      <c r="AA68" s="101">
        <v>6695.07</v>
      </c>
      <c r="AB68" s="101"/>
      <c r="AC68" s="101">
        <v>46936.527000000002</v>
      </c>
      <c r="AD68" s="101">
        <v>3257.9789999999998</v>
      </c>
      <c r="AE68" s="101">
        <v>18100.543000000001</v>
      </c>
      <c r="AF68" s="101">
        <v>679625.63100000005</v>
      </c>
    </row>
    <row r="69" spans="2:32">
      <c r="B69" s="304" t="s">
        <v>990</v>
      </c>
      <c r="C69" s="304">
        <v>11951.446</v>
      </c>
      <c r="D69" s="304">
        <v>15632.49</v>
      </c>
      <c r="E69" s="304">
        <v>14110.620999999999</v>
      </c>
      <c r="F69" s="304"/>
      <c r="G69" s="304">
        <v>21030.094000000001</v>
      </c>
      <c r="H69" s="304">
        <v>32952.292000000001</v>
      </c>
      <c r="I69" s="304">
        <v>614.80999999999995</v>
      </c>
      <c r="J69" s="304"/>
      <c r="K69" s="304">
        <v>1992.114</v>
      </c>
      <c r="L69" s="304">
        <v>7786.76</v>
      </c>
      <c r="M69" s="304">
        <v>1290.259</v>
      </c>
      <c r="N69" s="304">
        <v>1725.5070000000001</v>
      </c>
      <c r="O69" s="304">
        <v>109086.393</v>
      </c>
      <c r="P69" s="304" t="s">
        <v>210</v>
      </c>
      <c r="Q69" s="304" t="s">
        <v>743</v>
      </c>
      <c r="S69" s="46" t="s">
        <v>87</v>
      </c>
      <c r="T69" s="101"/>
      <c r="U69" s="101"/>
      <c r="V69" s="101"/>
      <c r="W69" s="101"/>
      <c r="X69" s="101"/>
      <c r="Y69" s="101"/>
      <c r="Z69" s="101">
        <v>26815.439999999999</v>
      </c>
      <c r="AA69" s="101"/>
      <c r="AB69" s="101"/>
      <c r="AC69" s="101"/>
      <c r="AD69" s="101"/>
      <c r="AE69" s="101"/>
      <c r="AF69" s="101">
        <v>26815.439999999999</v>
      </c>
    </row>
    <row r="70" spans="2:32">
      <c r="B70" s="304" t="s">
        <v>753</v>
      </c>
      <c r="C70" s="304"/>
      <c r="D70" s="304"/>
      <c r="E70" s="304"/>
      <c r="F70" s="304"/>
      <c r="G70" s="304"/>
      <c r="H70" s="304"/>
      <c r="I70" s="304"/>
      <c r="J70" s="304"/>
      <c r="K70" s="304"/>
      <c r="L70" s="304"/>
      <c r="M70" s="304"/>
      <c r="N70" s="304">
        <v>39759.125</v>
      </c>
      <c r="O70" s="304">
        <v>39759.125</v>
      </c>
      <c r="P70" s="304" t="s">
        <v>211</v>
      </c>
      <c r="Q70" s="304" t="s">
        <v>743</v>
      </c>
      <c r="S70" s="46" t="s">
        <v>100</v>
      </c>
      <c r="T70" s="101"/>
      <c r="U70" s="101">
        <v>148301.269</v>
      </c>
      <c r="V70" s="101"/>
      <c r="W70" s="101">
        <v>76104.983999999997</v>
      </c>
      <c r="X70" s="101">
        <v>62842.281000000003</v>
      </c>
      <c r="Y70" s="101"/>
      <c r="Z70" s="101"/>
      <c r="AA70" s="101">
        <v>63642.93</v>
      </c>
      <c r="AB70" s="101"/>
      <c r="AC70" s="101"/>
      <c r="AD70" s="101"/>
      <c r="AE70" s="101"/>
      <c r="AF70" s="101">
        <v>350891.46399999998</v>
      </c>
    </row>
    <row r="71" spans="2:32">
      <c r="B71" s="304" t="s">
        <v>72</v>
      </c>
      <c r="C71" s="304"/>
      <c r="D71" s="304"/>
      <c r="E71" s="304"/>
      <c r="F71" s="304"/>
      <c r="G71" s="304">
        <v>41.968000000000004</v>
      </c>
      <c r="H71" s="304"/>
      <c r="I71" s="304"/>
      <c r="J71" s="304"/>
      <c r="K71" s="304">
        <v>341.827</v>
      </c>
      <c r="L71" s="304"/>
      <c r="M71" s="304"/>
      <c r="N71" s="304"/>
      <c r="O71" s="304">
        <v>383.79500000000002</v>
      </c>
      <c r="P71" s="304" t="s">
        <v>211</v>
      </c>
      <c r="Q71" s="304" t="s">
        <v>743</v>
      </c>
      <c r="S71" s="46" t="s">
        <v>71</v>
      </c>
      <c r="T71" s="101">
        <v>177445.44500000001</v>
      </c>
      <c r="U71" s="101">
        <v>514985.641</v>
      </c>
      <c r="V71" s="101">
        <v>45933.298000000003</v>
      </c>
      <c r="W71" s="101">
        <v>114184.789</v>
      </c>
      <c r="X71" s="101">
        <v>103028.34600000001</v>
      </c>
      <c r="Y71" s="101">
        <v>143509.48300000001</v>
      </c>
      <c r="Z71" s="101">
        <v>283058.59100000001</v>
      </c>
      <c r="AA71" s="101">
        <v>189792.86900000001</v>
      </c>
      <c r="AB71" s="101">
        <v>133147.83100000001</v>
      </c>
      <c r="AC71" s="101">
        <v>391660.66899999999</v>
      </c>
      <c r="AD71" s="101">
        <v>440696.837</v>
      </c>
      <c r="AE71" s="101">
        <v>3559.3919999999998</v>
      </c>
      <c r="AF71" s="101">
        <v>2541003.1909999996</v>
      </c>
    </row>
    <row r="72" spans="2:32">
      <c r="B72" s="304" t="s">
        <v>69</v>
      </c>
      <c r="C72" s="304"/>
      <c r="D72" s="304">
        <v>7027.2349999999997</v>
      </c>
      <c r="E72" s="304">
        <v>10109.246999999999</v>
      </c>
      <c r="F72" s="304">
        <v>105.56</v>
      </c>
      <c r="G72" s="304">
        <v>348.85300000000001</v>
      </c>
      <c r="H72" s="304">
        <v>8500.8490000000002</v>
      </c>
      <c r="I72" s="304">
        <v>592.72199999999998</v>
      </c>
      <c r="J72" s="304">
        <v>9981.2870000000003</v>
      </c>
      <c r="K72" s="304">
        <v>7211.0910000000003</v>
      </c>
      <c r="L72" s="304"/>
      <c r="M72" s="304">
        <v>5593.8149999999996</v>
      </c>
      <c r="N72" s="304">
        <v>2838.0740000000001</v>
      </c>
      <c r="O72" s="304">
        <v>52308.733</v>
      </c>
      <c r="P72" s="304" t="s">
        <v>211</v>
      </c>
      <c r="Q72" s="304" t="s">
        <v>743</v>
      </c>
      <c r="S72" s="46" t="s">
        <v>32</v>
      </c>
      <c r="T72" s="101">
        <v>2143.5300000000002</v>
      </c>
      <c r="U72" s="101"/>
      <c r="V72" s="101"/>
      <c r="W72" s="101"/>
      <c r="X72" s="101"/>
      <c r="Y72" s="101"/>
      <c r="Z72" s="101"/>
      <c r="AA72" s="101"/>
      <c r="AB72" s="101"/>
      <c r="AC72" s="101"/>
      <c r="AD72" s="101"/>
      <c r="AE72" s="101"/>
      <c r="AF72" s="101">
        <v>2143.5300000000002</v>
      </c>
    </row>
    <row r="73" spans="2:32">
      <c r="B73" s="304" t="s">
        <v>30</v>
      </c>
      <c r="C73" s="304"/>
      <c r="D73" s="304">
        <v>202300.245</v>
      </c>
      <c r="E73" s="304">
        <v>61790.686000000002</v>
      </c>
      <c r="F73" s="304"/>
      <c r="G73" s="304"/>
      <c r="H73" s="304">
        <v>2830.9450000000002</v>
      </c>
      <c r="I73" s="304"/>
      <c r="J73" s="304"/>
      <c r="K73" s="304">
        <v>64.635000000000005</v>
      </c>
      <c r="L73" s="304"/>
      <c r="M73" s="304"/>
      <c r="N73" s="304"/>
      <c r="O73" s="304">
        <v>266986.511</v>
      </c>
      <c r="P73" s="304" t="s">
        <v>211</v>
      </c>
      <c r="Q73" s="304" t="s">
        <v>743</v>
      </c>
      <c r="S73" s="46" t="s">
        <v>214</v>
      </c>
      <c r="T73" s="101"/>
      <c r="U73" s="101">
        <v>67203.781000000003</v>
      </c>
      <c r="V73" s="101"/>
      <c r="W73" s="101">
        <v>61882.063000000002</v>
      </c>
      <c r="X73" s="101"/>
      <c r="Y73" s="101"/>
      <c r="Z73" s="101"/>
      <c r="AA73" s="101"/>
      <c r="AB73" s="101"/>
      <c r="AC73" s="101"/>
      <c r="AD73" s="101"/>
      <c r="AE73" s="101"/>
      <c r="AF73" s="101">
        <v>129085.84400000001</v>
      </c>
    </row>
    <row r="74" spans="2:32">
      <c r="B74" s="304" t="s">
        <v>65</v>
      </c>
      <c r="C74" s="304"/>
      <c r="D74" s="304">
        <v>12199.324000000001</v>
      </c>
      <c r="E74" s="304"/>
      <c r="F74" s="304">
        <v>69.447999999999993</v>
      </c>
      <c r="G74" s="304"/>
      <c r="H74" s="304"/>
      <c r="I74" s="304">
        <v>796.851</v>
      </c>
      <c r="J74" s="304"/>
      <c r="K74" s="304"/>
      <c r="L74" s="304"/>
      <c r="M74" s="304"/>
      <c r="N74" s="304"/>
      <c r="O74" s="304">
        <v>13065.623000000001</v>
      </c>
      <c r="P74" s="304" t="s">
        <v>211</v>
      </c>
      <c r="Q74" s="304" t="s">
        <v>743</v>
      </c>
      <c r="S74" s="46" t="s">
        <v>117</v>
      </c>
      <c r="T74" s="101"/>
      <c r="U74" s="101"/>
      <c r="V74" s="101"/>
      <c r="W74" s="101"/>
      <c r="X74" s="101"/>
      <c r="Y74" s="101"/>
      <c r="Z74" s="101"/>
      <c r="AA74" s="101">
        <v>20.100000000000001</v>
      </c>
      <c r="AB74" s="101"/>
      <c r="AC74" s="101"/>
      <c r="AD74" s="101"/>
      <c r="AE74" s="101"/>
      <c r="AF74" s="101">
        <v>20.100000000000001</v>
      </c>
    </row>
    <row r="75" spans="2:32">
      <c r="B75" s="304" t="s">
        <v>82</v>
      </c>
      <c r="C75" s="304"/>
      <c r="D75" s="304"/>
      <c r="E75" s="304"/>
      <c r="F75" s="304">
        <v>1090.0350000000001</v>
      </c>
      <c r="G75" s="304"/>
      <c r="H75" s="304">
        <v>111541.625</v>
      </c>
      <c r="I75" s="304"/>
      <c r="J75" s="304">
        <v>4699.7669999999998</v>
      </c>
      <c r="K75" s="304"/>
      <c r="L75" s="304">
        <v>7674.9769999999999</v>
      </c>
      <c r="M75" s="304"/>
      <c r="N75" s="304"/>
      <c r="O75" s="304">
        <v>125006.40399999999</v>
      </c>
      <c r="P75" s="304" t="s">
        <v>211</v>
      </c>
      <c r="Q75" s="304" t="s">
        <v>743</v>
      </c>
      <c r="S75" s="46" t="s">
        <v>225</v>
      </c>
      <c r="T75" s="101"/>
      <c r="U75" s="101"/>
      <c r="V75" s="101"/>
      <c r="W75" s="101"/>
      <c r="X75" s="101"/>
      <c r="Y75" s="101"/>
      <c r="Z75" s="101">
        <v>13645.451999999999</v>
      </c>
      <c r="AA75" s="101"/>
      <c r="AB75" s="101"/>
      <c r="AC75" s="101">
        <v>24281.57</v>
      </c>
      <c r="AD75" s="101">
        <v>18923.183000000001</v>
      </c>
      <c r="AE75" s="101">
        <v>9296.4930000000004</v>
      </c>
      <c r="AF75" s="101">
        <v>66146.698000000004</v>
      </c>
    </row>
    <row r="76" spans="2:32">
      <c r="B76" s="304" t="s">
        <v>0</v>
      </c>
      <c r="C76" s="304">
        <v>73909.976999999999</v>
      </c>
      <c r="D76" s="304">
        <v>385126.15600000002</v>
      </c>
      <c r="E76" s="304">
        <v>141669.41</v>
      </c>
      <c r="F76" s="304">
        <v>6</v>
      </c>
      <c r="G76" s="304"/>
      <c r="H76" s="304">
        <v>1906.807</v>
      </c>
      <c r="I76" s="304">
        <v>2017.162</v>
      </c>
      <c r="J76" s="304">
        <v>6695.07</v>
      </c>
      <c r="K76" s="304"/>
      <c r="L76" s="304">
        <v>46936.527000000002</v>
      </c>
      <c r="M76" s="304">
        <v>3257.9789999999998</v>
      </c>
      <c r="N76" s="304">
        <v>18100.543000000001</v>
      </c>
      <c r="O76" s="304">
        <v>679625.63100000005</v>
      </c>
      <c r="P76" s="304" t="s">
        <v>211</v>
      </c>
      <c r="Q76" s="304" t="s">
        <v>743</v>
      </c>
      <c r="S76" s="46" t="s">
        <v>60</v>
      </c>
      <c r="T76" s="101">
        <v>98.841999999999999</v>
      </c>
      <c r="U76" s="101">
        <v>1598.96</v>
      </c>
      <c r="V76" s="101">
        <v>238.94</v>
      </c>
      <c r="W76" s="101"/>
      <c r="X76" s="101"/>
      <c r="Y76" s="101"/>
      <c r="Z76" s="101"/>
      <c r="AA76" s="101"/>
      <c r="AB76" s="101">
        <v>318.56</v>
      </c>
      <c r="AC76" s="101"/>
      <c r="AD76" s="101"/>
      <c r="AE76" s="101"/>
      <c r="AF76" s="101">
        <v>2255.3020000000001</v>
      </c>
    </row>
    <row r="77" spans="2:32">
      <c r="B77" s="304" t="s">
        <v>87</v>
      </c>
      <c r="C77" s="304"/>
      <c r="D77" s="304"/>
      <c r="E77" s="304"/>
      <c r="F77" s="304"/>
      <c r="G77" s="304"/>
      <c r="H77" s="304"/>
      <c r="I77" s="304">
        <v>26815.439999999999</v>
      </c>
      <c r="J77" s="304"/>
      <c r="K77" s="304"/>
      <c r="L77" s="304"/>
      <c r="M77" s="304"/>
      <c r="N77" s="304"/>
      <c r="O77" s="304">
        <v>26815.439999999999</v>
      </c>
      <c r="P77" s="304" t="s">
        <v>211</v>
      </c>
      <c r="Q77" s="304" t="s">
        <v>743</v>
      </c>
      <c r="S77" s="46" t="s">
        <v>763</v>
      </c>
      <c r="T77" s="101">
        <v>15716.526</v>
      </c>
      <c r="U77" s="101">
        <v>18991.385999999999</v>
      </c>
      <c r="V77" s="101">
        <v>718.2</v>
      </c>
      <c r="W77" s="101">
        <v>357.82900000000001</v>
      </c>
      <c r="X77" s="101"/>
      <c r="Y77" s="101">
        <v>1186.759</v>
      </c>
      <c r="Z77" s="101"/>
      <c r="AA77" s="101">
        <v>2873.223</v>
      </c>
      <c r="AB77" s="101">
        <v>2646.7869999999998</v>
      </c>
      <c r="AC77" s="101"/>
      <c r="AD77" s="101">
        <v>2803.527</v>
      </c>
      <c r="AE77" s="101"/>
      <c r="AF77" s="101">
        <v>45294.236999999986</v>
      </c>
    </row>
    <row r="78" spans="2:32">
      <c r="B78" s="304" t="s">
        <v>100</v>
      </c>
      <c r="C78" s="304"/>
      <c r="D78" s="304">
        <v>148301.269</v>
      </c>
      <c r="E78" s="304"/>
      <c r="F78" s="304">
        <v>76104.983999999997</v>
      </c>
      <c r="G78" s="304">
        <v>62842.281000000003</v>
      </c>
      <c r="H78" s="304"/>
      <c r="I78" s="304"/>
      <c r="J78" s="304">
        <v>63642.93</v>
      </c>
      <c r="K78" s="304"/>
      <c r="L78" s="304"/>
      <c r="M78" s="304"/>
      <c r="N78" s="304"/>
      <c r="O78" s="304">
        <v>350891.46399999998</v>
      </c>
      <c r="P78" s="304" t="s">
        <v>211</v>
      </c>
      <c r="Q78" s="304" t="s">
        <v>743</v>
      </c>
      <c r="S78" s="46" t="s">
        <v>683</v>
      </c>
      <c r="T78" s="101"/>
      <c r="U78" s="101">
        <v>2993.7159999999999</v>
      </c>
      <c r="V78" s="101"/>
      <c r="W78" s="101"/>
      <c r="X78" s="101"/>
      <c r="Y78" s="101"/>
      <c r="Z78" s="101"/>
      <c r="AA78" s="101"/>
      <c r="AB78" s="101"/>
      <c r="AC78" s="101"/>
      <c r="AD78" s="101"/>
      <c r="AE78" s="101"/>
      <c r="AF78" s="101">
        <v>2993.7159999999999</v>
      </c>
    </row>
    <row r="79" spans="2:32">
      <c r="B79" s="304" t="s">
        <v>71</v>
      </c>
      <c r="C79" s="304">
        <v>177445.44500000001</v>
      </c>
      <c r="D79" s="304">
        <v>514985.641</v>
      </c>
      <c r="E79" s="304">
        <v>45933.298000000003</v>
      </c>
      <c r="F79" s="304">
        <v>114184.789</v>
      </c>
      <c r="G79" s="304">
        <v>103028.34600000001</v>
      </c>
      <c r="H79" s="304">
        <v>143509.48300000001</v>
      </c>
      <c r="I79" s="304">
        <v>283058.59100000001</v>
      </c>
      <c r="J79" s="304">
        <v>189792.86900000001</v>
      </c>
      <c r="K79" s="304">
        <v>133147.83100000001</v>
      </c>
      <c r="L79" s="304">
        <v>391660.66899999999</v>
      </c>
      <c r="M79" s="304">
        <v>440696.837</v>
      </c>
      <c r="N79" s="304">
        <v>3559.3919999999998</v>
      </c>
      <c r="O79" s="304">
        <v>2541003.1909999996</v>
      </c>
      <c r="P79" s="304" t="s">
        <v>211</v>
      </c>
      <c r="Q79" s="304" t="s">
        <v>743</v>
      </c>
      <c r="S79" s="46" t="s">
        <v>83</v>
      </c>
      <c r="T79" s="101"/>
      <c r="U79" s="101"/>
      <c r="V79" s="101"/>
      <c r="W79" s="101"/>
      <c r="X79" s="101">
        <v>1098.241</v>
      </c>
      <c r="Y79" s="101"/>
      <c r="Z79" s="101"/>
      <c r="AA79" s="101"/>
      <c r="AB79" s="101"/>
      <c r="AC79" s="101"/>
      <c r="AD79" s="101"/>
      <c r="AE79" s="101"/>
      <c r="AF79" s="101">
        <v>1098.241</v>
      </c>
    </row>
    <row r="80" spans="2:32">
      <c r="B80" s="304" t="s">
        <v>32</v>
      </c>
      <c r="C80" s="304">
        <v>2143.5300000000002</v>
      </c>
      <c r="D80" s="304"/>
      <c r="E80" s="304"/>
      <c r="F80" s="304"/>
      <c r="G80" s="304"/>
      <c r="H80" s="304"/>
      <c r="I80" s="304"/>
      <c r="J80" s="304"/>
      <c r="K80" s="304"/>
      <c r="L80" s="304"/>
      <c r="M80" s="304"/>
      <c r="N80" s="304"/>
      <c r="O80" s="304">
        <v>2143.5300000000002</v>
      </c>
      <c r="P80" s="304" t="s">
        <v>211</v>
      </c>
      <c r="Q80" s="304" t="s">
        <v>743</v>
      </c>
      <c r="S80" s="46" t="s">
        <v>84</v>
      </c>
      <c r="T80" s="101"/>
      <c r="U80" s="101"/>
      <c r="V80" s="101"/>
      <c r="W80" s="101"/>
      <c r="X80" s="101"/>
      <c r="Y80" s="101">
        <v>48330.387000000002</v>
      </c>
      <c r="Z80" s="101">
        <v>22591.416000000001</v>
      </c>
      <c r="AA80" s="101"/>
      <c r="AB80" s="101"/>
      <c r="AC80" s="101">
        <v>45855.839999999997</v>
      </c>
      <c r="AD80" s="101">
        <v>88299.5</v>
      </c>
      <c r="AE80" s="101"/>
      <c r="AF80" s="101">
        <v>205077.14299999998</v>
      </c>
    </row>
    <row r="81" spans="2:32">
      <c r="B81" s="304" t="s">
        <v>214</v>
      </c>
      <c r="C81" s="304"/>
      <c r="D81" s="304">
        <v>67203.781000000003</v>
      </c>
      <c r="E81" s="304"/>
      <c r="F81" s="304">
        <v>61882.063000000002</v>
      </c>
      <c r="G81" s="304"/>
      <c r="H81" s="304"/>
      <c r="I81" s="304"/>
      <c r="J81" s="304"/>
      <c r="K81" s="304"/>
      <c r="L81" s="304"/>
      <c r="M81" s="304"/>
      <c r="N81" s="304"/>
      <c r="O81" s="304">
        <v>129085.84400000001</v>
      </c>
      <c r="P81" s="304" t="s">
        <v>211</v>
      </c>
      <c r="Q81" s="304" t="s">
        <v>743</v>
      </c>
      <c r="S81" s="46" t="s">
        <v>85</v>
      </c>
      <c r="T81" s="101"/>
      <c r="U81" s="101"/>
      <c r="V81" s="101"/>
      <c r="W81" s="101"/>
      <c r="X81" s="101">
        <v>6165.6540000000005</v>
      </c>
      <c r="Y81" s="101"/>
      <c r="Z81" s="101"/>
      <c r="AA81" s="101"/>
      <c r="AB81" s="101">
        <v>126295.039</v>
      </c>
      <c r="AC81" s="101"/>
      <c r="AD81" s="101">
        <v>209397.092</v>
      </c>
      <c r="AE81" s="101"/>
      <c r="AF81" s="101">
        <v>341857.78500000003</v>
      </c>
    </row>
    <row r="82" spans="2:32">
      <c r="B82" s="304" t="s">
        <v>117</v>
      </c>
      <c r="C82" s="304"/>
      <c r="D82" s="304"/>
      <c r="E82" s="304"/>
      <c r="F82" s="304"/>
      <c r="G82" s="304"/>
      <c r="H82" s="304"/>
      <c r="I82" s="304"/>
      <c r="J82" s="304">
        <v>20.100000000000001</v>
      </c>
      <c r="K82" s="304"/>
      <c r="L82" s="304"/>
      <c r="M82" s="304"/>
      <c r="N82" s="304"/>
      <c r="O82" s="304">
        <v>20.100000000000001</v>
      </c>
      <c r="P82" s="304" t="s">
        <v>211</v>
      </c>
      <c r="Q82" s="304" t="s">
        <v>743</v>
      </c>
      <c r="S82" s="46" t="s">
        <v>37</v>
      </c>
      <c r="T82" s="101"/>
      <c r="U82" s="101"/>
      <c r="V82" s="101"/>
      <c r="W82" s="101"/>
      <c r="X82" s="101"/>
      <c r="Y82" s="101"/>
      <c r="Z82" s="101"/>
      <c r="AA82" s="101"/>
      <c r="AB82" s="101">
        <v>3.262</v>
      </c>
      <c r="AC82" s="101"/>
      <c r="AD82" s="101"/>
      <c r="AE82" s="101"/>
      <c r="AF82" s="101">
        <v>3.262</v>
      </c>
    </row>
    <row r="83" spans="2:32">
      <c r="B83" s="304" t="s">
        <v>225</v>
      </c>
      <c r="C83" s="304"/>
      <c r="D83" s="304"/>
      <c r="E83" s="304"/>
      <c r="F83" s="304"/>
      <c r="G83" s="304"/>
      <c r="H83" s="304"/>
      <c r="I83" s="304">
        <v>13645.451999999999</v>
      </c>
      <c r="J83" s="304"/>
      <c r="K83" s="304"/>
      <c r="L83" s="304">
        <v>24281.57</v>
      </c>
      <c r="M83" s="304">
        <v>18923.183000000001</v>
      </c>
      <c r="N83" s="304">
        <v>9296.4930000000004</v>
      </c>
      <c r="O83" s="304">
        <v>66146.698000000004</v>
      </c>
      <c r="P83" s="304" t="s">
        <v>211</v>
      </c>
      <c r="Q83" s="304" t="s">
        <v>743</v>
      </c>
      <c r="S83" s="46" t="s">
        <v>755</v>
      </c>
      <c r="T83" s="101">
        <v>5993.6009999999997</v>
      </c>
      <c r="U83" s="101">
        <v>11</v>
      </c>
      <c r="V83" s="101">
        <v>4759.348</v>
      </c>
      <c r="W83" s="101">
        <v>44873.731</v>
      </c>
      <c r="X83" s="101"/>
      <c r="Y83" s="101"/>
      <c r="Z83" s="101"/>
      <c r="AA83" s="101"/>
      <c r="AB83" s="101"/>
      <c r="AC83" s="101">
        <v>1922.204</v>
      </c>
      <c r="AD83" s="101">
        <v>4805.8959999999997</v>
      </c>
      <c r="AE83" s="101">
        <v>32053.535</v>
      </c>
      <c r="AF83" s="101">
        <v>94419.315000000002</v>
      </c>
    </row>
    <row r="84" spans="2:32">
      <c r="B84" s="304" t="s">
        <v>60</v>
      </c>
      <c r="C84" s="304">
        <v>98.841999999999999</v>
      </c>
      <c r="D84" s="304">
        <v>1598.96</v>
      </c>
      <c r="E84" s="304">
        <v>238.94</v>
      </c>
      <c r="F84" s="304"/>
      <c r="G84" s="304"/>
      <c r="H84" s="304"/>
      <c r="I84" s="304"/>
      <c r="J84" s="304"/>
      <c r="K84" s="304">
        <v>318.56</v>
      </c>
      <c r="L84" s="304"/>
      <c r="M84" s="304"/>
      <c r="N84" s="304"/>
      <c r="O84" s="304">
        <v>2255.3020000000001</v>
      </c>
      <c r="P84" s="304" t="s">
        <v>211</v>
      </c>
      <c r="Q84" s="304" t="s">
        <v>743</v>
      </c>
      <c r="S84" s="46" t="s">
        <v>79</v>
      </c>
      <c r="T84" s="101"/>
      <c r="U84" s="101"/>
      <c r="V84" s="101"/>
      <c r="W84" s="101"/>
      <c r="X84" s="101"/>
      <c r="Y84" s="101">
        <v>77069.554999999993</v>
      </c>
      <c r="Z84" s="101"/>
      <c r="AA84" s="101"/>
      <c r="AB84" s="101"/>
      <c r="AC84" s="101"/>
      <c r="AD84" s="101"/>
      <c r="AE84" s="101"/>
      <c r="AF84" s="101">
        <v>77069.554999999993</v>
      </c>
    </row>
    <row r="85" spans="2:32">
      <c r="B85" s="304" t="s">
        <v>763</v>
      </c>
      <c r="C85" s="304">
        <v>15716.526</v>
      </c>
      <c r="D85" s="304">
        <v>18991.385999999999</v>
      </c>
      <c r="E85" s="304">
        <v>718.2</v>
      </c>
      <c r="F85" s="304">
        <v>357.82900000000001</v>
      </c>
      <c r="G85" s="304"/>
      <c r="H85" s="304">
        <v>1186.759</v>
      </c>
      <c r="I85" s="304"/>
      <c r="J85" s="304">
        <v>2873.223</v>
      </c>
      <c r="K85" s="304">
        <v>2646.7869999999998</v>
      </c>
      <c r="L85" s="304"/>
      <c r="M85" s="304">
        <v>2803.527</v>
      </c>
      <c r="N85" s="304"/>
      <c r="O85" s="304">
        <v>45294.236999999986</v>
      </c>
      <c r="P85" s="304" t="s">
        <v>211</v>
      </c>
      <c r="Q85" s="304" t="s">
        <v>743</v>
      </c>
      <c r="S85" s="46" t="s">
        <v>38</v>
      </c>
      <c r="T85" s="101"/>
      <c r="U85" s="101"/>
      <c r="V85" s="101"/>
      <c r="W85" s="101">
        <v>10136.117</v>
      </c>
      <c r="X85" s="101">
        <v>204</v>
      </c>
      <c r="Y85" s="101">
        <v>12749.641</v>
      </c>
      <c r="Z85" s="101"/>
      <c r="AA85" s="101"/>
      <c r="AB85" s="101"/>
      <c r="AC85" s="101"/>
      <c r="AD85" s="101"/>
      <c r="AE85" s="101"/>
      <c r="AF85" s="101">
        <v>23089.758000000002</v>
      </c>
    </row>
    <row r="86" spans="2:32">
      <c r="B86" s="304" t="s">
        <v>683</v>
      </c>
      <c r="C86" s="304"/>
      <c r="D86" s="304">
        <v>2993.7159999999999</v>
      </c>
      <c r="E86" s="304"/>
      <c r="F86" s="304"/>
      <c r="G86" s="304"/>
      <c r="H86" s="304"/>
      <c r="I86" s="304"/>
      <c r="J86" s="304"/>
      <c r="K86" s="304"/>
      <c r="L86" s="304"/>
      <c r="M86" s="304"/>
      <c r="N86" s="304"/>
      <c r="O86" s="304">
        <v>2993.7159999999999</v>
      </c>
      <c r="P86" s="304" t="s">
        <v>210</v>
      </c>
      <c r="Q86" s="304" t="s">
        <v>743</v>
      </c>
      <c r="S86" s="46" t="s">
        <v>39</v>
      </c>
      <c r="T86" s="101">
        <v>874.29899999999998</v>
      </c>
      <c r="U86" s="101">
        <v>88326.539000000004</v>
      </c>
      <c r="V86" s="101">
        <v>137485.035</v>
      </c>
      <c r="W86" s="101"/>
      <c r="X86" s="101"/>
      <c r="Y86" s="101">
        <v>23538.705000000002</v>
      </c>
      <c r="Z86" s="101">
        <v>51688.642999999996</v>
      </c>
      <c r="AA86" s="101">
        <v>80.753</v>
      </c>
      <c r="AB86" s="101">
        <v>320678.34399999998</v>
      </c>
      <c r="AC86" s="101">
        <v>357520.63900000002</v>
      </c>
      <c r="AD86" s="101"/>
      <c r="AE86" s="101">
        <v>610720.875</v>
      </c>
      <c r="AF86" s="101">
        <v>1590913.8319999999</v>
      </c>
    </row>
    <row r="87" spans="2:32">
      <c r="B87" s="304" t="s">
        <v>83</v>
      </c>
      <c r="C87" s="304"/>
      <c r="D87" s="304"/>
      <c r="E87" s="304"/>
      <c r="F87" s="304"/>
      <c r="G87" s="304">
        <v>1098.241</v>
      </c>
      <c r="H87" s="304"/>
      <c r="I87" s="304"/>
      <c r="J87" s="304"/>
      <c r="K87" s="304"/>
      <c r="L87" s="304"/>
      <c r="M87" s="304"/>
      <c r="N87" s="304"/>
      <c r="O87" s="304">
        <v>1098.241</v>
      </c>
      <c r="P87" s="304" t="s">
        <v>211</v>
      </c>
      <c r="Q87" s="304" t="s">
        <v>743</v>
      </c>
      <c r="S87" s="46" t="s">
        <v>51</v>
      </c>
      <c r="T87" s="101">
        <v>6063.259</v>
      </c>
      <c r="U87" s="101">
        <v>33937.578000000001</v>
      </c>
      <c r="V87" s="101">
        <v>212086.58300000001</v>
      </c>
      <c r="W87" s="101"/>
      <c r="X87" s="101">
        <v>37791.470999999998</v>
      </c>
      <c r="Y87" s="101">
        <v>120258.95699999999</v>
      </c>
      <c r="Z87" s="101">
        <v>26623.589</v>
      </c>
      <c r="AA87" s="101">
        <v>148356.83199999999</v>
      </c>
      <c r="AB87" s="101">
        <v>74049.093999999997</v>
      </c>
      <c r="AC87" s="101">
        <v>8853.6440000000002</v>
      </c>
      <c r="AD87" s="101">
        <v>86902.157000000007</v>
      </c>
      <c r="AE87" s="101">
        <v>3336.22</v>
      </c>
      <c r="AF87" s="101">
        <v>758259.38399999996</v>
      </c>
    </row>
    <row r="88" spans="2:32">
      <c r="B88" s="304" t="s">
        <v>84</v>
      </c>
      <c r="C88" s="304"/>
      <c r="D88" s="304"/>
      <c r="E88" s="304"/>
      <c r="F88" s="304"/>
      <c r="G88" s="304"/>
      <c r="H88" s="304">
        <v>48330.387000000002</v>
      </c>
      <c r="I88" s="304">
        <v>22591.416000000001</v>
      </c>
      <c r="J88" s="304"/>
      <c r="K88" s="304"/>
      <c r="L88" s="304">
        <v>45855.839999999997</v>
      </c>
      <c r="M88" s="304">
        <v>88299.5</v>
      </c>
      <c r="N88" s="304"/>
      <c r="O88" s="304">
        <v>205077.14299999998</v>
      </c>
      <c r="P88" s="304" t="s">
        <v>211</v>
      </c>
      <c r="Q88" s="304" t="s">
        <v>743</v>
      </c>
      <c r="S88" s="46" t="s">
        <v>94</v>
      </c>
      <c r="T88" s="101">
        <v>2516.0819999999999</v>
      </c>
      <c r="U88" s="101">
        <v>6400.2529999999997</v>
      </c>
      <c r="V88" s="101">
        <v>5653.7079999999996</v>
      </c>
      <c r="W88" s="101">
        <v>8579.9580000000005</v>
      </c>
      <c r="X88" s="101">
        <v>2604.1030000000001</v>
      </c>
      <c r="Y88" s="101">
        <v>8105.4359999999997</v>
      </c>
      <c r="Z88" s="101">
        <v>8656.8490000000002</v>
      </c>
      <c r="AA88" s="101">
        <v>760.73500000000001</v>
      </c>
      <c r="AB88" s="101"/>
      <c r="AC88" s="101">
        <v>7141.7449999999999</v>
      </c>
      <c r="AD88" s="101">
        <v>2748.8040000000001</v>
      </c>
      <c r="AE88" s="101">
        <v>4845.4350000000004</v>
      </c>
      <c r="AF88" s="101">
        <v>58013.107999999993</v>
      </c>
    </row>
    <row r="89" spans="2:32">
      <c r="B89" s="304" t="s">
        <v>85</v>
      </c>
      <c r="C89" s="304"/>
      <c r="D89" s="304"/>
      <c r="E89" s="304"/>
      <c r="F89" s="304"/>
      <c r="G89" s="304">
        <v>6165.6540000000005</v>
      </c>
      <c r="H89" s="304"/>
      <c r="I89" s="304"/>
      <c r="J89" s="304"/>
      <c r="K89" s="304">
        <v>126295.039</v>
      </c>
      <c r="L89" s="304"/>
      <c r="M89" s="304">
        <v>209397.092</v>
      </c>
      <c r="N89" s="304"/>
      <c r="O89" s="304">
        <v>341857.78500000003</v>
      </c>
      <c r="P89" s="304" t="s">
        <v>211</v>
      </c>
      <c r="Q89" s="304" t="s">
        <v>743</v>
      </c>
      <c r="S89" s="46" t="s">
        <v>41</v>
      </c>
      <c r="T89" s="101"/>
      <c r="U89" s="101">
        <v>3.262</v>
      </c>
      <c r="V89" s="101"/>
      <c r="W89" s="101"/>
      <c r="X89" s="101"/>
      <c r="Y89" s="101"/>
      <c r="Z89" s="101"/>
      <c r="AA89" s="101"/>
      <c r="AB89" s="101"/>
      <c r="AC89" s="101"/>
      <c r="AD89" s="101"/>
      <c r="AE89" s="101"/>
      <c r="AF89" s="101">
        <v>3.262</v>
      </c>
    </row>
    <row r="90" spans="2:32">
      <c r="B90" s="304" t="s">
        <v>37</v>
      </c>
      <c r="C90" s="304"/>
      <c r="D90" s="304"/>
      <c r="E90" s="304"/>
      <c r="F90" s="304"/>
      <c r="G90" s="304"/>
      <c r="H90" s="304"/>
      <c r="I90" s="304"/>
      <c r="J90" s="304"/>
      <c r="K90" s="304">
        <v>3.262</v>
      </c>
      <c r="L90" s="304"/>
      <c r="M90" s="304"/>
      <c r="N90" s="304"/>
      <c r="O90" s="304">
        <v>3.262</v>
      </c>
      <c r="P90" s="304" t="s">
        <v>211</v>
      </c>
      <c r="Q90" s="304" t="s">
        <v>743</v>
      </c>
      <c r="S90" s="46" t="s">
        <v>55</v>
      </c>
      <c r="T90" s="101">
        <v>53652.52</v>
      </c>
      <c r="U90" s="101"/>
      <c r="V90" s="101"/>
      <c r="W90" s="101"/>
      <c r="X90" s="101"/>
      <c r="Y90" s="101"/>
      <c r="Z90" s="101"/>
      <c r="AA90" s="101"/>
      <c r="AB90" s="101"/>
      <c r="AC90" s="101"/>
      <c r="AD90" s="101"/>
      <c r="AE90" s="101"/>
      <c r="AF90" s="101">
        <v>53652.52</v>
      </c>
    </row>
    <row r="91" spans="2:32">
      <c r="B91" s="304" t="s">
        <v>755</v>
      </c>
      <c r="C91" s="304">
        <v>5993.6009999999997</v>
      </c>
      <c r="D91" s="304">
        <v>11</v>
      </c>
      <c r="E91" s="304">
        <v>4759.348</v>
      </c>
      <c r="F91" s="304">
        <v>44873.731</v>
      </c>
      <c r="G91" s="304"/>
      <c r="H91" s="304"/>
      <c r="I91" s="304"/>
      <c r="J91" s="304"/>
      <c r="K91" s="304"/>
      <c r="L91" s="304">
        <v>1922.204</v>
      </c>
      <c r="M91" s="304">
        <v>4805.8959999999997</v>
      </c>
      <c r="N91" s="304">
        <v>32053.535</v>
      </c>
      <c r="O91" s="304">
        <v>94419.315000000002</v>
      </c>
      <c r="P91" s="304" t="s">
        <v>211</v>
      </c>
      <c r="Q91" s="304" t="s">
        <v>743</v>
      </c>
      <c r="S91" s="46" t="s">
        <v>63</v>
      </c>
      <c r="T91" s="101">
        <v>12693.289000000001</v>
      </c>
      <c r="U91" s="101">
        <v>25330.134999999998</v>
      </c>
      <c r="V91" s="101">
        <v>12558.794</v>
      </c>
      <c r="W91" s="101">
        <v>18769.446</v>
      </c>
      <c r="X91" s="101">
        <v>85727.426000000007</v>
      </c>
      <c r="Y91" s="101">
        <v>29845.53</v>
      </c>
      <c r="Z91" s="101">
        <v>34977.444000000003</v>
      </c>
      <c r="AA91" s="101">
        <v>53768.402999999998</v>
      </c>
      <c r="AB91" s="101">
        <v>36487.618000000002</v>
      </c>
      <c r="AC91" s="101">
        <v>45515.627</v>
      </c>
      <c r="AD91" s="101">
        <v>48794.987000000001</v>
      </c>
      <c r="AE91" s="101">
        <v>135076.85399999999</v>
      </c>
      <c r="AF91" s="101">
        <v>539545.55300000007</v>
      </c>
    </row>
    <row r="92" spans="2:32">
      <c r="B92" s="304" t="s">
        <v>79</v>
      </c>
      <c r="C92" s="304"/>
      <c r="D92" s="304"/>
      <c r="E92" s="304"/>
      <c r="F92" s="304"/>
      <c r="G92" s="304"/>
      <c r="H92" s="304">
        <v>77069.554999999993</v>
      </c>
      <c r="I92" s="304"/>
      <c r="J92" s="304"/>
      <c r="K92" s="304"/>
      <c r="L92" s="304"/>
      <c r="M92" s="304"/>
      <c r="N92" s="304"/>
      <c r="O92" s="304">
        <v>77069.554999999993</v>
      </c>
      <c r="P92" s="304" t="s">
        <v>211</v>
      </c>
      <c r="Q92" s="304" t="s">
        <v>743</v>
      </c>
      <c r="S92" s="46" t="s">
        <v>25</v>
      </c>
      <c r="T92" s="101">
        <v>30783.046999999999</v>
      </c>
      <c r="U92" s="101">
        <v>126775.443</v>
      </c>
      <c r="V92" s="101">
        <v>6536.8959999999997</v>
      </c>
      <c r="W92" s="101">
        <v>43558.688000000002</v>
      </c>
      <c r="X92" s="101"/>
      <c r="Y92" s="101"/>
      <c r="Z92" s="101">
        <v>55017.118000000002</v>
      </c>
      <c r="AA92" s="101">
        <v>217351.48800000001</v>
      </c>
      <c r="AB92" s="101">
        <v>76365.403999999995</v>
      </c>
      <c r="AC92" s="101">
        <v>116964.63099999999</v>
      </c>
      <c r="AD92" s="101"/>
      <c r="AE92" s="101">
        <v>101820.637</v>
      </c>
      <c r="AF92" s="101">
        <v>775173.35200000007</v>
      </c>
    </row>
    <row r="93" spans="2:32">
      <c r="B93" s="304" t="s">
        <v>38</v>
      </c>
      <c r="C93" s="304"/>
      <c r="D93" s="304"/>
      <c r="E93" s="304"/>
      <c r="F93" s="304">
        <v>10136.117</v>
      </c>
      <c r="G93" s="304">
        <v>204</v>
      </c>
      <c r="H93" s="304">
        <v>12749.641</v>
      </c>
      <c r="I93" s="304"/>
      <c r="J93" s="304"/>
      <c r="K93" s="304"/>
      <c r="L93" s="304"/>
      <c r="M93" s="304"/>
      <c r="N93" s="304"/>
      <c r="O93" s="304">
        <v>23089.758000000002</v>
      </c>
      <c r="P93" s="304" t="s">
        <v>210</v>
      </c>
      <c r="Q93" s="304" t="s">
        <v>743</v>
      </c>
      <c r="S93" s="46" t="s">
        <v>64</v>
      </c>
      <c r="T93" s="101"/>
      <c r="U93" s="101"/>
      <c r="V93" s="101"/>
      <c r="W93" s="101"/>
      <c r="X93" s="101">
        <v>772.10699999999997</v>
      </c>
      <c r="Y93" s="101">
        <v>111.18</v>
      </c>
      <c r="Z93" s="101"/>
      <c r="AA93" s="101"/>
      <c r="AB93" s="101"/>
      <c r="AC93" s="101"/>
      <c r="AD93" s="101"/>
      <c r="AE93" s="101"/>
      <c r="AF93" s="101">
        <v>883.28700000000003</v>
      </c>
    </row>
    <row r="94" spans="2:32">
      <c r="B94" s="304" t="s">
        <v>39</v>
      </c>
      <c r="C94" s="304">
        <v>874.29899999999998</v>
      </c>
      <c r="D94" s="304">
        <v>88326.539000000004</v>
      </c>
      <c r="E94" s="304">
        <v>137485.035</v>
      </c>
      <c r="F94" s="304"/>
      <c r="G94" s="304"/>
      <c r="H94" s="304">
        <v>23538.705000000002</v>
      </c>
      <c r="I94" s="304">
        <v>51688.642999999996</v>
      </c>
      <c r="J94" s="304">
        <v>80.753</v>
      </c>
      <c r="K94" s="304">
        <v>320678.34399999998</v>
      </c>
      <c r="L94" s="304">
        <v>357520.63900000002</v>
      </c>
      <c r="M94" s="304"/>
      <c r="N94" s="304">
        <v>610720.875</v>
      </c>
      <c r="O94" s="304">
        <v>1590913.8319999999</v>
      </c>
      <c r="P94" s="304" t="s">
        <v>211</v>
      </c>
      <c r="Q94" s="304" t="s">
        <v>743</v>
      </c>
      <c r="S94" s="46" t="s">
        <v>713</v>
      </c>
      <c r="T94" s="101">
        <v>31595.02</v>
      </c>
      <c r="U94" s="101">
        <v>16.151</v>
      </c>
      <c r="V94" s="101"/>
      <c r="W94" s="101">
        <v>17.904</v>
      </c>
      <c r="X94" s="101"/>
      <c r="Y94" s="101"/>
      <c r="Z94" s="101"/>
      <c r="AA94" s="101">
        <v>28.402999999999999</v>
      </c>
      <c r="AB94" s="101">
        <v>5951.0249999999996</v>
      </c>
      <c r="AC94" s="101">
        <v>11</v>
      </c>
      <c r="AD94" s="101"/>
      <c r="AE94" s="101">
        <v>10.199999999999999</v>
      </c>
      <c r="AF94" s="101">
        <v>37629.702999999994</v>
      </c>
    </row>
    <row r="95" spans="2:32">
      <c r="B95" s="304" t="s">
        <v>51</v>
      </c>
      <c r="C95" s="304">
        <v>6063.259</v>
      </c>
      <c r="D95" s="304">
        <v>33937.578000000001</v>
      </c>
      <c r="E95" s="304">
        <v>212086.58300000001</v>
      </c>
      <c r="F95" s="304"/>
      <c r="G95" s="304">
        <v>37791.470999999998</v>
      </c>
      <c r="H95" s="304">
        <v>120258.95699999999</v>
      </c>
      <c r="I95" s="304">
        <v>26623.589</v>
      </c>
      <c r="J95" s="304">
        <v>148356.83199999999</v>
      </c>
      <c r="K95" s="304">
        <v>74049.093999999997</v>
      </c>
      <c r="L95" s="304">
        <v>8853.6440000000002</v>
      </c>
      <c r="M95" s="304">
        <v>86902.157000000007</v>
      </c>
      <c r="N95" s="304">
        <v>3336.22</v>
      </c>
      <c r="O95" s="304">
        <v>758259.38399999996</v>
      </c>
      <c r="P95" s="304" t="s">
        <v>211</v>
      </c>
      <c r="Q95" s="304" t="s">
        <v>743</v>
      </c>
      <c r="S95" s="46" t="s">
        <v>59</v>
      </c>
      <c r="T95" s="101">
        <v>10727.267</v>
      </c>
      <c r="U95" s="101">
        <v>31088.827000000001</v>
      </c>
      <c r="V95" s="101">
        <v>15171.076999999999</v>
      </c>
      <c r="W95" s="101">
        <v>14762.66</v>
      </c>
      <c r="X95" s="101">
        <v>2572.5439999999999</v>
      </c>
      <c r="Y95" s="101">
        <v>1173.1469999999999</v>
      </c>
      <c r="Z95" s="101">
        <v>3526.7150000000001</v>
      </c>
      <c r="AA95" s="101">
        <v>161120.579</v>
      </c>
      <c r="AB95" s="101">
        <v>1715.7919999999999</v>
      </c>
      <c r="AC95" s="101">
        <v>70726.081000000006</v>
      </c>
      <c r="AD95" s="101">
        <v>174219.70300000001</v>
      </c>
      <c r="AE95" s="101">
        <v>188.63499999999999</v>
      </c>
      <c r="AF95" s="101">
        <v>486993.027</v>
      </c>
    </row>
    <row r="96" spans="2:32">
      <c r="B96" s="304" t="s">
        <v>94</v>
      </c>
      <c r="C96" s="304">
        <v>2516.0819999999999</v>
      </c>
      <c r="D96" s="304">
        <v>6400.2529999999997</v>
      </c>
      <c r="E96" s="304">
        <v>5653.7079999999996</v>
      </c>
      <c r="F96" s="304">
        <v>8579.9580000000005</v>
      </c>
      <c r="G96" s="304">
        <v>2604.1030000000001</v>
      </c>
      <c r="H96" s="304">
        <v>8105.4359999999997</v>
      </c>
      <c r="I96" s="304">
        <v>8656.8490000000002</v>
      </c>
      <c r="J96" s="304">
        <v>760.73500000000001</v>
      </c>
      <c r="K96" s="304"/>
      <c r="L96" s="304">
        <v>7141.7449999999999</v>
      </c>
      <c r="M96" s="304">
        <v>2748.8040000000001</v>
      </c>
      <c r="N96" s="304">
        <v>4845.4350000000004</v>
      </c>
      <c r="O96" s="304">
        <v>58013.107999999993</v>
      </c>
      <c r="P96" s="304" t="s">
        <v>211</v>
      </c>
      <c r="Q96" s="304" t="s">
        <v>743</v>
      </c>
      <c r="S96" s="46" t="s">
        <v>23</v>
      </c>
      <c r="T96" s="101">
        <v>759756.54200000002</v>
      </c>
      <c r="U96" s="101">
        <v>1802515.0349999999</v>
      </c>
      <c r="V96" s="101">
        <v>727077.08799999999</v>
      </c>
      <c r="W96" s="101">
        <v>567622.58400000003</v>
      </c>
      <c r="X96" s="101">
        <v>435775.17599999998</v>
      </c>
      <c r="Y96" s="101">
        <v>705427.07900000003</v>
      </c>
      <c r="Z96" s="101">
        <v>672845.59499999997</v>
      </c>
      <c r="AA96" s="101">
        <v>996330.21699999995</v>
      </c>
      <c r="AB96" s="101">
        <v>1029757.406</v>
      </c>
      <c r="AC96" s="101">
        <v>1414409.426</v>
      </c>
      <c r="AD96" s="101">
        <v>1265327.196</v>
      </c>
      <c r="AE96" s="101">
        <v>1230670.7220000001</v>
      </c>
      <c r="AF96" s="101">
        <v>11607514.066</v>
      </c>
    </row>
    <row r="97" spans="1:48">
      <c r="B97" s="304" t="s">
        <v>41</v>
      </c>
      <c r="C97" s="304"/>
      <c r="D97" s="304">
        <v>3.262</v>
      </c>
      <c r="E97" s="304"/>
      <c r="F97" s="304"/>
      <c r="G97" s="304"/>
      <c r="H97" s="304"/>
      <c r="I97" s="304"/>
      <c r="J97" s="304"/>
      <c r="K97" s="304"/>
      <c r="L97" s="304"/>
      <c r="M97" s="304"/>
      <c r="N97" s="304"/>
      <c r="O97" s="304">
        <v>3.262</v>
      </c>
      <c r="P97" s="304" t="s">
        <v>211</v>
      </c>
      <c r="Q97" s="304" t="s">
        <v>743</v>
      </c>
      <c r="S97" s="46" t="s">
        <v>732</v>
      </c>
      <c r="T97" s="101">
        <v>1519513.084</v>
      </c>
      <c r="U97" s="101">
        <v>3605030.0700000003</v>
      </c>
      <c r="V97" s="101">
        <v>1454154.1769999999</v>
      </c>
      <c r="W97" s="101">
        <v>1135245.1690000002</v>
      </c>
      <c r="X97" s="101">
        <v>871550.35300000012</v>
      </c>
      <c r="Y97" s="101">
        <v>1410854.159</v>
      </c>
      <c r="Z97" s="101">
        <v>1345691.1910000001</v>
      </c>
      <c r="AA97" s="101">
        <v>1992660.4339999999</v>
      </c>
      <c r="AB97" s="101">
        <v>2059514.811</v>
      </c>
      <c r="AC97" s="101">
        <v>2828818.8520000004</v>
      </c>
      <c r="AD97" s="101">
        <v>2530654.3909999998</v>
      </c>
      <c r="AE97" s="101">
        <v>2461341.4450000003</v>
      </c>
      <c r="AF97" s="101">
        <v>23215028.136</v>
      </c>
    </row>
    <row r="98" spans="1:48">
      <c r="B98" s="304" t="s">
        <v>55</v>
      </c>
      <c r="C98" s="304">
        <v>53652.52</v>
      </c>
      <c r="D98" s="304"/>
      <c r="E98" s="304"/>
      <c r="F98" s="304"/>
      <c r="G98" s="304"/>
      <c r="H98" s="304"/>
      <c r="I98" s="304"/>
      <c r="J98" s="304"/>
      <c r="K98" s="304"/>
      <c r="L98" s="304"/>
      <c r="M98" s="304"/>
      <c r="N98" s="304"/>
      <c r="O98" s="304">
        <v>53652.52</v>
      </c>
      <c r="P98" s="304" t="s">
        <v>211</v>
      </c>
      <c r="Q98" s="304" t="s">
        <v>743</v>
      </c>
    </row>
    <row r="99" spans="1:48">
      <c r="B99" s="304" t="s">
        <v>63</v>
      </c>
      <c r="C99" s="304">
        <v>12693.289000000001</v>
      </c>
      <c r="D99" s="304">
        <v>25330.134999999998</v>
      </c>
      <c r="E99" s="304">
        <v>12558.794</v>
      </c>
      <c r="F99" s="304">
        <v>18769.446</v>
      </c>
      <c r="G99" s="304">
        <v>85727.426000000007</v>
      </c>
      <c r="H99" s="304">
        <v>29845.53</v>
      </c>
      <c r="I99" s="304">
        <v>34977.444000000003</v>
      </c>
      <c r="J99" s="304">
        <v>53768.402999999998</v>
      </c>
      <c r="K99" s="304">
        <v>36487.618000000002</v>
      </c>
      <c r="L99" s="304">
        <v>45515.627</v>
      </c>
      <c r="M99" s="304">
        <v>48794.987000000001</v>
      </c>
      <c r="N99" s="304">
        <v>135076.85399999999</v>
      </c>
      <c r="O99" s="304">
        <v>539545.55300000007</v>
      </c>
      <c r="P99" s="304" t="s">
        <v>211</v>
      </c>
      <c r="Q99" s="304" t="s">
        <v>743</v>
      </c>
    </row>
    <row r="100" spans="1:48">
      <c r="B100" s="304" t="s">
        <v>25</v>
      </c>
      <c r="C100" s="304">
        <v>30783.046999999999</v>
      </c>
      <c r="D100" s="304">
        <v>126775.443</v>
      </c>
      <c r="E100" s="304">
        <v>6536.8959999999997</v>
      </c>
      <c r="F100" s="304">
        <v>43558.688000000002</v>
      </c>
      <c r="G100" s="304"/>
      <c r="H100" s="304"/>
      <c r="I100" s="304">
        <v>55017.118000000002</v>
      </c>
      <c r="J100" s="304">
        <v>217351.48800000001</v>
      </c>
      <c r="K100" s="304">
        <v>76365.403999999995</v>
      </c>
      <c r="L100" s="304">
        <v>116964.63099999999</v>
      </c>
      <c r="M100" s="304"/>
      <c r="N100" s="304">
        <v>101820.637</v>
      </c>
      <c r="O100" s="304">
        <v>775173.35200000007</v>
      </c>
      <c r="P100" s="304" t="s">
        <v>211</v>
      </c>
      <c r="Q100" s="304" t="s">
        <v>743</v>
      </c>
    </row>
    <row r="101" spans="1:48">
      <c r="B101" s="304" t="s">
        <v>64</v>
      </c>
      <c r="C101" s="304"/>
      <c r="D101" s="304"/>
      <c r="E101" s="304"/>
      <c r="F101" s="304"/>
      <c r="G101" s="304">
        <v>772.10699999999997</v>
      </c>
      <c r="H101" s="304">
        <v>111.18</v>
      </c>
      <c r="I101" s="304"/>
      <c r="J101" s="304"/>
      <c r="K101" s="304"/>
      <c r="L101" s="304"/>
      <c r="M101" s="304"/>
      <c r="N101" s="304"/>
      <c r="O101" s="304">
        <v>883.28700000000003</v>
      </c>
      <c r="P101" s="304" t="s">
        <v>211</v>
      </c>
      <c r="Q101" s="304" t="s">
        <v>743</v>
      </c>
    </row>
    <row r="102" spans="1:48">
      <c r="B102" s="304" t="s">
        <v>713</v>
      </c>
      <c r="C102" s="304">
        <v>31595.02</v>
      </c>
      <c r="D102" s="304">
        <v>16.151</v>
      </c>
      <c r="E102" s="304"/>
      <c r="F102" s="304">
        <v>17.904</v>
      </c>
      <c r="G102" s="304"/>
      <c r="H102" s="304"/>
      <c r="I102" s="304"/>
      <c r="J102" s="304">
        <v>28.402999999999999</v>
      </c>
      <c r="K102" s="304">
        <v>5951.0249999999996</v>
      </c>
      <c r="L102" s="304">
        <v>11</v>
      </c>
      <c r="M102" s="304"/>
      <c r="N102" s="304">
        <v>10.199999999999999</v>
      </c>
      <c r="O102" s="304">
        <v>37629.702999999994</v>
      </c>
      <c r="P102" s="304" t="s">
        <v>211</v>
      </c>
      <c r="Q102" s="304" t="s">
        <v>743</v>
      </c>
    </row>
    <row r="103" spans="1:48">
      <c r="B103" s="304" t="s">
        <v>59</v>
      </c>
      <c r="C103" s="304">
        <v>10727.267</v>
      </c>
      <c r="D103" s="304">
        <v>31088.827000000001</v>
      </c>
      <c r="E103" s="304">
        <v>15171.076999999999</v>
      </c>
      <c r="F103" s="304">
        <v>14762.66</v>
      </c>
      <c r="G103" s="304">
        <v>2572.5439999999999</v>
      </c>
      <c r="H103" s="304">
        <v>1173.1469999999999</v>
      </c>
      <c r="I103" s="304">
        <v>3526.7150000000001</v>
      </c>
      <c r="J103" s="304">
        <v>161120.579</v>
      </c>
      <c r="K103" s="304">
        <v>1715.7919999999999</v>
      </c>
      <c r="L103" s="304">
        <v>70726.081000000006</v>
      </c>
      <c r="M103" s="304">
        <v>174219.70300000001</v>
      </c>
      <c r="N103" s="304">
        <v>188.63499999999999</v>
      </c>
      <c r="O103" s="304">
        <v>486993.027</v>
      </c>
      <c r="P103" s="304" t="s">
        <v>210</v>
      </c>
      <c r="Q103" s="304" t="s">
        <v>743</v>
      </c>
    </row>
    <row r="104" spans="1:48">
      <c r="B104" s="304" t="s">
        <v>23</v>
      </c>
      <c r="C104" s="304">
        <v>759756.54200000002</v>
      </c>
      <c r="D104" s="304">
        <v>1802515.0349999999</v>
      </c>
      <c r="E104" s="304">
        <v>727077.08799999999</v>
      </c>
      <c r="F104" s="304">
        <v>567622.58400000003</v>
      </c>
      <c r="G104" s="304">
        <v>435775.17599999998</v>
      </c>
      <c r="H104" s="304">
        <v>705427.07900000003</v>
      </c>
      <c r="I104" s="304">
        <v>672845.59499999997</v>
      </c>
      <c r="J104" s="304">
        <v>996330.21699999995</v>
      </c>
      <c r="K104" s="304">
        <v>1029757.406</v>
      </c>
      <c r="L104" s="304">
        <v>1414409.426</v>
      </c>
      <c r="M104" s="304">
        <v>1265327.196</v>
      </c>
      <c r="N104" s="304">
        <v>1230670.7220000001</v>
      </c>
      <c r="O104" s="304">
        <v>11607514.066</v>
      </c>
      <c r="P104" s="304" t="s">
        <v>210</v>
      </c>
      <c r="Q104" s="304" t="s">
        <v>743</v>
      </c>
    </row>
    <row r="105" spans="1:48">
      <c r="B105" s="305" t="s">
        <v>732</v>
      </c>
      <c r="C105" s="305">
        <v>1519513.084</v>
      </c>
      <c r="D105" s="305">
        <v>3605030.0700000003</v>
      </c>
      <c r="E105" s="305">
        <v>1454154.1769999999</v>
      </c>
      <c r="F105" s="305">
        <v>1135245.1690000002</v>
      </c>
      <c r="G105" s="305">
        <v>871550.35300000012</v>
      </c>
      <c r="H105" s="305">
        <v>1410854.159</v>
      </c>
      <c r="I105" s="305">
        <v>1345691.1910000001</v>
      </c>
      <c r="J105" s="305">
        <v>1992660.4339999999</v>
      </c>
      <c r="K105" s="305">
        <v>2059514.811</v>
      </c>
      <c r="L105" s="305">
        <v>2828818.8520000004</v>
      </c>
      <c r="M105" s="305">
        <v>2530654.3909999998</v>
      </c>
      <c r="N105" s="305">
        <v>2461341.4450000003</v>
      </c>
      <c r="O105" s="305">
        <v>23215028.136</v>
      </c>
      <c r="P105" s="304"/>
      <c r="Q105" s="304"/>
    </row>
    <row r="106" spans="1:48">
      <c r="B106" s="307"/>
      <c r="C106" s="307"/>
      <c r="D106" s="307"/>
      <c r="E106" s="307"/>
      <c r="F106" s="307"/>
      <c r="G106" s="307"/>
      <c r="H106" s="307"/>
      <c r="I106" s="307"/>
      <c r="J106" s="307"/>
      <c r="K106" s="307"/>
      <c r="L106" s="307"/>
      <c r="M106" s="307"/>
      <c r="N106" s="307"/>
      <c r="O106" s="307"/>
      <c r="P106" s="308"/>
      <c r="Q106" s="308"/>
    </row>
    <row r="109" spans="1:48" s="121" customFormat="1" ht="9" customHeight="1"/>
    <row r="110" spans="1:48" ht="27">
      <c r="B110" s="303" t="s">
        <v>742</v>
      </c>
      <c r="L110" s="102" t="s">
        <v>730</v>
      </c>
      <c r="O110" s="102" t="s">
        <v>731</v>
      </c>
      <c r="AG110" s="102" t="s">
        <v>729</v>
      </c>
      <c r="AS110" s="102" t="s">
        <v>728</v>
      </c>
    </row>
    <row r="111" spans="1:48" s="108" customFormat="1" ht="40.5">
      <c r="A111" s="102" t="s">
        <v>727</v>
      </c>
      <c r="B111" s="102" t="s">
        <v>618</v>
      </c>
      <c r="C111" s="102" t="s">
        <v>619</v>
      </c>
      <c r="D111" s="102" t="s">
        <v>620</v>
      </c>
      <c r="E111" s="102" t="s">
        <v>621</v>
      </c>
      <c r="F111" s="102" t="s">
        <v>622</v>
      </c>
      <c r="G111" s="102" t="s">
        <v>623</v>
      </c>
      <c r="H111" s="102" t="s">
        <v>624</v>
      </c>
      <c r="I111" s="102" t="s">
        <v>625</v>
      </c>
      <c r="J111" s="102" t="s">
        <v>626</v>
      </c>
      <c r="K111" s="102" t="s">
        <v>627</v>
      </c>
      <c r="L111" s="102" t="s">
        <v>628</v>
      </c>
      <c r="M111" s="102" t="s">
        <v>629</v>
      </c>
      <c r="N111" s="102" t="s">
        <v>630</v>
      </c>
      <c r="O111" s="102" t="s">
        <v>631</v>
      </c>
      <c r="P111" s="102" t="s">
        <v>632</v>
      </c>
      <c r="Q111" s="102" t="s">
        <v>633</v>
      </c>
      <c r="R111" s="102" t="s">
        <v>634</v>
      </c>
      <c r="S111" s="102" t="s">
        <v>635</v>
      </c>
      <c r="T111" s="102" t="s">
        <v>636</v>
      </c>
      <c r="U111" s="102" t="s">
        <v>637</v>
      </c>
      <c r="V111" s="102" t="s">
        <v>638</v>
      </c>
      <c r="W111" s="102" t="s">
        <v>639</v>
      </c>
      <c r="X111" s="102" t="s">
        <v>640</v>
      </c>
      <c r="Y111" s="102" t="s">
        <v>641</v>
      </c>
      <c r="Z111" s="102" t="s">
        <v>642</v>
      </c>
      <c r="AA111" s="102" t="s">
        <v>643</v>
      </c>
      <c r="AB111" s="102" t="s">
        <v>644</v>
      </c>
      <c r="AC111" s="102" t="s">
        <v>645</v>
      </c>
      <c r="AD111" s="102" t="s">
        <v>646</v>
      </c>
      <c r="AE111" s="102" t="s">
        <v>647</v>
      </c>
      <c r="AF111" s="102" t="s">
        <v>648</v>
      </c>
      <c r="AG111" s="102" t="s">
        <v>649</v>
      </c>
      <c r="AH111" s="102" t="s">
        <v>650</v>
      </c>
      <c r="AI111" s="102" t="s">
        <v>651</v>
      </c>
      <c r="AJ111" s="102" t="s">
        <v>652</v>
      </c>
      <c r="AK111" s="102" t="s">
        <v>653</v>
      </c>
      <c r="AL111" s="102" t="s">
        <v>654</v>
      </c>
      <c r="AM111" s="102" t="s">
        <v>655</v>
      </c>
      <c r="AN111" s="102" t="s">
        <v>656</v>
      </c>
      <c r="AO111" s="102" t="s">
        <v>657</v>
      </c>
      <c r="AP111" s="102" t="s">
        <v>658</v>
      </c>
      <c r="AQ111" s="102" t="s">
        <v>659</v>
      </c>
      <c r="AR111" s="102" t="s">
        <v>660</v>
      </c>
      <c r="AS111" s="102" t="s">
        <v>661</v>
      </c>
      <c r="AT111" s="102" t="s">
        <v>662</v>
      </c>
      <c r="AU111" s="102" t="s">
        <v>663</v>
      </c>
      <c r="AV111" s="102" t="s">
        <v>664</v>
      </c>
    </row>
    <row r="112" spans="1:48">
      <c r="B112" s="46" t="s">
        <v>665</v>
      </c>
      <c r="C112" s="46" t="s">
        <v>666</v>
      </c>
      <c r="D112" s="46">
        <v>20230701</v>
      </c>
      <c r="E112" s="46">
        <v>2023</v>
      </c>
      <c r="F112" s="46">
        <v>7</v>
      </c>
      <c r="G112" s="46" t="s">
        <v>718</v>
      </c>
      <c r="H112" s="46">
        <v>818</v>
      </c>
      <c r="I112" s="46" t="s">
        <v>668</v>
      </c>
      <c r="J112" s="46" t="s">
        <v>57</v>
      </c>
      <c r="K112" s="46" t="s">
        <v>666</v>
      </c>
      <c r="L112" s="46" t="s">
        <v>669</v>
      </c>
      <c r="M112" s="46">
        <v>0</v>
      </c>
      <c r="N112" s="46" t="s">
        <v>670</v>
      </c>
      <c r="O112" s="46" t="s">
        <v>23</v>
      </c>
      <c r="P112" s="46">
        <v>0</v>
      </c>
      <c r="Q112" s="46" t="s">
        <v>670</v>
      </c>
      <c r="R112" s="46" t="s">
        <v>23</v>
      </c>
      <c r="S112" s="46" t="s">
        <v>671</v>
      </c>
      <c r="T112" s="46" t="s">
        <v>672</v>
      </c>
      <c r="U112" s="46" t="b">
        <v>1</v>
      </c>
      <c r="V112" s="46" t="s">
        <v>1028</v>
      </c>
      <c r="W112" s="46" t="s">
        <v>1027</v>
      </c>
      <c r="X112" s="46">
        <v>6</v>
      </c>
      <c r="Y112" s="46" t="b">
        <v>1</v>
      </c>
      <c r="Z112" s="46" t="s">
        <v>675</v>
      </c>
      <c r="AA112" s="46" t="s">
        <v>676</v>
      </c>
      <c r="AB112" s="46" t="s">
        <v>677</v>
      </c>
      <c r="AC112" s="46">
        <v>0</v>
      </c>
      <c r="AD112" s="46" t="s">
        <v>678</v>
      </c>
      <c r="AE112" s="46">
        <v>8</v>
      </c>
      <c r="AF112" s="46" t="s">
        <v>679</v>
      </c>
      <c r="AG112" s="46">
        <v>118950.219</v>
      </c>
      <c r="AH112" s="46" t="b">
        <v>1</v>
      </c>
      <c r="AI112" s="46">
        <v>-1</v>
      </c>
      <c r="AJ112" s="46" t="s">
        <v>680</v>
      </c>
      <c r="AK112" s="46">
        <v>0</v>
      </c>
      <c r="AL112" s="46" t="b">
        <v>0</v>
      </c>
      <c r="AM112" s="46">
        <v>118950.219</v>
      </c>
      <c r="AN112" s="46" t="b">
        <v>1</v>
      </c>
      <c r="AO112" s="46">
        <v>0</v>
      </c>
      <c r="AP112" s="46" t="b">
        <v>0</v>
      </c>
      <c r="AQ112" s="46">
        <v>759756.54200000002</v>
      </c>
      <c r="AS112" s="46">
        <v>759756.54200000002</v>
      </c>
      <c r="AT112" s="46">
        <v>6</v>
      </c>
      <c r="AU112" s="46" t="b">
        <v>0</v>
      </c>
      <c r="AV112" s="46" t="b">
        <v>1</v>
      </c>
    </row>
    <row r="113" spans="2:48">
      <c r="B113" s="46" t="s">
        <v>665</v>
      </c>
      <c r="C113" s="46" t="s">
        <v>666</v>
      </c>
      <c r="D113" s="46">
        <v>20230701</v>
      </c>
      <c r="E113" s="46">
        <v>2023</v>
      </c>
      <c r="F113" s="46">
        <v>7</v>
      </c>
      <c r="G113" s="46" t="s">
        <v>718</v>
      </c>
      <c r="H113" s="46">
        <v>818</v>
      </c>
      <c r="I113" s="46" t="s">
        <v>668</v>
      </c>
      <c r="J113" s="46" t="s">
        <v>57</v>
      </c>
      <c r="K113" s="46" t="s">
        <v>666</v>
      </c>
      <c r="L113" s="46" t="s">
        <v>669</v>
      </c>
      <c r="M113" s="46">
        <v>144</v>
      </c>
      <c r="N113" s="46" t="s">
        <v>1029</v>
      </c>
      <c r="O113" s="46" t="s">
        <v>94</v>
      </c>
      <c r="P113" s="46">
        <v>0</v>
      </c>
      <c r="Q113" s="46" t="s">
        <v>670</v>
      </c>
      <c r="R113" s="46" t="s">
        <v>23</v>
      </c>
      <c r="S113" s="46" t="s">
        <v>671</v>
      </c>
      <c r="T113" s="46" t="s">
        <v>672</v>
      </c>
      <c r="U113" s="46" t="b">
        <v>1</v>
      </c>
      <c r="V113" s="46" t="s">
        <v>1028</v>
      </c>
      <c r="W113" s="46" t="s">
        <v>1027</v>
      </c>
      <c r="X113" s="46">
        <v>6</v>
      </c>
      <c r="Y113" s="46" t="b">
        <v>1</v>
      </c>
      <c r="Z113" s="46" t="s">
        <v>675</v>
      </c>
      <c r="AA113" s="46" t="s">
        <v>676</v>
      </c>
      <c r="AB113" s="46" t="s">
        <v>677</v>
      </c>
      <c r="AC113" s="46">
        <v>0</v>
      </c>
      <c r="AD113" s="46" t="s">
        <v>678</v>
      </c>
      <c r="AE113" s="46">
        <v>8</v>
      </c>
      <c r="AF113" s="46" t="s">
        <v>679</v>
      </c>
      <c r="AG113" s="46">
        <v>393.92700000000002</v>
      </c>
      <c r="AH113" s="46" t="b">
        <v>1</v>
      </c>
      <c r="AI113" s="46">
        <v>-1</v>
      </c>
      <c r="AJ113" s="46" t="s">
        <v>680</v>
      </c>
      <c r="AK113" s="46">
        <v>0</v>
      </c>
      <c r="AL113" s="46" t="b">
        <v>0</v>
      </c>
      <c r="AM113" s="46">
        <v>393.92700000000002</v>
      </c>
      <c r="AN113" s="46" t="b">
        <v>1</v>
      </c>
      <c r="AO113" s="46">
        <v>0</v>
      </c>
      <c r="AP113" s="46" t="b">
        <v>0</v>
      </c>
      <c r="AQ113" s="46">
        <v>2516.0819999999999</v>
      </c>
      <c r="AS113" s="46">
        <v>2516.0819999999999</v>
      </c>
      <c r="AT113" s="46">
        <v>6</v>
      </c>
      <c r="AU113" s="46" t="b">
        <v>1</v>
      </c>
      <c r="AV113" s="46" t="b">
        <v>0</v>
      </c>
    </row>
    <row r="114" spans="2:48">
      <c r="B114" s="46" t="s">
        <v>665</v>
      </c>
      <c r="C114" s="46" t="s">
        <v>666</v>
      </c>
      <c r="D114" s="46">
        <v>20230701</v>
      </c>
      <c r="E114" s="46">
        <v>2023</v>
      </c>
      <c r="F114" s="46">
        <v>7</v>
      </c>
      <c r="G114" s="46" t="s">
        <v>718</v>
      </c>
      <c r="H114" s="46">
        <v>818</v>
      </c>
      <c r="I114" s="46" t="s">
        <v>668</v>
      </c>
      <c r="J114" s="46" t="s">
        <v>57</v>
      </c>
      <c r="K114" s="46" t="s">
        <v>666</v>
      </c>
      <c r="L114" s="46" t="s">
        <v>669</v>
      </c>
      <c r="M114" s="46">
        <v>156</v>
      </c>
      <c r="N114" s="46" t="s">
        <v>711</v>
      </c>
      <c r="O114" s="46" t="s">
        <v>29</v>
      </c>
      <c r="P114" s="46">
        <v>0</v>
      </c>
      <c r="Q114" s="46" t="s">
        <v>670</v>
      </c>
      <c r="R114" s="46" t="s">
        <v>23</v>
      </c>
      <c r="S114" s="46" t="s">
        <v>671</v>
      </c>
      <c r="T114" s="46" t="s">
        <v>672</v>
      </c>
      <c r="U114" s="46" t="b">
        <v>1</v>
      </c>
      <c r="V114" s="46" t="s">
        <v>1028</v>
      </c>
      <c r="W114" s="46" t="s">
        <v>1027</v>
      </c>
      <c r="X114" s="46">
        <v>6</v>
      </c>
      <c r="Y114" s="46" t="b">
        <v>1</v>
      </c>
      <c r="Z114" s="46" t="s">
        <v>675</v>
      </c>
      <c r="AA114" s="46" t="s">
        <v>676</v>
      </c>
      <c r="AB114" s="46" t="s">
        <v>677</v>
      </c>
      <c r="AC114" s="46">
        <v>0</v>
      </c>
      <c r="AD114" s="46" t="s">
        <v>678</v>
      </c>
      <c r="AE114" s="46">
        <v>8</v>
      </c>
      <c r="AF114" s="46" t="s">
        <v>679</v>
      </c>
      <c r="AG114" s="46">
        <v>50662.79</v>
      </c>
      <c r="AH114" s="46" t="b">
        <v>1</v>
      </c>
      <c r="AI114" s="46">
        <v>-1</v>
      </c>
      <c r="AJ114" s="46" t="s">
        <v>680</v>
      </c>
      <c r="AK114" s="46">
        <v>0</v>
      </c>
      <c r="AL114" s="46" t="b">
        <v>0</v>
      </c>
      <c r="AM114" s="46">
        <v>50662.79</v>
      </c>
      <c r="AN114" s="46" t="b">
        <v>1</v>
      </c>
      <c r="AO114" s="46">
        <v>0</v>
      </c>
      <c r="AP114" s="46" t="b">
        <v>0</v>
      </c>
      <c r="AQ114" s="46">
        <v>323592.39199999999</v>
      </c>
      <c r="AS114" s="46">
        <v>323592.39199999999</v>
      </c>
      <c r="AT114" s="46">
        <v>6</v>
      </c>
      <c r="AU114" s="46" t="b">
        <v>1</v>
      </c>
      <c r="AV114" s="46" t="b">
        <v>0</v>
      </c>
    </row>
    <row r="115" spans="2:48">
      <c r="B115" s="46" t="s">
        <v>665</v>
      </c>
      <c r="C115" s="46" t="s">
        <v>666</v>
      </c>
      <c r="D115" s="46">
        <v>20230701</v>
      </c>
      <c r="E115" s="46">
        <v>2023</v>
      </c>
      <c r="F115" s="46">
        <v>7</v>
      </c>
      <c r="G115" s="46" t="s">
        <v>718</v>
      </c>
      <c r="H115" s="46">
        <v>818</v>
      </c>
      <c r="I115" s="46" t="s">
        <v>668</v>
      </c>
      <c r="J115" s="46" t="s">
        <v>57</v>
      </c>
      <c r="K115" s="46" t="s">
        <v>666</v>
      </c>
      <c r="L115" s="46" t="s">
        <v>669</v>
      </c>
      <c r="M115" s="46">
        <v>344</v>
      </c>
      <c r="N115" s="46" t="s">
        <v>989</v>
      </c>
      <c r="O115" s="46" t="s">
        <v>990</v>
      </c>
      <c r="P115" s="46">
        <v>0</v>
      </c>
      <c r="Q115" s="46" t="s">
        <v>670</v>
      </c>
      <c r="R115" s="46" t="s">
        <v>23</v>
      </c>
      <c r="S115" s="46" t="s">
        <v>671</v>
      </c>
      <c r="T115" s="46" t="s">
        <v>672</v>
      </c>
      <c r="U115" s="46" t="b">
        <v>1</v>
      </c>
      <c r="V115" s="46" t="s">
        <v>1028</v>
      </c>
      <c r="W115" s="46" t="s">
        <v>1027</v>
      </c>
      <c r="X115" s="46">
        <v>6</v>
      </c>
      <c r="Y115" s="46" t="b">
        <v>1</v>
      </c>
      <c r="Z115" s="46" t="s">
        <v>675</v>
      </c>
      <c r="AA115" s="46" t="s">
        <v>676</v>
      </c>
      <c r="AB115" s="46" t="s">
        <v>677</v>
      </c>
      <c r="AC115" s="46">
        <v>0</v>
      </c>
      <c r="AD115" s="46" t="s">
        <v>678</v>
      </c>
      <c r="AE115" s="46">
        <v>8</v>
      </c>
      <c r="AF115" s="46" t="s">
        <v>679</v>
      </c>
      <c r="AG115" s="46">
        <v>1871.1610000000001</v>
      </c>
      <c r="AH115" s="46" t="b">
        <v>1</v>
      </c>
      <c r="AI115" s="46">
        <v>-1</v>
      </c>
      <c r="AJ115" s="46" t="s">
        <v>680</v>
      </c>
      <c r="AK115" s="46">
        <v>0</v>
      </c>
      <c r="AL115" s="46" t="b">
        <v>0</v>
      </c>
      <c r="AM115" s="46">
        <v>1871.1610000000001</v>
      </c>
      <c r="AN115" s="46" t="b">
        <v>1</v>
      </c>
      <c r="AO115" s="46">
        <v>0</v>
      </c>
      <c r="AP115" s="46" t="b">
        <v>0</v>
      </c>
      <c r="AQ115" s="46">
        <v>11951.446</v>
      </c>
      <c r="AS115" s="46">
        <v>11951.446</v>
      </c>
      <c r="AT115" s="46">
        <v>6</v>
      </c>
      <c r="AU115" s="46" t="b">
        <v>1</v>
      </c>
      <c r="AV115" s="46" t="b">
        <v>0</v>
      </c>
    </row>
    <row r="116" spans="2:48">
      <c r="B116" s="46" t="s">
        <v>665</v>
      </c>
      <c r="C116" s="46" t="s">
        <v>666</v>
      </c>
      <c r="D116" s="46">
        <v>20230701</v>
      </c>
      <c r="E116" s="46">
        <v>2023</v>
      </c>
      <c r="F116" s="46">
        <v>7</v>
      </c>
      <c r="G116" s="46" t="s">
        <v>718</v>
      </c>
      <c r="H116" s="46">
        <v>818</v>
      </c>
      <c r="I116" s="46" t="s">
        <v>668</v>
      </c>
      <c r="J116" s="46" t="s">
        <v>57</v>
      </c>
      <c r="K116" s="46" t="s">
        <v>666</v>
      </c>
      <c r="L116" s="46" t="s">
        <v>669</v>
      </c>
      <c r="M116" s="46">
        <v>380</v>
      </c>
      <c r="N116" s="46" t="s">
        <v>689</v>
      </c>
      <c r="O116" s="46" t="s">
        <v>71</v>
      </c>
      <c r="P116" s="46">
        <v>0</v>
      </c>
      <c r="Q116" s="46" t="s">
        <v>670</v>
      </c>
      <c r="R116" s="46" t="s">
        <v>23</v>
      </c>
      <c r="S116" s="46" t="s">
        <v>671</v>
      </c>
      <c r="T116" s="46" t="s">
        <v>672</v>
      </c>
      <c r="U116" s="46" t="b">
        <v>1</v>
      </c>
      <c r="V116" s="46" t="s">
        <v>1028</v>
      </c>
      <c r="W116" s="46" t="s">
        <v>1027</v>
      </c>
      <c r="X116" s="46">
        <v>6</v>
      </c>
      <c r="Y116" s="46" t="b">
        <v>1</v>
      </c>
      <c r="Z116" s="46" t="s">
        <v>675</v>
      </c>
      <c r="AA116" s="46" t="s">
        <v>676</v>
      </c>
      <c r="AB116" s="46" t="s">
        <v>677</v>
      </c>
      <c r="AC116" s="46">
        <v>0</v>
      </c>
      <c r="AD116" s="46" t="s">
        <v>678</v>
      </c>
      <c r="AE116" s="46">
        <v>8</v>
      </c>
      <c r="AF116" s="46" t="s">
        <v>679</v>
      </c>
      <c r="AG116" s="46">
        <v>27781.496999999999</v>
      </c>
      <c r="AH116" s="46" t="b">
        <v>1</v>
      </c>
      <c r="AI116" s="46">
        <v>-1</v>
      </c>
      <c r="AJ116" s="46" t="s">
        <v>680</v>
      </c>
      <c r="AK116" s="46">
        <v>0</v>
      </c>
      <c r="AL116" s="46" t="b">
        <v>0</v>
      </c>
      <c r="AM116" s="46">
        <v>27781.496999999999</v>
      </c>
      <c r="AN116" s="46" t="b">
        <v>1</v>
      </c>
      <c r="AO116" s="46">
        <v>0</v>
      </c>
      <c r="AP116" s="46" t="b">
        <v>0</v>
      </c>
      <c r="AQ116" s="46">
        <v>177445.44500000001</v>
      </c>
      <c r="AS116" s="46">
        <v>177445.44500000001</v>
      </c>
      <c r="AT116" s="46">
        <v>6</v>
      </c>
      <c r="AU116" s="46" t="b">
        <v>1</v>
      </c>
      <c r="AV116" s="46" t="b">
        <v>0</v>
      </c>
    </row>
    <row r="117" spans="2:48">
      <c r="B117" s="46" t="s">
        <v>665</v>
      </c>
      <c r="C117" s="46" t="s">
        <v>666</v>
      </c>
      <c r="D117" s="46">
        <v>20230701</v>
      </c>
      <c r="E117" s="46">
        <v>2023</v>
      </c>
      <c r="F117" s="46">
        <v>7</v>
      </c>
      <c r="G117" s="46" t="s">
        <v>718</v>
      </c>
      <c r="H117" s="46">
        <v>818</v>
      </c>
      <c r="I117" s="46" t="s">
        <v>668</v>
      </c>
      <c r="J117" s="46" t="s">
        <v>57</v>
      </c>
      <c r="K117" s="46" t="s">
        <v>666</v>
      </c>
      <c r="L117" s="46" t="s">
        <v>669</v>
      </c>
      <c r="M117" s="46">
        <v>392</v>
      </c>
      <c r="N117" s="46" t="s">
        <v>747</v>
      </c>
      <c r="O117" s="46" t="s">
        <v>32</v>
      </c>
      <c r="P117" s="46">
        <v>0</v>
      </c>
      <c r="Q117" s="46" t="s">
        <v>670</v>
      </c>
      <c r="R117" s="46" t="s">
        <v>23</v>
      </c>
      <c r="S117" s="46" t="s">
        <v>671</v>
      </c>
      <c r="T117" s="46" t="s">
        <v>672</v>
      </c>
      <c r="U117" s="46" t="b">
        <v>1</v>
      </c>
      <c r="V117" s="46" t="s">
        <v>1028</v>
      </c>
      <c r="W117" s="46" t="s">
        <v>1027</v>
      </c>
      <c r="X117" s="46">
        <v>6</v>
      </c>
      <c r="Y117" s="46" t="b">
        <v>1</v>
      </c>
      <c r="Z117" s="46" t="s">
        <v>675</v>
      </c>
      <c r="AA117" s="46" t="s">
        <v>676</v>
      </c>
      <c r="AB117" s="46" t="s">
        <v>677</v>
      </c>
      <c r="AC117" s="46">
        <v>0</v>
      </c>
      <c r="AD117" s="46" t="s">
        <v>678</v>
      </c>
      <c r="AE117" s="46">
        <v>8</v>
      </c>
      <c r="AF117" s="46" t="s">
        <v>679</v>
      </c>
      <c r="AG117" s="46">
        <v>335.59899999999999</v>
      </c>
      <c r="AH117" s="46" t="b">
        <v>1</v>
      </c>
      <c r="AI117" s="46">
        <v>-1</v>
      </c>
      <c r="AJ117" s="46" t="s">
        <v>680</v>
      </c>
      <c r="AK117" s="46">
        <v>0</v>
      </c>
      <c r="AL117" s="46" t="b">
        <v>0</v>
      </c>
      <c r="AM117" s="46">
        <v>335.59899999999999</v>
      </c>
      <c r="AN117" s="46" t="b">
        <v>1</v>
      </c>
      <c r="AO117" s="46">
        <v>0</v>
      </c>
      <c r="AP117" s="46" t="b">
        <v>0</v>
      </c>
      <c r="AQ117" s="46">
        <v>2143.5300000000002</v>
      </c>
      <c r="AS117" s="46">
        <v>2143.5300000000002</v>
      </c>
      <c r="AT117" s="46">
        <v>6</v>
      </c>
      <c r="AU117" s="46" t="b">
        <v>1</v>
      </c>
      <c r="AV117" s="46" t="b">
        <v>0</v>
      </c>
    </row>
    <row r="118" spans="2:48">
      <c r="B118" s="46" t="s">
        <v>665</v>
      </c>
      <c r="C118" s="46" t="s">
        <v>666</v>
      </c>
      <c r="D118" s="46">
        <v>20230701</v>
      </c>
      <c r="E118" s="46">
        <v>2023</v>
      </c>
      <c r="F118" s="46">
        <v>7</v>
      </c>
      <c r="G118" s="46" t="s">
        <v>718</v>
      </c>
      <c r="H118" s="46">
        <v>818</v>
      </c>
      <c r="I118" s="46" t="s">
        <v>668</v>
      </c>
      <c r="J118" s="46" t="s">
        <v>57</v>
      </c>
      <c r="K118" s="46" t="s">
        <v>666</v>
      </c>
      <c r="L118" s="46" t="s">
        <v>669</v>
      </c>
      <c r="M118" s="46">
        <v>410</v>
      </c>
      <c r="N118" s="46" t="s">
        <v>754</v>
      </c>
      <c r="O118" s="46" t="s">
        <v>755</v>
      </c>
      <c r="P118" s="46">
        <v>0</v>
      </c>
      <c r="Q118" s="46" t="s">
        <v>670</v>
      </c>
      <c r="R118" s="46" t="s">
        <v>23</v>
      </c>
      <c r="S118" s="46" t="s">
        <v>671</v>
      </c>
      <c r="T118" s="46" t="s">
        <v>672</v>
      </c>
      <c r="U118" s="46" t="b">
        <v>1</v>
      </c>
      <c r="V118" s="46" t="s">
        <v>1028</v>
      </c>
      <c r="W118" s="46" t="s">
        <v>1027</v>
      </c>
      <c r="X118" s="46">
        <v>6</v>
      </c>
      <c r="Y118" s="46" t="b">
        <v>1</v>
      </c>
      <c r="Z118" s="46" t="s">
        <v>675</v>
      </c>
      <c r="AA118" s="46" t="s">
        <v>676</v>
      </c>
      <c r="AB118" s="46" t="s">
        <v>677</v>
      </c>
      <c r="AC118" s="46">
        <v>0</v>
      </c>
      <c r="AD118" s="46" t="s">
        <v>678</v>
      </c>
      <c r="AE118" s="46">
        <v>8</v>
      </c>
      <c r="AF118" s="46" t="s">
        <v>679</v>
      </c>
      <c r="AG118" s="46">
        <v>938.38</v>
      </c>
      <c r="AH118" s="46" t="b">
        <v>1</v>
      </c>
      <c r="AI118" s="46">
        <v>-1</v>
      </c>
      <c r="AJ118" s="46" t="s">
        <v>680</v>
      </c>
      <c r="AK118" s="46">
        <v>0</v>
      </c>
      <c r="AL118" s="46" t="b">
        <v>0</v>
      </c>
      <c r="AM118" s="46">
        <v>938.38</v>
      </c>
      <c r="AN118" s="46" t="b">
        <v>1</v>
      </c>
      <c r="AO118" s="46">
        <v>0</v>
      </c>
      <c r="AP118" s="46" t="b">
        <v>0</v>
      </c>
      <c r="AQ118" s="46">
        <v>5993.6009999999997</v>
      </c>
      <c r="AS118" s="46">
        <v>5993.6009999999997</v>
      </c>
      <c r="AT118" s="46">
        <v>6</v>
      </c>
      <c r="AU118" s="46" t="b">
        <v>1</v>
      </c>
      <c r="AV118" s="46" t="b">
        <v>0</v>
      </c>
    </row>
    <row r="119" spans="2:48">
      <c r="B119" s="46" t="s">
        <v>665</v>
      </c>
      <c r="C119" s="46" t="s">
        <v>666</v>
      </c>
      <c r="D119" s="46">
        <v>20230701</v>
      </c>
      <c r="E119" s="46">
        <v>2023</v>
      </c>
      <c r="F119" s="46">
        <v>7</v>
      </c>
      <c r="G119" s="46" t="s">
        <v>718</v>
      </c>
      <c r="H119" s="46">
        <v>818</v>
      </c>
      <c r="I119" s="46" t="s">
        <v>668</v>
      </c>
      <c r="J119" s="46" t="s">
        <v>57</v>
      </c>
      <c r="K119" s="46" t="s">
        <v>666</v>
      </c>
      <c r="L119" s="46" t="s">
        <v>669</v>
      </c>
      <c r="M119" s="46">
        <v>490</v>
      </c>
      <c r="N119" s="46" t="s">
        <v>762</v>
      </c>
      <c r="O119" s="46" t="s">
        <v>763</v>
      </c>
      <c r="P119" s="46">
        <v>0</v>
      </c>
      <c r="Q119" s="46" t="s">
        <v>670</v>
      </c>
      <c r="R119" s="46" t="s">
        <v>23</v>
      </c>
      <c r="S119" s="46" t="s">
        <v>671</v>
      </c>
      <c r="T119" s="46" t="s">
        <v>672</v>
      </c>
      <c r="U119" s="46" t="b">
        <v>1</v>
      </c>
      <c r="V119" s="46" t="s">
        <v>1028</v>
      </c>
      <c r="W119" s="46" t="s">
        <v>1027</v>
      </c>
      <c r="X119" s="46">
        <v>6</v>
      </c>
      <c r="Y119" s="46" t="b">
        <v>1</v>
      </c>
      <c r="Z119" s="46" t="s">
        <v>675</v>
      </c>
      <c r="AA119" s="46" t="s">
        <v>676</v>
      </c>
      <c r="AB119" s="46" t="s">
        <v>677</v>
      </c>
      <c r="AC119" s="46">
        <v>0</v>
      </c>
      <c r="AD119" s="46" t="s">
        <v>678</v>
      </c>
      <c r="AE119" s="46">
        <v>8</v>
      </c>
      <c r="AF119" s="46" t="s">
        <v>679</v>
      </c>
      <c r="AG119" s="46">
        <v>2460.636</v>
      </c>
      <c r="AH119" s="46" t="b">
        <v>1</v>
      </c>
      <c r="AI119" s="46">
        <v>-1</v>
      </c>
      <c r="AJ119" s="46" t="s">
        <v>680</v>
      </c>
      <c r="AK119" s="46">
        <v>0</v>
      </c>
      <c r="AL119" s="46" t="b">
        <v>0</v>
      </c>
      <c r="AM119" s="46">
        <v>2460.636</v>
      </c>
      <c r="AN119" s="46" t="b">
        <v>1</v>
      </c>
      <c r="AO119" s="46">
        <v>0</v>
      </c>
      <c r="AP119" s="46" t="b">
        <v>0</v>
      </c>
      <c r="AQ119" s="46">
        <v>15716.526</v>
      </c>
      <c r="AS119" s="46">
        <v>15716.526</v>
      </c>
      <c r="AT119" s="46">
        <v>6</v>
      </c>
      <c r="AU119" s="46" t="b">
        <v>1</v>
      </c>
      <c r="AV119" s="46" t="b">
        <v>0</v>
      </c>
    </row>
    <row r="120" spans="2:48">
      <c r="B120" s="46" t="s">
        <v>665</v>
      </c>
      <c r="C120" s="46" t="s">
        <v>666</v>
      </c>
      <c r="D120" s="46">
        <v>20230701</v>
      </c>
      <c r="E120" s="46">
        <v>2023</v>
      </c>
      <c r="F120" s="46">
        <v>7</v>
      </c>
      <c r="G120" s="46" t="s">
        <v>718</v>
      </c>
      <c r="H120" s="46">
        <v>818</v>
      </c>
      <c r="I120" s="46" t="s">
        <v>668</v>
      </c>
      <c r="J120" s="46" t="s">
        <v>57</v>
      </c>
      <c r="K120" s="46" t="s">
        <v>666</v>
      </c>
      <c r="L120" s="46" t="s">
        <v>669</v>
      </c>
      <c r="M120" s="46">
        <v>528</v>
      </c>
      <c r="N120" s="46" t="s">
        <v>698</v>
      </c>
      <c r="O120" s="46" t="s">
        <v>60</v>
      </c>
      <c r="P120" s="46">
        <v>0</v>
      </c>
      <c r="Q120" s="46" t="s">
        <v>670</v>
      </c>
      <c r="R120" s="46" t="s">
        <v>23</v>
      </c>
      <c r="S120" s="46" t="s">
        <v>671</v>
      </c>
      <c r="T120" s="46" t="s">
        <v>672</v>
      </c>
      <c r="U120" s="46" t="b">
        <v>1</v>
      </c>
      <c r="V120" s="46" t="s">
        <v>1028</v>
      </c>
      <c r="W120" s="46" t="s">
        <v>1027</v>
      </c>
      <c r="X120" s="46">
        <v>6</v>
      </c>
      <c r="Y120" s="46" t="b">
        <v>1</v>
      </c>
      <c r="Z120" s="46" t="s">
        <v>675</v>
      </c>
      <c r="AA120" s="46" t="s">
        <v>676</v>
      </c>
      <c r="AB120" s="46" t="s">
        <v>677</v>
      </c>
      <c r="AC120" s="46">
        <v>0</v>
      </c>
      <c r="AD120" s="46" t="s">
        <v>678</v>
      </c>
      <c r="AE120" s="46">
        <v>8</v>
      </c>
      <c r="AF120" s="46" t="s">
        <v>679</v>
      </c>
      <c r="AG120" s="46">
        <v>15.475</v>
      </c>
      <c r="AH120" s="46" t="b">
        <v>1</v>
      </c>
      <c r="AI120" s="46">
        <v>-1</v>
      </c>
      <c r="AJ120" s="46" t="s">
        <v>680</v>
      </c>
      <c r="AK120" s="46">
        <v>0</v>
      </c>
      <c r="AL120" s="46" t="b">
        <v>0</v>
      </c>
      <c r="AM120" s="46">
        <v>15.475</v>
      </c>
      <c r="AN120" s="46" t="b">
        <v>1</v>
      </c>
      <c r="AO120" s="46">
        <v>0</v>
      </c>
      <c r="AP120" s="46" t="b">
        <v>0</v>
      </c>
      <c r="AQ120" s="46">
        <v>98.841999999999999</v>
      </c>
      <c r="AS120" s="46">
        <v>98.841999999999999</v>
      </c>
      <c r="AT120" s="46">
        <v>6</v>
      </c>
      <c r="AU120" s="46" t="b">
        <v>1</v>
      </c>
      <c r="AV120" s="46" t="b">
        <v>0</v>
      </c>
    </row>
    <row r="121" spans="2:48">
      <c r="B121" s="46" t="s">
        <v>665</v>
      </c>
      <c r="C121" s="46" t="s">
        <v>666</v>
      </c>
      <c r="D121" s="46">
        <v>20230701</v>
      </c>
      <c r="E121" s="46">
        <v>2023</v>
      </c>
      <c r="F121" s="46">
        <v>7</v>
      </c>
      <c r="G121" s="46" t="s">
        <v>718</v>
      </c>
      <c r="H121" s="46">
        <v>818</v>
      </c>
      <c r="I121" s="46" t="s">
        <v>668</v>
      </c>
      <c r="J121" s="46" t="s">
        <v>57</v>
      </c>
      <c r="K121" s="46" t="s">
        <v>666</v>
      </c>
      <c r="L121" s="46" t="s">
        <v>669</v>
      </c>
      <c r="M121" s="46">
        <v>682</v>
      </c>
      <c r="N121" s="46" t="s">
        <v>758</v>
      </c>
      <c r="O121" s="46" t="s">
        <v>39</v>
      </c>
      <c r="P121" s="46">
        <v>0</v>
      </c>
      <c r="Q121" s="46" t="s">
        <v>670</v>
      </c>
      <c r="R121" s="46" t="s">
        <v>23</v>
      </c>
      <c r="S121" s="46" t="s">
        <v>671</v>
      </c>
      <c r="T121" s="46" t="s">
        <v>672</v>
      </c>
      <c r="U121" s="46" t="b">
        <v>1</v>
      </c>
      <c r="V121" s="46" t="s">
        <v>1028</v>
      </c>
      <c r="W121" s="46" t="s">
        <v>1027</v>
      </c>
      <c r="X121" s="46">
        <v>6</v>
      </c>
      <c r="Y121" s="46" t="b">
        <v>1</v>
      </c>
      <c r="Z121" s="46" t="s">
        <v>675</v>
      </c>
      <c r="AA121" s="46" t="s">
        <v>676</v>
      </c>
      <c r="AB121" s="46" t="s">
        <v>677</v>
      </c>
      <c r="AC121" s="46">
        <v>0</v>
      </c>
      <c r="AD121" s="46" t="s">
        <v>678</v>
      </c>
      <c r="AE121" s="46">
        <v>8</v>
      </c>
      <c r="AF121" s="46" t="s">
        <v>679</v>
      </c>
      <c r="AG121" s="46">
        <v>136.88300000000001</v>
      </c>
      <c r="AH121" s="46" t="b">
        <v>1</v>
      </c>
      <c r="AI121" s="46">
        <v>-1</v>
      </c>
      <c r="AJ121" s="46" t="s">
        <v>680</v>
      </c>
      <c r="AK121" s="46">
        <v>0</v>
      </c>
      <c r="AL121" s="46" t="b">
        <v>0</v>
      </c>
      <c r="AM121" s="46">
        <v>136.88300000000001</v>
      </c>
      <c r="AN121" s="46" t="b">
        <v>1</v>
      </c>
      <c r="AO121" s="46">
        <v>0</v>
      </c>
      <c r="AP121" s="46" t="b">
        <v>0</v>
      </c>
      <c r="AQ121" s="46">
        <v>874.29899999999998</v>
      </c>
      <c r="AS121" s="46">
        <v>874.29899999999998</v>
      </c>
      <c r="AT121" s="46">
        <v>6</v>
      </c>
      <c r="AU121" s="46" t="b">
        <v>1</v>
      </c>
      <c r="AV121" s="46" t="b">
        <v>0</v>
      </c>
    </row>
    <row r="122" spans="2:48">
      <c r="B122" s="46" t="s">
        <v>665</v>
      </c>
      <c r="C122" s="46" t="s">
        <v>666</v>
      </c>
      <c r="D122" s="46">
        <v>20230701</v>
      </c>
      <c r="E122" s="46">
        <v>2023</v>
      </c>
      <c r="F122" s="46">
        <v>7</v>
      </c>
      <c r="G122" s="46" t="s">
        <v>718</v>
      </c>
      <c r="H122" s="46">
        <v>818</v>
      </c>
      <c r="I122" s="46" t="s">
        <v>668</v>
      </c>
      <c r="J122" s="46" t="s">
        <v>57</v>
      </c>
      <c r="K122" s="46" t="s">
        <v>666</v>
      </c>
      <c r="L122" s="46" t="s">
        <v>669</v>
      </c>
      <c r="M122" s="46">
        <v>699</v>
      </c>
      <c r="N122" s="46" t="s">
        <v>748</v>
      </c>
      <c r="O122" s="46" t="s">
        <v>0</v>
      </c>
      <c r="P122" s="46">
        <v>0</v>
      </c>
      <c r="Q122" s="46" t="s">
        <v>670</v>
      </c>
      <c r="R122" s="46" t="s">
        <v>23</v>
      </c>
      <c r="S122" s="46" t="s">
        <v>671</v>
      </c>
      <c r="T122" s="46" t="s">
        <v>672</v>
      </c>
      <c r="U122" s="46" t="b">
        <v>1</v>
      </c>
      <c r="V122" s="46" t="s">
        <v>1028</v>
      </c>
      <c r="W122" s="46" t="s">
        <v>1027</v>
      </c>
      <c r="X122" s="46">
        <v>6</v>
      </c>
      <c r="Y122" s="46" t="b">
        <v>1</v>
      </c>
      <c r="Z122" s="46" t="s">
        <v>675</v>
      </c>
      <c r="AA122" s="46" t="s">
        <v>676</v>
      </c>
      <c r="AB122" s="46" t="s">
        <v>677</v>
      </c>
      <c r="AC122" s="46">
        <v>0</v>
      </c>
      <c r="AD122" s="46" t="s">
        <v>678</v>
      </c>
      <c r="AE122" s="46">
        <v>8</v>
      </c>
      <c r="AF122" s="46" t="s">
        <v>679</v>
      </c>
      <c r="AG122" s="46">
        <v>11571.611999999999</v>
      </c>
      <c r="AH122" s="46" t="b">
        <v>1</v>
      </c>
      <c r="AI122" s="46">
        <v>-1</v>
      </c>
      <c r="AJ122" s="46" t="s">
        <v>680</v>
      </c>
      <c r="AK122" s="46">
        <v>0</v>
      </c>
      <c r="AL122" s="46" t="b">
        <v>0</v>
      </c>
      <c r="AM122" s="46">
        <v>11571.611999999999</v>
      </c>
      <c r="AN122" s="46" t="b">
        <v>1</v>
      </c>
      <c r="AO122" s="46">
        <v>0</v>
      </c>
      <c r="AP122" s="46" t="b">
        <v>0</v>
      </c>
      <c r="AQ122" s="46">
        <v>73909.976999999999</v>
      </c>
      <c r="AS122" s="46">
        <v>73909.976999999999</v>
      </c>
      <c r="AT122" s="46">
        <v>6</v>
      </c>
      <c r="AU122" s="46" t="b">
        <v>1</v>
      </c>
      <c r="AV122" s="46" t="b">
        <v>0</v>
      </c>
    </row>
    <row r="123" spans="2:48">
      <c r="B123" s="46" t="s">
        <v>665</v>
      </c>
      <c r="C123" s="46" t="s">
        <v>666</v>
      </c>
      <c r="D123" s="46">
        <v>20230701</v>
      </c>
      <c r="E123" s="46">
        <v>2023</v>
      </c>
      <c r="F123" s="46">
        <v>7</v>
      </c>
      <c r="G123" s="46" t="s">
        <v>718</v>
      </c>
      <c r="H123" s="46">
        <v>818</v>
      </c>
      <c r="I123" s="46" t="s">
        <v>668</v>
      </c>
      <c r="J123" s="46" t="s">
        <v>57</v>
      </c>
      <c r="K123" s="46" t="s">
        <v>666</v>
      </c>
      <c r="L123" s="46" t="s">
        <v>669</v>
      </c>
      <c r="M123" s="46">
        <v>704</v>
      </c>
      <c r="N123" s="46" t="s">
        <v>756</v>
      </c>
      <c r="O123" s="46" t="s">
        <v>59</v>
      </c>
      <c r="P123" s="46">
        <v>0</v>
      </c>
      <c r="Q123" s="46" t="s">
        <v>670</v>
      </c>
      <c r="R123" s="46" t="s">
        <v>23</v>
      </c>
      <c r="S123" s="46" t="s">
        <v>671</v>
      </c>
      <c r="T123" s="46" t="s">
        <v>672</v>
      </c>
      <c r="U123" s="46" t="b">
        <v>1</v>
      </c>
      <c r="V123" s="46" t="s">
        <v>1028</v>
      </c>
      <c r="W123" s="46" t="s">
        <v>1027</v>
      </c>
      <c r="X123" s="46">
        <v>6</v>
      </c>
      <c r="Y123" s="46" t="b">
        <v>1</v>
      </c>
      <c r="Z123" s="46" t="s">
        <v>675</v>
      </c>
      <c r="AA123" s="46" t="s">
        <v>676</v>
      </c>
      <c r="AB123" s="46" t="s">
        <v>677</v>
      </c>
      <c r="AC123" s="46">
        <v>0</v>
      </c>
      <c r="AD123" s="46" t="s">
        <v>678</v>
      </c>
      <c r="AE123" s="46">
        <v>8</v>
      </c>
      <c r="AF123" s="46" t="s">
        <v>679</v>
      </c>
      <c r="AG123" s="46">
        <v>1679.5</v>
      </c>
      <c r="AH123" s="46" t="b">
        <v>1</v>
      </c>
      <c r="AI123" s="46">
        <v>-1</v>
      </c>
      <c r="AJ123" s="46" t="s">
        <v>680</v>
      </c>
      <c r="AK123" s="46">
        <v>0</v>
      </c>
      <c r="AL123" s="46" t="b">
        <v>0</v>
      </c>
      <c r="AM123" s="46">
        <v>1679.5</v>
      </c>
      <c r="AN123" s="46" t="b">
        <v>1</v>
      </c>
      <c r="AO123" s="46">
        <v>0</v>
      </c>
      <c r="AP123" s="46" t="b">
        <v>0</v>
      </c>
      <c r="AQ123" s="46">
        <v>10727.267</v>
      </c>
      <c r="AS123" s="46">
        <v>10727.267</v>
      </c>
      <c r="AT123" s="46">
        <v>6</v>
      </c>
      <c r="AU123" s="46" t="b">
        <v>1</v>
      </c>
      <c r="AV123" s="46" t="b">
        <v>0</v>
      </c>
    </row>
    <row r="124" spans="2:48">
      <c r="B124" s="46" t="s">
        <v>665</v>
      </c>
      <c r="C124" s="46" t="s">
        <v>666</v>
      </c>
      <c r="D124" s="46">
        <v>20230701</v>
      </c>
      <c r="E124" s="46">
        <v>2023</v>
      </c>
      <c r="F124" s="46">
        <v>7</v>
      </c>
      <c r="G124" s="46" t="s">
        <v>718</v>
      </c>
      <c r="H124" s="46">
        <v>818</v>
      </c>
      <c r="I124" s="46" t="s">
        <v>668</v>
      </c>
      <c r="J124" s="46" t="s">
        <v>57</v>
      </c>
      <c r="K124" s="46" t="s">
        <v>666</v>
      </c>
      <c r="L124" s="46" t="s">
        <v>669</v>
      </c>
      <c r="M124" s="46">
        <v>724</v>
      </c>
      <c r="N124" s="46" t="s">
        <v>684</v>
      </c>
      <c r="O124" s="46" t="s">
        <v>51</v>
      </c>
      <c r="P124" s="46">
        <v>0</v>
      </c>
      <c r="Q124" s="46" t="s">
        <v>670</v>
      </c>
      <c r="R124" s="46" t="s">
        <v>23</v>
      </c>
      <c r="S124" s="46" t="s">
        <v>671</v>
      </c>
      <c r="T124" s="46" t="s">
        <v>672</v>
      </c>
      <c r="U124" s="46" t="b">
        <v>1</v>
      </c>
      <c r="V124" s="46" t="s">
        <v>1028</v>
      </c>
      <c r="W124" s="46" t="s">
        <v>1027</v>
      </c>
      <c r="X124" s="46">
        <v>6</v>
      </c>
      <c r="Y124" s="46" t="b">
        <v>1</v>
      </c>
      <c r="Z124" s="46" t="s">
        <v>675</v>
      </c>
      <c r="AA124" s="46" t="s">
        <v>676</v>
      </c>
      <c r="AB124" s="46" t="s">
        <v>677</v>
      </c>
      <c r="AC124" s="46">
        <v>0</v>
      </c>
      <c r="AD124" s="46" t="s">
        <v>678</v>
      </c>
      <c r="AE124" s="46">
        <v>8</v>
      </c>
      <c r="AF124" s="46" t="s">
        <v>679</v>
      </c>
      <c r="AG124" s="46">
        <v>949.28599999999994</v>
      </c>
      <c r="AH124" s="46" t="b">
        <v>1</v>
      </c>
      <c r="AI124" s="46">
        <v>-1</v>
      </c>
      <c r="AJ124" s="46" t="s">
        <v>680</v>
      </c>
      <c r="AK124" s="46">
        <v>0</v>
      </c>
      <c r="AL124" s="46" t="b">
        <v>0</v>
      </c>
      <c r="AM124" s="46">
        <v>949.28599999999994</v>
      </c>
      <c r="AN124" s="46" t="b">
        <v>1</v>
      </c>
      <c r="AO124" s="46">
        <v>0</v>
      </c>
      <c r="AP124" s="46" t="b">
        <v>0</v>
      </c>
      <c r="AQ124" s="46">
        <v>6063.259</v>
      </c>
      <c r="AS124" s="46">
        <v>6063.259</v>
      </c>
      <c r="AT124" s="46">
        <v>6</v>
      </c>
      <c r="AU124" s="46" t="b">
        <v>1</v>
      </c>
      <c r="AV124" s="46" t="b">
        <v>0</v>
      </c>
    </row>
    <row r="125" spans="2:48">
      <c r="B125" s="46" t="s">
        <v>665</v>
      </c>
      <c r="C125" s="46" t="s">
        <v>666</v>
      </c>
      <c r="D125" s="46">
        <v>20230701</v>
      </c>
      <c r="E125" s="46">
        <v>2023</v>
      </c>
      <c r="F125" s="46">
        <v>7</v>
      </c>
      <c r="G125" s="46" t="s">
        <v>718</v>
      </c>
      <c r="H125" s="46">
        <v>818</v>
      </c>
      <c r="I125" s="46" t="s">
        <v>668</v>
      </c>
      <c r="J125" s="46" t="s">
        <v>57</v>
      </c>
      <c r="K125" s="46" t="s">
        <v>666</v>
      </c>
      <c r="L125" s="46" t="s">
        <v>669</v>
      </c>
      <c r="M125" s="46">
        <v>764</v>
      </c>
      <c r="N125" s="46" t="s">
        <v>749</v>
      </c>
      <c r="O125" s="46" t="s">
        <v>55</v>
      </c>
      <c r="P125" s="46">
        <v>0</v>
      </c>
      <c r="Q125" s="46" t="s">
        <v>670</v>
      </c>
      <c r="R125" s="46" t="s">
        <v>23</v>
      </c>
      <c r="S125" s="46" t="s">
        <v>671</v>
      </c>
      <c r="T125" s="46" t="s">
        <v>672</v>
      </c>
      <c r="U125" s="46" t="b">
        <v>1</v>
      </c>
      <c r="V125" s="46" t="s">
        <v>1028</v>
      </c>
      <c r="W125" s="46" t="s">
        <v>1027</v>
      </c>
      <c r="X125" s="46">
        <v>6</v>
      </c>
      <c r="Y125" s="46" t="b">
        <v>1</v>
      </c>
      <c r="Z125" s="46" t="s">
        <v>675</v>
      </c>
      <c r="AA125" s="46" t="s">
        <v>676</v>
      </c>
      <c r="AB125" s="46" t="s">
        <v>677</v>
      </c>
      <c r="AC125" s="46">
        <v>0</v>
      </c>
      <c r="AD125" s="46" t="s">
        <v>678</v>
      </c>
      <c r="AE125" s="46">
        <v>8</v>
      </c>
      <c r="AF125" s="46" t="s">
        <v>679</v>
      </c>
      <c r="AG125" s="46">
        <v>8400.0319999999992</v>
      </c>
      <c r="AH125" s="46" t="b">
        <v>1</v>
      </c>
      <c r="AI125" s="46">
        <v>-1</v>
      </c>
      <c r="AJ125" s="46" t="s">
        <v>680</v>
      </c>
      <c r="AK125" s="46">
        <v>0</v>
      </c>
      <c r="AL125" s="46" t="b">
        <v>0</v>
      </c>
      <c r="AM125" s="46">
        <v>8400.0319999999992</v>
      </c>
      <c r="AN125" s="46" t="b">
        <v>1</v>
      </c>
      <c r="AO125" s="46">
        <v>0</v>
      </c>
      <c r="AP125" s="46" t="b">
        <v>0</v>
      </c>
      <c r="AQ125" s="46">
        <v>53652.52</v>
      </c>
      <c r="AS125" s="46">
        <v>53652.52</v>
      </c>
      <c r="AT125" s="46">
        <v>6</v>
      </c>
      <c r="AU125" s="46" t="b">
        <v>1</v>
      </c>
      <c r="AV125" s="46" t="b">
        <v>0</v>
      </c>
    </row>
    <row r="126" spans="2:48">
      <c r="B126" s="46" t="s">
        <v>665</v>
      </c>
      <c r="C126" s="46" t="s">
        <v>666</v>
      </c>
      <c r="D126" s="46">
        <v>20230701</v>
      </c>
      <c r="E126" s="46">
        <v>2023</v>
      </c>
      <c r="F126" s="46">
        <v>7</v>
      </c>
      <c r="G126" s="46" t="s">
        <v>718</v>
      </c>
      <c r="H126" s="46">
        <v>818</v>
      </c>
      <c r="I126" s="46" t="s">
        <v>668</v>
      </c>
      <c r="J126" s="46" t="s">
        <v>57</v>
      </c>
      <c r="K126" s="46" t="s">
        <v>666</v>
      </c>
      <c r="L126" s="46" t="s">
        <v>669</v>
      </c>
      <c r="M126" s="46">
        <v>784</v>
      </c>
      <c r="N126" s="46" t="s">
        <v>694</v>
      </c>
      <c r="O126" s="46" t="s">
        <v>25</v>
      </c>
      <c r="P126" s="46">
        <v>0</v>
      </c>
      <c r="Q126" s="46" t="s">
        <v>670</v>
      </c>
      <c r="R126" s="46" t="s">
        <v>23</v>
      </c>
      <c r="S126" s="46" t="s">
        <v>671</v>
      </c>
      <c r="T126" s="46" t="s">
        <v>672</v>
      </c>
      <c r="U126" s="46" t="b">
        <v>1</v>
      </c>
      <c r="V126" s="46" t="s">
        <v>1028</v>
      </c>
      <c r="W126" s="46" t="s">
        <v>1027</v>
      </c>
      <c r="X126" s="46">
        <v>6</v>
      </c>
      <c r="Y126" s="46" t="b">
        <v>1</v>
      </c>
      <c r="Z126" s="46" t="s">
        <v>675</v>
      </c>
      <c r="AA126" s="46" t="s">
        <v>676</v>
      </c>
      <c r="AB126" s="46" t="s">
        <v>677</v>
      </c>
      <c r="AC126" s="46">
        <v>0</v>
      </c>
      <c r="AD126" s="46" t="s">
        <v>678</v>
      </c>
      <c r="AE126" s="46">
        <v>8</v>
      </c>
      <c r="AF126" s="46" t="s">
        <v>679</v>
      </c>
      <c r="AG126" s="46">
        <v>4819.5050000000001</v>
      </c>
      <c r="AH126" s="46" t="b">
        <v>1</v>
      </c>
      <c r="AI126" s="46">
        <v>-1</v>
      </c>
      <c r="AJ126" s="46" t="s">
        <v>680</v>
      </c>
      <c r="AK126" s="46">
        <v>0</v>
      </c>
      <c r="AL126" s="46" t="b">
        <v>0</v>
      </c>
      <c r="AM126" s="46">
        <v>4819.5050000000001</v>
      </c>
      <c r="AN126" s="46" t="b">
        <v>1</v>
      </c>
      <c r="AO126" s="46">
        <v>0</v>
      </c>
      <c r="AP126" s="46" t="b">
        <v>0</v>
      </c>
      <c r="AQ126" s="46">
        <v>30783.046999999999</v>
      </c>
      <c r="AS126" s="46">
        <v>30783.046999999999</v>
      </c>
      <c r="AT126" s="46">
        <v>6</v>
      </c>
      <c r="AU126" s="46" t="b">
        <v>1</v>
      </c>
      <c r="AV126" s="46" t="b">
        <v>0</v>
      </c>
    </row>
    <row r="127" spans="2:48">
      <c r="B127" s="46" t="s">
        <v>665</v>
      </c>
      <c r="C127" s="46" t="s">
        <v>666</v>
      </c>
      <c r="D127" s="46">
        <v>20230701</v>
      </c>
      <c r="E127" s="46">
        <v>2023</v>
      </c>
      <c r="F127" s="46">
        <v>7</v>
      </c>
      <c r="G127" s="46" t="s">
        <v>718</v>
      </c>
      <c r="H127" s="46">
        <v>818</v>
      </c>
      <c r="I127" s="46" t="s">
        <v>668</v>
      </c>
      <c r="J127" s="46" t="s">
        <v>57</v>
      </c>
      <c r="K127" s="46" t="s">
        <v>666</v>
      </c>
      <c r="L127" s="46" t="s">
        <v>669</v>
      </c>
      <c r="M127" s="46">
        <v>792</v>
      </c>
      <c r="N127" s="46" t="s">
        <v>691</v>
      </c>
      <c r="O127" s="46" t="s">
        <v>63</v>
      </c>
      <c r="P127" s="46">
        <v>0</v>
      </c>
      <c r="Q127" s="46" t="s">
        <v>670</v>
      </c>
      <c r="R127" s="46" t="s">
        <v>23</v>
      </c>
      <c r="S127" s="46" t="s">
        <v>671</v>
      </c>
      <c r="T127" s="46" t="s">
        <v>672</v>
      </c>
      <c r="U127" s="46" t="b">
        <v>1</v>
      </c>
      <c r="V127" s="46" t="s">
        <v>1028</v>
      </c>
      <c r="W127" s="46" t="s">
        <v>1027</v>
      </c>
      <c r="X127" s="46">
        <v>6</v>
      </c>
      <c r="Y127" s="46" t="b">
        <v>1</v>
      </c>
      <c r="Z127" s="46" t="s">
        <v>675</v>
      </c>
      <c r="AA127" s="46" t="s">
        <v>676</v>
      </c>
      <c r="AB127" s="46" t="s">
        <v>677</v>
      </c>
      <c r="AC127" s="46">
        <v>0</v>
      </c>
      <c r="AD127" s="46" t="s">
        <v>678</v>
      </c>
      <c r="AE127" s="46">
        <v>8</v>
      </c>
      <c r="AF127" s="46" t="s">
        <v>679</v>
      </c>
      <c r="AG127" s="46">
        <v>1987.307</v>
      </c>
      <c r="AH127" s="46" t="b">
        <v>1</v>
      </c>
      <c r="AI127" s="46">
        <v>-1</v>
      </c>
      <c r="AJ127" s="46" t="s">
        <v>680</v>
      </c>
      <c r="AK127" s="46">
        <v>0</v>
      </c>
      <c r="AL127" s="46" t="b">
        <v>0</v>
      </c>
      <c r="AM127" s="46">
        <v>1987.307</v>
      </c>
      <c r="AN127" s="46" t="b">
        <v>1</v>
      </c>
      <c r="AO127" s="46">
        <v>0</v>
      </c>
      <c r="AP127" s="46" t="b">
        <v>0</v>
      </c>
      <c r="AQ127" s="46">
        <v>12693.289000000001</v>
      </c>
      <c r="AS127" s="46">
        <v>12693.289000000001</v>
      </c>
      <c r="AT127" s="46">
        <v>6</v>
      </c>
      <c r="AU127" s="46" t="b">
        <v>1</v>
      </c>
      <c r="AV127" s="46" t="b">
        <v>0</v>
      </c>
    </row>
    <row r="128" spans="2:48">
      <c r="B128" s="46" t="s">
        <v>665</v>
      </c>
      <c r="C128" s="46" t="s">
        <v>666</v>
      </c>
      <c r="D128" s="46">
        <v>20230701</v>
      </c>
      <c r="E128" s="46">
        <v>2023</v>
      </c>
      <c r="F128" s="46">
        <v>7</v>
      </c>
      <c r="G128" s="46" t="s">
        <v>718</v>
      </c>
      <c r="H128" s="46">
        <v>818</v>
      </c>
      <c r="I128" s="46" t="s">
        <v>668</v>
      </c>
      <c r="J128" s="46" t="s">
        <v>57</v>
      </c>
      <c r="K128" s="46" t="s">
        <v>666</v>
      </c>
      <c r="L128" s="46" t="s">
        <v>669</v>
      </c>
      <c r="M128" s="46">
        <v>842</v>
      </c>
      <c r="N128" s="46" t="s">
        <v>713</v>
      </c>
      <c r="O128" s="46" t="s">
        <v>713</v>
      </c>
      <c r="P128" s="46">
        <v>0</v>
      </c>
      <c r="Q128" s="46" t="s">
        <v>670</v>
      </c>
      <c r="R128" s="46" t="s">
        <v>23</v>
      </c>
      <c r="S128" s="46" t="s">
        <v>671</v>
      </c>
      <c r="T128" s="46" t="s">
        <v>672</v>
      </c>
      <c r="U128" s="46" t="b">
        <v>1</v>
      </c>
      <c r="V128" s="46" t="s">
        <v>1028</v>
      </c>
      <c r="W128" s="46" t="s">
        <v>1027</v>
      </c>
      <c r="X128" s="46">
        <v>6</v>
      </c>
      <c r="Y128" s="46" t="b">
        <v>1</v>
      </c>
      <c r="Z128" s="46" t="s">
        <v>675</v>
      </c>
      <c r="AA128" s="46" t="s">
        <v>676</v>
      </c>
      <c r="AB128" s="46" t="s">
        <v>677</v>
      </c>
      <c r="AC128" s="46">
        <v>0</v>
      </c>
      <c r="AD128" s="46" t="s">
        <v>678</v>
      </c>
      <c r="AE128" s="46">
        <v>8</v>
      </c>
      <c r="AF128" s="46" t="s">
        <v>679</v>
      </c>
      <c r="AG128" s="46">
        <v>4946.63</v>
      </c>
      <c r="AH128" s="46" t="b">
        <v>1</v>
      </c>
      <c r="AI128" s="46">
        <v>-1</v>
      </c>
      <c r="AJ128" s="46" t="s">
        <v>680</v>
      </c>
      <c r="AK128" s="46">
        <v>0</v>
      </c>
      <c r="AL128" s="46" t="b">
        <v>0</v>
      </c>
      <c r="AM128" s="46">
        <v>4946.63</v>
      </c>
      <c r="AN128" s="46" t="b">
        <v>1</v>
      </c>
      <c r="AO128" s="46">
        <v>0</v>
      </c>
      <c r="AP128" s="46" t="b">
        <v>0</v>
      </c>
      <c r="AQ128" s="46">
        <v>31595.02</v>
      </c>
      <c r="AS128" s="46">
        <v>31595.02</v>
      </c>
      <c r="AT128" s="46">
        <v>6</v>
      </c>
      <c r="AU128" s="46" t="b">
        <v>1</v>
      </c>
      <c r="AV128" s="46" t="b">
        <v>0</v>
      </c>
    </row>
    <row r="129" spans="2:48">
      <c r="B129" s="46" t="s">
        <v>665</v>
      </c>
      <c r="C129" s="46" t="s">
        <v>666</v>
      </c>
      <c r="D129" s="46">
        <v>20230801</v>
      </c>
      <c r="E129" s="46">
        <v>2023</v>
      </c>
      <c r="F129" s="46">
        <v>8</v>
      </c>
      <c r="G129" s="46" t="s">
        <v>721</v>
      </c>
      <c r="H129" s="46">
        <v>818</v>
      </c>
      <c r="I129" s="46" t="s">
        <v>668</v>
      </c>
      <c r="J129" s="46" t="s">
        <v>57</v>
      </c>
      <c r="K129" s="46" t="s">
        <v>666</v>
      </c>
      <c r="L129" s="46" t="s">
        <v>669</v>
      </c>
      <c r="M129" s="46">
        <v>0</v>
      </c>
      <c r="N129" s="46" t="s">
        <v>670</v>
      </c>
      <c r="O129" s="46" t="s">
        <v>23</v>
      </c>
      <c r="P129" s="46">
        <v>0</v>
      </c>
      <c r="Q129" s="46" t="s">
        <v>670</v>
      </c>
      <c r="R129" s="46" t="s">
        <v>23</v>
      </c>
      <c r="S129" s="46" t="s">
        <v>671</v>
      </c>
      <c r="T129" s="46" t="s">
        <v>672</v>
      </c>
      <c r="U129" s="46" t="b">
        <v>1</v>
      </c>
      <c r="V129" s="46" t="s">
        <v>1028</v>
      </c>
      <c r="W129" s="46" t="s">
        <v>1027</v>
      </c>
      <c r="X129" s="46">
        <v>6</v>
      </c>
      <c r="Y129" s="46" t="b">
        <v>1</v>
      </c>
      <c r="Z129" s="46" t="s">
        <v>675</v>
      </c>
      <c r="AA129" s="46" t="s">
        <v>676</v>
      </c>
      <c r="AB129" s="46" t="s">
        <v>677</v>
      </c>
      <c r="AC129" s="46">
        <v>0</v>
      </c>
      <c r="AD129" s="46" t="s">
        <v>678</v>
      </c>
      <c r="AE129" s="46">
        <v>8</v>
      </c>
      <c r="AF129" s="46" t="s">
        <v>679</v>
      </c>
      <c r="AG129" s="46">
        <v>282208.24099999998</v>
      </c>
      <c r="AH129" s="46" t="b">
        <v>1</v>
      </c>
      <c r="AI129" s="46">
        <v>-1</v>
      </c>
      <c r="AJ129" s="46" t="s">
        <v>680</v>
      </c>
      <c r="AK129" s="46">
        <v>0</v>
      </c>
      <c r="AL129" s="46" t="b">
        <v>0</v>
      </c>
      <c r="AM129" s="46">
        <v>282208.24099999998</v>
      </c>
      <c r="AN129" s="46" t="b">
        <v>1</v>
      </c>
      <c r="AO129" s="46">
        <v>0</v>
      </c>
      <c r="AP129" s="46" t="b">
        <v>0</v>
      </c>
      <c r="AQ129" s="46">
        <v>1802515.0349999999</v>
      </c>
      <c r="AS129" s="46">
        <v>1802515.0349999999</v>
      </c>
      <c r="AT129" s="46">
        <v>6</v>
      </c>
      <c r="AU129" s="46" t="b">
        <v>0</v>
      </c>
      <c r="AV129" s="46" t="b">
        <v>1</v>
      </c>
    </row>
    <row r="130" spans="2:48">
      <c r="B130" s="46" t="s">
        <v>665</v>
      </c>
      <c r="C130" s="46" t="s">
        <v>666</v>
      </c>
      <c r="D130" s="46">
        <v>20230801</v>
      </c>
      <c r="E130" s="46">
        <v>2023</v>
      </c>
      <c r="F130" s="46">
        <v>8</v>
      </c>
      <c r="G130" s="46" t="s">
        <v>721</v>
      </c>
      <c r="H130" s="46">
        <v>818</v>
      </c>
      <c r="I130" s="46" t="s">
        <v>668</v>
      </c>
      <c r="J130" s="46" t="s">
        <v>57</v>
      </c>
      <c r="K130" s="46" t="s">
        <v>666</v>
      </c>
      <c r="L130" s="46" t="s">
        <v>669</v>
      </c>
      <c r="M130" s="46">
        <v>40</v>
      </c>
      <c r="N130" s="46" t="s">
        <v>750</v>
      </c>
      <c r="O130" s="46" t="s">
        <v>43</v>
      </c>
      <c r="P130" s="46">
        <v>0</v>
      </c>
      <c r="Q130" s="46" t="s">
        <v>670</v>
      </c>
      <c r="R130" s="46" t="s">
        <v>23</v>
      </c>
      <c r="S130" s="46" t="s">
        <v>671</v>
      </c>
      <c r="T130" s="46" t="s">
        <v>672</v>
      </c>
      <c r="U130" s="46" t="b">
        <v>1</v>
      </c>
      <c r="V130" s="46" t="s">
        <v>1028</v>
      </c>
      <c r="W130" s="46" t="s">
        <v>1027</v>
      </c>
      <c r="X130" s="46">
        <v>6</v>
      </c>
      <c r="Y130" s="46" t="b">
        <v>1</v>
      </c>
      <c r="Z130" s="46" t="s">
        <v>675</v>
      </c>
      <c r="AA130" s="46" t="s">
        <v>676</v>
      </c>
      <c r="AB130" s="46" t="s">
        <v>677</v>
      </c>
      <c r="AC130" s="46">
        <v>0</v>
      </c>
      <c r="AD130" s="46" t="s">
        <v>678</v>
      </c>
      <c r="AE130" s="46">
        <v>8</v>
      </c>
      <c r="AF130" s="46" t="s">
        <v>679</v>
      </c>
      <c r="AG130" s="46">
        <v>3112.1860000000001</v>
      </c>
      <c r="AH130" s="46" t="b">
        <v>1</v>
      </c>
      <c r="AI130" s="46">
        <v>-1</v>
      </c>
      <c r="AJ130" s="46" t="s">
        <v>680</v>
      </c>
      <c r="AK130" s="46">
        <v>0</v>
      </c>
      <c r="AL130" s="46" t="b">
        <v>0</v>
      </c>
      <c r="AM130" s="46">
        <v>3112.1860000000001</v>
      </c>
      <c r="AN130" s="46" t="b">
        <v>1</v>
      </c>
      <c r="AO130" s="46">
        <v>0</v>
      </c>
      <c r="AP130" s="46" t="b">
        <v>0</v>
      </c>
      <c r="AQ130" s="46">
        <v>19878.096000000001</v>
      </c>
      <c r="AS130" s="46">
        <v>19878.096000000001</v>
      </c>
      <c r="AT130" s="46">
        <v>6</v>
      </c>
      <c r="AU130" s="46" t="b">
        <v>1</v>
      </c>
      <c r="AV130" s="46" t="b">
        <v>0</v>
      </c>
    </row>
    <row r="131" spans="2:48">
      <c r="B131" s="46" t="s">
        <v>665</v>
      </c>
      <c r="C131" s="46" t="s">
        <v>666</v>
      </c>
      <c r="D131" s="46">
        <v>20230801</v>
      </c>
      <c r="E131" s="46">
        <v>2023</v>
      </c>
      <c r="F131" s="46">
        <v>8</v>
      </c>
      <c r="G131" s="46" t="s">
        <v>721</v>
      </c>
      <c r="H131" s="46">
        <v>818</v>
      </c>
      <c r="I131" s="46" t="s">
        <v>668</v>
      </c>
      <c r="J131" s="46" t="s">
        <v>57</v>
      </c>
      <c r="K131" s="46" t="s">
        <v>666</v>
      </c>
      <c r="L131" s="46" t="s">
        <v>669</v>
      </c>
      <c r="M131" s="46">
        <v>144</v>
      </c>
      <c r="N131" s="46" t="s">
        <v>1029</v>
      </c>
      <c r="O131" s="46" t="s">
        <v>94</v>
      </c>
      <c r="P131" s="46">
        <v>0</v>
      </c>
      <c r="Q131" s="46" t="s">
        <v>670</v>
      </c>
      <c r="R131" s="46" t="s">
        <v>23</v>
      </c>
      <c r="S131" s="46" t="s">
        <v>671</v>
      </c>
      <c r="T131" s="46" t="s">
        <v>672</v>
      </c>
      <c r="U131" s="46" t="b">
        <v>1</v>
      </c>
      <c r="V131" s="46" t="s">
        <v>1028</v>
      </c>
      <c r="W131" s="46" t="s">
        <v>1027</v>
      </c>
      <c r="X131" s="46">
        <v>6</v>
      </c>
      <c r="Y131" s="46" t="b">
        <v>1</v>
      </c>
      <c r="Z131" s="46" t="s">
        <v>675</v>
      </c>
      <c r="AA131" s="46" t="s">
        <v>676</v>
      </c>
      <c r="AB131" s="46" t="s">
        <v>677</v>
      </c>
      <c r="AC131" s="46">
        <v>0</v>
      </c>
      <c r="AD131" s="46" t="s">
        <v>678</v>
      </c>
      <c r="AE131" s="46">
        <v>8</v>
      </c>
      <c r="AF131" s="46" t="s">
        <v>679</v>
      </c>
      <c r="AG131" s="46">
        <v>1002.047</v>
      </c>
      <c r="AH131" s="46" t="b">
        <v>1</v>
      </c>
      <c r="AI131" s="46">
        <v>-1</v>
      </c>
      <c r="AJ131" s="46" t="s">
        <v>680</v>
      </c>
      <c r="AK131" s="46">
        <v>0</v>
      </c>
      <c r="AL131" s="46" t="b">
        <v>0</v>
      </c>
      <c r="AM131" s="46">
        <v>1002.047</v>
      </c>
      <c r="AN131" s="46" t="b">
        <v>1</v>
      </c>
      <c r="AO131" s="46">
        <v>0</v>
      </c>
      <c r="AP131" s="46" t="b">
        <v>0</v>
      </c>
      <c r="AQ131" s="46">
        <v>6400.2529999999997</v>
      </c>
      <c r="AS131" s="46">
        <v>6400.2529999999997</v>
      </c>
      <c r="AT131" s="46">
        <v>6</v>
      </c>
      <c r="AU131" s="46" t="b">
        <v>1</v>
      </c>
      <c r="AV131" s="46" t="b">
        <v>0</v>
      </c>
    </row>
    <row r="132" spans="2:48">
      <c r="B132" s="46" t="s">
        <v>665</v>
      </c>
      <c r="C132" s="46" t="s">
        <v>666</v>
      </c>
      <c r="D132" s="46">
        <v>20230801</v>
      </c>
      <c r="E132" s="46">
        <v>2023</v>
      </c>
      <c r="F132" s="46">
        <v>8</v>
      </c>
      <c r="G132" s="46" t="s">
        <v>721</v>
      </c>
      <c r="H132" s="46">
        <v>818</v>
      </c>
      <c r="I132" s="46" t="s">
        <v>668</v>
      </c>
      <c r="J132" s="46" t="s">
        <v>57</v>
      </c>
      <c r="K132" s="46" t="s">
        <v>666</v>
      </c>
      <c r="L132" s="46" t="s">
        <v>669</v>
      </c>
      <c r="M132" s="46">
        <v>156</v>
      </c>
      <c r="N132" s="46" t="s">
        <v>711</v>
      </c>
      <c r="O132" s="46" t="s">
        <v>29</v>
      </c>
      <c r="P132" s="46">
        <v>0</v>
      </c>
      <c r="Q132" s="46" t="s">
        <v>670</v>
      </c>
      <c r="R132" s="46" t="s">
        <v>23</v>
      </c>
      <c r="S132" s="46" t="s">
        <v>671</v>
      </c>
      <c r="T132" s="46" t="s">
        <v>672</v>
      </c>
      <c r="U132" s="46" t="b">
        <v>1</v>
      </c>
      <c r="V132" s="46" t="s">
        <v>1028</v>
      </c>
      <c r="W132" s="46" t="s">
        <v>1027</v>
      </c>
      <c r="X132" s="46">
        <v>6</v>
      </c>
      <c r="Y132" s="46" t="b">
        <v>1</v>
      </c>
      <c r="Z132" s="46" t="s">
        <v>675</v>
      </c>
      <c r="AA132" s="46" t="s">
        <v>676</v>
      </c>
      <c r="AB132" s="46" t="s">
        <v>677</v>
      </c>
      <c r="AC132" s="46">
        <v>0</v>
      </c>
      <c r="AD132" s="46" t="s">
        <v>678</v>
      </c>
      <c r="AE132" s="46">
        <v>8</v>
      </c>
      <c r="AF132" s="46" t="s">
        <v>679</v>
      </c>
      <c r="AG132" s="46">
        <v>14775.777</v>
      </c>
      <c r="AH132" s="46" t="b">
        <v>1</v>
      </c>
      <c r="AI132" s="46">
        <v>-1</v>
      </c>
      <c r="AJ132" s="46" t="s">
        <v>680</v>
      </c>
      <c r="AK132" s="46">
        <v>0</v>
      </c>
      <c r="AL132" s="46" t="b">
        <v>0</v>
      </c>
      <c r="AM132" s="46">
        <v>14775.777</v>
      </c>
      <c r="AN132" s="46" t="b">
        <v>1</v>
      </c>
      <c r="AO132" s="46">
        <v>0</v>
      </c>
      <c r="AP132" s="46" t="b">
        <v>0</v>
      </c>
      <c r="AQ132" s="46">
        <v>94375.557000000001</v>
      </c>
      <c r="AS132" s="46">
        <v>94375.557000000001</v>
      </c>
      <c r="AT132" s="46">
        <v>6</v>
      </c>
      <c r="AU132" s="46" t="b">
        <v>1</v>
      </c>
      <c r="AV132" s="46" t="b">
        <v>0</v>
      </c>
    </row>
    <row r="133" spans="2:48">
      <c r="B133" s="46" t="s">
        <v>665</v>
      </c>
      <c r="C133" s="46" t="s">
        <v>666</v>
      </c>
      <c r="D133" s="46">
        <v>20230801</v>
      </c>
      <c r="E133" s="46">
        <v>2023</v>
      </c>
      <c r="F133" s="46">
        <v>8</v>
      </c>
      <c r="G133" s="46" t="s">
        <v>721</v>
      </c>
      <c r="H133" s="46">
        <v>818</v>
      </c>
      <c r="I133" s="46" t="s">
        <v>668</v>
      </c>
      <c r="J133" s="46" t="s">
        <v>57</v>
      </c>
      <c r="K133" s="46" t="s">
        <v>666</v>
      </c>
      <c r="L133" s="46" t="s">
        <v>669</v>
      </c>
      <c r="M133" s="46">
        <v>251</v>
      </c>
      <c r="N133" s="46" t="s">
        <v>688</v>
      </c>
      <c r="O133" s="46" t="s">
        <v>69</v>
      </c>
      <c r="P133" s="46">
        <v>0</v>
      </c>
      <c r="Q133" s="46" t="s">
        <v>670</v>
      </c>
      <c r="R133" s="46" t="s">
        <v>23</v>
      </c>
      <c r="S133" s="46" t="s">
        <v>671</v>
      </c>
      <c r="T133" s="46" t="s">
        <v>672</v>
      </c>
      <c r="U133" s="46" t="b">
        <v>1</v>
      </c>
      <c r="V133" s="46" t="s">
        <v>1028</v>
      </c>
      <c r="W133" s="46" t="s">
        <v>1027</v>
      </c>
      <c r="X133" s="46">
        <v>6</v>
      </c>
      <c r="Y133" s="46" t="b">
        <v>1</v>
      </c>
      <c r="Z133" s="46" t="s">
        <v>675</v>
      </c>
      <c r="AA133" s="46" t="s">
        <v>676</v>
      </c>
      <c r="AB133" s="46" t="s">
        <v>677</v>
      </c>
      <c r="AC133" s="46">
        <v>0</v>
      </c>
      <c r="AD133" s="46" t="s">
        <v>678</v>
      </c>
      <c r="AE133" s="46">
        <v>8</v>
      </c>
      <c r="AF133" s="46" t="s">
        <v>679</v>
      </c>
      <c r="AG133" s="46">
        <v>1100.2090000000001</v>
      </c>
      <c r="AH133" s="46" t="b">
        <v>1</v>
      </c>
      <c r="AI133" s="46">
        <v>-1</v>
      </c>
      <c r="AJ133" s="46" t="s">
        <v>680</v>
      </c>
      <c r="AK133" s="46">
        <v>0</v>
      </c>
      <c r="AL133" s="46" t="b">
        <v>0</v>
      </c>
      <c r="AM133" s="46">
        <v>1100.2090000000001</v>
      </c>
      <c r="AN133" s="46" t="b">
        <v>1</v>
      </c>
      <c r="AO133" s="46">
        <v>0</v>
      </c>
      <c r="AP133" s="46" t="b">
        <v>0</v>
      </c>
      <c r="AQ133" s="46">
        <v>7027.2349999999997</v>
      </c>
      <c r="AS133" s="46">
        <v>7027.2349999999997</v>
      </c>
      <c r="AT133" s="46">
        <v>6</v>
      </c>
      <c r="AU133" s="46" t="b">
        <v>1</v>
      </c>
      <c r="AV133" s="46" t="b">
        <v>0</v>
      </c>
    </row>
    <row r="134" spans="2:48">
      <c r="B134" s="46" t="s">
        <v>665</v>
      </c>
      <c r="C134" s="46" t="s">
        <v>666</v>
      </c>
      <c r="D134" s="46">
        <v>20230801</v>
      </c>
      <c r="E134" s="46">
        <v>2023</v>
      </c>
      <c r="F134" s="46">
        <v>8</v>
      </c>
      <c r="G134" s="46" t="s">
        <v>721</v>
      </c>
      <c r="H134" s="46">
        <v>818</v>
      </c>
      <c r="I134" s="46" t="s">
        <v>668</v>
      </c>
      <c r="J134" s="46" t="s">
        <v>57</v>
      </c>
      <c r="K134" s="46" t="s">
        <v>666</v>
      </c>
      <c r="L134" s="46" t="s">
        <v>669</v>
      </c>
      <c r="M134" s="46">
        <v>276</v>
      </c>
      <c r="N134" s="46" t="s">
        <v>681</v>
      </c>
      <c r="O134" s="46" t="s">
        <v>30</v>
      </c>
      <c r="P134" s="46">
        <v>0</v>
      </c>
      <c r="Q134" s="46" t="s">
        <v>670</v>
      </c>
      <c r="R134" s="46" t="s">
        <v>23</v>
      </c>
      <c r="S134" s="46" t="s">
        <v>671</v>
      </c>
      <c r="T134" s="46" t="s">
        <v>672</v>
      </c>
      <c r="U134" s="46" t="b">
        <v>1</v>
      </c>
      <c r="V134" s="46" t="s">
        <v>1028</v>
      </c>
      <c r="W134" s="46" t="s">
        <v>1027</v>
      </c>
      <c r="X134" s="46">
        <v>6</v>
      </c>
      <c r="Y134" s="46" t="b">
        <v>1</v>
      </c>
      <c r="Z134" s="46" t="s">
        <v>675</v>
      </c>
      <c r="AA134" s="46" t="s">
        <v>676</v>
      </c>
      <c r="AB134" s="46" t="s">
        <v>677</v>
      </c>
      <c r="AC134" s="46">
        <v>0</v>
      </c>
      <c r="AD134" s="46" t="s">
        <v>678</v>
      </c>
      <c r="AE134" s="46">
        <v>8</v>
      </c>
      <c r="AF134" s="46" t="s">
        <v>679</v>
      </c>
      <c r="AG134" s="46">
        <v>31672.853999999999</v>
      </c>
      <c r="AH134" s="46" t="b">
        <v>1</v>
      </c>
      <c r="AI134" s="46">
        <v>-1</v>
      </c>
      <c r="AJ134" s="46" t="s">
        <v>680</v>
      </c>
      <c r="AK134" s="46">
        <v>0</v>
      </c>
      <c r="AL134" s="46" t="b">
        <v>0</v>
      </c>
      <c r="AM134" s="46">
        <v>31672.853999999999</v>
      </c>
      <c r="AN134" s="46" t="b">
        <v>1</v>
      </c>
      <c r="AO134" s="46">
        <v>0</v>
      </c>
      <c r="AP134" s="46" t="b">
        <v>0</v>
      </c>
      <c r="AQ134" s="46">
        <v>202300.245</v>
      </c>
      <c r="AS134" s="46">
        <v>202300.245</v>
      </c>
      <c r="AT134" s="46">
        <v>6</v>
      </c>
      <c r="AU134" s="46" t="b">
        <v>1</v>
      </c>
      <c r="AV134" s="46" t="b">
        <v>0</v>
      </c>
    </row>
    <row r="135" spans="2:48">
      <c r="B135" s="46" t="s">
        <v>665</v>
      </c>
      <c r="C135" s="46" t="s">
        <v>666</v>
      </c>
      <c r="D135" s="46">
        <v>20230801</v>
      </c>
      <c r="E135" s="46">
        <v>2023</v>
      </c>
      <c r="F135" s="46">
        <v>8</v>
      </c>
      <c r="G135" s="46" t="s">
        <v>721</v>
      </c>
      <c r="H135" s="46">
        <v>818</v>
      </c>
      <c r="I135" s="46" t="s">
        <v>668</v>
      </c>
      <c r="J135" s="46" t="s">
        <v>57</v>
      </c>
      <c r="K135" s="46" t="s">
        <v>666</v>
      </c>
      <c r="L135" s="46" t="s">
        <v>669</v>
      </c>
      <c r="M135" s="46">
        <v>300</v>
      </c>
      <c r="N135" s="46" t="s">
        <v>719</v>
      </c>
      <c r="O135" s="46" t="s">
        <v>65</v>
      </c>
      <c r="P135" s="46">
        <v>0</v>
      </c>
      <c r="Q135" s="46" t="s">
        <v>670</v>
      </c>
      <c r="R135" s="46" t="s">
        <v>23</v>
      </c>
      <c r="S135" s="46" t="s">
        <v>671</v>
      </c>
      <c r="T135" s="46" t="s">
        <v>672</v>
      </c>
      <c r="U135" s="46" t="b">
        <v>1</v>
      </c>
      <c r="V135" s="46" t="s">
        <v>1028</v>
      </c>
      <c r="W135" s="46" t="s">
        <v>1027</v>
      </c>
      <c r="X135" s="46">
        <v>6</v>
      </c>
      <c r="Y135" s="46" t="b">
        <v>1</v>
      </c>
      <c r="Z135" s="46" t="s">
        <v>675</v>
      </c>
      <c r="AA135" s="46" t="s">
        <v>676</v>
      </c>
      <c r="AB135" s="46" t="s">
        <v>677</v>
      </c>
      <c r="AC135" s="46">
        <v>0</v>
      </c>
      <c r="AD135" s="46" t="s">
        <v>678</v>
      </c>
      <c r="AE135" s="46">
        <v>8</v>
      </c>
      <c r="AF135" s="46" t="s">
        <v>679</v>
      </c>
      <c r="AG135" s="46">
        <v>1909.97</v>
      </c>
      <c r="AH135" s="46" t="b">
        <v>1</v>
      </c>
      <c r="AI135" s="46">
        <v>-1</v>
      </c>
      <c r="AJ135" s="46" t="s">
        <v>680</v>
      </c>
      <c r="AK135" s="46">
        <v>0</v>
      </c>
      <c r="AL135" s="46" t="b">
        <v>0</v>
      </c>
      <c r="AM135" s="46">
        <v>1909.97</v>
      </c>
      <c r="AN135" s="46" t="b">
        <v>1</v>
      </c>
      <c r="AO135" s="46">
        <v>0</v>
      </c>
      <c r="AP135" s="46" t="b">
        <v>0</v>
      </c>
      <c r="AQ135" s="46">
        <v>12199.324000000001</v>
      </c>
      <c r="AS135" s="46">
        <v>12199.324000000001</v>
      </c>
      <c r="AT135" s="46">
        <v>6</v>
      </c>
      <c r="AU135" s="46" t="b">
        <v>1</v>
      </c>
      <c r="AV135" s="46" t="b">
        <v>0</v>
      </c>
    </row>
    <row r="136" spans="2:48">
      <c r="B136" s="46" t="s">
        <v>665</v>
      </c>
      <c r="C136" s="46" t="s">
        <v>666</v>
      </c>
      <c r="D136" s="46">
        <v>20230801</v>
      </c>
      <c r="E136" s="46">
        <v>2023</v>
      </c>
      <c r="F136" s="46">
        <v>8</v>
      </c>
      <c r="G136" s="46" t="s">
        <v>721</v>
      </c>
      <c r="H136" s="46">
        <v>818</v>
      </c>
      <c r="I136" s="46" t="s">
        <v>668</v>
      </c>
      <c r="J136" s="46" t="s">
        <v>57</v>
      </c>
      <c r="K136" s="46" t="s">
        <v>666</v>
      </c>
      <c r="L136" s="46" t="s">
        <v>669</v>
      </c>
      <c r="M136" s="46">
        <v>344</v>
      </c>
      <c r="N136" s="46" t="s">
        <v>989</v>
      </c>
      <c r="O136" s="46" t="s">
        <v>990</v>
      </c>
      <c r="P136" s="46">
        <v>0</v>
      </c>
      <c r="Q136" s="46" t="s">
        <v>670</v>
      </c>
      <c r="R136" s="46" t="s">
        <v>23</v>
      </c>
      <c r="S136" s="46" t="s">
        <v>671</v>
      </c>
      <c r="T136" s="46" t="s">
        <v>672</v>
      </c>
      <c r="U136" s="46" t="b">
        <v>1</v>
      </c>
      <c r="V136" s="46" t="s">
        <v>1028</v>
      </c>
      <c r="W136" s="46" t="s">
        <v>1027</v>
      </c>
      <c r="X136" s="46">
        <v>6</v>
      </c>
      <c r="Y136" s="46" t="b">
        <v>1</v>
      </c>
      <c r="Z136" s="46" t="s">
        <v>675</v>
      </c>
      <c r="AA136" s="46" t="s">
        <v>676</v>
      </c>
      <c r="AB136" s="46" t="s">
        <v>677</v>
      </c>
      <c r="AC136" s="46">
        <v>0</v>
      </c>
      <c r="AD136" s="46" t="s">
        <v>678</v>
      </c>
      <c r="AE136" s="46">
        <v>8</v>
      </c>
      <c r="AF136" s="46" t="s">
        <v>679</v>
      </c>
      <c r="AG136" s="46">
        <v>2447.4789999999998</v>
      </c>
      <c r="AH136" s="46" t="b">
        <v>1</v>
      </c>
      <c r="AI136" s="46">
        <v>-1</v>
      </c>
      <c r="AJ136" s="46" t="s">
        <v>680</v>
      </c>
      <c r="AK136" s="46">
        <v>0</v>
      </c>
      <c r="AL136" s="46" t="b">
        <v>0</v>
      </c>
      <c r="AM136" s="46">
        <v>2447.4789999999998</v>
      </c>
      <c r="AN136" s="46" t="b">
        <v>1</v>
      </c>
      <c r="AO136" s="46">
        <v>0</v>
      </c>
      <c r="AP136" s="46" t="b">
        <v>0</v>
      </c>
      <c r="AQ136" s="46">
        <v>15632.49</v>
      </c>
      <c r="AS136" s="46">
        <v>15632.49</v>
      </c>
      <c r="AT136" s="46">
        <v>6</v>
      </c>
      <c r="AU136" s="46" t="b">
        <v>1</v>
      </c>
      <c r="AV136" s="46" t="b">
        <v>0</v>
      </c>
    </row>
    <row r="137" spans="2:48">
      <c r="B137" s="46" t="s">
        <v>665</v>
      </c>
      <c r="C137" s="46" t="s">
        <v>666</v>
      </c>
      <c r="D137" s="46">
        <v>20230801</v>
      </c>
      <c r="E137" s="46">
        <v>2023</v>
      </c>
      <c r="F137" s="46">
        <v>8</v>
      </c>
      <c r="G137" s="46" t="s">
        <v>721</v>
      </c>
      <c r="H137" s="46">
        <v>818</v>
      </c>
      <c r="I137" s="46" t="s">
        <v>668</v>
      </c>
      <c r="J137" s="46" t="s">
        <v>57</v>
      </c>
      <c r="K137" s="46" t="s">
        <v>666</v>
      </c>
      <c r="L137" s="46" t="s">
        <v>669</v>
      </c>
      <c r="M137" s="46">
        <v>376</v>
      </c>
      <c r="N137" s="46" t="s">
        <v>991</v>
      </c>
      <c r="O137" s="46" t="s">
        <v>100</v>
      </c>
      <c r="P137" s="46">
        <v>0</v>
      </c>
      <c r="Q137" s="46" t="s">
        <v>670</v>
      </c>
      <c r="R137" s="46" t="s">
        <v>23</v>
      </c>
      <c r="S137" s="46" t="s">
        <v>671</v>
      </c>
      <c r="T137" s="46" t="s">
        <v>672</v>
      </c>
      <c r="U137" s="46" t="b">
        <v>1</v>
      </c>
      <c r="V137" s="46" t="s">
        <v>1028</v>
      </c>
      <c r="W137" s="46" t="s">
        <v>1027</v>
      </c>
      <c r="X137" s="46">
        <v>6</v>
      </c>
      <c r="Y137" s="46" t="b">
        <v>1</v>
      </c>
      <c r="Z137" s="46" t="s">
        <v>675</v>
      </c>
      <c r="AA137" s="46" t="s">
        <v>676</v>
      </c>
      <c r="AB137" s="46" t="s">
        <v>677</v>
      </c>
      <c r="AC137" s="46">
        <v>0</v>
      </c>
      <c r="AD137" s="46" t="s">
        <v>678</v>
      </c>
      <c r="AE137" s="46">
        <v>8</v>
      </c>
      <c r="AF137" s="46" t="s">
        <v>679</v>
      </c>
      <c r="AG137" s="46">
        <v>23218.580999999998</v>
      </c>
      <c r="AH137" s="46" t="b">
        <v>1</v>
      </c>
      <c r="AI137" s="46">
        <v>-1</v>
      </c>
      <c r="AJ137" s="46" t="s">
        <v>680</v>
      </c>
      <c r="AK137" s="46">
        <v>0</v>
      </c>
      <c r="AL137" s="46" t="b">
        <v>0</v>
      </c>
      <c r="AM137" s="46">
        <v>23218.580999999998</v>
      </c>
      <c r="AN137" s="46" t="b">
        <v>1</v>
      </c>
      <c r="AO137" s="46">
        <v>0</v>
      </c>
      <c r="AP137" s="46" t="b">
        <v>0</v>
      </c>
      <c r="AQ137" s="46">
        <v>148301.269</v>
      </c>
      <c r="AS137" s="46">
        <v>148301.269</v>
      </c>
      <c r="AT137" s="46">
        <v>6</v>
      </c>
      <c r="AU137" s="46" t="b">
        <v>1</v>
      </c>
      <c r="AV137" s="46" t="b">
        <v>0</v>
      </c>
    </row>
    <row r="138" spans="2:48">
      <c r="B138" s="46" t="s">
        <v>665</v>
      </c>
      <c r="C138" s="46" t="s">
        <v>666</v>
      </c>
      <c r="D138" s="46">
        <v>20230801</v>
      </c>
      <c r="E138" s="46">
        <v>2023</v>
      </c>
      <c r="F138" s="46">
        <v>8</v>
      </c>
      <c r="G138" s="46" t="s">
        <v>721</v>
      </c>
      <c r="H138" s="46">
        <v>818</v>
      </c>
      <c r="I138" s="46" t="s">
        <v>668</v>
      </c>
      <c r="J138" s="46" t="s">
        <v>57</v>
      </c>
      <c r="K138" s="46" t="s">
        <v>666</v>
      </c>
      <c r="L138" s="46" t="s">
        <v>669</v>
      </c>
      <c r="M138" s="46">
        <v>380</v>
      </c>
      <c r="N138" s="46" t="s">
        <v>689</v>
      </c>
      <c r="O138" s="46" t="s">
        <v>71</v>
      </c>
      <c r="P138" s="46">
        <v>0</v>
      </c>
      <c r="Q138" s="46" t="s">
        <v>670</v>
      </c>
      <c r="R138" s="46" t="s">
        <v>23</v>
      </c>
      <c r="S138" s="46" t="s">
        <v>671</v>
      </c>
      <c r="T138" s="46" t="s">
        <v>672</v>
      </c>
      <c r="U138" s="46" t="b">
        <v>1</v>
      </c>
      <c r="V138" s="46" t="s">
        <v>1028</v>
      </c>
      <c r="W138" s="46" t="s">
        <v>1027</v>
      </c>
      <c r="X138" s="46">
        <v>6</v>
      </c>
      <c r="Y138" s="46" t="b">
        <v>1</v>
      </c>
      <c r="Z138" s="46" t="s">
        <v>675</v>
      </c>
      <c r="AA138" s="46" t="s">
        <v>676</v>
      </c>
      <c r="AB138" s="46" t="s">
        <v>677</v>
      </c>
      <c r="AC138" s="46">
        <v>0</v>
      </c>
      <c r="AD138" s="46" t="s">
        <v>678</v>
      </c>
      <c r="AE138" s="46">
        <v>8</v>
      </c>
      <c r="AF138" s="46" t="s">
        <v>679</v>
      </c>
      <c r="AG138" s="46">
        <v>80628.005000000005</v>
      </c>
      <c r="AH138" s="46" t="b">
        <v>1</v>
      </c>
      <c r="AI138" s="46">
        <v>-1</v>
      </c>
      <c r="AJ138" s="46" t="s">
        <v>680</v>
      </c>
      <c r="AK138" s="46">
        <v>0</v>
      </c>
      <c r="AL138" s="46" t="b">
        <v>0</v>
      </c>
      <c r="AM138" s="46">
        <v>80628.005000000005</v>
      </c>
      <c r="AN138" s="46" t="b">
        <v>1</v>
      </c>
      <c r="AO138" s="46">
        <v>0</v>
      </c>
      <c r="AP138" s="46" t="b">
        <v>0</v>
      </c>
      <c r="AQ138" s="46">
        <v>514985.641</v>
      </c>
      <c r="AS138" s="46">
        <v>514985.641</v>
      </c>
      <c r="AT138" s="46">
        <v>6</v>
      </c>
      <c r="AU138" s="46" t="b">
        <v>1</v>
      </c>
      <c r="AV138" s="46" t="b">
        <v>0</v>
      </c>
    </row>
    <row r="139" spans="2:48">
      <c r="B139" s="46" t="s">
        <v>665</v>
      </c>
      <c r="C139" s="46" t="s">
        <v>666</v>
      </c>
      <c r="D139" s="46">
        <v>20230801</v>
      </c>
      <c r="E139" s="46">
        <v>2023</v>
      </c>
      <c r="F139" s="46">
        <v>8</v>
      </c>
      <c r="G139" s="46" t="s">
        <v>721</v>
      </c>
      <c r="H139" s="46">
        <v>818</v>
      </c>
      <c r="I139" s="46" t="s">
        <v>668</v>
      </c>
      <c r="J139" s="46" t="s">
        <v>57</v>
      </c>
      <c r="K139" s="46" t="s">
        <v>666</v>
      </c>
      <c r="L139" s="46" t="s">
        <v>669</v>
      </c>
      <c r="M139" s="46">
        <v>400</v>
      </c>
      <c r="N139" s="46" t="s">
        <v>1003</v>
      </c>
      <c r="O139" s="46" t="s">
        <v>214</v>
      </c>
      <c r="P139" s="46">
        <v>0</v>
      </c>
      <c r="Q139" s="46" t="s">
        <v>670</v>
      </c>
      <c r="R139" s="46" t="s">
        <v>23</v>
      </c>
      <c r="S139" s="46" t="s">
        <v>671</v>
      </c>
      <c r="T139" s="46" t="s">
        <v>672</v>
      </c>
      <c r="U139" s="46" t="b">
        <v>1</v>
      </c>
      <c r="V139" s="46" t="s">
        <v>1028</v>
      </c>
      <c r="W139" s="46" t="s">
        <v>1027</v>
      </c>
      <c r="X139" s="46">
        <v>6</v>
      </c>
      <c r="Y139" s="46" t="b">
        <v>1</v>
      </c>
      <c r="Z139" s="46" t="s">
        <v>675</v>
      </c>
      <c r="AA139" s="46" t="s">
        <v>676</v>
      </c>
      <c r="AB139" s="46" t="s">
        <v>677</v>
      </c>
      <c r="AC139" s="46">
        <v>0</v>
      </c>
      <c r="AD139" s="46" t="s">
        <v>678</v>
      </c>
      <c r="AE139" s="46">
        <v>8</v>
      </c>
      <c r="AF139" s="46" t="s">
        <v>679</v>
      </c>
      <c r="AG139" s="46">
        <v>10521.665999999999</v>
      </c>
      <c r="AH139" s="46" t="b">
        <v>1</v>
      </c>
      <c r="AI139" s="46">
        <v>-1</v>
      </c>
      <c r="AJ139" s="46" t="s">
        <v>680</v>
      </c>
      <c r="AK139" s="46">
        <v>0</v>
      </c>
      <c r="AL139" s="46" t="b">
        <v>0</v>
      </c>
      <c r="AM139" s="46">
        <v>10521.665999999999</v>
      </c>
      <c r="AN139" s="46" t="b">
        <v>1</v>
      </c>
      <c r="AO139" s="46">
        <v>0</v>
      </c>
      <c r="AP139" s="46" t="b">
        <v>0</v>
      </c>
      <c r="AQ139" s="46">
        <v>67203.781000000003</v>
      </c>
      <c r="AS139" s="46">
        <v>67203.781000000003</v>
      </c>
      <c r="AT139" s="46">
        <v>6</v>
      </c>
      <c r="AU139" s="46" t="b">
        <v>1</v>
      </c>
      <c r="AV139" s="46" t="b">
        <v>0</v>
      </c>
    </row>
    <row r="140" spans="2:48">
      <c r="B140" s="46" t="s">
        <v>665</v>
      </c>
      <c r="C140" s="46" t="s">
        <v>666</v>
      </c>
      <c r="D140" s="46">
        <v>20230801</v>
      </c>
      <c r="E140" s="46">
        <v>2023</v>
      </c>
      <c r="F140" s="46">
        <v>8</v>
      </c>
      <c r="G140" s="46" t="s">
        <v>721</v>
      </c>
      <c r="H140" s="46">
        <v>818</v>
      </c>
      <c r="I140" s="46" t="s">
        <v>668</v>
      </c>
      <c r="J140" s="46" t="s">
        <v>57</v>
      </c>
      <c r="K140" s="46" t="s">
        <v>666</v>
      </c>
      <c r="L140" s="46" t="s">
        <v>669</v>
      </c>
      <c r="M140" s="46">
        <v>410</v>
      </c>
      <c r="N140" s="46" t="s">
        <v>754</v>
      </c>
      <c r="O140" s="46" t="s">
        <v>755</v>
      </c>
      <c r="P140" s="46">
        <v>0</v>
      </c>
      <c r="Q140" s="46" t="s">
        <v>670</v>
      </c>
      <c r="R140" s="46" t="s">
        <v>23</v>
      </c>
      <c r="S140" s="46" t="s">
        <v>671</v>
      </c>
      <c r="T140" s="46" t="s">
        <v>672</v>
      </c>
      <c r="U140" s="46" t="b">
        <v>1</v>
      </c>
      <c r="V140" s="46" t="s">
        <v>1028</v>
      </c>
      <c r="W140" s="46" t="s">
        <v>1027</v>
      </c>
      <c r="X140" s="46">
        <v>6</v>
      </c>
      <c r="Y140" s="46" t="b">
        <v>1</v>
      </c>
      <c r="Z140" s="46" t="s">
        <v>675</v>
      </c>
      <c r="AA140" s="46" t="s">
        <v>676</v>
      </c>
      <c r="AB140" s="46" t="s">
        <v>677</v>
      </c>
      <c r="AC140" s="46">
        <v>0</v>
      </c>
      <c r="AD140" s="46" t="s">
        <v>678</v>
      </c>
      <c r="AE140" s="46">
        <v>8</v>
      </c>
      <c r="AF140" s="46" t="s">
        <v>679</v>
      </c>
      <c r="AG140" s="46">
        <v>1.722</v>
      </c>
      <c r="AH140" s="46" t="b">
        <v>1</v>
      </c>
      <c r="AI140" s="46">
        <v>-1</v>
      </c>
      <c r="AJ140" s="46" t="s">
        <v>680</v>
      </c>
      <c r="AK140" s="46">
        <v>0</v>
      </c>
      <c r="AL140" s="46" t="b">
        <v>0</v>
      </c>
      <c r="AM140" s="46">
        <v>1.722</v>
      </c>
      <c r="AN140" s="46" t="b">
        <v>1</v>
      </c>
      <c r="AO140" s="46">
        <v>0</v>
      </c>
      <c r="AP140" s="46" t="b">
        <v>0</v>
      </c>
      <c r="AQ140" s="46">
        <v>11</v>
      </c>
      <c r="AS140" s="46">
        <v>11</v>
      </c>
      <c r="AT140" s="46">
        <v>6</v>
      </c>
      <c r="AU140" s="46" t="b">
        <v>1</v>
      </c>
      <c r="AV140" s="46" t="b">
        <v>0</v>
      </c>
    </row>
    <row r="141" spans="2:48">
      <c r="B141" s="46" t="s">
        <v>665</v>
      </c>
      <c r="C141" s="46" t="s">
        <v>666</v>
      </c>
      <c r="D141" s="46">
        <v>20230801</v>
      </c>
      <c r="E141" s="46">
        <v>2023</v>
      </c>
      <c r="F141" s="46">
        <v>8</v>
      </c>
      <c r="G141" s="46" t="s">
        <v>721</v>
      </c>
      <c r="H141" s="46">
        <v>818</v>
      </c>
      <c r="I141" s="46" t="s">
        <v>668</v>
      </c>
      <c r="J141" s="46" t="s">
        <v>57</v>
      </c>
      <c r="K141" s="46" t="s">
        <v>666</v>
      </c>
      <c r="L141" s="46" t="s">
        <v>669</v>
      </c>
      <c r="M141" s="46">
        <v>490</v>
      </c>
      <c r="N141" s="46" t="s">
        <v>762</v>
      </c>
      <c r="O141" s="46" t="s">
        <v>763</v>
      </c>
      <c r="P141" s="46">
        <v>0</v>
      </c>
      <c r="Q141" s="46" t="s">
        <v>670</v>
      </c>
      <c r="R141" s="46" t="s">
        <v>23</v>
      </c>
      <c r="S141" s="46" t="s">
        <v>671</v>
      </c>
      <c r="T141" s="46" t="s">
        <v>672</v>
      </c>
      <c r="U141" s="46" t="b">
        <v>1</v>
      </c>
      <c r="V141" s="46" t="s">
        <v>1028</v>
      </c>
      <c r="W141" s="46" t="s">
        <v>1027</v>
      </c>
      <c r="X141" s="46">
        <v>6</v>
      </c>
      <c r="Y141" s="46" t="b">
        <v>1</v>
      </c>
      <c r="Z141" s="46" t="s">
        <v>675</v>
      </c>
      <c r="AA141" s="46" t="s">
        <v>676</v>
      </c>
      <c r="AB141" s="46" t="s">
        <v>677</v>
      </c>
      <c r="AC141" s="46">
        <v>0</v>
      </c>
      <c r="AD141" s="46" t="s">
        <v>678</v>
      </c>
      <c r="AE141" s="46">
        <v>8</v>
      </c>
      <c r="AF141" s="46" t="s">
        <v>679</v>
      </c>
      <c r="AG141" s="46">
        <v>2973.36</v>
      </c>
      <c r="AH141" s="46" t="b">
        <v>1</v>
      </c>
      <c r="AI141" s="46">
        <v>-1</v>
      </c>
      <c r="AJ141" s="46" t="s">
        <v>680</v>
      </c>
      <c r="AK141" s="46">
        <v>0</v>
      </c>
      <c r="AL141" s="46" t="b">
        <v>0</v>
      </c>
      <c r="AM141" s="46">
        <v>2973.36</v>
      </c>
      <c r="AN141" s="46" t="b">
        <v>1</v>
      </c>
      <c r="AO141" s="46">
        <v>0</v>
      </c>
      <c r="AP141" s="46" t="b">
        <v>0</v>
      </c>
      <c r="AQ141" s="46">
        <v>18991.385999999999</v>
      </c>
      <c r="AS141" s="46">
        <v>18991.385999999999</v>
      </c>
      <c r="AT141" s="46">
        <v>6</v>
      </c>
      <c r="AU141" s="46" t="b">
        <v>1</v>
      </c>
      <c r="AV141" s="46" t="b">
        <v>0</v>
      </c>
    </row>
    <row r="142" spans="2:48">
      <c r="B142" s="46" t="s">
        <v>665</v>
      </c>
      <c r="C142" s="46" t="s">
        <v>666</v>
      </c>
      <c r="D142" s="46">
        <v>20230801</v>
      </c>
      <c r="E142" s="46">
        <v>2023</v>
      </c>
      <c r="F142" s="46">
        <v>8</v>
      </c>
      <c r="G142" s="46" t="s">
        <v>721</v>
      </c>
      <c r="H142" s="46">
        <v>818</v>
      </c>
      <c r="I142" s="46" t="s">
        <v>668</v>
      </c>
      <c r="J142" s="46" t="s">
        <v>57</v>
      </c>
      <c r="K142" s="46" t="s">
        <v>666</v>
      </c>
      <c r="L142" s="46" t="s">
        <v>669</v>
      </c>
      <c r="M142" s="46">
        <v>528</v>
      </c>
      <c r="N142" s="46" t="s">
        <v>698</v>
      </c>
      <c r="O142" s="46" t="s">
        <v>60</v>
      </c>
      <c r="P142" s="46">
        <v>0</v>
      </c>
      <c r="Q142" s="46" t="s">
        <v>670</v>
      </c>
      <c r="R142" s="46" t="s">
        <v>23</v>
      </c>
      <c r="S142" s="46" t="s">
        <v>671</v>
      </c>
      <c r="T142" s="46" t="s">
        <v>672</v>
      </c>
      <c r="U142" s="46" t="b">
        <v>1</v>
      </c>
      <c r="V142" s="46" t="s">
        <v>1028</v>
      </c>
      <c r="W142" s="46" t="s">
        <v>1027</v>
      </c>
      <c r="X142" s="46">
        <v>6</v>
      </c>
      <c r="Y142" s="46" t="b">
        <v>1</v>
      </c>
      <c r="Z142" s="46" t="s">
        <v>675</v>
      </c>
      <c r="AA142" s="46" t="s">
        <v>676</v>
      </c>
      <c r="AB142" s="46" t="s">
        <v>677</v>
      </c>
      <c r="AC142" s="46">
        <v>0</v>
      </c>
      <c r="AD142" s="46" t="s">
        <v>678</v>
      </c>
      <c r="AE142" s="46">
        <v>8</v>
      </c>
      <c r="AF142" s="46" t="s">
        <v>679</v>
      </c>
      <c r="AG142" s="46">
        <v>250.339</v>
      </c>
      <c r="AH142" s="46" t="b">
        <v>1</v>
      </c>
      <c r="AI142" s="46">
        <v>-1</v>
      </c>
      <c r="AJ142" s="46" t="s">
        <v>680</v>
      </c>
      <c r="AK142" s="46">
        <v>0</v>
      </c>
      <c r="AL142" s="46" t="b">
        <v>0</v>
      </c>
      <c r="AM142" s="46">
        <v>250.339</v>
      </c>
      <c r="AN142" s="46" t="b">
        <v>1</v>
      </c>
      <c r="AO142" s="46">
        <v>0</v>
      </c>
      <c r="AP142" s="46" t="b">
        <v>0</v>
      </c>
      <c r="AQ142" s="46">
        <v>1598.96</v>
      </c>
      <c r="AS142" s="46">
        <v>1598.96</v>
      </c>
      <c r="AT142" s="46">
        <v>6</v>
      </c>
      <c r="AU142" s="46" t="b">
        <v>1</v>
      </c>
      <c r="AV142" s="46" t="b">
        <v>0</v>
      </c>
    </row>
    <row r="143" spans="2:48">
      <c r="B143" s="46" t="s">
        <v>665</v>
      </c>
      <c r="C143" s="46" t="s">
        <v>666</v>
      </c>
      <c r="D143" s="46">
        <v>20230801</v>
      </c>
      <c r="E143" s="46">
        <v>2023</v>
      </c>
      <c r="F143" s="46">
        <v>8</v>
      </c>
      <c r="G143" s="46" t="s">
        <v>721</v>
      </c>
      <c r="H143" s="46">
        <v>818</v>
      </c>
      <c r="I143" s="46" t="s">
        <v>668</v>
      </c>
      <c r="J143" s="46" t="s">
        <v>57</v>
      </c>
      <c r="K143" s="46" t="s">
        <v>666</v>
      </c>
      <c r="L143" s="46" t="s">
        <v>669</v>
      </c>
      <c r="M143" s="46">
        <v>568</v>
      </c>
      <c r="N143" s="46" t="s">
        <v>682</v>
      </c>
      <c r="O143" s="46" t="s">
        <v>683</v>
      </c>
      <c r="P143" s="46">
        <v>0</v>
      </c>
      <c r="Q143" s="46" t="s">
        <v>670</v>
      </c>
      <c r="R143" s="46" t="s">
        <v>23</v>
      </c>
      <c r="S143" s="46" t="s">
        <v>671</v>
      </c>
      <c r="T143" s="46" t="s">
        <v>672</v>
      </c>
      <c r="U143" s="46" t="b">
        <v>1</v>
      </c>
      <c r="V143" s="46" t="s">
        <v>1028</v>
      </c>
      <c r="W143" s="46" t="s">
        <v>1027</v>
      </c>
      <c r="X143" s="46">
        <v>6</v>
      </c>
      <c r="Y143" s="46" t="b">
        <v>1</v>
      </c>
      <c r="Z143" s="46" t="s">
        <v>675</v>
      </c>
      <c r="AA143" s="46" t="s">
        <v>676</v>
      </c>
      <c r="AB143" s="46" t="s">
        <v>677</v>
      </c>
      <c r="AC143" s="46">
        <v>0</v>
      </c>
      <c r="AD143" s="46" t="s">
        <v>678</v>
      </c>
      <c r="AE143" s="46">
        <v>8</v>
      </c>
      <c r="AF143" s="46" t="s">
        <v>679</v>
      </c>
      <c r="AG143" s="46">
        <v>468.70699999999999</v>
      </c>
      <c r="AH143" s="46" t="b">
        <v>1</v>
      </c>
      <c r="AI143" s="46">
        <v>-1</v>
      </c>
      <c r="AJ143" s="46" t="s">
        <v>680</v>
      </c>
      <c r="AK143" s="46">
        <v>0</v>
      </c>
      <c r="AL143" s="46" t="b">
        <v>0</v>
      </c>
      <c r="AM143" s="46">
        <v>468.70699999999999</v>
      </c>
      <c r="AN143" s="46" t="b">
        <v>1</v>
      </c>
      <c r="AO143" s="46">
        <v>0</v>
      </c>
      <c r="AP143" s="46" t="b">
        <v>0</v>
      </c>
      <c r="AQ143" s="46">
        <v>2993.7159999999999</v>
      </c>
      <c r="AS143" s="46">
        <v>2993.7159999999999</v>
      </c>
      <c r="AT143" s="46">
        <v>6</v>
      </c>
      <c r="AU143" s="46" t="b">
        <v>1</v>
      </c>
      <c r="AV143" s="46" t="b">
        <v>0</v>
      </c>
    </row>
    <row r="144" spans="2:48">
      <c r="B144" s="46" t="s">
        <v>665</v>
      </c>
      <c r="C144" s="46" t="s">
        <v>666</v>
      </c>
      <c r="D144" s="46">
        <v>20230801</v>
      </c>
      <c r="E144" s="46">
        <v>2023</v>
      </c>
      <c r="F144" s="46">
        <v>8</v>
      </c>
      <c r="G144" s="46" t="s">
        <v>721</v>
      </c>
      <c r="H144" s="46">
        <v>818</v>
      </c>
      <c r="I144" s="46" t="s">
        <v>668</v>
      </c>
      <c r="J144" s="46" t="s">
        <v>57</v>
      </c>
      <c r="K144" s="46" t="s">
        <v>666</v>
      </c>
      <c r="L144" s="46" t="s">
        <v>669</v>
      </c>
      <c r="M144" s="46">
        <v>682</v>
      </c>
      <c r="N144" s="46" t="s">
        <v>758</v>
      </c>
      <c r="O144" s="46" t="s">
        <v>39</v>
      </c>
      <c r="P144" s="46">
        <v>0</v>
      </c>
      <c r="Q144" s="46" t="s">
        <v>670</v>
      </c>
      <c r="R144" s="46" t="s">
        <v>23</v>
      </c>
      <c r="S144" s="46" t="s">
        <v>671</v>
      </c>
      <c r="T144" s="46" t="s">
        <v>672</v>
      </c>
      <c r="U144" s="46" t="b">
        <v>1</v>
      </c>
      <c r="V144" s="46" t="s">
        <v>1028</v>
      </c>
      <c r="W144" s="46" t="s">
        <v>1027</v>
      </c>
      <c r="X144" s="46">
        <v>6</v>
      </c>
      <c r="Y144" s="46" t="b">
        <v>1</v>
      </c>
      <c r="Z144" s="46" t="s">
        <v>675</v>
      </c>
      <c r="AA144" s="46" t="s">
        <v>676</v>
      </c>
      <c r="AB144" s="46" t="s">
        <v>677</v>
      </c>
      <c r="AC144" s="46">
        <v>0</v>
      </c>
      <c r="AD144" s="46" t="s">
        <v>678</v>
      </c>
      <c r="AE144" s="46">
        <v>8</v>
      </c>
      <c r="AF144" s="46" t="s">
        <v>679</v>
      </c>
      <c r="AG144" s="46">
        <v>13828.721</v>
      </c>
      <c r="AH144" s="46" t="b">
        <v>1</v>
      </c>
      <c r="AI144" s="46">
        <v>-1</v>
      </c>
      <c r="AJ144" s="46" t="s">
        <v>680</v>
      </c>
      <c r="AK144" s="46">
        <v>0</v>
      </c>
      <c r="AL144" s="46" t="b">
        <v>0</v>
      </c>
      <c r="AM144" s="46">
        <v>13828.721</v>
      </c>
      <c r="AN144" s="46" t="b">
        <v>1</v>
      </c>
      <c r="AO144" s="46">
        <v>0</v>
      </c>
      <c r="AP144" s="46" t="b">
        <v>0</v>
      </c>
      <c r="AQ144" s="46">
        <v>88326.539000000004</v>
      </c>
      <c r="AS144" s="46">
        <v>88326.539000000004</v>
      </c>
      <c r="AT144" s="46">
        <v>6</v>
      </c>
      <c r="AU144" s="46" t="b">
        <v>1</v>
      </c>
      <c r="AV144" s="46" t="b">
        <v>0</v>
      </c>
    </row>
    <row r="145" spans="2:48">
      <c r="B145" s="46" t="s">
        <v>665</v>
      </c>
      <c r="C145" s="46" t="s">
        <v>666</v>
      </c>
      <c r="D145" s="46">
        <v>20230801</v>
      </c>
      <c r="E145" s="46">
        <v>2023</v>
      </c>
      <c r="F145" s="46">
        <v>8</v>
      </c>
      <c r="G145" s="46" t="s">
        <v>721</v>
      </c>
      <c r="H145" s="46">
        <v>818</v>
      </c>
      <c r="I145" s="46" t="s">
        <v>668</v>
      </c>
      <c r="J145" s="46" t="s">
        <v>57</v>
      </c>
      <c r="K145" s="46" t="s">
        <v>666</v>
      </c>
      <c r="L145" s="46" t="s">
        <v>669</v>
      </c>
      <c r="M145" s="46">
        <v>699</v>
      </c>
      <c r="N145" s="46" t="s">
        <v>748</v>
      </c>
      <c r="O145" s="46" t="s">
        <v>0</v>
      </c>
      <c r="P145" s="46">
        <v>0</v>
      </c>
      <c r="Q145" s="46" t="s">
        <v>670</v>
      </c>
      <c r="R145" s="46" t="s">
        <v>23</v>
      </c>
      <c r="S145" s="46" t="s">
        <v>671</v>
      </c>
      <c r="T145" s="46" t="s">
        <v>672</v>
      </c>
      <c r="U145" s="46" t="b">
        <v>1</v>
      </c>
      <c r="V145" s="46" t="s">
        <v>1028</v>
      </c>
      <c r="W145" s="46" t="s">
        <v>1027</v>
      </c>
      <c r="X145" s="46">
        <v>6</v>
      </c>
      <c r="Y145" s="46" t="b">
        <v>1</v>
      </c>
      <c r="Z145" s="46" t="s">
        <v>675</v>
      </c>
      <c r="AA145" s="46" t="s">
        <v>676</v>
      </c>
      <c r="AB145" s="46" t="s">
        <v>677</v>
      </c>
      <c r="AC145" s="46">
        <v>0</v>
      </c>
      <c r="AD145" s="46" t="s">
        <v>678</v>
      </c>
      <c r="AE145" s="46">
        <v>8</v>
      </c>
      <c r="AF145" s="46" t="s">
        <v>679</v>
      </c>
      <c r="AG145" s="46">
        <v>60296.737000000001</v>
      </c>
      <c r="AH145" s="46" t="b">
        <v>1</v>
      </c>
      <c r="AI145" s="46">
        <v>-1</v>
      </c>
      <c r="AJ145" s="46" t="s">
        <v>680</v>
      </c>
      <c r="AK145" s="46">
        <v>0</v>
      </c>
      <c r="AL145" s="46" t="b">
        <v>0</v>
      </c>
      <c r="AM145" s="46">
        <v>60296.737000000001</v>
      </c>
      <c r="AN145" s="46" t="b">
        <v>1</v>
      </c>
      <c r="AO145" s="46">
        <v>0</v>
      </c>
      <c r="AP145" s="46" t="b">
        <v>0</v>
      </c>
      <c r="AQ145" s="46">
        <v>385126.15600000002</v>
      </c>
      <c r="AS145" s="46">
        <v>385126.15600000002</v>
      </c>
      <c r="AT145" s="46">
        <v>6</v>
      </c>
      <c r="AU145" s="46" t="b">
        <v>1</v>
      </c>
      <c r="AV145" s="46" t="b">
        <v>0</v>
      </c>
    </row>
    <row r="146" spans="2:48">
      <c r="B146" s="46" t="s">
        <v>665</v>
      </c>
      <c r="C146" s="46" t="s">
        <v>666</v>
      </c>
      <c r="D146" s="46">
        <v>20230801</v>
      </c>
      <c r="E146" s="46">
        <v>2023</v>
      </c>
      <c r="F146" s="46">
        <v>8</v>
      </c>
      <c r="G146" s="46" t="s">
        <v>721</v>
      </c>
      <c r="H146" s="46">
        <v>818</v>
      </c>
      <c r="I146" s="46" t="s">
        <v>668</v>
      </c>
      <c r="J146" s="46" t="s">
        <v>57</v>
      </c>
      <c r="K146" s="46" t="s">
        <v>666</v>
      </c>
      <c r="L146" s="46" t="s">
        <v>669</v>
      </c>
      <c r="M146" s="46">
        <v>704</v>
      </c>
      <c r="N146" s="46" t="s">
        <v>756</v>
      </c>
      <c r="O146" s="46" t="s">
        <v>59</v>
      </c>
      <c r="P146" s="46">
        <v>0</v>
      </c>
      <c r="Q146" s="46" t="s">
        <v>670</v>
      </c>
      <c r="R146" s="46" t="s">
        <v>23</v>
      </c>
      <c r="S146" s="46" t="s">
        <v>671</v>
      </c>
      <c r="T146" s="46" t="s">
        <v>672</v>
      </c>
      <c r="U146" s="46" t="b">
        <v>1</v>
      </c>
      <c r="V146" s="46" t="s">
        <v>1028</v>
      </c>
      <c r="W146" s="46" t="s">
        <v>1027</v>
      </c>
      <c r="X146" s="46">
        <v>6</v>
      </c>
      <c r="Y146" s="46" t="b">
        <v>1</v>
      </c>
      <c r="Z146" s="46" t="s">
        <v>675</v>
      </c>
      <c r="AA146" s="46" t="s">
        <v>676</v>
      </c>
      <c r="AB146" s="46" t="s">
        <v>677</v>
      </c>
      <c r="AC146" s="46">
        <v>0</v>
      </c>
      <c r="AD146" s="46" t="s">
        <v>678</v>
      </c>
      <c r="AE146" s="46">
        <v>8</v>
      </c>
      <c r="AF146" s="46" t="s">
        <v>679</v>
      </c>
      <c r="AG146" s="46">
        <v>4867.3789999999999</v>
      </c>
      <c r="AH146" s="46" t="b">
        <v>1</v>
      </c>
      <c r="AI146" s="46">
        <v>-1</v>
      </c>
      <c r="AJ146" s="46" t="s">
        <v>680</v>
      </c>
      <c r="AK146" s="46">
        <v>0</v>
      </c>
      <c r="AL146" s="46" t="b">
        <v>0</v>
      </c>
      <c r="AM146" s="46">
        <v>4867.3789999999999</v>
      </c>
      <c r="AN146" s="46" t="b">
        <v>1</v>
      </c>
      <c r="AO146" s="46">
        <v>0</v>
      </c>
      <c r="AP146" s="46" t="b">
        <v>0</v>
      </c>
      <c r="AQ146" s="46">
        <v>31088.827000000001</v>
      </c>
      <c r="AS146" s="46">
        <v>31088.827000000001</v>
      </c>
      <c r="AT146" s="46">
        <v>6</v>
      </c>
      <c r="AU146" s="46" t="b">
        <v>1</v>
      </c>
      <c r="AV146" s="46" t="b">
        <v>0</v>
      </c>
    </row>
    <row r="147" spans="2:48">
      <c r="B147" s="46" t="s">
        <v>665</v>
      </c>
      <c r="C147" s="46" t="s">
        <v>666</v>
      </c>
      <c r="D147" s="46">
        <v>20230801</v>
      </c>
      <c r="E147" s="46">
        <v>2023</v>
      </c>
      <c r="F147" s="46">
        <v>8</v>
      </c>
      <c r="G147" s="46" t="s">
        <v>721</v>
      </c>
      <c r="H147" s="46">
        <v>818</v>
      </c>
      <c r="I147" s="46" t="s">
        <v>668</v>
      </c>
      <c r="J147" s="46" t="s">
        <v>57</v>
      </c>
      <c r="K147" s="46" t="s">
        <v>666</v>
      </c>
      <c r="L147" s="46" t="s">
        <v>669</v>
      </c>
      <c r="M147" s="46">
        <v>724</v>
      </c>
      <c r="N147" s="46" t="s">
        <v>684</v>
      </c>
      <c r="O147" s="46" t="s">
        <v>51</v>
      </c>
      <c r="P147" s="46">
        <v>0</v>
      </c>
      <c r="Q147" s="46" t="s">
        <v>670</v>
      </c>
      <c r="R147" s="46" t="s">
        <v>23</v>
      </c>
      <c r="S147" s="46" t="s">
        <v>671</v>
      </c>
      <c r="T147" s="46" t="s">
        <v>672</v>
      </c>
      <c r="U147" s="46" t="b">
        <v>1</v>
      </c>
      <c r="V147" s="46" t="s">
        <v>1028</v>
      </c>
      <c r="W147" s="46" t="s">
        <v>1027</v>
      </c>
      <c r="X147" s="46">
        <v>6</v>
      </c>
      <c r="Y147" s="46" t="b">
        <v>1</v>
      </c>
      <c r="Z147" s="46" t="s">
        <v>675</v>
      </c>
      <c r="AA147" s="46" t="s">
        <v>676</v>
      </c>
      <c r="AB147" s="46" t="s">
        <v>677</v>
      </c>
      <c r="AC147" s="46">
        <v>0</v>
      </c>
      <c r="AD147" s="46" t="s">
        <v>678</v>
      </c>
      <c r="AE147" s="46">
        <v>8</v>
      </c>
      <c r="AF147" s="46" t="s">
        <v>679</v>
      </c>
      <c r="AG147" s="46">
        <v>5313.3890000000001</v>
      </c>
      <c r="AH147" s="46" t="b">
        <v>1</v>
      </c>
      <c r="AI147" s="46">
        <v>-1</v>
      </c>
      <c r="AJ147" s="46" t="s">
        <v>680</v>
      </c>
      <c r="AK147" s="46">
        <v>0</v>
      </c>
      <c r="AL147" s="46" t="b">
        <v>0</v>
      </c>
      <c r="AM147" s="46">
        <v>5313.3890000000001</v>
      </c>
      <c r="AN147" s="46" t="b">
        <v>1</v>
      </c>
      <c r="AO147" s="46">
        <v>0</v>
      </c>
      <c r="AP147" s="46" t="b">
        <v>0</v>
      </c>
      <c r="AQ147" s="46">
        <v>33937.578000000001</v>
      </c>
      <c r="AS147" s="46">
        <v>33937.578000000001</v>
      </c>
      <c r="AT147" s="46">
        <v>6</v>
      </c>
      <c r="AU147" s="46" t="b">
        <v>1</v>
      </c>
      <c r="AV147" s="46" t="b">
        <v>0</v>
      </c>
    </row>
    <row r="148" spans="2:48">
      <c r="B148" s="46" t="s">
        <v>665</v>
      </c>
      <c r="C148" s="46" t="s">
        <v>666</v>
      </c>
      <c r="D148" s="46">
        <v>20230801</v>
      </c>
      <c r="E148" s="46">
        <v>2023</v>
      </c>
      <c r="F148" s="46">
        <v>8</v>
      </c>
      <c r="G148" s="46" t="s">
        <v>721</v>
      </c>
      <c r="H148" s="46">
        <v>818</v>
      </c>
      <c r="I148" s="46" t="s">
        <v>668</v>
      </c>
      <c r="J148" s="46" t="s">
        <v>57</v>
      </c>
      <c r="K148" s="46" t="s">
        <v>666</v>
      </c>
      <c r="L148" s="46" t="s">
        <v>669</v>
      </c>
      <c r="M148" s="46">
        <v>757</v>
      </c>
      <c r="N148" s="46" t="s">
        <v>996</v>
      </c>
      <c r="O148" s="46" t="s">
        <v>41</v>
      </c>
      <c r="P148" s="46">
        <v>0</v>
      </c>
      <c r="Q148" s="46" t="s">
        <v>670</v>
      </c>
      <c r="R148" s="46" t="s">
        <v>23</v>
      </c>
      <c r="S148" s="46" t="s">
        <v>671</v>
      </c>
      <c r="T148" s="46" t="s">
        <v>672</v>
      </c>
      <c r="U148" s="46" t="b">
        <v>1</v>
      </c>
      <c r="V148" s="46" t="s">
        <v>1028</v>
      </c>
      <c r="W148" s="46" t="s">
        <v>1027</v>
      </c>
      <c r="X148" s="46">
        <v>6</v>
      </c>
      <c r="Y148" s="46" t="b">
        <v>1</v>
      </c>
      <c r="Z148" s="46" t="s">
        <v>675</v>
      </c>
      <c r="AA148" s="46" t="s">
        <v>676</v>
      </c>
      <c r="AB148" s="46" t="s">
        <v>677</v>
      </c>
      <c r="AC148" s="46">
        <v>0</v>
      </c>
      <c r="AD148" s="46" t="s">
        <v>678</v>
      </c>
      <c r="AE148" s="46">
        <v>8</v>
      </c>
      <c r="AF148" s="46" t="s">
        <v>679</v>
      </c>
      <c r="AG148" s="46">
        <v>0.51100000000000001</v>
      </c>
      <c r="AH148" s="46" t="b">
        <v>1</v>
      </c>
      <c r="AI148" s="46">
        <v>-1</v>
      </c>
      <c r="AJ148" s="46" t="s">
        <v>680</v>
      </c>
      <c r="AK148" s="46">
        <v>0</v>
      </c>
      <c r="AL148" s="46" t="b">
        <v>0</v>
      </c>
      <c r="AM148" s="46">
        <v>0.51100000000000001</v>
      </c>
      <c r="AN148" s="46" t="b">
        <v>1</v>
      </c>
      <c r="AO148" s="46">
        <v>0</v>
      </c>
      <c r="AP148" s="46" t="b">
        <v>0</v>
      </c>
      <c r="AQ148" s="46">
        <v>3.262</v>
      </c>
      <c r="AS148" s="46">
        <v>3.262</v>
      </c>
      <c r="AT148" s="46">
        <v>6</v>
      </c>
      <c r="AU148" s="46" t="b">
        <v>1</v>
      </c>
      <c r="AV148" s="46" t="b">
        <v>0</v>
      </c>
    </row>
    <row r="149" spans="2:48">
      <c r="B149" s="46" t="s">
        <v>665</v>
      </c>
      <c r="C149" s="46" t="s">
        <v>666</v>
      </c>
      <c r="D149" s="46">
        <v>20230801</v>
      </c>
      <c r="E149" s="46">
        <v>2023</v>
      </c>
      <c r="F149" s="46">
        <v>8</v>
      </c>
      <c r="G149" s="46" t="s">
        <v>721</v>
      </c>
      <c r="H149" s="46">
        <v>818</v>
      </c>
      <c r="I149" s="46" t="s">
        <v>668</v>
      </c>
      <c r="J149" s="46" t="s">
        <v>57</v>
      </c>
      <c r="K149" s="46" t="s">
        <v>666</v>
      </c>
      <c r="L149" s="46" t="s">
        <v>669</v>
      </c>
      <c r="M149" s="46">
        <v>784</v>
      </c>
      <c r="N149" s="46" t="s">
        <v>694</v>
      </c>
      <c r="O149" s="46" t="s">
        <v>25</v>
      </c>
      <c r="P149" s="46">
        <v>0</v>
      </c>
      <c r="Q149" s="46" t="s">
        <v>670</v>
      </c>
      <c r="R149" s="46" t="s">
        <v>23</v>
      </c>
      <c r="S149" s="46" t="s">
        <v>671</v>
      </c>
      <c r="T149" s="46" t="s">
        <v>672</v>
      </c>
      <c r="U149" s="46" t="b">
        <v>1</v>
      </c>
      <c r="V149" s="46" t="s">
        <v>1028</v>
      </c>
      <c r="W149" s="46" t="s">
        <v>1027</v>
      </c>
      <c r="X149" s="46">
        <v>6</v>
      </c>
      <c r="Y149" s="46" t="b">
        <v>1</v>
      </c>
      <c r="Z149" s="46" t="s">
        <v>675</v>
      </c>
      <c r="AA149" s="46" t="s">
        <v>676</v>
      </c>
      <c r="AB149" s="46" t="s">
        <v>677</v>
      </c>
      <c r="AC149" s="46">
        <v>0</v>
      </c>
      <c r="AD149" s="46" t="s">
        <v>678</v>
      </c>
      <c r="AE149" s="46">
        <v>8</v>
      </c>
      <c r="AF149" s="46" t="s">
        <v>679</v>
      </c>
      <c r="AG149" s="46">
        <v>19848.419999999998</v>
      </c>
      <c r="AH149" s="46" t="b">
        <v>1</v>
      </c>
      <c r="AI149" s="46">
        <v>-1</v>
      </c>
      <c r="AJ149" s="46" t="s">
        <v>680</v>
      </c>
      <c r="AK149" s="46">
        <v>0</v>
      </c>
      <c r="AL149" s="46" t="b">
        <v>0</v>
      </c>
      <c r="AM149" s="46">
        <v>19848.419999999998</v>
      </c>
      <c r="AN149" s="46" t="b">
        <v>1</v>
      </c>
      <c r="AO149" s="46">
        <v>0</v>
      </c>
      <c r="AP149" s="46" t="b">
        <v>0</v>
      </c>
      <c r="AQ149" s="46">
        <v>126775.443</v>
      </c>
      <c r="AS149" s="46">
        <v>126775.443</v>
      </c>
      <c r="AT149" s="46">
        <v>6</v>
      </c>
      <c r="AU149" s="46" t="b">
        <v>1</v>
      </c>
      <c r="AV149" s="46" t="b">
        <v>0</v>
      </c>
    </row>
    <row r="150" spans="2:48">
      <c r="B150" s="46" t="s">
        <v>665</v>
      </c>
      <c r="C150" s="46" t="s">
        <v>666</v>
      </c>
      <c r="D150" s="46">
        <v>20230801</v>
      </c>
      <c r="E150" s="46">
        <v>2023</v>
      </c>
      <c r="F150" s="46">
        <v>8</v>
      </c>
      <c r="G150" s="46" t="s">
        <v>721</v>
      </c>
      <c r="H150" s="46">
        <v>818</v>
      </c>
      <c r="I150" s="46" t="s">
        <v>668</v>
      </c>
      <c r="J150" s="46" t="s">
        <v>57</v>
      </c>
      <c r="K150" s="46" t="s">
        <v>666</v>
      </c>
      <c r="L150" s="46" t="s">
        <v>669</v>
      </c>
      <c r="M150" s="46">
        <v>792</v>
      </c>
      <c r="N150" s="46" t="s">
        <v>691</v>
      </c>
      <c r="O150" s="46" t="s">
        <v>63</v>
      </c>
      <c r="P150" s="46">
        <v>0</v>
      </c>
      <c r="Q150" s="46" t="s">
        <v>670</v>
      </c>
      <c r="R150" s="46" t="s">
        <v>23</v>
      </c>
      <c r="S150" s="46" t="s">
        <v>671</v>
      </c>
      <c r="T150" s="46" t="s">
        <v>672</v>
      </c>
      <c r="U150" s="46" t="b">
        <v>1</v>
      </c>
      <c r="V150" s="46" t="s">
        <v>1028</v>
      </c>
      <c r="W150" s="46" t="s">
        <v>1027</v>
      </c>
      <c r="X150" s="46">
        <v>6</v>
      </c>
      <c r="Y150" s="46" t="b">
        <v>1</v>
      </c>
      <c r="Z150" s="46" t="s">
        <v>675</v>
      </c>
      <c r="AA150" s="46" t="s">
        <v>676</v>
      </c>
      <c r="AB150" s="46" t="s">
        <v>677</v>
      </c>
      <c r="AC150" s="46">
        <v>0</v>
      </c>
      <c r="AD150" s="46" t="s">
        <v>678</v>
      </c>
      <c r="AE150" s="46">
        <v>8</v>
      </c>
      <c r="AF150" s="46" t="s">
        <v>679</v>
      </c>
      <c r="AG150" s="46">
        <v>3965.777</v>
      </c>
      <c r="AH150" s="46" t="b">
        <v>1</v>
      </c>
      <c r="AI150" s="46">
        <v>-1</v>
      </c>
      <c r="AJ150" s="46" t="s">
        <v>680</v>
      </c>
      <c r="AK150" s="46">
        <v>0</v>
      </c>
      <c r="AL150" s="46" t="b">
        <v>0</v>
      </c>
      <c r="AM150" s="46">
        <v>3965.777</v>
      </c>
      <c r="AN150" s="46" t="b">
        <v>1</v>
      </c>
      <c r="AO150" s="46">
        <v>0</v>
      </c>
      <c r="AP150" s="46" t="b">
        <v>0</v>
      </c>
      <c r="AQ150" s="46">
        <v>25330.134999999998</v>
      </c>
      <c r="AS150" s="46">
        <v>25330.134999999998</v>
      </c>
      <c r="AT150" s="46">
        <v>6</v>
      </c>
      <c r="AU150" s="46" t="b">
        <v>1</v>
      </c>
      <c r="AV150" s="46" t="b">
        <v>0</v>
      </c>
    </row>
    <row r="151" spans="2:48">
      <c r="B151" s="46" t="s">
        <v>665</v>
      </c>
      <c r="C151" s="46" t="s">
        <v>666</v>
      </c>
      <c r="D151" s="46">
        <v>20230801</v>
      </c>
      <c r="E151" s="46">
        <v>2023</v>
      </c>
      <c r="F151" s="46">
        <v>8</v>
      </c>
      <c r="G151" s="46" t="s">
        <v>721</v>
      </c>
      <c r="H151" s="46">
        <v>818</v>
      </c>
      <c r="I151" s="46" t="s">
        <v>668</v>
      </c>
      <c r="J151" s="46" t="s">
        <v>57</v>
      </c>
      <c r="K151" s="46" t="s">
        <v>666</v>
      </c>
      <c r="L151" s="46" t="s">
        <v>669</v>
      </c>
      <c r="M151" s="46">
        <v>842</v>
      </c>
      <c r="N151" s="46" t="s">
        <v>713</v>
      </c>
      <c r="O151" s="46" t="s">
        <v>713</v>
      </c>
      <c r="P151" s="46">
        <v>0</v>
      </c>
      <c r="Q151" s="46" t="s">
        <v>670</v>
      </c>
      <c r="R151" s="46" t="s">
        <v>23</v>
      </c>
      <c r="S151" s="46" t="s">
        <v>671</v>
      </c>
      <c r="T151" s="46" t="s">
        <v>672</v>
      </c>
      <c r="U151" s="46" t="b">
        <v>1</v>
      </c>
      <c r="V151" s="46" t="s">
        <v>1028</v>
      </c>
      <c r="W151" s="46" t="s">
        <v>1027</v>
      </c>
      <c r="X151" s="46">
        <v>6</v>
      </c>
      <c r="Y151" s="46" t="b">
        <v>1</v>
      </c>
      <c r="Z151" s="46" t="s">
        <v>675</v>
      </c>
      <c r="AA151" s="46" t="s">
        <v>676</v>
      </c>
      <c r="AB151" s="46" t="s">
        <v>677</v>
      </c>
      <c r="AC151" s="46">
        <v>0</v>
      </c>
      <c r="AD151" s="46" t="s">
        <v>678</v>
      </c>
      <c r="AE151" s="46">
        <v>8</v>
      </c>
      <c r="AF151" s="46" t="s">
        <v>679</v>
      </c>
      <c r="AG151" s="46">
        <v>2.5289999999999999</v>
      </c>
      <c r="AH151" s="46" t="b">
        <v>1</v>
      </c>
      <c r="AI151" s="46">
        <v>-1</v>
      </c>
      <c r="AJ151" s="46" t="s">
        <v>680</v>
      </c>
      <c r="AK151" s="46">
        <v>0</v>
      </c>
      <c r="AL151" s="46" t="b">
        <v>0</v>
      </c>
      <c r="AM151" s="46">
        <v>2.5289999999999999</v>
      </c>
      <c r="AN151" s="46" t="b">
        <v>1</v>
      </c>
      <c r="AO151" s="46">
        <v>0</v>
      </c>
      <c r="AP151" s="46" t="b">
        <v>0</v>
      </c>
      <c r="AQ151" s="46">
        <v>16.151</v>
      </c>
      <c r="AS151" s="46">
        <v>16.151</v>
      </c>
      <c r="AT151" s="46">
        <v>6</v>
      </c>
      <c r="AU151" s="46" t="b">
        <v>1</v>
      </c>
      <c r="AV151" s="46" t="b">
        <v>0</v>
      </c>
    </row>
    <row r="152" spans="2:48">
      <c r="B152" s="46" t="s">
        <v>665</v>
      </c>
      <c r="C152" s="46" t="s">
        <v>666</v>
      </c>
      <c r="D152" s="46">
        <v>20230801</v>
      </c>
      <c r="E152" s="46">
        <v>2023</v>
      </c>
      <c r="F152" s="46">
        <v>8</v>
      </c>
      <c r="G152" s="46" t="s">
        <v>721</v>
      </c>
      <c r="H152" s="46">
        <v>818</v>
      </c>
      <c r="I152" s="46" t="s">
        <v>668</v>
      </c>
      <c r="J152" s="46" t="s">
        <v>57</v>
      </c>
      <c r="K152" s="46" t="s">
        <v>666</v>
      </c>
      <c r="L152" s="46" t="s">
        <v>669</v>
      </c>
      <c r="M152" s="46">
        <v>899</v>
      </c>
      <c r="N152" s="46" t="s">
        <v>1030</v>
      </c>
      <c r="O152" s="46" t="s">
        <v>1031</v>
      </c>
      <c r="P152" s="46">
        <v>0</v>
      </c>
      <c r="Q152" s="46" t="s">
        <v>670</v>
      </c>
      <c r="R152" s="46" t="s">
        <v>23</v>
      </c>
      <c r="S152" s="46" t="s">
        <v>671</v>
      </c>
      <c r="T152" s="46" t="s">
        <v>672</v>
      </c>
      <c r="U152" s="46" t="b">
        <v>1</v>
      </c>
      <c r="V152" s="46" t="s">
        <v>1028</v>
      </c>
      <c r="W152" s="46" t="s">
        <v>1027</v>
      </c>
      <c r="X152" s="46">
        <v>6</v>
      </c>
      <c r="Y152" s="46" t="b">
        <v>1</v>
      </c>
      <c r="Z152" s="46" t="s">
        <v>675</v>
      </c>
      <c r="AA152" s="46" t="s">
        <v>676</v>
      </c>
      <c r="AB152" s="46" t="s">
        <v>677</v>
      </c>
      <c r="AC152" s="46">
        <v>0</v>
      </c>
      <c r="AD152" s="46" t="s">
        <v>678</v>
      </c>
      <c r="AE152" s="46">
        <v>8</v>
      </c>
      <c r="AF152" s="46" t="s">
        <v>679</v>
      </c>
      <c r="AG152" s="46">
        <v>1.877</v>
      </c>
      <c r="AH152" s="46" t="b">
        <v>1</v>
      </c>
      <c r="AI152" s="46">
        <v>-1</v>
      </c>
      <c r="AJ152" s="46" t="s">
        <v>680</v>
      </c>
      <c r="AK152" s="46">
        <v>0</v>
      </c>
      <c r="AL152" s="46" t="b">
        <v>0</v>
      </c>
      <c r="AM152" s="46">
        <v>1.877</v>
      </c>
      <c r="AN152" s="46" t="b">
        <v>1</v>
      </c>
      <c r="AO152" s="46">
        <v>0</v>
      </c>
      <c r="AP152" s="46" t="b">
        <v>0</v>
      </c>
      <c r="AQ152" s="46">
        <v>11.991</v>
      </c>
      <c r="AS152" s="46">
        <v>11.991</v>
      </c>
      <c r="AT152" s="46">
        <v>6</v>
      </c>
      <c r="AU152" s="46" t="b">
        <v>1</v>
      </c>
      <c r="AV152" s="46" t="b">
        <v>0</v>
      </c>
    </row>
    <row r="153" spans="2:48">
      <c r="B153" s="46" t="s">
        <v>665</v>
      </c>
      <c r="C153" s="46" t="s">
        <v>666</v>
      </c>
      <c r="D153" s="46">
        <v>20230901</v>
      </c>
      <c r="E153" s="46">
        <v>2023</v>
      </c>
      <c r="F153" s="46">
        <v>9</v>
      </c>
      <c r="G153" s="46" t="s">
        <v>723</v>
      </c>
      <c r="H153" s="46">
        <v>818</v>
      </c>
      <c r="I153" s="46" t="s">
        <v>668</v>
      </c>
      <c r="J153" s="46" t="s">
        <v>57</v>
      </c>
      <c r="K153" s="46" t="s">
        <v>666</v>
      </c>
      <c r="L153" s="46" t="s">
        <v>669</v>
      </c>
      <c r="M153" s="46">
        <v>0</v>
      </c>
      <c r="N153" s="46" t="s">
        <v>670</v>
      </c>
      <c r="O153" s="46" t="s">
        <v>23</v>
      </c>
      <c r="P153" s="46">
        <v>0</v>
      </c>
      <c r="Q153" s="46" t="s">
        <v>670</v>
      </c>
      <c r="R153" s="46" t="s">
        <v>23</v>
      </c>
      <c r="S153" s="46" t="s">
        <v>671</v>
      </c>
      <c r="T153" s="46" t="s">
        <v>672</v>
      </c>
      <c r="U153" s="46" t="b">
        <v>1</v>
      </c>
      <c r="V153" s="46" t="s">
        <v>1028</v>
      </c>
      <c r="W153" s="46" t="s">
        <v>1027</v>
      </c>
      <c r="X153" s="46">
        <v>6</v>
      </c>
      <c r="Y153" s="46" t="b">
        <v>1</v>
      </c>
      <c r="Z153" s="46" t="s">
        <v>675</v>
      </c>
      <c r="AA153" s="46" t="s">
        <v>676</v>
      </c>
      <c r="AB153" s="46" t="s">
        <v>677</v>
      </c>
      <c r="AC153" s="46">
        <v>0</v>
      </c>
      <c r="AD153" s="46" t="s">
        <v>678</v>
      </c>
      <c r="AE153" s="46">
        <v>8</v>
      </c>
      <c r="AF153" s="46" t="s">
        <v>679</v>
      </c>
      <c r="AG153" s="46">
        <v>113833.806</v>
      </c>
      <c r="AH153" s="46" t="b">
        <v>1</v>
      </c>
      <c r="AI153" s="46">
        <v>-1</v>
      </c>
      <c r="AJ153" s="46" t="s">
        <v>680</v>
      </c>
      <c r="AK153" s="46">
        <v>0</v>
      </c>
      <c r="AL153" s="46" t="b">
        <v>0</v>
      </c>
      <c r="AM153" s="46">
        <v>113833.806</v>
      </c>
      <c r="AN153" s="46" t="b">
        <v>1</v>
      </c>
      <c r="AO153" s="46">
        <v>0</v>
      </c>
      <c r="AP153" s="46" t="b">
        <v>0</v>
      </c>
      <c r="AQ153" s="46">
        <v>727077.08799999999</v>
      </c>
      <c r="AS153" s="46">
        <v>727077.08799999999</v>
      </c>
      <c r="AT153" s="46">
        <v>6</v>
      </c>
      <c r="AU153" s="46" t="b">
        <v>0</v>
      </c>
      <c r="AV153" s="46" t="b">
        <v>1</v>
      </c>
    </row>
    <row r="154" spans="2:48">
      <c r="B154" s="46" t="s">
        <v>665</v>
      </c>
      <c r="C154" s="46" t="s">
        <v>666</v>
      </c>
      <c r="D154" s="46">
        <v>20230901</v>
      </c>
      <c r="E154" s="46">
        <v>2023</v>
      </c>
      <c r="F154" s="46">
        <v>9</v>
      </c>
      <c r="G154" s="46" t="s">
        <v>723</v>
      </c>
      <c r="H154" s="46">
        <v>818</v>
      </c>
      <c r="I154" s="46" t="s">
        <v>668</v>
      </c>
      <c r="J154" s="46" t="s">
        <v>57</v>
      </c>
      <c r="K154" s="46" t="s">
        <v>666</v>
      </c>
      <c r="L154" s="46" t="s">
        <v>669</v>
      </c>
      <c r="M154" s="46">
        <v>56</v>
      </c>
      <c r="N154" s="46" t="s">
        <v>696</v>
      </c>
      <c r="O154" s="46" t="s">
        <v>74</v>
      </c>
      <c r="P154" s="46">
        <v>0</v>
      </c>
      <c r="Q154" s="46" t="s">
        <v>670</v>
      </c>
      <c r="R154" s="46" t="s">
        <v>23</v>
      </c>
      <c r="S154" s="46" t="s">
        <v>671</v>
      </c>
      <c r="T154" s="46" t="s">
        <v>672</v>
      </c>
      <c r="U154" s="46" t="b">
        <v>1</v>
      </c>
      <c r="V154" s="46" t="s">
        <v>1028</v>
      </c>
      <c r="W154" s="46" t="s">
        <v>1027</v>
      </c>
      <c r="X154" s="46">
        <v>6</v>
      </c>
      <c r="Y154" s="46" t="b">
        <v>1</v>
      </c>
      <c r="Z154" s="46" t="s">
        <v>675</v>
      </c>
      <c r="AA154" s="46" t="s">
        <v>676</v>
      </c>
      <c r="AB154" s="46" t="s">
        <v>677</v>
      </c>
      <c r="AC154" s="46">
        <v>0</v>
      </c>
      <c r="AD154" s="46" t="s">
        <v>678</v>
      </c>
      <c r="AE154" s="46">
        <v>8</v>
      </c>
      <c r="AF154" s="46" t="s">
        <v>679</v>
      </c>
      <c r="AG154" s="46">
        <v>6.6630000000000003</v>
      </c>
      <c r="AH154" s="46" t="b">
        <v>1</v>
      </c>
      <c r="AI154" s="46">
        <v>-1</v>
      </c>
      <c r="AJ154" s="46" t="s">
        <v>680</v>
      </c>
      <c r="AK154" s="46">
        <v>0</v>
      </c>
      <c r="AL154" s="46" t="b">
        <v>0</v>
      </c>
      <c r="AM154" s="46">
        <v>6.6630000000000003</v>
      </c>
      <c r="AN154" s="46" t="b">
        <v>1</v>
      </c>
      <c r="AO154" s="46">
        <v>0</v>
      </c>
      <c r="AP154" s="46" t="b">
        <v>0</v>
      </c>
      <c r="AQ154" s="46">
        <v>42.56</v>
      </c>
      <c r="AS154" s="46">
        <v>42.56</v>
      </c>
      <c r="AT154" s="46">
        <v>6</v>
      </c>
      <c r="AU154" s="46" t="b">
        <v>1</v>
      </c>
      <c r="AV154" s="46" t="b">
        <v>0</v>
      </c>
    </row>
    <row r="155" spans="2:48">
      <c r="B155" s="46" t="s">
        <v>665</v>
      </c>
      <c r="C155" s="46" t="s">
        <v>666</v>
      </c>
      <c r="D155" s="46">
        <v>20230901</v>
      </c>
      <c r="E155" s="46">
        <v>2023</v>
      </c>
      <c r="F155" s="46">
        <v>9</v>
      </c>
      <c r="G155" s="46" t="s">
        <v>723</v>
      </c>
      <c r="H155" s="46">
        <v>818</v>
      </c>
      <c r="I155" s="46" t="s">
        <v>668</v>
      </c>
      <c r="J155" s="46" t="s">
        <v>57</v>
      </c>
      <c r="K155" s="46" t="s">
        <v>666</v>
      </c>
      <c r="L155" s="46" t="s">
        <v>669</v>
      </c>
      <c r="M155" s="46">
        <v>144</v>
      </c>
      <c r="N155" s="46" t="s">
        <v>1029</v>
      </c>
      <c r="O155" s="46" t="s">
        <v>94</v>
      </c>
      <c r="P155" s="46">
        <v>0</v>
      </c>
      <c r="Q155" s="46" t="s">
        <v>670</v>
      </c>
      <c r="R155" s="46" t="s">
        <v>23</v>
      </c>
      <c r="S155" s="46" t="s">
        <v>671</v>
      </c>
      <c r="T155" s="46" t="s">
        <v>672</v>
      </c>
      <c r="U155" s="46" t="b">
        <v>1</v>
      </c>
      <c r="V155" s="46" t="s">
        <v>1028</v>
      </c>
      <c r="W155" s="46" t="s">
        <v>1027</v>
      </c>
      <c r="X155" s="46">
        <v>6</v>
      </c>
      <c r="Y155" s="46" t="b">
        <v>1</v>
      </c>
      <c r="Z155" s="46" t="s">
        <v>675</v>
      </c>
      <c r="AA155" s="46" t="s">
        <v>676</v>
      </c>
      <c r="AB155" s="46" t="s">
        <v>677</v>
      </c>
      <c r="AC155" s="46">
        <v>0</v>
      </c>
      <c r="AD155" s="46" t="s">
        <v>678</v>
      </c>
      <c r="AE155" s="46">
        <v>8</v>
      </c>
      <c r="AF155" s="46" t="s">
        <v>679</v>
      </c>
      <c r="AG155" s="46">
        <v>885.16499999999996</v>
      </c>
      <c r="AH155" s="46" t="b">
        <v>1</v>
      </c>
      <c r="AI155" s="46">
        <v>-1</v>
      </c>
      <c r="AJ155" s="46" t="s">
        <v>680</v>
      </c>
      <c r="AK155" s="46">
        <v>0</v>
      </c>
      <c r="AL155" s="46" t="b">
        <v>0</v>
      </c>
      <c r="AM155" s="46">
        <v>885.16499999999996</v>
      </c>
      <c r="AN155" s="46" t="b">
        <v>1</v>
      </c>
      <c r="AO155" s="46">
        <v>0</v>
      </c>
      <c r="AP155" s="46" t="b">
        <v>0</v>
      </c>
      <c r="AQ155" s="46">
        <v>5653.7079999999996</v>
      </c>
      <c r="AS155" s="46">
        <v>5653.7079999999996</v>
      </c>
      <c r="AT155" s="46">
        <v>6</v>
      </c>
      <c r="AU155" s="46" t="b">
        <v>1</v>
      </c>
      <c r="AV155" s="46" t="b">
        <v>0</v>
      </c>
    </row>
    <row r="156" spans="2:48">
      <c r="B156" s="46" t="s">
        <v>665</v>
      </c>
      <c r="C156" s="46" t="s">
        <v>666</v>
      </c>
      <c r="D156" s="46">
        <v>20230901</v>
      </c>
      <c r="E156" s="46">
        <v>2023</v>
      </c>
      <c r="F156" s="46">
        <v>9</v>
      </c>
      <c r="G156" s="46" t="s">
        <v>723</v>
      </c>
      <c r="H156" s="46">
        <v>818</v>
      </c>
      <c r="I156" s="46" t="s">
        <v>668</v>
      </c>
      <c r="J156" s="46" t="s">
        <v>57</v>
      </c>
      <c r="K156" s="46" t="s">
        <v>666</v>
      </c>
      <c r="L156" s="46" t="s">
        <v>669</v>
      </c>
      <c r="M156" s="46">
        <v>156</v>
      </c>
      <c r="N156" s="46" t="s">
        <v>711</v>
      </c>
      <c r="O156" s="46" t="s">
        <v>29</v>
      </c>
      <c r="P156" s="46">
        <v>0</v>
      </c>
      <c r="Q156" s="46" t="s">
        <v>670</v>
      </c>
      <c r="R156" s="46" t="s">
        <v>23</v>
      </c>
      <c r="S156" s="46" t="s">
        <v>671</v>
      </c>
      <c r="T156" s="46" t="s">
        <v>672</v>
      </c>
      <c r="U156" s="46" t="b">
        <v>1</v>
      </c>
      <c r="V156" s="46" t="s">
        <v>1028</v>
      </c>
      <c r="W156" s="46" t="s">
        <v>1027</v>
      </c>
      <c r="X156" s="46">
        <v>6</v>
      </c>
      <c r="Y156" s="46" t="b">
        <v>1</v>
      </c>
      <c r="Z156" s="46" t="s">
        <v>675</v>
      </c>
      <c r="AA156" s="46" t="s">
        <v>676</v>
      </c>
      <c r="AB156" s="46" t="s">
        <v>677</v>
      </c>
      <c r="AC156" s="46">
        <v>0</v>
      </c>
      <c r="AD156" s="46" t="s">
        <v>678</v>
      </c>
      <c r="AE156" s="46">
        <v>8</v>
      </c>
      <c r="AF156" s="46" t="s">
        <v>679</v>
      </c>
      <c r="AG156" s="46">
        <v>9113.9879999999994</v>
      </c>
      <c r="AH156" s="46" t="b">
        <v>1</v>
      </c>
      <c r="AI156" s="46">
        <v>-1</v>
      </c>
      <c r="AJ156" s="46" t="s">
        <v>680</v>
      </c>
      <c r="AK156" s="46">
        <v>0</v>
      </c>
      <c r="AL156" s="46" t="b">
        <v>0</v>
      </c>
      <c r="AM156" s="46">
        <v>9113.9879999999994</v>
      </c>
      <c r="AN156" s="46" t="b">
        <v>1</v>
      </c>
      <c r="AO156" s="46">
        <v>0</v>
      </c>
      <c r="AP156" s="46" t="b">
        <v>0</v>
      </c>
      <c r="AQ156" s="46">
        <v>58212.686000000002</v>
      </c>
      <c r="AS156" s="46">
        <v>58212.686000000002</v>
      </c>
      <c r="AT156" s="46">
        <v>6</v>
      </c>
      <c r="AU156" s="46" t="b">
        <v>1</v>
      </c>
      <c r="AV156" s="46" t="b">
        <v>0</v>
      </c>
    </row>
    <row r="157" spans="2:48">
      <c r="B157" s="46" t="s">
        <v>665</v>
      </c>
      <c r="C157" s="46" t="s">
        <v>666</v>
      </c>
      <c r="D157" s="46">
        <v>20230901</v>
      </c>
      <c r="E157" s="46">
        <v>2023</v>
      </c>
      <c r="F157" s="46">
        <v>9</v>
      </c>
      <c r="G157" s="46" t="s">
        <v>723</v>
      </c>
      <c r="H157" s="46">
        <v>818</v>
      </c>
      <c r="I157" s="46" t="s">
        <v>668</v>
      </c>
      <c r="J157" s="46" t="s">
        <v>57</v>
      </c>
      <c r="K157" s="46" t="s">
        <v>666</v>
      </c>
      <c r="L157" s="46" t="s">
        <v>669</v>
      </c>
      <c r="M157" s="46">
        <v>251</v>
      </c>
      <c r="N157" s="46" t="s">
        <v>688</v>
      </c>
      <c r="O157" s="46" t="s">
        <v>69</v>
      </c>
      <c r="P157" s="46">
        <v>0</v>
      </c>
      <c r="Q157" s="46" t="s">
        <v>670</v>
      </c>
      <c r="R157" s="46" t="s">
        <v>23</v>
      </c>
      <c r="S157" s="46" t="s">
        <v>671</v>
      </c>
      <c r="T157" s="46" t="s">
        <v>672</v>
      </c>
      <c r="U157" s="46" t="b">
        <v>1</v>
      </c>
      <c r="V157" s="46" t="s">
        <v>1028</v>
      </c>
      <c r="W157" s="46" t="s">
        <v>1027</v>
      </c>
      <c r="X157" s="46">
        <v>6</v>
      </c>
      <c r="Y157" s="46" t="b">
        <v>1</v>
      </c>
      <c r="Z157" s="46" t="s">
        <v>675</v>
      </c>
      <c r="AA157" s="46" t="s">
        <v>676</v>
      </c>
      <c r="AB157" s="46" t="s">
        <v>677</v>
      </c>
      <c r="AC157" s="46">
        <v>0</v>
      </c>
      <c r="AD157" s="46" t="s">
        <v>678</v>
      </c>
      <c r="AE157" s="46">
        <v>8</v>
      </c>
      <c r="AF157" s="46" t="s">
        <v>679</v>
      </c>
      <c r="AG157" s="46">
        <v>1582.74</v>
      </c>
      <c r="AH157" s="46" t="b">
        <v>1</v>
      </c>
      <c r="AI157" s="46">
        <v>-1</v>
      </c>
      <c r="AJ157" s="46" t="s">
        <v>680</v>
      </c>
      <c r="AK157" s="46">
        <v>0</v>
      </c>
      <c r="AL157" s="46" t="b">
        <v>0</v>
      </c>
      <c r="AM157" s="46">
        <v>1582.74</v>
      </c>
      <c r="AN157" s="46" t="b">
        <v>1</v>
      </c>
      <c r="AO157" s="46">
        <v>0</v>
      </c>
      <c r="AP157" s="46" t="b">
        <v>0</v>
      </c>
      <c r="AQ157" s="46">
        <v>10109.246999999999</v>
      </c>
      <c r="AS157" s="46">
        <v>10109.246999999999</v>
      </c>
      <c r="AT157" s="46">
        <v>6</v>
      </c>
      <c r="AU157" s="46" t="b">
        <v>1</v>
      </c>
      <c r="AV157" s="46" t="b">
        <v>0</v>
      </c>
    </row>
    <row r="158" spans="2:48">
      <c r="B158" s="46" t="s">
        <v>665</v>
      </c>
      <c r="C158" s="46" t="s">
        <v>666</v>
      </c>
      <c r="D158" s="46">
        <v>20230901</v>
      </c>
      <c r="E158" s="46">
        <v>2023</v>
      </c>
      <c r="F158" s="46">
        <v>9</v>
      </c>
      <c r="G158" s="46" t="s">
        <v>723</v>
      </c>
      <c r="H158" s="46">
        <v>818</v>
      </c>
      <c r="I158" s="46" t="s">
        <v>668</v>
      </c>
      <c r="J158" s="46" t="s">
        <v>57</v>
      </c>
      <c r="K158" s="46" t="s">
        <v>666</v>
      </c>
      <c r="L158" s="46" t="s">
        <v>669</v>
      </c>
      <c r="M158" s="46">
        <v>276</v>
      </c>
      <c r="N158" s="46" t="s">
        <v>681</v>
      </c>
      <c r="O158" s="46" t="s">
        <v>30</v>
      </c>
      <c r="P158" s="46">
        <v>0</v>
      </c>
      <c r="Q158" s="46" t="s">
        <v>670</v>
      </c>
      <c r="R158" s="46" t="s">
        <v>23</v>
      </c>
      <c r="S158" s="46" t="s">
        <v>671</v>
      </c>
      <c r="T158" s="46" t="s">
        <v>672</v>
      </c>
      <c r="U158" s="46" t="b">
        <v>1</v>
      </c>
      <c r="V158" s="46" t="s">
        <v>1028</v>
      </c>
      <c r="W158" s="46" t="s">
        <v>1027</v>
      </c>
      <c r="X158" s="46">
        <v>6</v>
      </c>
      <c r="Y158" s="46" t="b">
        <v>1</v>
      </c>
      <c r="Z158" s="46" t="s">
        <v>675</v>
      </c>
      <c r="AA158" s="46" t="s">
        <v>676</v>
      </c>
      <c r="AB158" s="46" t="s">
        <v>677</v>
      </c>
      <c r="AC158" s="46">
        <v>0</v>
      </c>
      <c r="AD158" s="46" t="s">
        <v>678</v>
      </c>
      <c r="AE158" s="46">
        <v>8</v>
      </c>
      <c r="AF158" s="46" t="s">
        <v>679</v>
      </c>
      <c r="AG158" s="46">
        <v>9674.1720000000005</v>
      </c>
      <c r="AH158" s="46" t="b">
        <v>1</v>
      </c>
      <c r="AI158" s="46">
        <v>-1</v>
      </c>
      <c r="AJ158" s="46" t="s">
        <v>680</v>
      </c>
      <c r="AK158" s="46">
        <v>0</v>
      </c>
      <c r="AL158" s="46" t="b">
        <v>0</v>
      </c>
      <c r="AM158" s="46">
        <v>9674.1720000000005</v>
      </c>
      <c r="AN158" s="46" t="b">
        <v>1</v>
      </c>
      <c r="AO158" s="46">
        <v>0</v>
      </c>
      <c r="AP158" s="46" t="b">
        <v>0</v>
      </c>
      <c r="AQ158" s="46">
        <v>61790.686000000002</v>
      </c>
      <c r="AS158" s="46">
        <v>61790.686000000002</v>
      </c>
      <c r="AT158" s="46">
        <v>6</v>
      </c>
      <c r="AU158" s="46" t="b">
        <v>1</v>
      </c>
      <c r="AV158" s="46" t="b">
        <v>0</v>
      </c>
    </row>
    <row r="159" spans="2:48">
      <c r="B159" s="46" t="s">
        <v>665</v>
      </c>
      <c r="C159" s="46" t="s">
        <v>666</v>
      </c>
      <c r="D159" s="46">
        <v>20230901</v>
      </c>
      <c r="E159" s="46">
        <v>2023</v>
      </c>
      <c r="F159" s="46">
        <v>9</v>
      </c>
      <c r="G159" s="46" t="s">
        <v>723</v>
      </c>
      <c r="H159" s="46">
        <v>818</v>
      </c>
      <c r="I159" s="46" t="s">
        <v>668</v>
      </c>
      <c r="J159" s="46" t="s">
        <v>57</v>
      </c>
      <c r="K159" s="46" t="s">
        <v>666</v>
      </c>
      <c r="L159" s="46" t="s">
        <v>669</v>
      </c>
      <c r="M159" s="46">
        <v>344</v>
      </c>
      <c r="N159" s="46" t="s">
        <v>989</v>
      </c>
      <c r="O159" s="46" t="s">
        <v>990</v>
      </c>
      <c r="P159" s="46">
        <v>0</v>
      </c>
      <c r="Q159" s="46" t="s">
        <v>670</v>
      </c>
      <c r="R159" s="46" t="s">
        <v>23</v>
      </c>
      <c r="S159" s="46" t="s">
        <v>671</v>
      </c>
      <c r="T159" s="46" t="s">
        <v>672</v>
      </c>
      <c r="U159" s="46" t="b">
        <v>1</v>
      </c>
      <c r="V159" s="46" t="s">
        <v>1028</v>
      </c>
      <c r="W159" s="46" t="s">
        <v>1027</v>
      </c>
      <c r="X159" s="46">
        <v>6</v>
      </c>
      <c r="Y159" s="46" t="b">
        <v>1</v>
      </c>
      <c r="Z159" s="46" t="s">
        <v>675</v>
      </c>
      <c r="AA159" s="46" t="s">
        <v>676</v>
      </c>
      <c r="AB159" s="46" t="s">
        <v>677</v>
      </c>
      <c r="AC159" s="46">
        <v>0</v>
      </c>
      <c r="AD159" s="46" t="s">
        <v>678</v>
      </c>
      <c r="AE159" s="46">
        <v>8</v>
      </c>
      <c r="AF159" s="46" t="s">
        <v>679</v>
      </c>
      <c r="AG159" s="46">
        <v>2209.21</v>
      </c>
      <c r="AH159" s="46" t="b">
        <v>1</v>
      </c>
      <c r="AI159" s="46">
        <v>-1</v>
      </c>
      <c r="AJ159" s="46" t="s">
        <v>680</v>
      </c>
      <c r="AK159" s="46">
        <v>0</v>
      </c>
      <c r="AL159" s="46" t="b">
        <v>0</v>
      </c>
      <c r="AM159" s="46">
        <v>2209.21</v>
      </c>
      <c r="AN159" s="46" t="b">
        <v>1</v>
      </c>
      <c r="AO159" s="46">
        <v>0</v>
      </c>
      <c r="AP159" s="46" t="b">
        <v>0</v>
      </c>
      <c r="AQ159" s="46">
        <v>14110.620999999999</v>
      </c>
      <c r="AS159" s="46">
        <v>14110.620999999999</v>
      </c>
      <c r="AT159" s="46">
        <v>6</v>
      </c>
      <c r="AU159" s="46" t="b">
        <v>1</v>
      </c>
      <c r="AV159" s="46" t="b">
        <v>0</v>
      </c>
    </row>
    <row r="160" spans="2:48">
      <c r="B160" s="46" t="s">
        <v>665</v>
      </c>
      <c r="C160" s="46" t="s">
        <v>666</v>
      </c>
      <c r="D160" s="46">
        <v>20230901</v>
      </c>
      <c r="E160" s="46">
        <v>2023</v>
      </c>
      <c r="F160" s="46">
        <v>9</v>
      </c>
      <c r="G160" s="46" t="s">
        <v>723</v>
      </c>
      <c r="H160" s="46">
        <v>818</v>
      </c>
      <c r="I160" s="46" t="s">
        <v>668</v>
      </c>
      <c r="J160" s="46" t="s">
        <v>57</v>
      </c>
      <c r="K160" s="46" t="s">
        <v>666</v>
      </c>
      <c r="L160" s="46" t="s">
        <v>669</v>
      </c>
      <c r="M160" s="46">
        <v>380</v>
      </c>
      <c r="N160" s="46" t="s">
        <v>689</v>
      </c>
      <c r="O160" s="46" t="s">
        <v>71</v>
      </c>
      <c r="P160" s="46">
        <v>0</v>
      </c>
      <c r="Q160" s="46" t="s">
        <v>670</v>
      </c>
      <c r="R160" s="46" t="s">
        <v>23</v>
      </c>
      <c r="S160" s="46" t="s">
        <v>671</v>
      </c>
      <c r="T160" s="46" t="s">
        <v>672</v>
      </c>
      <c r="U160" s="46" t="b">
        <v>1</v>
      </c>
      <c r="V160" s="46" t="s">
        <v>1028</v>
      </c>
      <c r="W160" s="46" t="s">
        <v>1027</v>
      </c>
      <c r="X160" s="46">
        <v>6</v>
      </c>
      <c r="Y160" s="46" t="b">
        <v>1</v>
      </c>
      <c r="Z160" s="46" t="s">
        <v>675</v>
      </c>
      <c r="AA160" s="46" t="s">
        <v>676</v>
      </c>
      <c r="AB160" s="46" t="s">
        <v>677</v>
      </c>
      <c r="AC160" s="46">
        <v>0</v>
      </c>
      <c r="AD160" s="46" t="s">
        <v>678</v>
      </c>
      <c r="AE160" s="46">
        <v>8</v>
      </c>
      <c r="AF160" s="46" t="s">
        <v>679</v>
      </c>
      <c r="AG160" s="46">
        <v>7191.482</v>
      </c>
      <c r="AH160" s="46" t="b">
        <v>1</v>
      </c>
      <c r="AI160" s="46">
        <v>-1</v>
      </c>
      <c r="AJ160" s="46" t="s">
        <v>680</v>
      </c>
      <c r="AK160" s="46">
        <v>0</v>
      </c>
      <c r="AL160" s="46" t="b">
        <v>0</v>
      </c>
      <c r="AM160" s="46">
        <v>7191.482</v>
      </c>
      <c r="AN160" s="46" t="b">
        <v>1</v>
      </c>
      <c r="AO160" s="46">
        <v>0</v>
      </c>
      <c r="AP160" s="46" t="b">
        <v>0</v>
      </c>
      <c r="AQ160" s="46">
        <v>45933.298000000003</v>
      </c>
      <c r="AS160" s="46">
        <v>45933.298000000003</v>
      </c>
      <c r="AT160" s="46">
        <v>6</v>
      </c>
      <c r="AU160" s="46" t="b">
        <v>1</v>
      </c>
      <c r="AV160" s="46" t="b">
        <v>0</v>
      </c>
    </row>
    <row r="161" spans="2:48">
      <c r="B161" s="46" t="s">
        <v>665</v>
      </c>
      <c r="C161" s="46" t="s">
        <v>666</v>
      </c>
      <c r="D161" s="46">
        <v>20230901</v>
      </c>
      <c r="E161" s="46">
        <v>2023</v>
      </c>
      <c r="F161" s="46">
        <v>9</v>
      </c>
      <c r="G161" s="46" t="s">
        <v>723</v>
      </c>
      <c r="H161" s="46">
        <v>818</v>
      </c>
      <c r="I161" s="46" t="s">
        <v>668</v>
      </c>
      <c r="J161" s="46" t="s">
        <v>57</v>
      </c>
      <c r="K161" s="46" t="s">
        <v>666</v>
      </c>
      <c r="L161" s="46" t="s">
        <v>669</v>
      </c>
      <c r="M161" s="46">
        <v>410</v>
      </c>
      <c r="N161" s="46" t="s">
        <v>754</v>
      </c>
      <c r="O161" s="46" t="s">
        <v>755</v>
      </c>
      <c r="P161" s="46">
        <v>0</v>
      </c>
      <c r="Q161" s="46" t="s">
        <v>670</v>
      </c>
      <c r="R161" s="46" t="s">
        <v>23</v>
      </c>
      <c r="S161" s="46" t="s">
        <v>671</v>
      </c>
      <c r="T161" s="46" t="s">
        <v>672</v>
      </c>
      <c r="U161" s="46" t="b">
        <v>1</v>
      </c>
      <c r="V161" s="46" t="s">
        <v>1028</v>
      </c>
      <c r="W161" s="46" t="s">
        <v>1027</v>
      </c>
      <c r="X161" s="46">
        <v>6</v>
      </c>
      <c r="Y161" s="46" t="b">
        <v>1</v>
      </c>
      <c r="Z161" s="46" t="s">
        <v>675</v>
      </c>
      <c r="AA161" s="46" t="s">
        <v>676</v>
      </c>
      <c r="AB161" s="46" t="s">
        <v>677</v>
      </c>
      <c r="AC161" s="46">
        <v>0</v>
      </c>
      <c r="AD161" s="46" t="s">
        <v>678</v>
      </c>
      <c r="AE161" s="46">
        <v>8</v>
      </c>
      <c r="AF161" s="46" t="s">
        <v>679</v>
      </c>
      <c r="AG161" s="46">
        <v>745.14099999999996</v>
      </c>
      <c r="AH161" s="46" t="b">
        <v>1</v>
      </c>
      <c r="AI161" s="46">
        <v>-1</v>
      </c>
      <c r="AJ161" s="46" t="s">
        <v>680</v>
      </c>
      <c r="AK161" s="46">
        <v>0</v>
      </c>
      <c r="AL161" s="46" t="b">
        <v>0</v>
      </c>
      <c r="AM161" s="46">
        <v>745.14099999999996</v>
      </c>
      <c r="AN161" s="46" t="b">
        <v>1</v>
      </c>
      <c r="AO161" s="46">
        <v>0</v>
      </c>
      <c r="AP161" s="46" t="b">
        <v>0</v>
      </c>
      <c r="AQ161" s="46">
        <v>4759.348</v>
      </c>
      <c r="AS161" s="46">
        <v>4759.348</v>
      </c>
      <c r="AT161" s="46">
        <v>6</v>
      </c>
      <c r="AU161" s="46" t="b">
        <v>1</v>
      </c>
      <c r="AV161" s="46" t="b">
        <v>0</v>
      </c>
    </row>
    <row r="162" spans="2:48">
      <c r="B162" s="46" t="s">
        <v>665</v>
      </c>
      <c r="C162" s="46" t="s">
        <v>666</v>
      </c>
      <c r="D162" s="46">
        <v>20230901</v>
      </c>
      <c r="E162" s="46">
        <v>2023</v>
      </c>
      <c r="F162" s="46">
        <v>9</v>
      </c>
      <c r="G162" s="46" t="s">
        <v>723</v>
      </c>
      <c r="H162" s="46">
        <v>818</v>
      </c>
      <c r="I162" s="46" t="s">
        <v>668</v>
      </c>
      <c r="J162" s="46" t="s">
        <v>57</v>
      </c>
      <c r="K162" s="46" t="s">
        <v>666</v>
      </c>
      <c r="L162" s="46" t="s">
        <v>669</v>
      </c>
      <c r="M162" s="46">
        <v>490</v>
      </c>
      <c r="N162" s="46" t="s">
        <v>762</v>
      </c>
      <c r="O162" s="46" t="s">
        <v>763</v>
      </c>
      <c r="P162" s="46">
        <v>0</v>
      </c>
      <c r="Q162" s="46" t="s">
        <v>670</v>
      </c>
      <c r="R162" s="46" t="s">
        <v>23</v>
      </c>
      <c r="S162" s="46" t="s">
        <v>671</v>
      </c>
      <c r="T162" s="46" t="s">
        <v>672</v>
      </c>
      <c r="U162" s="46" t="b">
        <v>1</v>
      </c>
      <c r="V162" s="46" t="s">
        <v>1028</v>
      </c>
      <c r="W162" s="46" t="s">
        <v>1027</v>
      </c>
      <c r="X162" s="46">
        <v>6</v>
      </c>
      <c r="Y162" s="46" t="b">
        <v>1</v>
      </c>
      <c r="Z162" s="46" t="s">
        <v>675</v>
      </c>
      <c r="AA162" s="46" t="s">
        <v>676</v>
      </c>
      <c r="AB162" s="46" t="s">
        <v>677</v>
      </c>
      <c r="AC162" s="46">
        <v>0</v>
      </c>
      <c r="AD162" s="46" t="s">
        <v>678</v>
      </c>
      <c r="AE162" s="46">
        <v>8</v>
      </c>
      <c r="AF162" s="46" t="s">
        <v>679</v>
      </c>
      <c r="AG162" s="46">
        <v>112.444</v>
      </c>
      <c r="AH162" s="46" t="b">
        <v>1</v>
      </c>
      <c r="AI162" s="46">
        <v>-1</v>
      </c>
      <c r="AJ162" s="46" t="s">
        <v>680</v>
      </c>
      <c r="AK162" s="46">
        <v>0</v>
      </c>
      <c r="AL162" s="46" t="b">
        <v>0</v>
      </c>
      <c r="AM162" s="46">
        <v>112.444</v>
      </c>
      <c r="AN162" s="46" t="b">
        <v>1</v>
      </c>
      <c r="AO162" s="46">
        <v>0</v>
      </c>
      <c r="AP162" s="46" t="b">
        <v>0</v>
      </c>
      <c r="AQ162" s="46">
        <v>718.2</v>
      </c>
      <c r="AS162" s="46">
        <v>718.2</v>
      </c>
      <c r="AT162" s="46">
        <v>6</v>
      </c>
      <c r="AU162" s="46" t="b">
        <v>1</v>
      </c>
      <c r="AV162" s="46" t="b">
        <v>0</v>
      </c>
    </row>
    <row r="163" spans="2:48">
      <c r="B163" s="46" t="s">
        <v>665</v>
      </c>
      <c r="C163" s="46" t="s">
        <v>666</v>
      </c>
      <c r="D163" s="46">
        <v>20230901</v>
      </c>
      <c r="E163" s="46">
        <v>2023</v>
      </c>
      <c r="F163" s="46">
        <v>9</v>
      </c>
      <c r="G163" s="46" t="s">
        <v>723</v>
      </c>
      <c r="H163" s="46">
        <v>818</v>
      </c>
      <c r="I163" s="46" t="s">
        <v>668</v>
      </c>
      <c r="J163" s="46" t="s">
        <v>57</v>
      </c>
      <c r="K163" s="46" t="s">
        <v>666</v>
      </c>
      <c r="L163" s="46" t="s">
        <v>669</v>
      </c>
      <c r="M163" s="46">
        <v>528</v>
      </c>
      <c r="N163" s="46" t="s">
        <v>698</v>
      </c>
      <c r="O163" s="46" t="s">
        <v>60</v>
      </c>
      <c r="P163" s="46">
        <v>0</v>
      </c>
      <c r="Q163" s="46" t="s">
        <v>670</v>
      </c>
      <c r="R163" s="46" t="s">
        <v>23</v>
      </c>
      <c r="S163" s="46" t="s">
        <v>671</v>
      </c>
      <c r="T163" s="46" t="s">
        <v>672</v>
      </c>
      <c r="U163" s="46" t="b">
        <v>1</v>
      </c>
      <c r="V163" s="46" t="s">
        <v>1028</v>
      </c>
      <c r="W163" s="46" t="s">
        <v>1027</v>
      </c>
      <c r="X163" s="46">
        <v>6</v>
      </c>
      <c r="Y163" s="46" t="b">
        <v>1</v>
      </c>
      <c r="Z163" s="46" t="s">
        <v>675</v>
      </c>
      <c r="AA163" s="46" t="s">
        <v>676</v>
      </c>
      <c r="AB163" s="46" t="s">
        <v>677</v>
      </c>
      <c r="AC163" s="46">
        <v>0</v>
      </c>
      <c r="AD163" s="46" t="s">
        <v>678</v>
      </c>
      <c r="AE163" s="46">
        <v>8</v>
      </c>
      <c r="AF163" s="46" t="s">
        <v>679</v>
      </c>
      <c r="AG163" s="46">
        <v>37.408999999999999</v>
      </c>
      <c r="AH163" s="46" t="b">
        <v>1</v>
      </c>
      <c r="AI163" s="46">
        <v>-1</v>
      </c>
      <c r="AJ163" s="46" t="s">
        <v>680</v>
      </c>
      <c r="AK163" s="46">
        <v>0</v>
      </c>
      <c r="AL163" s="46" t="b">
        <v>0</v>
      </c>
      <c r="AM163" s="46">
        <v>37.408999999999999</v>
      </c>
      <c r="AN163" s="46" t="b">
        <v>1</v>
      </c>
      <c r="AO163" s="46">
        <v>0</v>
      </c>
      <c r="AP163" s="46" t="b">
        <v>0</v>
      </c>
      <c r="AQ163" s="46">
        <v>238.94</v>
      </c>
      <c r="AS163" s="46">
        <v>238.94</v>
      </c>
      <c r="AT163" s="46">
        <v>6</v>
      </c>
      <c r="AU163" s="46" t="b">
        <v>1</v>
      </c>
      <c r="AV163" s="46" t="b">
        <v>0</v>
      </c>
    </row>
    <row r="164" spans="2:48">
      <c r="B164" s="46" t="s">
        <v>665</v>
      </c>
      <c r="C164" s="46" t="s">
        <v>666</v>
      </c>
      <c r="D164" s="46">
        <v>20230901</v>
      </c>
      <c r="E164" s="46">
        <v>2023</v>
      </c>
      <c r="F164" s="46">
        <v>9</v>
      </c>
      <c r="G164" s="46" t="s">
        <v>723</v>
      </c>
      <c r="H164" s="46">
        <v>818</v>
      </c>
      <c r="I164" s="46" t="s">
        <v>668</v>
      </c>
      <c r="J164" s="46" t="s">
        <v>57</v>
      </c>
      <c r="K164" s="46" t="s">
        <v>666</v>
      </c>
      <c r="L164" s="46" t="s">
        <v>669</v>
      </c>
      <c r="M164" s="46">
        <v>682</v>
      </c>
      <c r="N164" s="46" t="s">
        <v>758</v>
      </c>
      <c r="O164" s="46" t="s">
        <v>39</v>
      </c>
      <c r="P164" s="46">
        <v>0</v>
      </c>
      <c r="Q164" s="46" t="s">
        <v>670</v>
      </c>
      <c r="R164" s="46" t="s">
        <v>23</v>
      </c>
      <c r="S164" s="46" t="s">
        <v>671</v>
      </c>
      <c r="T164" s="46" t="s">
        <v>672</v>
      </c>
      <c r="U164" s="46" t="b">
        <v>1</v>
      </c>
      <c r="V164" s="46" t="s">
        <v>1028</v>
      </c>
      <c r="W164" s="46" t="s">
        <v>1027</v>
      </c>
      <c r="X164" s="46">
        <v>6</v>
      </c>
      <c r="Y164" s="46" t="b">
        <v>1</v>
      </c>
      <c r="Z164" s="46" t="s">
        <v>675</v>
      </c>
      <c r="AA164" s="46" t="s">
        <v>676</v>
      </c>
      <c r="AB164" s="46" t="s">
        <v>677</v>
      </c>
      <c r="AC164" s="46">
        <v>0</v>
      </c>
      <c r="AD164" s="46" t="s">
        <v>678</v>
      </c>
      <c r="AE164" s="46">
        <v>8</v>
      </c>
      <c r="AF164" s="46" t="s">
        <v>679</v>
      </c>
      <c r="AG164" s="46">
        <v>21525.151999999998</v>
      </c>
      <c r="AH164" s="46" t="b">
        <v>1</v>
      </c>
      <c r="AI164" s="46">
        <v>-1</v>
      </c>
      <c r="AJ164" s="46" t="s">
        <v>680</v>
      </c>
      <c r="AK164" s="46">
        <v>0</v>
      </c>
      <c r="AL164" s="46" t="b">
        <v>0</v>
      </c>
      <c r="AM164" s="46">
        <v>21525.151999999998</v>
      </c>
      <c r="AN164" s="46" t="b">
        <v>1</v>
      </c>
      <c r="AO164" s="46">
        <v>0</v>
      </c>
      <c r="AP164" s="46" t="b">
        <v>0</v>
      </c>
      <c r="AQ164" s="46">
        <v>137485.035</v>
      </c>
      <c r="AS164" s="46">
        <v>137485.035</v>
      </c>
      <c r="AT164" s="46">
        <v>6</v>
      </c>
      <c r="AU164" s="46" t="b">
        <v>1</v>
      </c>
      <c r="AV164" s="46" t="b">
        <v>0</v>
      </c>
    </row>
    <row r="165" spans="2:48">
      <c r="B165" s="46" t="s">
        <v>665</v>
      </c>
      <c r="C165" s="46" t="s">
        <v>666</v>
      </c>
      <c r="D165" s="46">
        <v>20230901</v>
      </c>
      <c r="E165" s="46">
        <v>2023</v>
      </c>
      <c r="F165" s="46">
        <v>9</v>
      </c>
      <c r="G165" s="46" t="s">
        <v>723</v>
      </c>
      <c r="H165" s="46">
        <v>818</v>
      </c>
      <c r="I165" s="46" t="s">
        <v>668</v>
      </c>
      <c r="J165" s="46" t="s">
        <v>57</v>
      </c>
      <c r="K165" s="46" t="s">
        <v>666</v>
      </c>
      <c r="L165" s="46" t="s">
        <v>669</v>
      </c>
      <c r="M165" s="46">
        <v>699</v>
      </c>
      <c r="N165" s="46" t="s">
        <v>748</v>
      </c>
      <c r="O165" s="46" t="s">
        <v>0</v>
      </c>
      <c r="P165" s="46">
        <v>0</v>
      </c>
      <c r="Q165" s="46" t="s">
        <v>670</v>
      </c>
      <c r="R165" s="46" t="s">
        <v>23</v>
      </c>
      <c r="S165" s="46" t="s">
        <v>671</v>
      </c>
      <c r="T165" s="46" t="s">
        <v>672</v>
      </c>
      <c r="U165" s="46" t="b">
        <v>1</v>
      </c>
      <c r="V165" s="46" t="s">
        <v>1028</v>
      </c>
      <c r="W165" s="46" t="s">
        <v>1027</v>
      </c>
      <c r="X165" s="46">
        <v>6</v>
      </c>
      <c r="Y165" s="46" t="b">
        <v>1</v>
      </c>
      <c r="Z165" s="46" t="s">
        <v>675</v>
      </c>
      <c r="AA165" s="46" t="s">
        <v>676</v>
      </c>
      <c r="AB165" s="46" t="s">
        <v>677</v>
      </c>
      <c r="AC165" s="46">
        <v>0</v>
      </c>
      <c r="AD165" s="46" t="s">
        <v>678</v>
      </c>
      <c r="AE165" s="46">
        <v>8</v>
      </c>
      <c r="AF165" s="46" t="s">
        <v>679</v>
      </c>
      <c r="AG165" s="46">
        <v>22180.273000000001</v>
      </c>
      <c r="AH165" s="46" t="b">
        <v>1</v>
      </c>
      <c r="AI165" s="46">
        <v>-1</v>
      </c>
      <c r="AJ165" s="46" t="s">
        <v>680</v>
      </c>
      <c r="AK165" s="46">
        <v>0</v>
      </c>
      <c r="AL165" s="46" t="b">
        <v>0</v>
      </c>
      <c r="AM165" s="46">
        <v>22180.273000000001</v>
      </c>
      <c r="AN165" s="46" t="b">
        <v>1</v>
      </c>
      <c r="AO165" s="46">
        <v>0</v>
      </c>
      <c r="AP165" s="46" t="b">
        <v>0</v>
      </c>
      <c r="AQ165" s="46">
        <v>141669.41</v>
      </c>
      <c r="AS165" s="46">
        <v>141669.41</v>
      </c>
      <c r="AT165" s="46">
        <v>6</v>
      </c>
      <c r="AU165" s="46" t="b">
        <v>1</v>
      </c>
      <c r="AV165" s="46" t="b">
        <v>0</v>
      </c>
    </row>
    <row r="166" spans="2:48">
      <c r="B166" s="46" t="s">
        <v>665</v>
      </c>
      <c r="C166" s="46" t="s">
        <v>666</v>
      </c>
      <c r="D166" s="46">
        <v>20230901</v>
      </c>
      <c r="E166" s="46">
        <v>2023</v>
      </c>
      <c r="F166" s="46">
        <v>9</v>
      </c>
      <c r="G166" s="46" t="s">
        <v>723</v>
      </c>
      <c r="H166" s="46">
        <v>818</v>
      </c>
      <c r="I166" s="46" t="s">
        <v>668</v>
      </c>
      <c r="J166" s="46" t="s">
        <v>57</v>
      </c>
      <c r="K166" s="46" t="s">
        <v>666</v>
      </c>
      <c r="L166" s="46" t="s">
        <v>669</v>
      </c>
      <c r="M166" s="46">
        <v>704</v>
      </c>
      <c r="N166" s="46" t="s">
        <v>756</v>
      </c>
      <c r="O166" s="46" t="s">
        <v>59</v>
      </c>
      <c r="P166" s="46">
        <v>0</v>
      </c>
      <c r="Q166" s="46" t="s">
        <v>670</v>
      </c>
      <c r="R166" s="46" t="s">
        <v>23</v>
      </c>
      <c r="S166" s="46" t="s">
        <v>671</v>
      </c>
      <c r="T166" s="46" t="s">
        <v>672</v>
      </c>
      <c r="U166" s="46" t="b">
        <v>1</v>
      </c>
      <c r="V166" s="46" t="s">
        <v>1028</v>
      </c>
      <c r="W166" s="46" t="s">
        <v>1027</v>
      </c>
      <c r="X166" s="46">
        <v>6</v>
      </c>
      <c r="Y166" s="46" t="b">
        <v>1</v>
      </c>
      <c r="Z166" s="46" t="s">
        <v>675</v>
      </c>
      <c r="AA166" s="46" t="s">
        <v>676</v>
      </c>
      <c r="AB166" s="46" t="s">
        <v>677</v>
      </c>
      <c r="AC166" s="46">
        <v>0</v>
      </c>
      <c r="AD166" s="46" t="s">
        <v>678</v>
      </c>
      <c r="AE166" s="46">
        <v>8</v>
      </c>
      <c r="AF166" s="46" t="s">
        <v>679</v>
      </c>
      <c r="AG166" s="46">
        <v>2375.2379999999998</v>
      </c>
      <c r="AH166" s="46" t="b">
        <v>1</v>
      </c>
      <c r="AI166" s="46">
        <v>-1</v>
      </c>
      <c r="AJ166" s="46" t="s">
        <v>680</v>
      </c>
      <c r="AK166" s="46">
        <v>0</v>
      </c>
      <c r="AL166" s="46" t="b">
        <v>0</v>
      </c>
      <c r="AM166" s="46">
        <v>2375.2379999999998</v>
      </c>
      <c r="AN166" s="46" t="b">
        <v>1</v>
      </c>
      <c r="AO166" s="46">
        <v>0</v>
      </c>
      <c r="AP166" s="46" t="b">
        <v>0</v>
      </c>
      <c r="AQ166" s="46">
        <v>15171.076999999999</v>
      </c>
      <c r="AS166" s="46">
        <v>15171.076999999999</v>
      </c>
      <c r="AT166" s="46">
        <v>6</v>
      </c>
      <c r="AU166" s="46" t="b">
        <v>1</v>
      </c>
      <c r="AV166" s="46" t="b">
        <v>0</v>
      </c>
    </row>
    <row r="167" spans="2:48">
      <c r="B167" s="46" t="s">
        <v>665</v>
      </c>
      <c r="C167" s="46" t="s">
        <v>666</v>
      </c>
      <c r="D167" s="46">
        <v>20230901</v>
      </c>
      <c r="E167" s="46">
        <v>2023</v>
      </c>
      <c r="F167" s="46">
        <v>9</v>
      </c>
      <c r="G167" s="46" t="s">
        <v>723</v>
      </c>
      <c r="H167" s="46">
        <v>818</v>
      </c>
      <c r="I167" s="46" t="s">
        <v>668</v>
      </c>
      <c r="J167" s="46" t="s">
        <v>57</v>
      </c>
      <c r="K167" s="46" t="s">
        <v>666</v>
      </c>
      <c r="L167" s="46" t="s">
        <v>669</v>
      </c>
      <c r="M167" s="46">
        <v>724</v>
      </c>
      <c r="N167" s="46" t="s">
        <v>684</v>
      </c>
      <c r="O167" s="46" t="s">
        <v>51</v>
      </c>
      <c r="P167" s="46">
        <v>0</v>
      </c>
      <c r="Q167" s="46" t="s">
        <v>670</v>
      </c>
      <c r="R167" s="46" t="s">
        <v>23</v>
      </c>
      <c r="S167" s="46" t="s">
        <v>671</v>
      </c>
      <c r="T167" s="46" t="s">
        <v>672</v>
      </c>
      <c r="U167" s="46" t="b">
        <v>1</v>
      </c>
      <c r="V167" s="46" t="s">
        <v>1028</v>
      </c>
      <c r="W167" s="46" t="s">
        <v>1027</v>
      </c>
      <c r="X167" s="46">
        <v>6</v>
      </c>
      <c r="Y167" s="46" t="b">
        <v>1</v>
      </c>
      <c r="Z167" s="46" t="s">
        <v>675</v>
      </c>
      <c r="AA167" s="46" t="s">
        <v>676</v>
      </c>
      <c r="AB167" s="46" t="s">
        <v>677</v>
      </c>
      <c r="AC167" s="46">
        <v>0</v>
      </c>
      <c r="AD167" s="46" t="s">
        <v>678</v>
      </c>
      <c r="AE167" s="46">
        <v>8</v>
      </c>
      <c r="AF167" s="46" t="s">
        <v>679</v>
      </c>
      <c r="AG167" s="46">
        <v>33205.038999999997</v>
      </c>
      <c r="AH167" s="46" t="b">
        <v>1</v>
      </c>
      <c r="AI167" s="46">
        <v>-1</v>
      </c>
      <c r="AJ167" s="46" t="s">
        <v>680</v>
      </c>
      <c r="AK167" s="46">
        <v>0</v>
      </c>
      <c r="AL167" s="46" t="b">
        <v>0</v>
      </c>
      <c r="AM167" s="46">
        <v>33205.038999999997</v>
      </c>
      <c r="AN167" s="46" t="b">
        <v>1</v>
      </c>
      <c r="AO167" s="46">
        <v>0</v>
      </c>
      <c r="AP167" s="46" t="b">
        <v>0</v>
      </c>
      <c r="AQ167" s="46">
        <v>212086.58300000001</v>
      </c>
      <c r="AS167" s="46">
        <v>212086.58300000001</v>
      </c>
      <c r="AT167" s="46">
        <v>6</v>
      </c>
      <c r="AU167" s="46" t="b">
        <v>1</v>
      </c>
      <c r="AV167" s="46" t="b">
        <v>0</v>
      </c>
    </row>
    <row r="168" spans="2:48">
      <c r="B168" s="46" t="s">
        <v>665</v>
      </c>
      <c r="C168" s="46" t="s">
        <v>666</v>
      </c>
      <c r="D168" s="46">
        <v>20230901</v>
      </c>
      <c r="E168" s="46">
        <v>2023</v>
      </c>
      <c r="F168" s="46">
        <v>9</v>
      </c>
      <c r="G168" s="46" t="s">
        <v>723</v>
      </c>
      <c r="H168" s="46">
        <v>818</v>
      </c>
      <c r="I168" s="46" t="s">
        <v>668</v>
      </c>
      <c r="J168" s="46" t="s">
        <v>57</v>
      </c>
      <c r="K168" s="46" t="s">
        <v>666</v>
      </c>
      <c r="L168" s="46" t="s">
        <v>669</v>
      </c>
      <c r="M168" s="46">
        <v>784</v>
      </c>
      <c r="N168" s="46" t="s">
        <v>694</v>
      </c>
      <c r="O168" s="46" t="s">
        <v>25</v>
      </c>
      <c r="P168" s="46">
        <v>0</v>
      </c>
      <c r="Q168" s="46" t="s">
        <v>670</v>
      </c>
      <c r="R168" s="46" t="s">
        <v>23</v>
      </c>
      <c r="S168" s="46" t="s">
        <v>671</v>
      </c>
      <c r="T168" s="46" t="s">
        <v>672</v>
      </c>
      <c r="U168" s="46" t="b">
        <v>1</v>
      </c>
      <c r="V168" s="46" t="s">
        <v>1028</v>
      </c>
      <c r="W168" s="46" t="s">
        <v>1027</v>
      </c>
      <c r="X168" s="46">
        <v>6</v>
      </c>
      <c r="Y168" s="46" t="b">
        <v>1</v>
      </c>
      <c r="Z168" s="46" t="s">
        <v>675</v>
      </c>
      <c r="AA168" s="46" t="s">
        <v>676</v>
      </c>
      <c r="AB168" s="46" t="s">
        <v>677</v>
      </c>
      <c r="AC168" s="46">
        <v>0</v>
      </c>
      <c r="AD168" s="46" t="s">
        <v>678</v>
      </c>
      <c r="AE168" s="46">
        <v>8</v>
      </c>
      <c r="AF168" s="46" t="s">
        <v>679</v>
      </c>
      <c r="AG168" s="46">
        <v>1023.44</v>
      </c>
      <c r="AH168" s="46" t="b">
        <v>1</v>
      </c>
      <c r="AI168" s="46">
        <v>-1</v>
      </c>
      <c r="AJ168" s="46" t="s">
        <v>680</v>
      </c>
      <c r="AK168" s="46">
        <v>0</v>
      </c>
      <c r="AL168" s="46" t="b">
        <v>0</v>
      </c>
      <c r="AM168" s="46">
        <v>1023.44</v>
      </c>
      <c r="AN168" s="46" t="b">
        <v>1</v>
      </c>
      <c r="AO168" s="46">
        <v>0</v>
      </c>
      <c r="AP168" s="46" t="b">
        <v>0</v>
      </c>
      <c r="AQ168" s="46">
        <v>6536.8959999999997</v>
      </c>
      <c r="AS168" s="46">
        <v>6536.8959999999997</v>
      </c>
      <c r="AT168" s="46">
        <v>6</v>
      </c>
      <c r="AU168" s="46" t="b">
        <v>1</v>
      </c>
      <c r="AV168" s="46" t="b">
        <v>0</v>
      </c>
    </row>
    <row r="169" spans="2:48">
      <c r="B169" s="46" t="s">
        <v>665</v>
      </c>
      <c r="C169" s="46" t="s">
        <v>666</v>
      </c>
      <c r="D169" s="46">
        <v>20230901</v>
      </c>
      <c r="E169" s="46">
        <v>2023</v>
      </c>
      <c r="F169" s="46">
        <v>9</v>
      </c>
      <c r="G169" s="46" t="s">
        <v>723</v>
      </c>
      <c r="H169" s="46">
        <v>818</v>
      </c>
      <c r="I169" s="46" t="s">
        <v>668</v>
      </c>
      <c r="J169" s="46" t="s">
        <v>57</v>
      </c>
      <c r="K169" s="46" t="s">
        <v>666</v>
      </c>
      <c r="L169" s="46" t="s">
        <v>669</v>
      </c>
      <c r="M169" s="46">
        <v>792</v>
      </c>
      <c r="N169" s="46" t="s">
        <v>691</v>
      </c>
      <c r="O169" s="46" t="s">
        <v>63</v>
      </c>
      <c r="P169" s="46">
        <v>0</v>
      </c>
      <c r="Q169" s="46" t="s">
        <v>670</v>
      </c>
      <c r="R169" s="46" t="s">
        <v>23</v>
      </c>
      <c r="S169" s="46" t="s">
        <v>671</v>
      </c>
      <c r="T169" s="46" t="s">
        <v>672</v>
      </c>
      <c r="U169" s="46" t="b">
        <v>1</v>
      </c>
      <c r="V169" s="46" t="s">
        <v>1028</v>
      </c>
      <c r="W169" s="46" t="s">
        <v>1027</v>
      </c>
      <c r="X169" s="46">
        <v>6</v>
      </c>
      <c r="Y169" s="46" t="b">
        <v>1</v>
      </c>
      <c r="Z169" s="46" t="s">
        <v>675</v>
      </c>
      <c r="AA169" s="46" t="s">
        <v>676</v>
      </c>
      <c r="AB169" s="46" t="s">
        <v>677</v>
      </c>
      <c r="AC169" s="46">
        <v>0</v>
      </c>
      <c r="AD169" s="46" t="s">
        <v>678</v>
      </c>
      <c r="AE169" s="46">
        <v>8</v>
      </c>
      <c r="AF169" s="46" t="s">
        <v>679</v>
      </c>
      <c r="AG169" s="46">
        <v>1966.25</v>
      </c>
      <c r="AH169" s="46" t="b">
        <v>1</v>
      </c>
      <c r="AI169" s="46">
        <v>-1</v>
      </c>
      <c r="AJ169" s="46" t="s">
        <v>680</v>
      </c>
      <c r="AK169" s="46">
        <v>0</v>
      </c>
      <c r="AL169" s="46" t="b">
        <v>0</v>
      </c>
      <c r="AM169" s="46">
        <v>1966.25</v>
      </c>
      <c r="AN169" s="46" t="b">
        <v>1</v>
      </c>
      <c r="AO169" s="46">
        <v>0</v>
      </c>
      <c r="AP169" s="46" t="b">
        <v>0</v>
      </c>
      <c r="AQ169" s="46">
        <v>12558.794</v>
      </c>
      <c r="AS169" s="46">
        <v>12558.794</v>
      </c>
      <c r="AT169" s="46">
        <v>6</v>
      </c>
      <c r="AU169" s="46" t="b">
        <v>1</v>
      </c>
      <c r="AV169" s="46" t="b">
        <v>0</v>
      </c>
    </row>
    <row r="170" spans="2:48">
      <c r="B170" s="46" t="s">
        <v>665</v>
      </c>
      <c r="C170" s="46" t="s">
        <v>666</v>
      </c>
      <c r="D170" s="46">
        <v>20231001</v>
      </c>
      <c r="E170" s="46">
        <v>2023</v>
      </c>
      <c r="F170" s="46">
        <v>10</v>
      </c>
      <c r="G170" s="46" t="s">
        <v>724</v>
      </c>
      <c r="H170" s="46">
        <v>818</v>
      </c>
      <c r="I170" s="46" t="s">
        <v>668</v>
      </c>
      <c r="J170" s="46" t="s">
        <v>57</v>
      </c>
      <c r="K170" s="46" t="s">
        <v>666</v>
      </c>
      <c r="L170" s="46" t="s">
        <v>669</v>
      </c>
      <c r="M170" s="46">
        <v>0</v>
      </c>
      <c r="N170" s="46" t="s">
        <v>670</v>
      </c>
      <c r="O170" s="46" t="s">
        <v>23</v>
      </c>
      <c r="P170" s="46">
        <v>0</v>
      </c>
      <c r="Q170" s="46" t="s">
        <v>670</v>
      </c>
      <c r="R170" s="46" t="s">
        <v>23</v>
      </c>
      <c r="S170" s="46" t="s">
        <v>671</v>
      </c>
      <c r="T170" s="46" t="s">
        <v>672</v>
      </c>
      <c r="U170" s="46" t="b">
        <v>1</v>
      </c>
      <c r="V170" s="46" t="s">
        <v>1028</v>
      </c>
      <c r="W170" s="46" t="s">
        <v>1027</v>
      </c>
      <c r="X170" s="46">
        <v>6</v>
      </c>
      <c r="Y170" s="46" t="b">
        <v>1</v>
      </c>
      <c r="Z170" s="46" t="s">
        <v>675</v>
      </c>
      <c r="AA170" s="46" t="s">
        <v>676</v>
      </c>
      <c r="AB170" s="46" t="s">
        <v>677</v>
      </c>
      <c r="AC170" s="46">
        <v>0</v>
      </c>
      <c r="AD170" s="46" t="s">
        <v>678</v>
      </c>
      <c r="AE170" s="46">
        <v>8</v>
      </c>
      <c r="AF170" s="46" t="s">
        <v>679</v>
      </c>
      <c r="AG170" s="46">
        <v>88869.035000000003</v>
      </c>
      <c r="AH170" s="46" t="b">
        <v>1</v>
      </c>
      <c r="AI170" s="46">
        <v>-1</v>
      </c>
      <c r="AJ170" s="46" t="s">
        <v>680</v>
      </c>
      <c r="AK170" s="46">
        <v>0</v>
      </c>
      <c r="AL170" s="46" t="b">
        <v>0</v>
      </c>
      <c r="AM170" s="46">
        <v>88869.035000000003</v>
      </c>
      <c r="AN170" s="46" t="b">
        <v>1</v>
      </c>
      <c r="AO170" s="46">
        <v>0</v>
      </c>
      <c r="AP170" s="46" t="b">
        <v>0</v>
      </c>
      <c r="AQ170" s="46">
        <v>567622.58400000003</v>
      </c>
      <c r="AS170" s="46">
        <v>567622.58400000003</v>
      </c>
      <c r="AT170" s="46">
        <v>6</v>
      </c>
      <c r="AU170" s="46" t="b">
        <v>0</v>
      </c>
      <c r="AV170" s="46" t="b">
        <v>1</v>
      </c>
    </row>
    <row r="171" spans="2:48">
      <c r="B171" s="46" t="s">
        <v>665</v>
      </c>
      <c r="C171" s="46" t="s">
        <v>666</v>
      </c>
      <c r="D171" s="46">
        <v>20231001</v>
      </c>
      <c r="E171" s="46">
        <v>2023</v>
      </c>
      <c r="F171" s="46">
        <v>10</v>
      </c>
      <c r="G171" s="46" t="s">
        <v>724</v>
      </c>
      <c r="H171" s="46">
        <v>818</v>
      </c>
      <c r="I171" s="46" t="s">
        <v>668</v>
      </c>
      <c r="J171" s="46" t="s">
        <v>57</v>
      </c>
      <c r="K171" s="46" t="s">
        <v>666</v>
      </c>
      <c r="L171" s="46" t="s">
        <v>669</v>
      </c>
      <c r="M171" s="46">
        <v>144</v>
      </c>
      <c r="N171" s="46" t="s">
        <v>1029</v>
      </c>
      <c r="O171" s="46" t="s">
        <v>94</v>
      </c>
      <c r="P171" s="46">
        <v>0</v>
      </c>
      <c r="Q171" s="46" t="s">
        <v>670</v>
      </c>
      <c r="R171" s="46" t="s">
        <v>23</v>
      </c>
      <c r="S171" s="46" t="s">
        <v>671</v>
      </c>
      <c r="T171" s="46" t="s">
        <v>672</v>
      </c>
      <c r="U171" s="46" t="b">
        <v>1</v>
      </c>
      <c r="V171" s="46" t="s">
        <v>1028</v>
      </c>
      <c r="W171" s="46" t="s">
        <v>1027</v>
      </c>
      <c r="X171" s="46">
        <v>6</v>
      </c>
      <c r="Y171" s="46" t="b">
        <v>1</v>
      </c>
      <c r="Z171" s="46" t="s">
        <v>675</v>
      </c>
      <c r="AA171" s="46" t="s">
        <v>676</v>
      </c>
      <c r="AB171" s="46" t="s">
        <v>677</v>
      </c>
      <c r="AC171" s="46">
        <v>0</v>
      </c>
      <c r="AD171" s="46" t="s">
        <v>678</v>
      </c>
      <c r="AE171" s="46">
        <v>8</v>
      </c>
      <c r="AF171" s="46" t="s">
        <v>679</v>
      </c>
      <c r="AG171" s="46">
        <v>1343.309</v>
      </c>
      <c r="AH171" s="46" t="b">
        <v>1</v>
      </c>
      <c r="AI171" s="46">
        <v>-1</v>
      </c>
      <c r="AJ171" s="46" t="s">
        <v>680</v>
      </c>
      <c r="AK171" s="46">
        <v>0</v>
      </c>
      <c r="AL171" s="46" t="b">
        <v>0</v>
      </c>
      <c r="AM171" s="46">
        <v>1343.309</v>
      </c>
      <c r="AN171" s="46" t="b">
        <v>1</v>
      </c>
      <c r="AO171" s="46">
        <v>0</v>
      </c>
      <c r="AP171" s="46" t="b">
        <v>0</v>
      </c>
      <c r="AQ171" s="46">
        <v>8579.9580000000005</v>
      </c>
      <c r="AS171" s="46">
        <v>8579.9580000000005</v>
      </c>
      <c r="AT171" s="46">
        <v>6</v>
      </c>
      <c r="AU171" s="46" t="b">
        <v>1</v>
      </c>
      <c r="AV171" s="46" t="b">
        <v>0</v>
      </c>
    </row>
    <row r="172" spans="2:48">
      <c r="B172" s="46" t="s">
        <v>665</v>
      </c>
      <c r="C172" s="46" t="s">
        <v>666</v>
      </c>
      <c r="D172" s="46">
        <v>20231001</v>
      </c>
      <c r="E172" s="46">
        <v>2023</v>
      </c>
      <c r="F172" s="46">
        <v>10</v>
      </c>
      <c r="G172" s="46" t="s">
        <v>724</v>
      </c>
      <c r="H172" s="46">
        <v>818</v>
      </c>
      <c r="I172" s="46" t="s">
        <v>668</v>
      </c>
      <c r="J172" s="46" t="s">
        <v>57</v>
      </c>
      <c r="K172" s="46" t="s">
        <v>666</v>
      </c>
      <c r="L172" s="46" t="s">
        <v>669</v>
      </c>
      <c r="M172" s="46">
        <v>156</v>
      </c>
      <c r="N172" s="46" t="s">
        <v>711</v>
      </c>
      <c r="O172" s="46" t="s">
        <v>29</v>
      </c>
      <c r="P172" s="46">
        <v>0</v>
      </c>
      <c r="Q172" s="46" t="s">
        <v>670</v>
      </c>
      <c r="R172" s="46" t="s">
        <v>23</v>
      </c>
      <c r="S172" s="46" t="s">
        <v>671</v>
      </c>
      <c r="T172" s="46" t="s">
        <v>672</v>
      </c>
      <c r="U172" s="46" t="b">
        <v>1</v>
      </c>
      <c r="V172" s="46" t="s">
        <v>1028</v>
      </c>
      <c r="W172" s="46" t="s">
        <v>1027</v>
      </c>
      <c r="X172" s="46">
        <v>6</v>
      </c>
      <c r="Y172" s="46" t="b">
        <v>1</v>
      </c>
      <c r="Z172" s="46" t="s">
        <v>675</v>
      </c>
      <c r="AA172" s="46" t="s">
        <v>676</v>
      </c>
      <c r="AB172" s="46" t="s">
        <v>677</v>
      </c>
      <c r="AC172" s="46">
        <v>0</v>
      </c>
      <c r="AD172" s="46" t="s">
        <v>678</v>
      </c>
      <c r="AE172" s="46">
        <v>8</v>
      </c>
      <c r="AF172" s="46" t="s">
        <v>679</v>
      </c>
      <c r="AG172" s="46">
        <v>27104.817999999999</v>
      </c>
      <c r="AH172" s="46" t="b">
        <v>1</v>
      </c>
      <c r="AI172" s="46">
        <v>-1</v>
      </c>
      <c r="AJ172" s="46" t="s">
        <v>680</v>
      </c>
      <c r="AK172" s="46">
        <v>0</v>
      </c>
      <c r="AL172" s="46" t="b">
        <v>0</v>
      </c>
      <c r="AM172" s="46">
        <v>27104.817999999999</v>
      </c>
      <c r="AN172" s="46" t="b">
        <v>1</v>
      </c>
      <c r="AO172" s="46">
        <v>0</v>
      </c>
      <c r="AP172" s="46" t="b">
        <v>0</v>
      </c>
      <c r="AQ172" s="46">
        <v>173123.37299999999</v>
      </c>
      <c r="AS172" s="46">
        <v>173123.37299999999</v>
      </c>
      <c r="AT172" s="46">
        <v>6</v>
      </c>
      <c r="AU172" s="46" t="b">
        <v>1</v>
      </c>
      <c r="AV172" s="46" t="b">
        <v>0</v>
      </c>
    </row>
    <row r="173" spans="2:48">
      <c r="B173" s="46" t="s">
        <v>665</v>
      </c>
      <c r="C173" s="46" t="s">
        <v>666</v>
      </c>
      <c r="D173" s="46">
        <v>20231001</v>
      </c>
      <c r="E173" s="46">
        <v>2023</v>
      </c>
      <c r="F173" s="46">
        <v>10</v>
      </c>
      <c r="G173" s="46" t="s">
        <v>724</v>
      </c>
      <c r="H173" s="46">
        <v>818</v>
      </c>
      <c r="I173" s="46" t="s">
        <v>668</v>
      </c>
      <c r="J173" s="46" t="s">
        <v>57</v>
      </c>
      <c r="K173" s="46" t="s">
        <v>666</v>
      </c>
      <c r="L173" s="46" t="s">
        <v>669</v>
      </c>
      <c r="M173" s="46">
        <v>251</v>
      </c>
      <c r="N173" s="46" t="s">
        <v>688</v>
      </c>
      <c r="O173" s="46" t="s">
        <v>69</v>
      </c>
      <c r="P173" s="46">
        <v>0</v>
      </c>
      <c r="Q173" s="46" t="s">
        <v>670</v>
      </c>
      <c r="R173" s="46" t="s">
        <v>23</v>
      </c>
      <c r="S173" s="46" t="s">
        <v>671</v>
      </c>
      <c r="T173" s="46" t="s">
        <v>672</v>
      </c>
      <c r="U173" s="46" t="b">
        <v>1</v>
      </c>
      <c r="V173" s="46" t="s">
        <v>1028</v>
      </c>
      <c r="W173" s="46" t="s">
        <v>1027</v>
      </c>
      <c r="X173" s="46">
        <v>6</v>
      </c>
      <c r="Y173" s="46" t="b">
        <v>1</v>
      </c>
      <c r="Z173" s="46" t="s">
        <v>675</v>
      </c>
      <c r="AA173" s="46" t="s">
        <v>676</v>
      </c>
      <c r="AB173" s="46" t="s">
        <v>677</v>
      </c>
      <c r="AC173" s="46">
        <v>0</v>
      </c>
      <c r="AD173" s="46" t="s">
        <v>678</v>
      </c>
      <c r="AE173" s="46">
        <v>8</v>
      </c>
      <c r="AF173" s="46" t="s">
        <v>679</v>
      </c>
      <c r="AG173" s="46">
        <v>16.527000000000001</v>
      </c>
      <c r="AH173" s="46" t="b">
        <v>1</v>
      </c>
      <c r="AI173" s="46">
        <v>-1</v>
      </c>
      <c r="AJ173" s="46" t="s">
        <v>680</v>
      </c>
      <c r="AK173" s="46">
        <v>0</v>
      </c>
      <c r="AL173" s="46" t="b">
        <v>0</v>
      </c>
      <c r="AM173" s="46">
        <v>16.527000000000001</v>
      </c>
      <c r="AN173" s="46" t="b">
        <v>1</v>
      </c>
      <c r="AO173" s="46">
        <v>0</v>
      </c>
      <c r="AP173" s="46" t="b">
        <v>0</v>
      </c>
      <c r="AQ173" s="46">
        <v>105.56</v>
      </c>
      <c r="AS173" s="46">
        <v>105.56</v>
      </c>
      <c r="AT173" s="46">
        <v>6</v>
      </c>
      <c r="AU173" s="46" t="b">
        <v>1</v>
      </c>
      <c r="AV173" s="46" t="b">
        <v>0</v>
      </c>
    </row>
    <row r="174" spans="2:48">
      <c r="B174" s="46" t="s">
        <v>665</v>
      </c>
      <c r="C174" s="46" t="s">
        <v>666</v>
      </c>
      <c r="D174" s="46">
        <v>20231001</v>
      </c>
      <c r="E174" s="46">
        <v>2023</v>
      </c>
      <c r="F174" s="46">
        <v>10</v>
      </c>
      <c r="G174" s="46" t="s">
        <v>724</v>
      </c>
      <c r="H174" s="46">
        <v>818</v>
      </c>
      <c r="I174" s="46" t="s">
        <v>668</v>
      </c>
      <c r="J174" s="46" t="s">
        <v>57</v>
      </c>
      <c r="K174" s="46" t="s">
        <v>666</v>
      </c>
      <c r="L174" s="46" t="s">
        <v>669</v>
      </c>
      <c r="M174" s="46">
        <v>300</v>
      </c>
      <c r="N174" s="46" t="s">
        <v>719</v>
      </c>
      <c r="O174" s="46" t="s">
        <v>65</v>
      </c>
      <c r="P174" s="46">
        <v>0</v>
      </c>
      <c r="Q174" s="46" t="s">
        <v>670</v>
      </c>
      <c r="R174" s="46" t="s">
        <v>23</v>
      </c>
      <c r="S174" s="46" t="s">
        <v>671</v>
      </c>
      <c r="T174" s="46" t="s">
        <v>672</v>
      </c>
      <c r="U174" s="46" t="b">
        <v>1</v>
      </c>
      <c r="V174" s="46" t="s">
        <v>1028</v>
      </c>
      <c r="W174" s="46" t="s">
        <v>1027</v>
      </c>
      <c r="X174" s="46">
        <v>6</v>
      </c>
      <c r="Y174" s="46" t="b">
        <v>1</v>
      </c>
      <c r="Z174" s="46" t="s">
        <v>675</v>
      </c>
      <c r="AA174" s="46" t="s">
        <v>676</v>
      </c>
      <c r="AB174" s="46" t="s">
        <v>677</v>
      </c>
      <c r="AC174" s="46">
        <v>0</v>
      </c>
      <c r="AD174" s="46" t="s">
        <v>678</v>
      </c>
      <c r="AE174" s="46">
        <v>8</v>
      </c>
      <c r="AF174" s="46" t="s">
        <v>679</v>
      </c>
      <c r="AG174" s="46">
        <v>10.872999999999999</v>
      </c>
      <c r="AH174" s="46" t="b">
        <v>1</v>
      </c>
      <c r="AI174" s="46">
        <v>-1</v>
      </c>
      <c r="AJ174" s="46" t="s">
        <v>680</v>
      </c>
      <c r="AK174" s="46">
        <v>0</v>
      </c>
      <c r="AL174" s="46" t="b">
        <v>0</v>
      </c>
      <c r="AM174" s="46">
        <v>10.872999999999999</v>
      </c>
      <c r="AN174" s="46" t="b">
        <v>1</v>
      </c>
      <c r="AO174" s="46">
        <v>0</v>
      </c>
      <c r="AP174" s="46" t="b">
        <v>0</v>
      </c>
      <c r="AQ174" s="46">
        <v>69.447999999999993</v>
      </c>
      <c r="AS174" s="46">
        <v>69.447999999999993</v>
      </c>
      <c r="AT174" s="46">
        <v>6</v>
      </c>
      <c r="AU174" s="46" t="b">
        <v>1</v>
      </c>
      <c r="AV174" s="46" t="b">
        <v>0</v>
      </c>
    </row>
    <row r="175" spans="2:48">
      <c r="B175" s="46" t="s">
        <v>665</v>
      </c>
      <c r="C175" s="46" t="s">
        <v>666</v>
      </c>
      <c r="D175" s="46">
        <v>20231001</v>
      </c>
      <c r="E175" s="46">
        <v>2023</v>
      </c>
      <c r="F175" s="46">
        <v>10</v>
      </c>
      <c r="G175" s="46" t="s">
        <v>724</v>
      </c>
      <c r="H175" s="46">
        <v>818</v>
      </c>
      <c r="I175" s="46" t="s">
        <v>668</v>
      </c>
      <c r="J175" s="46" t="s">
        <v>57</v>
      </c>
      <c r="K175" s="46" t="s">
        <v>666</v>
      </c>
      <c r="L175" s="46" t="s">
        <v>669</v>
      </c>
      <c r="M175" s="46">
        <v>348</v>
      </c>
      <c r="N175" s="46" t="s">
        <v>757</v>
      </c>
      <c r="O175" s="46" t="s">
        <v>82</v>
      </c>
      <c r="P175" s="46">
        <v>0</v>
      </c>
      <c r="Q175" s="46" t="s">
        <v>670</v>
      </c>
      <c r="R175" s="46" t="s">
        <v>23</v>
      </c>
      <c r="S175" s="46" t="s">
        <v>671</v>
      </c>
      <c r="T175" s="46" t="s">
        <v>672</v>
      </c>
      <c r="U175" s="46" t="b">
        <v>1</v>
      </c>
      <c r="V175" s="46" t="s">
        <v>1028</v>
      </c>
      <c r="W175" s="46" t="s">
        <v>1027</v>
      </c>
      <c r="X175" s="46">
        <v>6</v>
      </c>
      <c r="Y175" s="46" t="b">
        <v>1</v>
      </c>
      <c r="Z175" s="46" t="s">
        <v>675</v>
      </c>
      <c r="AA175" s="46" t="s">
        <v>676</v>
      </c>
      <c r="AB175" s="46" t="s">
        <v>677</v>
      </c>
      <c r="AC175" s="46">
        <v>0</v>
      </c>
      <c r="AD175" s="46" t="s">
        <v>678</v>
      </c>
      <c r="AE175" s="46">
        <v>8</v>
      </c>
      <c r="AF175" s="46" t="s">
        <v>679</v>
      </c>
      <c r="AG175" s="46">
        <v>170.66</v>
      </c>
      <c r="AH175" s="46" t="b">
        <v>1</v>
      </c>
      <c r="AI175" s="46">
        <v>-1</v>
      </c>
      <c r="AJ175" s="46" t="s">
        <v>680</v>
      </c>
      <c r="AK175" s="46">
        <v>0</v>
      </c>
      <c r="AL175" s="46" t="b">
        <v>0</v>
      </c>
      <c r="AM175" s="46">
        <v>170.66</v>
      </c>
      <c r="AN175" s="46" t="b">
        <v>1</v>
      </c>
      <c r="AO175" s="46">
        <v>0</v>
      </c>
      <c r="AP175" s="46" t="b">
        <v>0</v>
      </c>
      <c r="AQ175" s="46">
        <v>1090.0350000000001</v>
      </c>
      <c r="AS175" s="46">
        <v>1090.0350000000001</v>
      </c>
      <c r="AT175" s="46">
        <v>6</v>
      </c>
      <c r="AU175" s="46" t="b">
        <v>1</v>
      </c>
      <c r="AV175" s="46" t="b">
        <v>0</v>
      </c>
    </row>
    <row r="176" spans="2:48">
      <c r="B176" s="46" t="s">
        <v>665</v>
      </c>
      <c r="C176" s="46" t="s">
        <v>666</v>
      </c>
      <c r="D176" s="46">
        <v>20231001</v>
      </c>
      <c r="E176" s="46">
        <v>2023</v>
      </c>
      <c r="F176" s="46">
        <v>10</v>
      </c>
      <c r="G176" s="46" t="s">
        <v>724</v>
      </c>
      <c r="H176" s="46">
        <v>818</v>
      </c>
      <c r="I176" s="46" t="s">
        <v>668</v>
      </c>
      <c r="J176" s="46" t="s">
        <v>57</v>
      </c>
      <c r="K176" s="46" t="s">
        <v>666</v>
      </c>
      <c r="L176" s="46" t="s">
        <v>669</v>
      </c>
      <c r="M176" s="46">
        <v>376</v>
      </c>
      <c r="N176" s="46" t="s">
        <v>991</v>
      </c>
      <c r="O176" s="46" t="s">
        <v>100</v>
      </c>
      <c r="P176" s="46">
        <v>0</v>
      </c>
      <c r="Q176" s="46" t="s">
        <v>670</v>
      </c>
      <c r="R176" s="46" t="s">
        <v>23</v>
      </c>
      <c r="S176" s="46" t="s">
        <v>671</v>
      </c>
      <c r="T176" s="46" t="s">
        <v>672</v>
      </c>
      <c r="U176" s="46" t="b">
        <v>1</v>
      </c>
      <c r="V176" s="46" t="s">
        <v>1028</v>
      </c>
      <c r="W176" s="46" t="s">
        <v>1027</v>
      </c>
      <c r="X176" s="46">
        <v>6</v>
      </c>
      <c r="Y176" s="46" t="b">
        <v>1</v>
      </c>
      <c r="Z176" s="46" t="s">
        <v>675</v>
      </c>
      <c r="AA176" s="46" t="s">
        <v>676</v>
      </c>
      <c r="AB176" s="46" t="s">
        <v>677</v>
      </c>
      <c r="AC176" s="46">
        <v>0</v>
      </c>
      <c r="AD176" s="46" t="s">
        <v>678</v>
      </c>
      <c r="AE176" s="46">
        <v>8</v>
      </c>
      <c r="AF176" s="46" t="s">
        <v>679</v>
      </c>
      <c r="AG176" s="46">
        <v>11915.27</v>
      </c>
      <c r="AH176" s="46" t="b">
        <v>1</v>
      </c>
      <c r="AI176" s="46">
        <v>-1</v>
      </c>
      <c r="AJ176" s="46" t="s">
        <v>680</v>
      </c>
      <c r="AK176" s="46">
        <v>0</v>
      </c>
      <c r="AL176" s="46" t="b">
        <v>0</v>
      </c>
      <c r="AM176" s="46">
        <v>11915.27</v>
      </c>
      <c r="AN176" s="46" t="b">
        <v>1</v>
      </c>
      <c r="AO176" s="46">
        <v>0</v>
      </c>
      <c r="AP176" s="46" t="b">
        <v>0</v>
      </c>
      <c r="AQ176" s="46">
        <v>76104.983999999997</v>
      </c>
      <c r="AS176" s="46">
        <v>76104.983999999997</v>
      </c>
      <c r="AT176" s="46">
        <v>6</v>
      </c>
      <c r="AU176" s="46" t="b">
        <v>1</v>
      </c>
      <c r="AV176" s="46" t="b">
        <v>0</v>
      </c>
    </row>
    <row r="177" spans="2:48">
      <c r="B177" s="46" t="s">
        <v>665</v>
      </c>
      <c r="C177" s="46" t="s">
        <v>666</v>
      </c>
      <c r="D177" s="46">
        <v>20231001</v>
      </c>
      <c r="E177" s="46">
        <v>2023</v>
      </c>
      <c r="F177" s="46">
        <v>10</v>
      </c>
      <c r="G177" s="46" t="s">
        <v>724</v>
      </c>
      <c r="H177" s="46">
        <v>818</v>
      </c>
      <c r="I177" s="46" t="s">
        <v>668</v>
      </c>
      <c r="J177" s="46" t="s">
        <v>57</v>
      </c>
      <c r="K177" s="46" t="s">
        <v>666</v>
      </c>
      <c r="L177" s="46" t="s">
        <v>669</v>
      </c>
      <c r="M177" s="46">
        <v>380</v>
      </c>
      <c r="N177" s="46" t="s">
        <v>689</v>
      </c>
      <c r="O177" s="46" t="s">
        <v>71</v>
      </c>
      <c r="P177" s="46">
        <v>0</v>
      </c>
      <c r="Q177" s="46" t="s">
        <v>670</v>
      </c>
      <c r="R177" s="46" t="s">
        <v>23</v>
      </c>
      <c r="S177" s="46" t="s">
        <v>671</v>
      </c>
      <c r="T177" s="46" t="s">
        <v>672</v>
      </c>
      <c r="U177" s="46" t="b">
        <v>1</v>
      </c>
      <c r="V177" s="46" t="s">
        <v>1028</v>
      </c>
      <c r="W177" s="46" t="s">
        <v>1027</v>
      </c>
      <c r="X177" s="46">
        <v>6</v>
      </c>
      <c r="Y177" s="46" t="b">
        <v>1</v>
      </c>
      <c r="Z177" s="46" t="s">
        <v>675</v>
      </c>
      <c r="AA177" s="46" t="s">
        <v>676</v>
      </c>
      <c r="AB177" s="46" t="s">
        <v>677</v>
      </c>
      <c r="AC177" s="46">
        <v>0</v>
      </c>
      <c r="AD177" s="46" t="s">
        <v>678</v>
      </c>
      <c r="AE177" s="46">
        <v>8</v>
      </c>
      <c r="AF177" s="46" t="s">
        <v>679</v>
      </c>
      <c r="AG177" s="46">
        <v>17877.181</v>
      </c>
      <c r="AH177" s="46" t="b">
        <v>1</v>
      </c>
      <c r="AI177" s="46">
        <v>-1</v>
      </c>
      <c r="AJ177" s="46" t="s">
        <v>680</v>
      </c>
      <c r="AK177" s="46">
        <v>0</v>
      </c>
      <c r="AL177" s="46" t="b">
        <v>0</v>
      </c>
      <c r="AM177" s="46">
        <v>17877.181</v>
      </c>
      <c r="AN177" s="46" t="b">
        <v>1</v>
      </c>
      <c r="AO177" s="46">
        <v>0</v>
      </c>
      <c r="AP177" s="46" t="b">
        <v>0</v>
      </c>
      <c r="AQ177" s="46">
        <v>114184.789</v>
      </c>
      <c r="AS177" s="46">
        <v>114184.789</v>
      </c>
      <c r="AT177" s="46">
        <v>6</v>
      </c>
      <c r="AU177" s="46" t="b">
        <v>1</v>
      </c>
      <c r="AV177" s="46" t="b">
        <v>0</v>
      </c>
    </row>
    <row r="178" spans="2:48">
      <c r="B178" s="46" t="s">
        <v>665</v>
      </c>
      <c r="C178" s="46" t="s">
        <v>666</v>
      </c>
      <c r="D178" s="46">
        <v>20231001</v>
      </c>
      <c r="E178" s="46">
        <v>2023</v>
      </c>
      <c r="F178" s="46">
        <v>10</v>
      </c>
      <c r="G178" s="46" t="s">
        <v>724</v>
      </c>
      <c r="H178" s="46">
        <v>818</v>
      </c>
      <c r="I178" s="46" t="s">
        <v>668</v>
      </c>
      <c r="J178" s="46" t="s">
        <v>57</v>
      </c>
      <c r="K178" s="46" t="s">
        <v>666</v>
      </c>
      <c r="L178" s="46" t="s">
        <v>669</v>
      </c>
      <c r="M178" s="46">
        <v>400</v>
      </c>
      <c r="N178" s="46" t="s">
        <v>1003</v>
      </c>
      <c r="O178" s="46" t="s">
        <v>214</v>
      </c>
      <c r="P178" s="46">
        <v>0</v>
      </c>
      <c r="Q178" s="46" t="s">
        <v>670</v>
      </c>
      <c r="R178" s="46" t="s">
        <v>23</v>
      </c>
      <c r="S178" s="46" t="s">
        <v>671</v>
      </c>
      <c r="T178" s="46" t="s">
        <v>672</v>
      </c>
      <c r="U178" s="46" t="b">
        <v>1</v>
      </c>
      <c r="V178" s="46" t="s">
        <v>1028</v>
      </c>
      <c r="W178" s="46" t="s">
        <v>1027</v>
      </c>
      <c r="X178" s="46">
        <v>6</v>
      </c>
      <c r="Y178" s="46" t="b">
        <v>1</v>
      </c>
      <c r="Z178" s="46" t="s">
        <v>675</v>
      </c>
      <c r="AA178" s="46" t="s">
        <v>676</v>
      </c>
      <c r="AB178" s="46" t="s">
        <v>677</v>
      </c>
      <c r="AC178" s="46">
        <v>0</v>
      </c>
      <c r="AD178" s="46" t="s">
        <v>678</v>
      </c>
      <c r="AE178" s="46">
        <v>8</v>
      </c>
      <c r="AF178" s="46" t="s">
        <v>679</v>
      </c>
      <c r="AG178" s="46">
        <v>9688.4779999999992</v>
      </c>
      <c r="AH178" s="46" t="b">
        <v>1</v>
      </c>
      <c r="AI178" s="46">
        <v>-1</v>
      </c>
      <c r="AJ178" s="46" t="s">
        <v>680</v>
      </c>
      <c r="AK178" s="46">
        <v>0</v>
      </c>
      <c r="AL178" s="46" t="b">
        <v>0</v>
      </c>
      <c r="AM178" s="46">
        <v>9688.4779999999992</v>
      </c>
      <c r="AN178" s="46" t="b">
        <v>1</v>
      </c>
      <c r="AO178" s="46">
        <v>0</v>
      </c>
      <c r="AP178" s="46" t="b">
        <v>0</v>
      </c>
      <c r="AQ178" s="46">
        <v>61882.063000000002</v>
      </c>
      <c r="AS178" s="46">
        <v>61882.063000000002</v>
      </c>
      <c r="AT178" s="46">
        <v>6</v>
      </c>
      <c r="AU178" s="46" t="b">
        <v>1</v>
      </c>
      <c r="AV178" s="46" t="b">
        <v>0</v>
      </c>
    </row>
    <row r="179" spans="2:48">
      <c r="B179" s="46" t="s">
        <v>665</v>
      </c>
      <c r="C179" s="46" t="s">
        <v>666</v>
      </c>
      <c r="D179" s="46">
        <v>20231001</v>
      </c>
      <c r="E179" s="46">
        <v>2023</v>
      </c>
      <c r="F179" s="46">
        <v>10</v>
      </c>
      <c r="G179" s="46" t="s">
        <v>724</v>
      </c>
      <c r="H179" s="46">
        <v>818</v>
      </c>
      <c r="I179" s="46" t="s">
        <v>668</v>
      </c>
      <c r="J179" s="46" t="s">
        <v>57</v>
      </c>
      <c r="K179" s="46" t="s">
        <v>666</v>
      </c>
      <c r="L179" s="46" t="s">
        <v>669</v>
      </c>
      <c r="M179" s="46">
        <v>410</v>
      </c>
      <c r="N179" s="46" t="s">
        <v>754</v>
      </c>
      <c r="O179" s="46" t="s">
        <v>755</v>
      </c>
      <c r="P179" s="46">
        <v>0</v>
      </c>
      <c r="Q179" s="46" t="s">
        <v>670</v>
      </c>
      <c r="R179" s="46" t="s">
        <v>23</v>
      </c>
      <c r="S179" s="46" t="s">
        <v>671</v>
      </c>
      <c r="T179" s="46" t="s">
        <v>672</v>
      </c>
      <c r="U179" s="46" t="b">
        <v>1</v>
      </c>
      <c r="V179" s="46" t="s">
        <v>1028</v>
      </c>
      <c r="W179" s="46" t="s">
        <v>1027</v>
      </c>
      <c r="X179" s="46">
        <v>6</v>
      </c>
      <c r="Y179" s="46" t="b">
        <v>1</v>
      </c>
      <c r="Z179" s="46" t="s">
        <v>675</v>
      </c>
      <c r="AA179" s="46" t="s">
        <v>676</v>
      </c>
      <c r="AB179" s="46" t="s">
        <v>677</v>
      </c>
      <c r="AC179" s="46">
        <v>0</v>
      </c>
      <c r="AD179" s="46" t="s">
        <v>678</v>
      </c>
      <c r="AE179" s="46">
        <v>8</v>
      </c>
      <c r="AF179" s="46" t="s">
        <v>679</v>
      </c>
      <c r="AG179" s="46">
        <v>7025.5929999999998</v>
      </c>
      <c r="AH179" s="46" t="b">
        <v>1</v>
      </c>
      <c r="AI179" s="46">
        <v>-1</v>
      </c>
      <c r="AJ179" s="46" t="s">
        <v>680</v>
      </c>
      <c r="AK179" s="46">
        <v>0</v>
      </c>
      <c r="AL179" s="46" t="b">
        <v>0</v>
      </c>
      <c r="AM179" s="46">
        <v>7025.5929999999998</v>
      </c>
      <c r="AN179" s="46" t="b">
        <v>1</v>
      </c>
      <c r="AO179" s="46">
        <v>0</v>
      </c>
      <c r="AP179" s="46" t="b">
        <v>0</v>
      </c>
      <c r="AQ179" s="46">
        <v>44873.731</v>
      </c>
      <c r="AS179" s="46">
        <v>44873.731</v>
      </c>
      <c r="AT179" s="46">
        <v>6</v>
      </c>
      <c r="AU179" s="46" t="b">
        <v>1</v>
      </c>
      <c r="AV179" s="46" t="b">
        <v>0</v>
      </c>
    </row>
    <row r="180" spans="2:48">
      <c r="B180" s="46" t="s">
        <v>665</v>
      </c>
      <c r="C180" s="46" t="s">
        <v>666</v>
      </c>
      <c r="D180" s="46">
        <v>20231001</v>
      </c>
      <c r="E180" s="46">
        <v>2023</v>
      </c>
      <c r="F180" s="46">
        <v>10</v>
      </c>
      <c r="G180" s="46" t="s">
        <v>724</v>
      </c>
      <c r="H180" s="46">
        <v>818</v>
      </c>
      <c r="I180" s="46" t="s">
        <v>668</v>
      </c>
      <c r="J180" s="46" t="s">
        <v>57</v>
      </c>
      <c r="K180" s="46" t="s">
        <v>666</v>
      </c>
      <c r="L180" s="46" t="s">
        <v>669</v>
      </c>
      <c r="M180" s="46">
        <v>490</v>
      </c>
      <c r="N180" s="46" t="s">
        <v>762</v>
      </c>
      <c r="O180" s="46" t="s">
        <v>763</v>
      </c>
      <c r="P180" s="46">
        <v>0</v>
      </c>
      <c r="Q180" s="46" t="s">
        <v>670</v>
      </c>
      <c r="R180" s="46" t="s">
        <v>23</v>
      </c>
      <c r="S180" s="46" t="s">
        <v>671</v>
      </c>
      <c r="T180" s="46" t="s">
        <v>672</v>
      </c>
      <c r="U180" s="46" t="b">
        <v>1</v>
      </c>
      <c r="V180" s="46" t="s">
        <v>1028</v>
      </c>
      <c r="W180" s="46" t="s">
        <v>1027</v>
      </c>
      <c r="X180" s="46">
        <v>6</v>
      </c>
      <c r="Y180" s="46" t="b">
        <v>1</v>
      </c>
      <c r="Z180" s="46" t="s">
        <v>675</v>
      </c>
      <c r="AA180" s="46" t="s">
        <v>676</v>
      </c>
      <c r="AB180" s="46" t="s">
        <v>677</v>
      </c>
      <c r="AC180" s="46">
        <v>0</v>
      </c>
      <c r="AD180" s="46" t="s">
        <v>678</v>
      </c>
      <c r="AE180" s="46">
        <v>8</v>
      </c>
      <c r="AF180" s="46" t="s">
        <v>679</v>
      </c>
      <c r="AG180" s="46">
        <v>56.023000000000003</v>
      </c>
      <c r="AH180" s="46" t="b">
        <v>1</v>
      </c>
      <c r="AI180" s="46">
        <v>-1</v>
      </c>
      <c r="AJ180" s="46" t="s">
        <v>680</v>
      </c>
      <c r="AK180" s="46">
        <v>0</v>
      </c>
      <c r="AL180" s="46" t="b">
        <v>0</v>
      </c>
      <c r="AM180" s="46">
        <v>56.023000000000003</v>
      </c>
      <c r="AN180" s="46" t="b">
        <v>1</v>
      </c>
      <c r="AO180" s="46">
        <v>0</v>
      </c>
      <c r="AP180" s="46" t="b">
        <v>0</v>
      </c>
      <c r="AQ180" s="46">
        <v>357.82900000000001</v>
      </c>
      <c r="AS180" s="46">
        <v>357.82900000000001</v>
      </c>
      <c r="AT180" s="46">
        <v>6</v>
      </c>
      <c r="AU180" s="46" t="b">
        <v>1</v>
      </c>
      <c r="AV180" s="46" t="b">
        <v>0</v>
      </c>
    </row>
    <row r="181" spans="2:48">
      <c r="B181" s="46" t="s">
        <v>665</v>
      </c>
      <c r="C181" s="46" t="s">
        <v>666</v>
      </c>
      <c r="D181" s="46">
        <v>20231001</v>
      </c>
      <c r="E181" s="46">
        <v>2023</v>
      </c>
      <c r="F181" s="46">
        <v>10</v>
      </c>
      <c r="G181" s="46" t="s">
        <v>724</v>
      </c>
      <c r="H181" s="46">
        <v>818</v>
      </c>
      <c r="I181" s="46" t="s">
        <v>668</v>
      </c>
      <c r="J181" s="46" t="s">
        <v>57</v>
      </c>
      <c r="K181" s="46" t="s">
        <v>666</v>
      </c>
      <c r="L181" s="46" t="s">
        <v>669</v>
      </c>
      <c r="M181" s="46">
        <v>643</v>
      </c>
      <c r="N181" s="46" t="s">
        <v>761</v>
      </c>
      <c r="O181" s="46" t="s">
        <v>38</v>
      </c>
      <c r="P181" s="46">
        <v>0</v>
      </c>
      <c r="Q181" s="46" t="s">
        <v>670</v>
      </c>
      <c r="R181" s="46" t="s">
        <v>23</v>
      </c>
      <c r="S181" s="46" t="s">
        <v>671</v>
      </c>
      <c r="T181" s="46" t="s">
        <v>672</v>
      </c>
      <c r="U181" s="46" t="b">
        <v>1</v>
      </c>
      <c r="V181" s="46" t="s">
        <v>1028</v>
      </c>
      <c r="W181" s="46" t="s">
        <v>1027</v>
      </c>
      <c r="X181" s="46">
        <v>6</v>
      </c>
      <c r="Y181" s="46" t="b">
        <v>1</v>
      </c>
      <c r="Z181" s="46" t="s">
        <v>675</v>
      </c>
      <c r="AA181" s="46" t="s">
        <v>676</v>
      </c>
      <c r="AB181" s="46" t="s">
        <v>677</v>
      </c>
      <c r="AC181" s="46">
        <v>0</v>
      </c>
      <c r="AD181" s="46" t="s">
        <v>678</v>
      </c>
      <c r="AE181" s="46">
        <v>8</v>
      </c>
      <c r="AF181" s="46" t="s">
        <v>679</v>
      </c>
      <c r="AG181" s="46">
        <v>1586.9469999999999</v>
      </c>
      <c r="AH181" s="46" t="b">
        <v>1</v>
      </c>
      <c r="AI181" s="46">
        <v>-1</v>
      </c>
      <c r="AJ181" s="46" t="s">
        <v>680</v>
      </c>
      <c r="AK181" s="46">
        <v>0</v>
      </c>
      <c r="AL181" s="46" t="b">
        <v>0</v>
      </c>
      <c r="AM181" s="46">
        <v>1586.9469999999999</v>
      </c>
      <c r="AN181" s="46" t="b">
        <v>1</v>
      </c>
      <c r="AO181" s="46">
        <v>0</v>
      </c>
      <c r="AP181" s="46" t="b">
        <v>0</v>
      </c>
      <c r="AQ181" s="46">
        <v>10136.117</v>
      </c>
      <c r="AS181" s="46">
        <v>10136.117</v>
      </c>
      <c r="AT181" s="46">
        <v>6</v>
      </c>
      <c r="AU181" s="46" t="b">
        <v>1</v>
      </c>
      <c r="AV181" s="46" t="b">
        <v>0</v>
      </c>
    </row>
    <row r="182" spans="2:48">
      <c r="B182" s="46" t="s">
        <v>665</v>
      </c>
      <c r="C182" s="46" t="s">
        <v>666</v>
      </c>
      <c r="D182" s="46">
        <v>20231001</v>
      </c>
      <c r="E182" s="46">
        <v>2023</v>
      </c>
      <c r="F182" s="46">
        <v>10</v>
      </c>
      <c r="G182" s="46" t="s">
        <v>724</v>
      </c>
      <c r="H182" s="46">
        <v>818</v>
      </c>
      <c r="I182" s="46" t="s">
        <v>668</v>
      </c>
      <c r="J182" s="46" t="s">
        <v>57</v>
      </c>
      <c r="K182" s="46" t="s">
        <v>666</v>
      </c>
      <c r="L182" s="46" t="s">
        <v>669</v>
      </c>
      <c r="M182" s="46">
        <v>699</v>
      </c>
      <c r="N182" s="46" t="s">
        <v>748</v>
      </c>
      <c r="O182" s="46" t="s">
        <v>0</v>
      </c>
      <c r="P182" s="46">
        <v>0</v>
      </c>
      <c r="Q182" s="46" t="s">
        <v>670</v>
      </c>
      <c r="R182" s="46" t="s">
        <v>23</v>
      </c>
      <c r="S182" s="46" t="s">
        <v>671</v>
      </c>
      <c r="T182" s="46" t="s">
        <v>672</v>
      </c>
      <c r="U182" s="46" t="b">
        <v>1</v>
      </c>
      <c r="V182" s="46" t="s">
        <v>1028</v>
      </c>
      <c r="W182" s="46" t="s">
        <v>1027</v>
      </c>
      <c r="X182" s="46">
        <v>6</v>
      </c>
      <c r="Y182" s="46" t="b">
        <v>1</v>
      </c>
      <c r="Z182" s="46" t="s">
        <v>675</v>
      </c>
      <c r="AA182" s="46" t="s">
        <v>676</v>
      </c>
      <c r="AB182" s="46" t="s">
        <v>677</v>
      </c>
      <c r="AC182" s="46">
        <v>0</v>
      </c>
      <c r="AD182" s="46" t="s">
        <v>678</v>
      </c>
      <c r="AE182" s="46">
        <v>8</v>
      </c>
      <c r="AF182" s="46" t="s">
        <v>679</v>
      </c>
      <c r="AG182" s="46">
        <v>0.93899999999999995</v>
      </c>
      <c r="AH182" s="46" t="b">
        <v>1</v>
      </c>
      <c r="AI182" s="46">
        <v>-1</v>
      </c>
      <c r="AJ182" s="46" t="s">
        <v>680</v>
      </c>
      <c r="AK182" s="46">
        <v>0</v>
      </c>
      <c r="AL182" s="46" t="b">
        <v>0</v>
      </c>
      <c r="AM182" s="46">
        <v>0.93899999999999995</v>
      </c>
      <c r="AN182" s="46" t="b">
        <v>1</v>
      </c>
      <c r="AO182" s="46">
        <v>0</v>
      </c>
      <c r="AP182" s="46" t="b">
        <v>0</v>
      </c>
      <c r="AQ182" s="46">
        <v>6</v>
      </c>
      <c r="AS182" s="46">
        <v>6</v>
      </c>
      <c r="AT182" s="46">
        <v>6</v>
      </c>
      <c r="AU182" s="46" t="b">
        <v>1</v>
      </c>
      <c r="AV182" s="46" t="b">
        <v>0</v>
      </c>
    </row>
    <row r="183" spans="2:48">
      <c r="B183" s="46" t="s">
        <v>665</v>
      </c>
      <c r="C183" s="46" t="s">
        <v>666</v>
      </c>
      <c r="D183" s="46">
        <v>20231001</v>
      </c>
      <c r="E183" s="46">
        <v>2023</v>
      </c>
      <c r="F183" s="46">
        <v>10</v>
      </c>
      <c r="G183" s="46" t="s">
        <v>724</v>
      </c>
      <c r="H183" s="46">
        <v>818</v>
      </c>
      <c r="I183" s="46" t="s">
        <v>668</v>
      </c>
      <c r="J183" s="46" t="s">
        <v>57</v>
      </c>
      <c r="K183" s="46" t="s">
        <v>666</v>
      </c>
      <c r="L183" s="46" t="s">
        <v>669</v>
      </c>
      <c r="M183" s="46">
        <v>704</v>
      </c>
      <c r="N183" s="46" t="s">
        <v>756</v>
      </c>
      <c r="O183" s="46" t="s">
        <v>59</v>
      </c>
      <c r="P183" s="46">
        <v>0</v>
      </c>
      <c r="Q183" s="46" t="s">
        <v>670</v>
      </c>
      <c r="R183" s="46" t="s">
        <v>23</v>
      </c>
      <c r="S183" s="46" t="s">
        <v>671</v>
      </c>
      <c r="T183" s="46" t="s">
        <v>672</v>
      </c>
      <c r="U183" s="46" t="b">
        <v>1</v>
      </c>
      <c r="V183" s="46" t="s">
        <v>1028</v>
      </c>
      <c r="W183" s="46" t="s">
        <v>1027</v>
      </c>
      <c r="X183" s="46">
        <v>6</v>
      </c>
      <c r="Y183" s="46" t="b">
        <v>1</v>
      </c>
      <c r="Z183" s="46" t="s">
        <v>675</v>
      </c>
      <c r="AA183" s="46" t="s">
        <v>676</v>
      </c>
      <c r="AB183" s="46" t="s">
        <v>677</v>
      </c>
      <c r="AC183" s="46">
        <v>0</v>
      </c>
      <c r="AD183" s="46" t="s">
        <v>678</v>
      </c>
      <c r="AE183" s="46">
        <v>8</v>
      </c>
      <c r="AF183" s="46" t="s">
        <v>679</v>
      </c>
      <c r="AG183" s="46">
        <v>2311.2950000000001</v>
      </c>
      <c r="AH183" s="46" t="b">
        <v>1</v>
      </c>
      <c r="AI183" s="46">
        <v>-1</v>
      </c>
      <c r="AJ183" s="46" t="s">
        <v>680</v>
      </c>
      <c r="AK183" s="46">
        <v>0</v>
      </c>
      <c r="AL183" s="46" t="b">
        <v>0</v>
      </c>
      <c r="AM183" s="46">
        <v>2311.2950000000001</v>
      </c>
      <c r="AN183" s="46" t="b">
        <v>1</v>
      </c>
      <c r="AO183" s="46">
        <v>0</v>
      </c>
      <c r="AP183" s="46" t="b">
        <v>0</v>
      </c>
      <c r="AQ183" s="46">
        <v>14762.66</v>
      </c>
      <c r="AS183" s="46">
        <v>14762.66</v>
      </c>
      <c r="AT183" s="46">
        <v>6</v>
      </c>
      <c r="AU183" s="46" t="b">
        <v>1</v>
      </c>
      <c r="AV183" s="46" t="b">
        <v>0</v>
      </c>
    </row>
    <row r="184" spans="2:48">
      <c r="B184" s="46" t="s">
        <v>665</v>
      </c>
      <c r="C184" s="46" t="s">
        <v>666</v>
      </c>
      <c r="D184" s="46">
        <v>20231001</v>
      </c>
      <c r="E184" s="46">
        <v>2023</v>
      </c>
      <c r="F184" s="46">
        <v>10</v>
      </c>
      <c r="G184" s="46" t="s">
        <v>724</v>
      </c>
      <c r="H184" s="46">
        <v>818</v>
      </c>
      <c r="I184" s="46" t="s">
        <v>668</v>
      </c>
      <c r="J184" s="46" t="s">
        <v>57</v>
      </c>
      <c r="K184" s="46" t="s">
        <v>666</v>
      </c>
      <c r="L184" s="46" t="s">
        <v>669</v>
      </c>
      <c r="M184" s="46">
        <v>784</v>
      </c>
      <c r="N184" s="46" t="s">
        <v>694</v>
      </c>
      <c r="O184" s="46" t="s">
        <v>25</v>
      </c>
      <c r="P184" s="46">
        <v>0</v>
      </c>
      <c r="Q184" s="46" t="s">
        <v>670</v>
      </c>
      <c r="R184" s="46" t="s">
        <v>23</v>
      </c>
      <c r="S184" s="46" t="s">
        <v>671</v>
      </c>
      <c r="T184" s="46" t="s">
        <v>672</v>
      </c>
      <c r="U184" s="46" t="b">
        <v>1</v>
      </c>
      <c r="V184" s="46" t="s">
        <v>1028</v>
      </c>
      <c r="W184" s="46" t="s">
        <v>1027</v>
      </c>
      <c r="X184" s="46">
        <v>6</v>
      </c>
      <c r="Y184" s="46" t="b">
        <v>1</v>
      </c>
      <c r="Z184" s="46" t="s">
        <v>675</v>
      </c>
      <c r="AA184" s="46" t="s">
        <v>676</v>
      </c>
      <c r="AB184" s="46" t="s">
        <v>677</v>
      </c>
      <c r="AC184" s="46">
        <v>0</v>
      </c>
      <c r="AD184" s="46" t="s">
        <v>678</v>
      </c>
      <c r="AE184" s="46">
        <v>8</v>
      </c>
      <c r="AF184" s="46" t="s">
        <v>679</v>
      </c>
      <c r="AG184" s="46">
        <v>6819.7049999999999</v>
      </c>
      <c r="AH184" s="46" t="b">
        <v>1</v>
      </c>
      <c r="AI184" s="46">
        <v>-1</v>
      </c>
      <c r="AJ184" s="46" t="s">
        <v>680</v>
      </c>
      <c r="AK184" s="46">
        <v>0</v>
      </c>
      <c r="AL184" s="46" t="b">
        <v>0</v>
      </c>
      <c r="AM184" s="46">
        <v>6819.7049999999999</v>
      </c>
      <c r="AN184" s="46" t="b">
        <v>1</v>
      </c>
      <c r="AO184" s="46">
        <v>0</v>
      </c>
      <c r="AP184" s="46" t="b">
        <v>0</v>
      </c>
      <c r="AQ184" s="46">
        <v>43558.688000000002</v>
      </c>
      <c r="AS184" s="46">
        <v>43558.688000000002</v>
      </c>
      <c r="AT184" s="46">
        <v>6</v>
      </c>
      <c r="AU184" s="46" t="b">
        <v>1</v>
      </c>
      <c r="AV184" s="46" t="b">
        <v>0</v>
      </c>
    </row>
    <row r="185" spans="2:48">
      <c r="B185" s="46" t="s">
        <v>665</v>
      </c>
      <c r="C185" s="46" t="s">
        <v>666</v>
      </c>
      <c r="D185" s="46">
        <v>20231001</v>
      </c>
      <c r="E185" s="46">
        <v>2023</v>
      </c>
      <c r="F185" s="46">
        <v>10</v>
      </c>
      <c r="G185" s="46" t="s">
        <v>724</v>
      </c>
      <c r="H185" s="46">
        <v>818</v>
      </c>
      <c r="I185" s="46" t="s">
        <v>668</v>
      </c>
      <c r="J185" s="46" t="s">
        <v>57</v>
      </c>
      <c r="K185" s="46" t="s">
        <v>666</v>
      </c>
      <c r="L185" s="46" t="s">
        <v>669</v>
      </c>
      <c r="M185" s="46">
        <v>792</v>
      </c>
      <c r="N185" s="46" t="s">
        <v>691</v>
      </c>
      <c r="O185" s="46" t="s">
        <v>63</v>
      </c>
      <c r="P185" s="46">
        <v>0</v>
      </c>
      <c r="Q185" s="46" t="s">
        <v>670</v>
      </c>
      <c r="R185" s="46" t="s">
        <v>23</v>
      </c>
      <c r="S185" s="46" t="s">
        <v>671</v>
      </c>
      <c r="T185" s="46" t="s">
        <v>672</v>
      </c>
      <c r="U185" s="46" t="b">
        <v>1</v>
      </c>
      <c r="V185" s="46" t="s">
        <v>1028</v>
      </c>
      <c r="W185" s="46" t="s">
        <v>1027</v>
      </c>
      <c r="X185" s="46">
        <v>6</v>
      </c>
      <c r="Y185" s="46" t="b">
        <v>1</v>
      </c>
      <c r="Z185" s="46" t="s">
        <v>675</v>
      </c>
      <c r="AA185" s="46" t="s">
        <v>676</v>
      </c>
      <c r="AB185" s="46" t="s">
        <v>677</v>
      </c>
      <c r="AC185" s="46">
        <v>0</v>
      </c>
      <c r="AD185" s="46" t="s">
        <v>678</v>
      </c>
      <c r="AE185" s="46">
        <v>8</v>
      </c>
      <c r="AF185" s="46" t="s">
        <v>679</v>
      </c>
      <c r="AG185" s="46">
        <v>2938.6120000000001</v>
      </c>
      <c r="AH185" s="46" t="b">
        <v>1</v>
      </c>
      <c r="AI185" s="46">
        <v>-1</v>
      </c>
      <c r="AJ185" s="46" t="s">
        <v>680</v>
      </c>
      <c r="AK185" s="46">
        <v>0</v>
      </c>
      <c r="AL185" s="46" t="b">
        <v>0</v>
      </c>
      <c r="AM185" s="46">
        <v>2938.6120000000001</v>
      </c>
      <c r="AN185" s="46" t="b">
        <v>1</v>
      </c>
      <c r="AO185" s="46">
        <v>0</v>
      </c>
      <c r="AP185" s="46" t="b">
        <v>0</v>
      </c>
      <c r="AQ185" s="46">
        <v>18769.446</v>
      </c>
      <c r="AS185" s="46">
        <v>18769.446</v>
      </c>
      <c r="AT185" s="46">
        <v>6</v>
      </c>
      <c r="AU185" s="46" t="b">
        <v>1</v>
      </c>
      <c r="AV185" s="46" t="b">
        <v>0</v>
      </c>
    </row>
    <row r="186" spans="2:48">
      <c r="B186" s="46" t="s">
        <v>665</v>
      </c>
      <c r="C186" s="46" t="s">
        <v>666</v>
      </c>
      <c r="D186" s="46">
        <v>20231001</v>
      </c>
      <c r="E186" s="46">
        <v>2023</v>
      </c>
      <c r="F186" s="46">
        <v>10</v>
      </c>
      <c r="G186" s="46" t="s">
        <v>724</v>
      </c>
      <c r="H186" s="46">
        <v>818</v>
      </c>
      <c r="I186" s="46" t="s">
        <v>668</v>
      </c>
      <c r="J186" s="46" t="s">
        <v>57</v>
      </c>
      <c r="K186" s="46" t="s">
        <v>666</v>
      </c>
      <c r="L186" s="46" t="s">
        <v>669</v>
      </c>
      <c r="M186" s="46">
        <v>842</v>
      </c>
      <c r="N186" s="46" t="s">
        <v>713</v>
      </c>
      <c r="O186" s="46" t="s">
        <v>713</v>
      </c>
      <c r="P186" s="46">
        <v>0</v>
      </c>
      <c r="Q186" s="46" t="s">
        <v>670</v>
      </c>
      <c r="R186" s="46" t="s">
        <v>23</v>
      </c>
      <c r="S186" s="46" t="s">
        <v>671</v>
      </c>
      <c r="T186" s="46" t="s">
        <v>672</v>
      </c>
      <c r="U186" s="46" t="b">
        <v>1</v>
      </c>
      <c r="V186" s="46" t="s">
        <v>1028</v>
      </c>
      <c r="W186" s="46" t="s">
        <v>1027</v>
      </c>
      <c r="X186" s="46">
        <v>6</v>
      </c>
      <c r="Y186" s="46" t="b">
        <v>1</v>
      </c>
      <c r="Z186" s="46" t="s">
        <v>675</v>
      </c>
      <c r="AA186" s="46" t="s">
        <v>676</v>
      </c>
      <c r="AB186" s="46" t="s">
        <v>677</v>
      </c>
      <c r="AC186" s="46">
        <v>0</v>
      </c>
      <c r="AD186" s="46" t="s">
        <v>678</v>
      </c>
      <c r="AE186" s="46">
        <v>8</v>
      </c>
      <c r="AF186" s="46" t="s">
        <v>679</v>
      </c>
      <c r="AG186" s="46">
        <v>2.8029999999999999</v>
      </c>
      <c r="AH186" s="46" t="b">
        <v>1</v>
      </c>
      <c r="AI186" s="46">
        <v>-1</v>
      </c>
      <c r="AJ186" s="46" t="s">
        <v>680</v>
      </c>
      <c r="AK186" s="46">
        <v>0</v>
      </c>
      <c r="AL186" s="46" t="b">
        <v>0</v>
      </c>
      <c r="AM186" s="46">
        <v>2.8029999999999999</v>
      </c>
      <c r="AN186" s="46" t="b">
        <v>1</v>
      </c>
      <c r="AO186" s="46">
        <v>0</v>
      </c>
      <c r="AP186" s="46" t="b">
        <v>0</v>
      </c>
      <c r="AQ186" s="46">
        <v>17.904</v>
      </c>
      <c r="AS186" s="46">
        <v>17.904</v>
      </c>
      <c r="AT186" s="46">
        <v>6</v>
      </c>
      <c r="AU186" s="46" t="b">
        <v>1</v>
      </c>
      <c r="AV186" s="46" t="b">
        <v>0</v>
      </c>
    </row>
    <row r="187" spans="2:48">
      <c r="B187" s="46" t="s">
        <v>665</v>
      </c>
      <c r="C187" s="46" t="s">
        <v>666</v>
      </c>
      <c r="D187" s="46">
        <v>20231101</v>
      </c>
      <c r="E187" s="46">
        <v>2023</v>
      </c>
      <c r="F187" s="46">
        <v>11</v>
      </c>
      <c r="G187" s="46" t="s">
        <v>725</v>
      </c>
      <c r="H187" s="46">
        <v>818</v>
      </c>
      <c r="I187" s="46" t="s">
        <v>668</v>
      </c>
      <c r="J187" s="46" t="s">
        <v>57</v>
      </c>
      <c r="K187" s="46" t="s">
        <v>666</v>
      </c>
      <c r="L187" s="46" t="s">
        <v>669</v>
      </c>
      <c r="M187" s="46">
        <v>0</v>
      </c>
      <c r="N187" s="46" t="s">
        <v>670</v>
      </c>
      <c r="O187" s="46" t="s">
        <v>23</v>
      </c>
      <c r="P187" s="46">
        <v>0</v>
      </c>
      <c r="Q187" s="46" t="s">
        <v>670</v>
      </c>
      <c r="R187" s="46" t="s">
        <v>23</v>
      </c>
      <c r="S187" s="46" t="s">
        <v>671</v>
      </c>
      <c r="T187" s="46" t="s">
        <v>672</v>
      </c>
      <c r="U187" s="46" t="b">
        <v>1</v>
      </c>
      <c r="V187" s="46" t="s">
        <v>1028</v>
      </c>
      <c r="W187" s="46" t="s">
        <v>1027</v>
      </c>
      <c r="X187" s="46">
        <v>6</v>
      </c>
      <c r="Y187" s="46" t="b">
        <v>1</v>
      </c>
      <c r="Z187" s="46" t="s">
        <v>675</v>
      </c>
      <c r="AA187" s="46" t="s">
        <v>676</v>
      </c>
      <c r="AB187" s="46" t="s">
        <v>677</v>
      </c>
      <c r="AC187" s="46">
        <v>0</v>
      </c>
      <c r="AD187" s="46" t="s">
        <v>678</v>
      </c>
      <c r="AE187" s="46">
        <v>8</v>
      </c>
      <c r="AF187" s="46" t="s">
        <v>679</v>
      </c>
      <c r="AG187" s="46">
        <v>68226.53</v>
      </c>
      <c r="AH187" s="46" t="b">
        <v>1</v>
      </c>
      <c r="AI187" s="46">
        <v>-1</v>
      </c>
      <c r="AJ187" s="46" t="s">
        <v>680</v>
      </c>
      <c r="AK187" s="46">
        <v>0</v>
      </c>
      <c r="AL187" s="46" t="b">
        <v>0</v>
      </c>
      <c r="AM187" s="46">
        <v>68226.53</v>
      </c>
      <c r="AN187" s="46" t="b">
        <v>1</v>
      </c>
      <c r="AO187" s="46">
        <v>0</v>
      </c>
      <c r="AP187" s="46" t="b">
        <v>0</v>
      </c>
      <c r="AQ187" s="46">
        <v>435775.17599999998</v>
      </c>
      <c r="AS187" s="46">
        <v>435775.17599999998</v>
      </c>
      <c r="AT187" s="46">
        <v>6</v>
      </c>
      <c r="AU187" s="46" t="b">
        <v>0</v>
      </c>
      <c r="AV187" s="46" t="b">
        <v>1</v>
      </c>
    </row>
    <row r="188" spans="2:48">
      <c r="B188" s="46" t="s">
        <v>665</v>
      </c>
      <c r="C188" s="46" t="s">
        <v>666</v>
      </c>
      <c r="D188" s="46">
        <v>20231101</v>
      </c>
      <c r="E188" s="46">
        <v>2023</v>
      </c>
      <c r="F188" s="46">
        <v>11</v>
      </c>
      <c r="G188" s="46" t="s">
        <v>725</v>
      </c>
      <c r="H188" s="46">
        <v>818</v>
      </c>
      <c r="I188" s="46" t="s">
        <v>668</v>
      </c>
      <c r="J188" s="46" t="s">
        <v>57</v>
      </c>
      <c r="K188" s="46" t="s">
        <v>666</v>
      </c>
      <c r="L188" s="46" t="s">
        <v>669</v>
      </c>
      <c r="M188" s="46">
        <v>40</v>
      </c>
      <c r="N188" s="46" t="s">
        <v>750</v>
      </c>
      <c r="O188" s="46" t="s">
        <v>43</v>
      </c>
      <c r="P188" s="46">
        <v>0</v>
      </c>
      <c r="Q188" s="46" t="s">
        <v>670</v>
      </c>
      <c r="R188" s="46" t="s">
        <v>23</v>
      </c>
      <c r="S188" s="46" t="s">
        <v>671</v>
      </c>
      <c r="T188" s="46" t="s">
        <v>672</v>
      </c>
      <c r="U188" s="46" t="b">
        <v>1</v>
      </c>
      <c r="V188" s="46" t="s">
        <v>1028</v>
      </c>
      <c r="W188" s="46" t="s">
        <v>1027</v>
      </c>
      <c r="X188" s="46">
        <v>6</v>
      </c>
      <c r="Y188" s="46" t="b">
        <v>1</v>
      </c>
      <c r="Z188" s="46" t="s">
        <v>675</v>
      </c>
      <c r="AA188" s="46" t="s">
        <v>676</v>
      </c>
      <c r="AB188" s="46" t="s">
        <v>677</v>
      </c>
      <c r="AC188" s="46">
        <v>0</v>
      </c>
      <c r="AD188" s="46" t="s">
        <v>678</v>
      </c>
      <c r="AE188" s="46">
        <v>8</v>
      </c>
      <c r="AF188" s="46" t="s">
        <v>679</v>
      </c>
      <c r="AG188" s="46">
        <v>2712.2890000000002</v>
      </c>
      <c r="AH188" s="46" t="b">
        <v>1</v>
      </c>
      <c r="AI188" s="46">
        <v>-1</v>
      </c>
      <c r="AJ188" s="46" t="s">
        <v>680</v>
      </c>
      <c r="AK188" s="46">
        <v>0</v>
      </c>
      <c r="AL188" s="46" t="b">
        <v>0</v>
      </c>
      <c r="AM188" s="46">
        <v>2712.2890000000002</v>
      </c>
      <c r="AN188" s="46" t="b">
        <v>1</v>
      </c>
      <c r="AO188" s="46">
        <v>0</v>
      </c>
      <c r="AP188" s="46" t="b">
        <v>0</v>
      </c>
      <c r="AQ188" s="46">
        <v>17323.879000000001</v>
      </c>
      <c r="AS188" s="46">
        <v>17323.879000000001</v>
      </c>
      <c r="AT188" s="46">
        <v>6</v>
      </c>
      <c r="AU188" s="46" t="b">
        <v>1</v>
      </c>
      <c r="AV188" s="46" t="b">
        <v>0</v>
      </c>
    </row>
    <row r="189" spans="2:48">
      <c r="B189" s="46" t="s">
        <v>665</v>
      </c>
      <c r="C189" s="46" t="s">
        <v>666</v>
      </c>
      <c r="D189" s="46">
        <v>20231101</v>
      </c>
      <c r="E189" s="46">
        <v>2023</v>
      </c>
      <c r="F189" s="46">
        <v>11</v>
      </c>
      <c r="G189" s="46" t="s">
        <v>725</v>
      </c>
      <c r="H189" s="46">
        <v>818</v>
      </c>
      <c r="I189" s="46" t="s">
        <v>668</v>
      </c>
      <c r="J189" s="46" t="s">
        <v>57</v>
      </c>
      <c r="K189" s="46" t="s">
        <v>666</v>
      </c>
      <c r="L189" s="46" t="s">
        <v>669</v>
      </c>
      <c r="M189" s="46">
        <v>144</v>
      </c>
      <c r="N189" s="46" t="s">
        <v>1029</v>
      </c>
      <c r="O189" s="46" t="s">
        <v>94</v>
      </c>
      <c r="P189" s="46">
        <v>0</v>
      </c>
      <c r="Q189" s="46" t="s">
        <v>670</v>
      </c>
      <c r="R189" s="46" t="s">
        <v>23</v>
      </c>
      <c r="S189" s="46" t="s">
        <v>671</v>
      </c>
      <c r="T189" s="46" t="s">
        <v>672</v>
      </c>
      <c r="U189" s="46" t="b">
        <v>1</v>
      </c>
      <c r="V189" s="46" t="s">
        <v>1028</v>
      </c>
      <c r="W189" s="46" t="s">
        <v>1027</v>
      </c>
      <c r="X189" s="46">
        <v>6</v>
      </c>
      <c r="Y189" s="46" t="b">
        <v>1</v>
      </c>
      <c r="Z189" s="46" t="s">
        <v>675</v>
      </c>
      <c r="AA189" s="46" t="s">
        <v>676</v>
      </c>
      <c r="AB189" s="46" t="s">
        <v>677</v>
      </c>
      <c r="AC189" s="46">
        <v>0</v>
      </c>
      <c r="AD189" s="46" t="s">
        <v>678</v>
      </c>
      <c r="AE189" s="46">
        <v>8</v>
      </c>
      <c r="AF189" s="46" t="s">
        <v>679</v>
      </c>
      <c r="AG189" s="46">
        <v>407.70800000000003</v>
      </c>
      <c r="AH189" s="46" t="b">
        <v>1</v>
      </c>
      <c r="AI189" s="46">
        <v>-1</v>
      </c>
      <c r="AJ189" s="46" t="s">
        <v>680</v>
      </c>
      <c r="AK189" s="46">
        <v>0</v>
      </c>
      <c r="AL189" s="46" t="b">
        <v>0</v>
      </c>
      <c r="AM189" s="46">
        <v>407.70800000000003</v>
      </c>
      <c r="AN189" s="46" t="b">
        <v>1</v>
      </c>
      <c r="AO189" s="46">
        <v>0</v>
      </c>
      <c r="AP189" s="46" t="b">
        <v>0</v>
      </c>
      <c r="AQ189" s="46">
        <v>2604.1030000000001</v>
      </c>
      <c r="AS189" s="46">
        <v>2604.1030000000001</v>
      </c>
      <c r="AT189" s="46">
        <v>6</v>
      </c>
      <c r="AU189" s="46" t="b">
        <v>1</v>
      </c>
      <c r="AV189" s="46" t="b">
        <v>0</v>
      </c>
    </row>
    <row r="190" spans="2:48">
      <c r="B190" s="46" t="s">
        <v>665</v>
      </c>
      <c r="C190" s="46" t="s">
        <v>666</v>
      </c>
      <c r="D190" s="46">
        <v>20231101</v>
      </c>
      <c r="E190" s="46">
        <v>2023</v>
      </c>
      <c r="F190" s="46">
        <v>11</v>
      </c>
      <c r="G190" s="46" t="s">
        <v>725</v>
      </c>
      <c r="H190" s="46">
        <v>818</v>
      </c>
      <c r="I190" s="46" t="s">
        <v>668</v>
      </c>
      <c r="J190" s="46" t="s">
        <v>57</v>
      </c>
      <c r="K190" s="46" t="s">
        <v>666</v>
      </c>
      <c r="L190" s="46" t="s">
        <v>669</v>
      </c>
      <c r="M190" s="46">
        <v>156</v>
      </c>
      <c r="N190" s="46" t="s">
        <v>711</v>
      </c>
      <c r="O190" s="46" t="s">
        <v>29</v>
      </c>
      <c r="P190" s="46">
        <v>0</v>
      </c>
      <c r="Q190" s="46" t="s">
        <v>670</v>
      </c>
      <c r="R190" s="46" t="s">
        <v>23</v>
      </c>
      <c r="S190" s="46" t="s">
        <v>671</v>
      </c>
      <c r="T190" s="46" t="s">
        <v>672</v>
      </c>
      <c r="U190" s="46" t="b">
        <v>1</v>
      </c>
      <c r="V190" s="46" t="s">
        <v>1028</v>
      </c>
      <c r="W190" s="46" t="s">
        <v>1027</v>
      </c>
      <c r="X190" s="46">
        <v>6</v>
      </c>
      <c r="Y190" s="46" t="b">
        <v>1</v>
      </c>
      <c r="Z190" s="46" t="s">
        <v>675</v>
      </c>
      <c r="AA190" s="46" t="s">
        <v>676</v>
      </c>
      <c r="AB190" s="46" t="s">
        <v>677</v>
      </c>
      <c r="AC190" s="46">
        <v>0</v>
      </c>
      <c r="AD190" s="46" t="s">
        <v>678</v>
      </c>
      <c r="AE190" s="46">
        <v>8</v>
      </c>
      <c r="AF190" s="46" t="s">
        <v>679</v>
      </c>
      <c r="AG190" s="46">
        <v>14752.081</v>
      </c>
      <c r="AH190" s="46" t="b">
        <v>1</v>
      </c>
      <c r="AI190" s="46">
        <v>-1</v>
      </c>
      <c r="AJ190" s="46" t="s">
        <v>680</v>
      </c>
      <c r="AK190" s="46">
        <v>0</v>
      </c>
      <c r="AL190" s="46" t="b">
        <v>0</v>
      </c>
      <c r="AM190" s="46">
        <v>14752.081</v>
      </c>
      <c r="AN190" s="46" t="b">
        <v>1</v>
      </c>
      <c r="AO190" s="46">
        <v>0</v>
      </c>
      <c r="AP190" s="46" t="b">
        <v>0</v>
      </c>
      <c r="AQ190" s="46">
        <v>94224.21</v>
      </c>
      <c r="AS190" s="46">
        <v>94224.21</v>
      </c>
      <c r="AT190" s="46">
        <v>6</v>
      </c>
      <c r="AU190" s="46" t="b">
        <v>1</v>
      </c>
      <c r="AV190" s="46" t="b">
        <v>0</v>
      </c>
    </row>
    <row r="191" spans="2:48">
      <c r="B191" s="46" t="s">
        <v>665</v>
      </c>
      <c r="C191" s="46" t="s">
        <v>666</v>
      </c>
      <c r="D191" s="46">
        <v>20231101</v>
      </c>
      <c r="E191" s="46">
        <v>2023</v>
      </c>
      <c r="F191" s="46">
        <v>11</v>
      </c>
      <c r="G191" s="46" t="s">
        <v>725</v>
      </c>
      <c r="H191" s="46">
        <v>818</v>
      </c>
      <c r="I191" s="46" t="s">
        <v>668</v>
      </c>
      <c r="J191" s="46" t="s">
        <v>57</v>
      </c>
      <c r="K191" s="46" t="s">
        <v>666</v>
      </c>
      <c r="L191" s="46" t="s">
        <v>669</v>
      </c>
      <c r="M191" s="46">
        <v>208</v>
      </c>
      <c r="N191" s="46" t="s">
        <v>988</v>
      </c>
      <c r="O191" s="46" t="s">
        <v>72</v>
      </c>
      <c r="P191" s="46">
        <v>0</v>
      </c>
      <c r="Q191" s="46" t="s">
        <v>670</v>
      </c>
      <c r="R191" s="46" t="s">
        <v>23</v>
      </c>
      <c r="S191" s="46" t="s">
        <v>671</v>
      </c>
      <c r="T191" s="46" t="s">
        <v>672</v>
      </c>
      <c r="U191" s="46" t="b">
        <v>1</v>
      </c>
      <c r="V191" s="46" t="s">
        <v>1028</v>
      </c>
      <c r="W191" s="46" t="s">
        <v>1027</v>
      </c>
      <c r="X191" s="46">
        <v>6</v>
      </c>
      <c r="Y191" s="46" t="b">
        <v>1</v>
      </c>
      <c r="Z191" s="46" t="s">
        <v>675</v>
      </c>
      <c r="AA191" s="46" t="s">
        <v>676</v>
      </c>
      <c r="AB191" s="46" t="s">
        <v>677</v>
      </c>
      <c r="AC191" s="46">
        <v>0</v>
      </c>
      <c r="AD191" s="46" t="s">
        <v>678</v>
      </c>
      <c r="AE191" s="46">
        <v>8</v>
      </c>
      <c r="AF191" s="46" t="s">
        <v>679</v>
      </c>
      <c r="AG191" s="46">
        <v>6.5709999999999997</v>
      </c>
      <c r="AH191" s="46" t="b">
        <v>1</v>
      </c>
      <c r="AI191" s="46">
        <v>-1</v>
      </c>
      <c r="AJ191" s="46" t="s">
        <v>680</v>
      </c>
      <c r="AK191" s="46">
        <v>0</v>
      </c>
      <c r="AL191" s="46" t="b">
        <v>0</v>
      </c>
      <c r="AM191" s="46">
        <v>6.5709999999999997</v>
      </c>
      <c r="AN191" s="46" t="b">
        <v>1</v>
      </c>
      <c r="AO191" s="46">
        <v>0</v>
      </c>
      <c r="AP191" s="46" t="b">
        <v>0</v>
      </c>
      <c r="AQ191" s="46">
        <v>41.968000000000004</v>
      </c>
      <c r="AS191" s="46">
        <v>41.968000000000004</v>
      </c>
      <c r="AT191" s="46">
        <v>6</v>
      </c>
      <c r="AU191" s="46" t="b">
        <v>1</v>
      </c>
      <c r="AV191" s="46" t="b">
        <v>0</v>
      </c>
    </row>
    <row r="192" spans="2:48">
      <c r="B192" s="46" t="s">
        <v>665</v>
      </c>
      <c r="C192" s="46" t="s">
        <v>666</v>
      </c>
      <c r="D192" s="46">
        <v>20231101</v>
      </c>
      <c r="E192" s="46">
        <v>2023</v>
      </c>
      <c r="F192" s="46">
        <v>11</v>
      </c>
      <c r="G192" s="46" t="s">
        <v>725</v>
      </c>
      <c r="H192" s="46">
        <v>818</v>
      </c>
      <c r="I192" s="46" t="s">
        <v>668</v>
      </c>
      <c r="J192" s="46" t="s">
        <v>57</v>
      </c>
      <c r="K192" s="46" t="s">
        <v>666</v>
      </c>
      <c r="L192" s="46" t="s">
        <v>669</v>
      </c>
      <c r="M192" s="46">
        <v>251</v>
      </c>
      <c r="N192" s="46" t="s">
        <v>688</v>
      </c>
      <c r="O192" s="46" t="s">
        <v>69</v>
      </c>
      <c r="P192" s="46">
        <v>0</v>
      </c>
      <c r="Q192" s="46" t="s">
        <v>670</v>
      </c>
      <c r="R192" s="46" t="s">
        <v>23</v>
      </c>
      <c r="S192" s="46" t="s">
        <v>671</v>
      </c>
      <c r="T192" s="46" t="s">
        <v>672</v>
      </c>
      <c r="U192" s="46" t="b">
        <v>1</v>
      </c>
      <c r="V192" s="46" t="s">
        <v>1028</v>
      </c>
      <c r="W192" s="46" t="s">
        <v>1027</v>
      </c>
      <c r="X192" s="46">
        <v>6</v>
      </c>
      <c r="Y192" s="46" t="b">
        <v>1</v>
      </c>
      <c r="Z192" s="46" t="s">
        <v>675</v>
      </c>
      <c r="AA192" s="46" t="s">
        <v>676</v>
      </c>
      <c r="AB192" s="46" t="s">
        <v>677</v>
      </c>
      <c r="AC192" s="46">
        <v>0</v>
      </c>
      <c r="AD192" s="46" t="s">
        <v>678</v>
      </c>
      <c r="AE192" s="46">
        <v>8</v>
      </c>
      <c r="AF192" s="46" t="s">
        <v>679</v>
      </c>
      <c r="AG192" s="46">
        <v>54.618000000000002</v>
      </c>
      <c r="AH192" s="46" t="b">
        <v>1</v>
      </c>
      <c r="AI192" s="46">
        <v>-1</v>
      </c>
      <c r="AJ192" s="46" t="s">
        <v>680</v>
      </c>
      <c r="AK192" s="46">
        <v>0</v>
      </c>
      <c r="AL192" s="46" t="b">
        <v>0</v>
      </c>
      <c r="AM192" s="46">
        <v>54.618000000000002</v>
      </c>
      <c r="AN192" s="46" t="b">
        <v>1</v>
      </c>
      <c r="AO192" s="46">
        <v>0</v>
      </c>
      <c r="AP192" s="46" t="b">
        <v>0</v>
      </c>
      <c r="AQ192" s="46">
        <v>348.85300000000001</v>
      </c>
      <c r="AS192" s="46">
        <v>348.85300000000001</v>
      </c>
      <c r="AT192" s="46">
        <v>6</v>
      </c>
      <c r="AU192" s="46" t="b">
        <v>1</v>
      </c>
      <c r="AV192" s="46" t="b">
        <v>0</v>
      </c>
    </row>
    <row r="193" spans="2:48">
      <c r="B193" s="46" t="s">
        <v>665</v>
      </c>
      <c r="C193" s="46" t="s">
        <v>666</v>
      </c>
      <c r="D193" s="46">
        <v>20231101</v>
      </c>
      <c r="E193" s="46">
        <v>2023</v>
      </c>
      <c r="F193" s="46">
        <v>11</v>
      </c>
      <c r="G193" s="46" t="s">
        <v>725</v>
      </c>
      <c r="H193" s="46">
        <v>818</v>
      </c>
      <c r="I193" s="46" t="s">
        <v>668</v>
      </c>
      <c r="J193" s="46" t="s">
        <v>57</v>
      </c>
      <c r="K193" s="46" t="s">
        <v>666</v>
      </c>
      <c r="L193" s="46" t="s">
        <v>669</v>
      </c>
      <c r="M193" s="46">
        <v>344</v>
      </c>
      <c r="N193" s="46" t="s">
        <v>989</v>
      </c>
      <c r="O193" s="46" t="s">
        <v>990</v>
      </c>
      <c r="P193" s="46">
        <v>0</v>
      </c>
      <c r="Q193" s="46" t="s">
        <v>670</v>
      </c>
      <c r="R193" s="46" t="s">
        <v>23</v>
      </c>
      <c r="S193" s="46" t="s">
        <v>671</v>
      </c>
      <c r="T193" s="46" t="s">
        <v>672</v>
      </c>
      <c r="U193" s="46" t="b">
        <v>1</v>
      </c>
      <c r="V193" s="46" t="s">
        <v>1028</v>
      </c>
      <c r="W193" s="46" t="s">
        <v>1027</v>
      </c>
      <c r="X193" s="46">
        <v>6</v>
      </c>
      <c r="Y193" s="46" t="b">
        <v>1</v>
      </c>
      <c r="Z193" s="46" t="s">
        <v>675</v>
      </c>
      <c r="AA193" s="46" t="s">
        <v>676</v>
      </c>
      <c r="AB193" s="46" t="s">
        <v>677</v>
      </c>
      <c r="AC193" s="46">
        <v>0</v>
      </c>
      <c r="AD193" s="46" t="s">
        <v>678</v>
      </c>
      <c r="AE193" s="46">
        <v>8</v>
      </c>
      <c r="AF193" s="46" t="s">
        <v>679</v>
      </c>
      <c r="AG193" s="46">
        <v>3292.547</v>
      </c>
      <c r="AH193" s="46" t="b">
        <v>1</v>
      </c>
      <c r="AI193" s="46">
        <v>-1</v>
      </c>
      <c r="AJ193" s="46" t="s">
        <v>680</v>
      </c>
      <c r="AK193" s="46">
        <v>0</v>
      </c>
      <c r="AL193" s="46" t="b">
        <v>0</v>
      </c>
      <c r="AM193" s="46">
        <v>3292.547</v>
      </c>
      <c r="AN193" s="46" t="b">
        <v>1</v>
      </c>
      <c r="AO193" s="46">
        <v>0</v>
      </c>
      <c r="AP193" s="46" t="b">
        <v>0</v>
      </c>
      <c r="AQ193" s="46">
        <v>21030.094000000001</v>
      </c>
      <c r="AS193" s="46">
        <v>21030.094000000001</v>
      </c>
      <c r="AT193" s="46">
        <v>6</v>
      </c>
      <c r="AU193" s="46" t="b">
        <v>1</v>
      </c>
      <c r="AV193" s="46" t="b">
        <v>0</v>
      </c>
    </row>
    <row r="194" spans="2:48">
      <c r="B194" s="46" t="s">
        <v>665</v>
      </c>
      <c r="C194" s="46" t="s">
        <v>666</v>
      </c>
      <c r="D194" s="46">
        <v>20231101</v>
      </c>
      <c r="E194" s="46">
        <v>2023</v>
      </c>
      <c r="F194" s="46">
        <v>11</v>
      </c>
      <c r="G194" s="46" t="s">
        <v>725</v>
      </c>
      <c r="H194" s="46">
        <v>818</v>
      </c>
      <c r="I194" s="46" t="s">
        <v>668</v>
      </c>
      <c r="J194" s="46" t="s">
        <v>57</v>
      </c>
      <c r="K194" s="46" t="s">
        <v>666</v>
      </c>
      <c r="L194" s="46" t="s">
        <v>669</v>
      </c>
      <c r="M194" s="46">
        <v>376</v>
      </c>
      <c r="N194" s="46" t="s">
        <v>991</v>
      </c>
      <c r="O194" s="46" t="s">
        <v>100</v>
      </c>
      <c r="P194" s="46">
        <v>0</v>
      </c>
      <c r="Q194" s="46" t="s">
        <v>670</v>
      </c>
      <c r="R194" s="46" t="s">
        <v>23</v>
      </c>
      <c r="S194" s="46" t="s">
        <v>671</v>
      </c>
      <c r="T194" s="46" t="s">
        <v>672</v>
      </c>
      <c r="U194" s="46" t="b">
        <v>1</v>
      </c>
      <c r="V194" s="46" t="s">
        <v>1028</v>
      </c>
      <c r="W194" s="46" t="s">
        <v>1027</v>
      </c>
      <c r="X194" s="46">
        <v>6</v>
      </c>
      <c r="Y194" s="46" t="b">
        <v>1</v>
      </c>
      <c r="Z194" s="46" t="s">
        <v>675</v>
      </c>
      <c r="AA194" s="46" t="s">
        <v>676</v>
      </c>
      <c r="AB194" s="46" t="s">
        <v>677</v>
      </c>
      <c r="AC194" s="46">
        <v>0</v>
      </c>
      <c r="AD194" s="46" t="s">
        <v>678</v>
      </c>
      <c r="AE194" s="46">
        <v>8</v>
      </c>
      <c r="AF194" s="46" t="s">
        <v>679</v>
      </c>
      <c r="AG194" s="46">
        <v>9838.8140000000003</v>
      </c>
      <c r="AH194" s="46" t="b">
        <v>1</v>
      </c>
      <c r="AI194" s="46">
        <v>-1</v>
      </c>
      <c r="AJ194" s="46" t="s">
        <v>680</v>
      </c>
      <c r="AK194" s="46">
        <v>0</v>
      </c>
      <c r="AL194" s="46" t="b">
        <v>0</v>
      </c>
      <c r="AM194" s="46">
        <v>9838.8140000000003</v>
      </c>
      <c r="AN194" s="46" t="b">
        <v>1</v>
      </c>
      <c r="AO194" s="46">
        <v>0</v>
      </c>
      <c r="AP194" s="46" t="b">
        <v>0</v>
      </c>
      <c r="AQ194" s="46">
        <v>62842.281000000003</v>
      </c>
      <c r="AS194" s="46">
        <v>62842.281000000003</v>
      </c>
      <c r="AT194" s="46">
        <v>6</v>
      </c>
      <c r="AU194" s="46" t="b">
        <v>1</v>
      </c>
      <c r="AV194" s="46" t="b">
        <v>0</v>
      </c>
    </row>
    <row r="195" spans="2:48">
      <c r="B195" s="46" t="s">
        <v>665</v>
      </c>
      <c r="C195" s="46" t="s">
        <v>666</v>
      </c>
      <c r="D195" s="46">
        <v>20231101</v>
      </c>
      <c r="E195" s="46">
        <v>2023</v>
      </c>
      <c r="F195" s="46">
        <v>11</v>
      </c>
      <c r="G195" s="46" t="s">
        <v>725</v>
      </c>
      <c r="H195" s="46">
        <v>818</v>
      </c>
      <c r="I195" s="46" t="s">
        <v>668</v>
      </c>
      <c r="J195" s="46" t="s">
        <v>57</v>
      </c>
      <c r="K195" s="46" t="s">
        <v>666</v>
      </c>
      <c r="L195" s="46" t="s">
        <v>669</v>
      </c>
      <c r="M195" s="46">
        <v>380</v>
      </c>
      <c r="N195" s="46" t="s">
        <v>689</v>
      </c>
      <c r="O195" s="46" t="s">
        <v>71</v>
      </c>
      <c r="P195" s="46">
        <v>0</v>
      </c>
      <c r="Q195" s="46" t="s">
        <v>670</v>
      </c>
      <c r="R195" s="46" t="s">
        <v>23</v>
      </c>
      <c r="S195" s="46" t="s">
        <v>671</v>
      </c>
      <c r="T195" s="46" t="s">
        <v>672</v>
      </c>
      <c r="U195" s="46" t="b">
        <v>1</v>
      </c>
      <c r="V195" s="46" t="s">
        <v>1028</v>
      </c>
      <c r="W195" s="46" t="s">
        <v>1027</v>
      </c>
      <c r="X195" s="46">
        <v>6</v>
      </c>
      <c r="Y195" s="46" t="b">
        <v>1</v>
      </c>
      <c r="Z195" s="46" t="s">
        <v>675</v>
      </c>
      <c r="AA195" s="46" t="s">
        <v>676</v>
      </c>
      <c r="AB195" s="46" t="s">
        <v>677</v>
      </c>
      <c r="AC195" s="46">
        <v>0</v>
      </c>
      <c r="AD195" s="46" t="s">
        <v>678</v>
      </c>
      <c r="AE195" s="46">
        <v>8</v>
      </c>
      <c r="AF195" s="46" t="s">
        <v>679</v>
      </c>
      <c r="AG195" s="46">
        <v>16130.489</v>
      </c>
      <c r="AH195" s="46" t="b">
        <v>1</v>
      </c>
      <c r="AI195" s="46">
        <v>-1</v>
      </c>
      <c r="AJ195" s="46" t="s">
        <v>680</v>
      </c>
      <c r="AK195" s="46">
        <v>0</v>
      </c>
      <c r="AL195" s="46" t="b">
        <v>0</v>
      </c>
      <c r="AM195" s="46">
        <v>16130.489</v>
      </c>
      <c r="AN195" s="46" t="b">
        <v>1</v>
      </c>
      <c r="AO195" s="46">
        <v>0</v>
      </c>
      <c r="AP195" s="46" t="b">
        <v>0</v>
      </c>
      <c r="AQ195" s="46">
        <v>103028.34600000001</v>
      </c>
      <c r="AS195" s="46">
        <v>103028.34600000001</v>
      </c>
      <c r="AT195" s="46">
        <v>6</v>
      </c>
      <c r="AU195" s="46" t="b">
        <v>1</v>
      </c>
      <c r="AV195" s="46" t="b">
        <v>0</v>
      </c>
    </row>
    <row r="196" spans="2:48">
      <c r="B196" s="46" t="s">
        <v>665</v>
      </c>
      <c r="C196" s="46" t="s">
        <v>666</v>
      </c>
      <c r="D196" s="46">
        <v>20231101</v>
      </c>
      <c r="E196" s="46">
        <v>2023</v>
      </c>
      <c r="F196" s="46">
        <v>11</v>
      </c>
      <c r="G196" s="46" t="s">
        <v>725</v>
      </c>
      <c r="H196" s="46">
        <v>818</v>
      </c>
      <c r="I196" s="46" t="s">
        <v>668</v>
      </c>
      <c r="J196" s="46" t="s">
        <v>57</v>
      </c>
      <c r="K196" s="46" t="s">
        <v>666</v>
      </c>
      <c r="L196" s="46" t="s">
        <v>669</v>
      </c>
      <c r="M196" s="46">
        <v>586</v>
      </c>
      <c r="N196" s="46" t="s">
        <v>764</v>
      </c>
      <c r="O196" s="46" t="s">
        <v>83</v>
      </c>
      <c r="P196" s="46">
        <v>0</v>
      </c>
      <c r="Q196" s="46" t="s">
        <v>670</v>
      </c>
      <c r="R196" s="46" t="s">
        <v>23</v>
      </c>
      <c r="S196" s="46" t="s">
        <v>671</v>
      </c>
      <c r="T196" s="46" t="s">
        <v>672</v>
      </c>
      <c r="U196" s="46" t="b">
        <v>1</v>
      </c>
      <c r="V196" s="46" t="s">
        <v>1028</v>
      </c>
      <c r="W196" s="46" t="s">
        <v>1027</v>
      </c>
      <c r="X196" s="46">
        <v>6</v>
      </c>
      <c r="Y196" s="46" t="b">
        <v>1</v>
      </c>
      <c r="Z196" s="46" t="s">
        <v>675</v>
      </c>
      <c r="AA196" s="46" t="s">
        <v>676</v>
      </c>
      <c r="AB196" s="46" t="s">
        <v>677</v>
      </c>
      <c r="AC196" s="46">
        <v>0</v>
      </c>
      <c r="AD196" s="46" t="s">
        <v>678</v>
      </c>
      <c r="AE196" s="46">
        <v>8</v>
      </c>
      <c r="AF196" s="46" t="s">
        <v>679</v>
      </c>
      <c r="AG196" s="46">
        <v>171.94499999999999</v>
      </c>
      <c r="AH196" s="46" t="b">
        <v>1</v>
      </c>
      <c r="AI196" s="46">
        <v>-1</v>
      </c>
      <c r="AJ196" s="46" t="s">
        <v>680</v>
      </c>
      <c r="AK196" s="46">
        <v>0</v>
      </c>
      <c r="AL196" s="46" t="b">
        <v>0</v>
      </c>
      <c r="AM196" s="46">
        <v>171.94499999999999</v>
      </c>
      <c r="AN196" s="46" t="b">
        <v>1</v>
      </c>
      <c r="AO196" s="46">
        <v>0</v>
      </c>
      <c r="AP196" s="46" t="b">
        <v>0</v>
      </c>
      <c r="AQ196" s="46">
        <v>1098.241</v>
      </c>
      <c r="AS196" s="46">
        <v>1098.241</v>
      </c>
      <c r="AT196" s="46">
        <v>6</v>
      </c>
      <c r="AU196" s="46" t="b">
        <v>1</v>
      </c>
      <c r="AV196" s="46" t="b">
        <v>0</v>
      </c>
    </row>
    <row r="197" spans="2:48">
      <c r="B197" s="46" t="s">
        <v>665</v>
      </c>
      <c r="C197" s="46" t="s">
        <v>666</v>
      </c>
      <c r="D197" s="46">
        <v>20231101</v>
      </c>
      <c r="E197" s="46">
        <v>2023</v>
      </c>
      <c r="F197" s="46">
        <v>11</v>
      </c>
      <c r="G197" s="46" t="s">
        <v>725</v>
      </c>
      <c r="H197" s="46">
        <v>818</v>
      </c>
      <c r="I197" s="46" t="s">
        <v>668</v>
      </c>
      <c r="J197" s="46" t="s">
        <v>57</v>
      </c>
      <c r="K197" s="46" t="s">
        <v>666</v>
      </c>
      <c r="L197" s="46" t="s">
        <v>669</v>
      </c>
      <c r="M197" s="46">
        <v>620</v>
      </c>
      <c r="N197" s="46" t="s">
        <v>693</v>
      </c>
      <c r="O197" s="46" t="s">
        <v>85</v>
      </c>
      <c r="P197" s="46">
        <v>0</v>
      </c>
      <c r="Q197" s="46" t="s">
        <v>670</v>
      </c>
      <c r="R197" s="46" t="s">
        <v>23</v>
      </c>
      <c r="S197" s="46" t="s">
        <v>671</v>
      </c>
      <c r="T197" s="46" t="s">
        <v>672</v>
      </c>
      <c r="U197" s="46" t="b">
        <v>1</v>
      </c>
      <c r="V197" s="46" t="s">
        <v>1028</v>
      </c>
      <c r="W197" s="46" t="s">
        <v>1027</v>
      </c>
      <c r="X197" s="46">
        <v>6</v>
      </c>
      <c r="Y197" s="46" t="b">
        <v>1</v>
      </c>
      <c r="Z197" s="46" t="s">
        <v>675</v>
      </c>
      <c r="AA197" s="46" t="s">
        <v>676</v>
      </c>
      <c r="AB197" s="46" t="s">
        <v>677</v>
      </c>
      <c r="AC197" s="46">
        <v>0</v>
      </c>
      <c r="AD197" s="46" t="s">
        <v>678</v>
      </c>
      <c r="AE197" s="46">
        <v>8</v>
      </c>
      <c r="AF197" s="46" t="s">
        <v>679</v>
      </c>
      <c r="AG197" s="46">
        <v>965.31700000000001</v>
      </c>
      <c r="AH197" s="46" t="b">
        <v>1</v>
      </c>
      <c r="AI197" s="46">
        <v>-1</v>
      </c>
      <c r="AJ197" s="46" t="s">
        <v>680</v>
      </c>
      <c r="AK197" s="46">
        <v>0</v>
      </c>
      <c r="AL197" s="46" t="b">
        <v>0</v>
      </c>
      <c r="AM197" s="46">
        <v>965.31700000000001</v>
      </c>
      <c r="AN197" s="46" t="b">
        <v>1</v>
      </c>
      <c r="AO197" s="46">
        <v>0</v>
      </c>
      <c r="AP197" s="46" t="b">
        <v>0</v>
      </c>
      <c r="AQ197" s="46">
        <v>6165.6540000000005</v>
      </c>
      <c r="AS197" s="46">
        <v>6165.6540000000005</v>
      </c>
      <c r="AT197" s="46">
        <v>6</v>
      </c>
      <c r="AU197" s="46" t="b">
        <v>1</v>
      </c>
      <c r="AV197" s="46" t="b">
        <v>0</v>
      </c>
    </row>
    <row r="198" spans="2:48">
      <c r="B198" s="46" t="s">
        <v>665</v>
      </c>
      <c r="C198" s="46" t="s">
        <v>666</v>
      </c>
      <c r="D198" s="46">
        <v>20231101</v>
      </c>
      <c r="E198" s="46">
        <v>2023</v>
      </c>
      <c r="F198" s="46">
        <v>11</v>
      </c>
      <c r="G198" s="46" t="s">
        <v>725</v>
      </c>
      <c r="H198" s="46">
        <v>818</v>
      </c>
      <c r="I198" s="46" t="s">
        <v>668</v>
      </c>
      <c r="J198" s="46" t="s">
        <v>57</v>
      </c>
      <c r="K198" s="46" t="s">
        <v>666</v>
      </c>
      <c r="L198" s="46" t="s">
        <v>669</v>
      </c>
      <c r="M198" s="46">
        <v>643</v>
      </c>
      <c r="N198" s="46" t="s">
        <v>761</v>
      </c>
      <c r="O198" s="46" t="s">
        <v>38</v>
      </c>
      <c r="P198" s="46">
        <v>0</v>
      </c>
      <c r="Q198" s="46" t="s">
        <v>670</v>
      </c>
      <c r="R198" s="46" t="s">
        <v>23</v>
      </c>
      <c r="S198" s="46" t="s">
        <v>671</v>
      </c>
      <c r="T198" s="46" t="s">
        <v>672</v>
      </c>
      <c r="U198" s="46" t="b">
        <v>1</v>
      </c>
      <c r="V198" s="46" t="s">
        <v>1028</v>
      </c>
      <c r="W198" s="46" t="s">
        <v>1027</v>
      </c>
      <c r="X198" s="46">
        <v>6</v>
      </c>
      <c r="Y198" s="46" t="b">
        <v>1</v>
      </c>
      <c r="Z198" s="46" t="s">
        <v>675</v>
      </c>
      <c r="AA198" s="46" t="s">
        <v>676</v>
      </c>
      <c r="AB198" s="46" t="s">
        <v>677</v>
      </c>
      <c r="AC198" s="46">
        <v>0</v>
      </c>
      <c r="AD198" s="46" t="s">
        <v>678</v>
      </c>
      <c r="AE198" s="46">
        <v>8</v>
      </c>
      <c r="AF198" s="46" t="s">
        <v>679</v>
      </c>
      <c r="AG198" s="46">
        <v>31.939</v>
      </c>
      <c r="AH198" s="46" t="b">
        <v>1</v>
      </c>
      <c r="AI198" s="46">
        <v>-1</v>
      </c>
      <c r="AJ198" s="46" t="s">
        <v>680</v>
      </c>
      <c r="AK198" s="46">
        <v>0</v>
      </c>
      <c r="AL198" s="46" t="b">
        <v>0</v>
      </c>
      <c r="AM198" s="46">
        <v>31.939</v>
      </c>
      <c r="AN198" s="46" t="b">
        <v>1</v>
      </c>
      <c r="AO198" s="46">
        <v>0</v>
      </c>
      <c r="AP198" s="46" t="b">
        <v>0</v>
      </c>
      <c r="AQ198" s="46">
        <v>204</v>
      </c>
      <c r="AS198" s="46">
        <v>204</v>
      </c>
      <c r="AT198" s="46">
        <v>6</v>
      </c>
      <c r="AU198" s="46" t="b">
        <v>1</v>
      </c>
      <c r="AV198" s="46" t="b">
        <v>0</v>
      </c>
    </row>
    <row r="199" spans="2:48">
      <c r="B199" s="46" t="s">
        <v>665</v>
      </c>
      <c r="C199" s="46" t="s">
        <v>666</v>
      </c>
      <c r="D199" s="46">
        <v>20231101</v>
      </c>
      <c r="E199" s="46">
        <v>2023</v>
      </c>
      <c r="F199" s="46">
        <v>11</v>
      </c>
      <c r="G199" s="46" t="s">
        <v>725</v>
      </c>
      <c r="H199" s="46">
        <v>818</v>
      </c>
      <c r="I199" s="46" t="s">
        <v>668</v>
      </c>
      <c r="J199" s="46" t="s">
        <v>57</v>
      </c>
      <c r="K199" s="46" t="s">
        <v>666</v>
      </c>
      <c r="L199" s="46" t="s">
        <v>669</v>
      </c>
      <c r="M199" s="46">
        <v>704</v>
      </c>
      <c r="N199" s="46" t="s">
        <v>756</v>
      </c>
      <c r="O199" s="46" t="s">
        <v>59</v>
      </c>
      <c r="P199" s="46">
        <v>0</v>
      </c>
      <c r="Q199" s="46" t="s">
        <v>670</v>
      </c>
      <c r="R199" s="46" t="s">
        <v>23</v>
      </c>
      <c r="S199" s="46" t="s">
        <v>671</v>
      </c>
      <c r="T199" s="46" t="s">
        <v>672</v>
      </c>
      <c r="U199" s="46" t="b">
        <v>1</v>
      </c>
      <c r="V199" s="46" t="s">
        <v>1028</v>
      </c>
      <c r="W199" s="46" t="s">
        <v>1027</v>
      </c>
      <c r="X199" s="46">
        <v>6</v>
      </c>
      <c r="Y199" s="46" t="b">
        <v>1</v>
      </c>
      <c r="Z199" s="46" t="s">
        <v>675</v>
      </c>
      <c r="AA199" s="46" t="s">
        <v>676</v>
      </c>
      <c r="AB199" s="46" t="s">
        <v>677</v>
      </c>
      <c r="AC199" s="46">
        <v>0</v>
      </c>
      <c r="AD199" s="46" t="s">
        <v>678</v>
      </c>
      <c r="AE199" s="46">
        <v>8</v>
      </c>
      <c r="AF199" s="46" t="s">
        <v>679</v>
      </c>
      <c r="AG199" s="46">
        <v>402.767</v>
      </c>
      <c r="AH199" s="46" t="b">
        <v>1</v>
      </c>
      <c r="AI199" s="46">
        <v>-1</v>
      </c>
      <c r="AJ199" s="46" t="s">
        <v>680</v>
      </c>
      <c r="AK199" s="46">
        <v>0</v>
      </c>
      <c r="AL199" s="46" t="b">
        <v>0</v>
      </c>
      <c r="AM199" s="46">
        <v>402.767</v>
      </c>
      <c r="AN199" s="46" t="b">
        <v>1</v>
      </c>
      <c r="AO199" s="46">
        <v>0</v>
      </c>
      <c r="AP199" s="46" t="b">
        <v>0</v>
      </c>
      <c r="AQ199" s="46">
        <v>2572.5439999999999</v>
      </c>
      <c r="AS199" s="46">
        <v>2572.5439999999999</v>
      </c>
      <c r="AT199" s="46">
        <v>6</v>
      </c>
      <c r="AU199" s="46" t="b">
        <v>1</v>
      </c>
      <c r="AV199" s="46" t="b">
        <v>0</v>
      </c>
    </row>
    <row r="200" spans="2:48">
      <c r="B200" s="46" t="s">
        <v>665</v>
      </c>
      <c r="C200" s="46" t="s">
        <v>666</v>
      </c>
      <c r="D200" s="46">
        <v>20231101</v>
      </c>
      <c r="E200" s="46">
        <v>2023</v>
      </c>
      <c r="F200" s="46">
        <v>11</v>
      </c>
      <c r="G200" s="46" t="s">
        <v>725</v>
      </c>
      <c r="H200" s="46">
        <v>818</v>
      </c>
      <c r="I200" s="46" t="s">
        <v>668</v>
      </c>
      <c r="J200" s="46" t="s">
        <v>57</v>
      </c>
      <c r="K200" s="46" t="s">
        <v>666</v>
      </c>
      <c r="L200" s="46" t="s">
        <v>669</v>
      </c>
      <c r="M200" s="46">
        <v>724</v>
      </c>
      <c r="N200" s="46" t="s">
        <v>684</v>
      </c>
      <c r="O200" s="46" t="s">
        <v>51</v>
      </c>
      <c r="P200" s="46">
        <v>0</v>
      </c>
      <c r="Q200" s="46" t="s">
        <v>670</v>
      </c>
      <c r="R200" s="46" t="s">
        <v>23</v>
      </c>
      <c r="S200" s="46" t="s">
        <v>671</v>
      </c>
      <c r="T200" s="46" t="s">
        <v>672</v>
      </c>
      <c r="U200" s="46" t="b">
        <v>1</v>
      </c>
      <c r="V200" s="46" t="s">
        <v>1028</v>
      </c>
      <c r="W200" s="46" t="s">
        <v>1027</v>
      </c>
      <c r="X200" s="46">
        <v>6</v>
      </c>
      <c r="Y200" s="46" t="b">
        <v>1</v>
      </c>
      <c r="Z200" s="46" t="s">
        <v>675</v>
      </c>
      <c r="AA200" s="46" t="s">
        <v>676</v>
      </c>
      <c r="AB200" s="46" t="s">
        <v>677</v>
      </c>
      <c r="AC200" s="46">
        <v>0</v>
      </c>
      <c r="AD200" s="46" t="s">
        <v>678</v>
      </c>
      <c r="AE200" s="46">
        <v>8</v>
      </c>
      <c r="AF200" s="46" t="s">
        <v>679</v>
      </c>
      <c r="AG200" s="46">
        <v>5916.7690000000002</v>
      </c>
      <c r="AH200" s="46" t="b">
        <v>1</v>
      </c>
      <c r="AI200" s="46">
        <v>-1</v>
      </c>
      <c r="AJ200" s="46" t="s">
        <v>680</v>
      </c>
      <c r="AK200" s="46">
        <v>0</v>
      </c>
      <c r="AL200" s="46" t="b">
        <v>0</v>
      </c>
      <c r="AM200" s="46">
        <v>5916.7690000000002</v>
      </c>
      <c r="AN200" s="46" t="b">
        <v>1</v>
      </c>
      <c r="AO200" s="46">
        <v>0</v>
      </c>
      <c r="AP200" s="46" t="b">
        <v>0</v>
      </c>
      <c r="AQ200" s="46">
        <v>37791.470999999998</v>
      </c>
      <c r="AS200" s="46">
        <v>37791.470999999998</v>
      </c>
      <c r="AT200" s="46">
        <v>6</v>
      </c>
      <c r="AU200" s="46" t="b">
        <v>1</v>
      </c>
      <c r="AV200" s="46" t="b">
        <v>0</v>
      </c>
    </row>
    <row r="201" spans="2:48">
      <c r="B201" s="46" t="s">
        <v>665</v>
      </c>
      <c r="C201" s="46" t="s">
        <v>666</v>
      </c>
      <c r="D201" s="46">
        <v>20231101</v>
      </c>
      <c r="E201" s="46">
        <v>2023</v>
      </c>
      <c r="F201" s="46">
        <v>11</v>
      </c>
      <c r="G201" s="46" t="s">
        <v>725</v>
      </c>
      <c r="H201" s="46">
        <v>818</v>
      </c>
      <c r="I201" s="46" t="s">
        <v>668</v>
      </c>
      <c r="J201" s="46" t="s">
        <v>57</v>
      </c>
      <c r="K201" s="46" t="s">
        <v>666</v>
      </c>
      <c r="L201" s="46" t="s">
        <v>669</v>
      </c>
      <c r="M201" s="46">
        <v>792</v>
      </c>
      <c r="N201" s="46" t="s">
        <v>691</v>
      </c>
      <c r="O201" s="46" t="s">
        <v>63</v>
      </c>
      <c r="P201" s="46">
        <v>0</v>
      </c>
      <c r="Q201" s="46" t="s">
        <v>670</v>
      </c>
      <c r="R201" s="46" t="s">
        <v>23</v>
      </c>
      <c r="S201" s="46" t="s">
        <v>671</v>
      </c>
      <c r="T201" s="46" t="s">
        <v>672</v>
      </c>
      <c r="U201" s="46" t="b">
        <v>1</v>
      </c>
      <c r="V201" s="46" t="s">
        <v>1028</v>
      </c>
      <c r="W201" s="46" t="s">
        <v>1027</v>
      </c>
      <c r="X201" s="46">
        <v>6</v>
      </c>
      <c r="Y201" s="46" t="b">
        <v>1</v>
      </c>
      <c r="Z201" s="46" t="s">
        <v>675</v>
      </c>
      <c r="AA201" s="46" t="s">
        <v>676</v>
      </c>
      <c r="AB201" s="46" t="s">
        <v>677</v>
      </c>
      <c r="AC201" s="46">
        <v>0</v>
      </c>
      <c r="AD201" s="46" t="s">
        <v>678</v>
      </c>
      <c r="AE201" s="46">
        <v>8</v>
      </c>
      <c r="AF201" s="46" t="s">
        <v>679</v>
      </c>
      <c r="AG201" s="46">
        <v>13421.794</v>
      </c>
      <c r="AH201" s="46" t="b">
        <v>1</v>
      </c>
      <c r="AI201" s="46">
        <v>-1</v>
      </c>
      <c r="AJ201" s="46" t="s">
        <v>680</v>
      </c>
      <c r="AK201" s="46">
        <v>0</v>
      </c>
      <c r="AL201" s="46" t="b">
        <v>0</v>
      </c>
      <c r="AM201" s="46">
        <v>13421.794</v>
      </c>
      <c r="AN201" s="46" t="b">
        <v>1</v>
      </c>
      <c r="AO201" s="46">
        <v>0</v>
      </c>
      <c r="AP201" s="46" t="b">
        <v>0</v>
      </c>
      <c r="AQ201" s="46">
        <v>85727.426000000007</v>
      </c>
      <c r="AS201" s="46">
        <v>85727.426000000007</v>
      </c>
      <c r="AT201" s="46">
        <v>6</v>
      </c>
      <c r="AU201" s="46" t="b">
        <v>1</v>
      </c>
      <c r="AV201" s="46" t="b">
        <v>0</v>
      </c>
    </row>
    <row r="202" spans="2:48">
      <c r="B202" s="46" t="s">
        <v>665</v>
      </c>
      <c r="C202" s="46" t="s">
        <v>666</v>
      </c>
      <c r="D202" s="46">
        <v>20231101</v>
      </c>
      <c r="E202" s="46">
        <v>2023</v>
      </c>
      <c r="F202" s="46">
        <v>11</v>
      </c>
      <c r="G202" s="46" t="s">
        <v>725</v>
      </c>
      <c r="H202" s="46">
        <v>818</v>
      </c>
      <c r="I202" s="46" t="s">
        <v>668</v>
      </c>
      <c r="J202" s="46" t="s">
        <v>57</v>
      </c>
      <c r="K202" s="46" t="s">
        <v>666</v>
      </c>
      <c r="L202" s="46" t="s">
        <v>669</v>
      </c>
      <c r="M202" s="46">
        <v>826</v>
      </c>
      <c r="N202" s="46" t="s">
        <v>685</v>
      </c>
      <c r="O202" s="46" t="s">
        <v>64</v>
      </c>
      <c r="P202" s="46">
        <v>0</v>
      </c>
      <c r="Q202" s="46" t="s">
        <v>670</v>
      </c>
      <c r="R202" s="46" t="s">
        <v>23</v>
      </c>
      <c r="S202" s="46" t="s">
        <v>671</v>
      </c>
      <c r="T202" s="46" t="s">
        <v>672</v>
      </c>
      <c r="U202" s="46" t="b">
        <v>1</v>
      </c>
      <c r="V202" s="46" t="s">
        <v>1028</v>
      </c>
      <c r="W202" s="46" t="s">
        <v>1027</v>
      </c>
      <c r="X202" s="46">
        <v>6</v>
      </c>
      <c r="Y202" s="46" t="b">
        <v>1</v>
      </c>
      <c r="Z202" s="46" t="s">
        <v>675</v>
      </c>
      <c r="AA202" s="46" t="s">
        <v>676</v>
      </c>
      <c r="AB202" s="46" t="s">
        <v>677</v>
      </c>
      <c r="AC202" s="46">
        <v>0</v>
      </c>
      <c r="AD202" s="46" t="s">
        <v>678</v>
      </c>
      <c r="AE202" s="46">
        <v>8</v>
      </c>
      <c r="AF202" s="46" t="s">
        <v>679</v>
      </c>
      <c r="AG202" s="46">
        <v>120.884</v>
      </c>
      <c r="AH202" s="46" t="b">
        <v>1</v>
      </c>
      <c r="AI202" s="46">
        <v>-1</v>
      </c>
      <c r="AJ202" s="46" t="s">
        <v>680</v>
      </c>
      <c r="AK202" s="46">
        <v>0</v>
      </c>
      <c r="AL202" s="46" t="b">
        <v>0</v>
      </c>
      <c r="AM202" s="46">
        <v>120.884</v>
      </c>
      <c r="AN202" s="46" t="b">
        <v>1</v>
      </c>
      <c r="AO202" s="46">
        <v>0</v>
      </c>
      <c r="AP202" s="46" t="b">
        <v>0</v>
      </c>
      <c r="AQ202" s="46">
        <v>772.10699999999997</v>
      </c>
      <c r="AS202" s="46">
        <v>772.10699999999997</v>
      </c>
      <c r="AT202" s="46">
        <v>6</v>
      </c>
      <c r="AU202" s="46" t="b">
        <v>1</v>
      </c>
      <c r="AV202" s="46" t="b">
        <v>0</v>
      </c>
    </row>
    <row r="203" spans="2:48">
      <c r="B203" s="46" t="s">
        <v>665</v>
      </c>
      <c r="C203" s="46" t="s">
        <v>666</v>
      </c>
      <c r="D203" s="46">
        <v>20231201</v>
      </c>
      <c r="E203" s="46">
        <v>2023</v>
      </c>
      <c r="F203" s="46">
        <v>12</v>
      </c>
      <c r="G203" s="46" t="s">
        <v>726</v>
      </c>
      <c r="H203" s="46">
        <v>818</v>
      </c>
      <c r="I203" s="46" t="s">
        <v>668</v>
      </c>
      <c r="J203" s="46" t="s">
        <v>57</v>
      </c>
      <c r="K203" s="46" t="s">
        <v>666</v>
      </c>
      <c r="L203" s="46" t="s">
        <v>669</v>
      </c>
      <c r="M203" s="46">
        <v>0</v>
      </c>
      <c r="N203" s="46" t="s">
        <v>670</v>
      </c>
      <c r="O203" s="46" t="s">
        <v>23</v>
      </c>
      <c r="P203" s="46">
        <v>0</v>
      </c>
      <c r="Q203" s="46" t="s">
        <v>670</v>
      </c>
      <c r="R203" s="46" t="s">
        <v>23</v>
      </c>
      <c r="S203" s="46" t="s">
        <v>671</v>
      </c>
      <c r="T203" s="46" t="s">
        <v>672</v>
      </c>
      <c r="U203" s="46" t="b">
        <v>1</v>
      </c>
      <c r="V203" s="46" t="s">
        <v>1028</v>
      </c>
      <c r="W203" s="46" t="s">
        <v>1027</v>
      </c>
      <c r="X203" s="46">
        <v>6</v>
      </c>
      <c r="Y203" s="46" t="b">
        <v>1</v>
      </c>
      <c r="Z203" s="46" t="s">
        <v>675</v>
      </c>
      <c r="AA203" s="46" t="s">
        <v>676</v>
      </c>
      <c r="AB203" s="46" t="s">
        <v>677</v>
      </c>
      <c r="AC203" s="46">
        <v>0</v>
      </c>
      <c r="AD203" s="46" t="s">
        <v>678</v>
      </c>
      <c r="AE203" s="46">
        <v>8</v>
      </c>
      <c r="AF203" s="46" t="s">
        <v>679</v>
      </c>
      <c r="AG203" s="46">
        <v>110444.202</v>
      </c>
      <c r="AH203" s="46" t="b">
        <v>1</v>
      </c>
      <c r="AI203" s="46">
        <v>-1</v>
      </c>
      <c r="AJ203" s="46" t="s">
        <v>680</v>
      </c>
      <c r="AK203" s="46">
        <v>0</v>
      </c>
      <c r="AL203" s="46" t="b">
        <v>0</v>
      </c>
      <c r="AM203" s="46">
        <v>110444.202</v>
      </c>
      <c r="AN203" s="46" t="b">
        <v>1</v>
      </c>
      <c r="AO203" s="46">
        <v>0</v>
      </c>
      <c r="AP203" s="46" t="b">
        <v>0</v>
      </c>
      <c r="AQ203" s="46">
        <v>705427.07900000003</v>
      </c>
      <c r="AS203" s="46">
        <v>705427.07900000003</v>
      </c>
      <c r="AT203" s="46">
        <v>6</v>
      </c>
      <c r="AU203" s="46" t="b">
        <v>0</v>
      </c>
      <c r="AV203" s="46" t="b">
        <v>1</v>
      </c>
    </row>
    <row r="204" spans="2:48">
      <c r="B204" s="46" t="s">
        <v>665</v>
      </c>
      <c r="C204" s="46" t="s">
        <v>666</v>
      </c>
      <c r="D204" s="46">
        <v>20231201</v>
      </c>
      <c r="E204" s="46">
        <v>2023</v>
      </c>
      <c r="F204" s="46">
        <v>12</v>
      </c>
      <c r="G204" s="46" t="s">
        <v>726</v>
      </c>
      <c r="H204" s="46">
        <v>818</v>
      </c>
      <c r="I204" s="46" t="s">
        <v>668</v>
      </c>
      <c r="J204" s="46" t="s">
        <v>57</v>
      </c>
      <c r="K204" s="46" t="s">
        <v>666</v>
      </c>
      <c r="L204" s="46" t="s">
        <v>669</v>
      </c>
      <c r="M204" s="46">
        <v>56</v>
      </c>
      <c r="N204" s="46" t="s">
        <v>696</v>
      </c>
      <c r="O204" s="46" t="s">
        <v>74</v>
      </c>
      <c r="P204" s="46">
        <v>0</v>
      </c>
      <c r="Q204" s="46" t="s">
        <v>670</v>
      </c>
      <c r="R204" s="46" t="s">
        <v>23</v>
      </c>
      <c r="S204" s="46" t="s">
        <v>671</v>
      </c>
      <c r="T204" s="46" t="s">
        <v>672</v>
      </c>
      <c r="U204" s="46" t="b">
        <v>1</v>
      </c>
      <c r="V204" s="46" t="s">
        <v>1028</v>
      </c>
      <c r="W204" s="46" t="s">
        <v>1027</v>
      </c>
      <c r="X204" s="46">
        <v>6</v>
      </c>
      <c r="Y204" s="46" t="b">
        <v>1</v>
      </c>
      <c r="Z204" s="46" t="s">
        <v>675</v>
      </c>
      <c r="AA204" s="46" t="s">
        <v>676</v>
      </c>
      <c r="AB204" s="46" t="s">
        <v>677</v>
      </c>
      <c r="AC204" s="46">
        <v>0</v>
      </c>
      <c r="AD204" s="46" t="s">
        <v>678</v>
      </c>
      <c r="AE204" s="46">
        <v>8</v>
      </c>
      <c r="AF204" s="46" t="s">
        <v>679</v>
      </c>
      <c r="AG204" s="46">
        <v>78.438000000000002</v>
      </c>
      <c r="AH204" s="46" t="b">
        <v>1</v>
      </c>
      <c r="AI204" s="46">
        <v>-1</v>
      </c>
      <c r="AJ204" s="46" t="s">
        <v>680</v>
      </c>
      <c r="AK204" s="46">
        <v>0</v>
      </c>
      <c r="AL204" s="46" t="b">
        <v>0</v>
      </c>
      <c r="AM204" s="46">
        <v>78.438000000000002</v>
      </c>
      <c r="AN204" s="46" t="b">
        <v>1</v>
      </c>
      <c r="AO204" s="46">
        <v>0</v>
      </c>
      <c r="AP204" s="46" t="b">
        <v>0</v>
      </c>
      <c r="AQ204" s="46">
        <v>501</v>
      </c>
      <c r="AS204" s="46">
        <v>501</v>
      </c>
      <c r="AT204" s="46">
        <v>6</v>
      </c>
      <c r="AU204" s="46" t="b">
        <v>1</v>
      </c>
      <c r="AV204" s="46" t="b">
        <v>0</v>
      </c>
    </row>
    <row r="205" spans="2:48">
      <c r="B205" s="46" t="s">
        <v>665</v>
      </c>
      <c r="C205" s="46" t="s">
        <v>666</v>
      </c>
      <c r="D205" s="46">
        <v>20231201</v>
      </c>
      <c r="E205" s="46">
        <v>2023</v>
      </c>
      <c r="F205" s="46">
        <v>12</v>
      </c>
      <c r="G205" s="46" t="s">
        <v>726</v>
      </c>
      <c r="H205" s="46">
        <v>818</v>
      </c>
      <c r="I205" s="46" t="s">
        <v>668</v>
      </c>
      <c r="J205" s="46" t="s">
        <v>57</v>
      </c>
      <c r="K205" s="46" t="s">
        <v>666</v>
      </c>
      <c r="L205" s="46" t="s">
        <v>669</v>
      </c>
      <c r="M205" s="46">
        <v>144</v>
      </c>
      <c r="N205" s="46" t="s">
        <v>1029</v>
      </c>
      <c r="O205" s="46" t="s">
        <v>94</v>
      </c>
      <c r="P205" s="46">
        <v>0</v>
      </c>
      <c r="Q205" s="46" t="s">
        <v>670</v>
      </c>
      <c r="R205" s="46" t="s">
        <v>23</v>
      </c>
      <c r="S205" s="46" t="s">
        <v>671</v>
      </c>
      <c r="T205" s="46" t="s">
        <v>672</v>
      </c>
      <c r="U205" s="46" t="b">
        <v>1</v>
      </c>
      <c r="V205" s="46" t="s">
        <v>1028</v>
      </c>
      <c r="W205" s="46" t="s">
        <v>1027</v>
      </c>
      <c r="X205" s="46">
        <v>6</v>
      </c>
      <c r="Y205" s="46" t="b">
        <v>1</v>
      </c>
      <c r="Z205" s="46" t="s">
        <v>675</v>
      </c>
      <c r="AA205" s="46" t="s">
        <v>676</v>
      </c>
      <c r="AB205" s="46" t="s">
        <v>677</v>
      </c>
      <c r="AC205" s="46">
        <v>0</v>
      </c>
      <c r="AD205" s="46" t="s">
        <v>678</v>
      </c>
      <c r="AE205" s="46">
        <v>8</v>
      </c>
      <c r="AF205" s="46" t="s">
        <v>679</v>
      </c>
      <c r="AG205" s="46">
        <v>1269.0160000000001</v>
      </c>
      <c r="AH205" s="46" t="b">
        <v>1</v>
      </c>
      <c r="AI205" s="46">
        <v>-1</v>
      </c>
      <c r="AJ205" s="46" t="s">
        <v>680</v>
      </c>
      <c r="AK205" s="46">
        <v>0</v>
      </c>
      <c r="AL205" s="46" t="b">
        <v>0</v>
      </c>
      <c r="AM205" s="46">
        <v>1269.0160000000001</v>
      </c>
      <c r="AN205" s="46" t="b">
        <v>1</v>
      </c>
      <c r="AO205" s="46">
        <v>0</v>
      </c>
      <c r="AP205" s="46" t="b">
        <v>0</v>
      </c>
      <c r="AQ205" s="46">
        <v>8105.4359999999997</v>
      </c>
      <c r="AS205" s="46">
        <v>8105.4359999999997</v>
      </c>
      <c r="AT205" s="46">
        <v>6</v>
      </c>
      <c r="AU205" s="46" t="b">
        <v>1</v>
      </c>
      <c r="AV205" s="46" t="b">
        <v>0</v>
      </c>
    </row>
    <row r="206" spans="2:48">
      <c r="B206" s="46" t="s">
        <v>665</v>
      </c>
      <c r="C206" s="46" t="s">
        <v>666</v>
      </c>
      <c r="D206" s="46">
        <v>20231201</v>
      </c>
      <c r="E206" s="46">
        <v>2023</v>
      </c>
      <c r="F206" s="46">
        <v>12</v>
      </c>
      <c r="G206" s="46" t="s">
        <v>726</v>
      </c>
      <c r="H206" s="46">
        <v>818</v>
      </c>
      <c r="I206" s="46" t="s">
        <v>668</v>
      </c>
      <c r="J206" s="46" t="s">
        <v>57</v>
      </c>
      <c r="K206" s="46" t="s">
        <v>666</v>
      </c>
      <c r="L206" s="46" t="s">
        <v>669</v>
      </c>
      <c r="M206" s="46">
        <v>156</v>
      </c>
      <c r="N206" s="46" t="s">
        <v>711</v>
      </c>
      <c r="O206" s="46" t="s">
        <v>29</v>
      </c>
      <c r="P206" s="46">
        <v>0</v>
      </c>
      <c r="Q206" s="46" t="s">
        <v>670</v>
      </c>
      <c r="R206" s="46" t="s">
        <v>23</v>
      </c>
      <c r="S206" s="46" t="s">
        <v>671</v>
      </c>
      <c r="T206" s="46" t="s">
        <v>672</v>
      </c>
      <c r="U206" s="46" t="b">
        <v>1</v>
      </c>
      <c r="V206" s="46" t="s">
        <v>1028</v>
      </c>
      <c r="W206" s="46" t="s">
        <v>1027</v>
      </c>
      <c r="X206" s="46">
        <v>6</v>
      </c>
      <c r="Y206" s="46" t="b">
        <v>1</v>
      </c>
      <c r="Z206" s="46" t="s">
        <v>675</v>
      </c>
      <c r="AA206" s="46" t="s">
        <v>676</v>
      </c>
      <c r="AB206" s="46" t="s">
        <v>677</v>
      </c>
      <c r="AC206" s="46">
        <v>0</v>
      </c>
      <c r="AD206" s="46" t="s">
        <v>678</v>
      </c>
      <c r="AE206" s="46">
        <v>8</v>
      </c>
      <c r="AF206" s="46" t="s">
        <v>679</v>
      </c>
      <c r="AG206" s="46">
        <v>12730.934999999999</v>
      </c>
      <c r="AH206" s="46" t="b">
        <v>1</v>
      </c>
      <c r="AI206" s="46">
        <v>-1</v>
      </c>
      <c r="AJ206" s="46" t="s">
        <v>680</v>
      </c>
      <c r="AK206" s="46">
        <v>0</v>
      </c>
      <c r="AL206" s="46" t="b">
        <v>0</v>
      </c>
      <c r="AM206" s="46">
        <v>12730.934999999999</v>
      </c>
      <c r="AN206" s="46" t="b">
        <v>1</v>
      </c>
      <c r="AO206" s="46">
        <v>0</v>
      </c>
      <c r="AP206" s="46" t="b">
        <v>0</v>
      </c>
      <c r="AQ206" s="46">
        <v>81314.782000000007</v>
      </c>
      <c r="AS206" s="46">
        <v>81314.782000000007</v>
      </c>
      <c r="AT206" s="46">
        <v>6</v>
      </c>
      <c r="AU206" s="46" t="b">
        <v>1</v>
      </c>
      <c r="AV206" s="46" t="b">
        <v>0</v>
      </c>
    </row>
    <row r="207" spans="2:48">
      <c r="B207" s="46" t="s">
        <v>665</v>
      </c>
      <c r="C207" s="46" t="s">
        <v>666</v>
      </c>
      <c r="D207" s="46">
        <v>20231201</v>
      </c>
      <c r="E207" s="46">
        <v>2023</v>
      </c>
      <c r="F207" s="46">
        <v>12</v>
      </c>
      <c r="G207" s="46" t="s">
        <v>726</v>
      </c>
      <c r="H207" s="46">
        <v>818</v>
      </c>
      <c r="I207" s="46" t="s">
        <v>668</v>
      </c>
      <c r="J207" s="46" t="s">
        <v>57</v>
      </c>
      <c r="K207" s="46" t="s">
        <v>666</v>
      </c>
      <c r="L207" s="46" t="s">
        <v>669</v>
      </c>
      <c r="M207" s="46">
        <v>251</v>
      </c>
      <c r="N207" s="46" t="s">
        <v>688</v>
      </c>
      <c r="O207" s="46" t="s">
        <v>69</v>
      </c>
      <c r="P207" s="46">
        <v>0</v>
      </c>
      <c r="Q207" s="46" t="s">
        <v>670</v>
      </c>
      <c r="R207" s="46" t="s">
        <v>23</v>
      </c>
      <c r="S207" s="46" t="s">
        <v>671</v>
      </c>
      <c r="T207" s="46" t="s">
        <v>672</v>
      </c>
      <c r="U207" s="46" t="b">
        <v>1</v>
      </c>
      <c r="V207" s="46" t="s">
        <v>1028</v>
      </c>
      <c r="W207" s="46" t="s">
        <v>1027</v>
      </c>
      <c r="X207" s="46">
        <v>6</v>
      </c>
      <c r="Y207" s="46" t="b">
        <v>1</v>
      </c>
      <c r="Z207" s="46" t="s">
        <v>675</v>
      </c>
      <c r="AA207" s="46" t="s">
        <v>676</v>
      </c>
      <c r="AB207" s="46" t="s">
        <v>677</v>
      </c>
      <c r="AC207" s="46">
        <v>0</v>
      </c>
      <c r="AD207" s="46" t="s">
        <v>678</v>
      </c>
      <c r="AE207" s="46">
        <v>8</v>
      </c>
      <c r="AF207" s="46" t="s">
        <v>679</v>
      </c>
      <c r="AG207" s="46">
        <v>1330.924</v>
      </c>
      <c r="AH207" s="46" t="b">
        <v>1</v>
      </c>
      <c r="AI207" s="46">
        <v>-1</v>
      </c>
      <c r="AJ207" s="46" t="s">
        <v>680</v>
      </c>
      <c r="AK207" s="46">
        <v>0</v>
      </c>
      <c r="AL207" s="46" t="b">
        <v>0</v>
      </c>
      <c r="AM207" s="46">
        <v>1330.924</v>
      </c>
      <c r="AN207" s="46" t="b">
        <v>1</v>
      </c>
      <c r="AO207" s="46">
        <v>0</v>
      </c>
      <c r="AP207" s="46" t="b">
        <v>0</v>
      </c>
      <c r="AQ207" s="46">
        <v>8500.8490000000002</v>
      </c>
      <c r="AS207" s="46">
        <v>8500.8490000000002</v>
      </c>
      <c r="AT207" s="46">
        <v>6</v>
      </c>
      <c r="AU207" s="46" t="b">
        <v>1</v>
      </c>
      <c r="AV207" s="46" t="b">
        <v>0</v>
      </c>
    </row>
    <row r="208" spans="2:48">
      <c r="B208" s="46" t="s">
        <v>665</v>
      </c>
      <c r="C208" s="46" t="s">
        <v>666</v>
      </c>
      <c r="D208" s="46">
        <v>20231201</v>
      </c>
      <c r="E208" s="46">
        <v>2023</v>
      </c>
      <c r="F208" s="46">
        <v>12</v>
      </c>
      <c r="G208" s="46" t="s">
        <v>726</v>
      </c>
      <c r="H208" s="46">
        <v>818</v>
      </c>
      <c r="I208" s="46" t="s">
        <v>668</v>
      </c>
      <c r="J208" s="46" t="s">
        <v>57</v>
      </c>
      <c r="K208" s="46" t="s">
        <v>666</v>
      </c>
      <c r="L208" s="46" t="s">
        <v>669</v>
      </c>
      <c r="M208" s="46">
        <v>276</v>
      </c>
      <c r="N208" s="46" t="s">
        <v>681</v>
      </c>
      <c r="O208" s="46" t="s">
        <v>30</v>
      </c>
      <c r="P208" s="46">
        <v>0</v>
      </c>
      <c r="Q208" s="46" t="s">
        <v>670</v>
      </c>
      <c r="R208" s="46" t="s">
        <v>23</v>
      </c>
      <c r="S208" s="46" t="s">
        <v>671</v>
      </c>
      <c r="T208" s="46" t="s">
        <v>672</v>
      </c>
      <c r="U208" s="46" t="b">
        <v>1</v>
      </c>
      <c r="V208" s="46" t="s">
        <v>1028</v>
      </c>
      <c r="W208" s="46" t="s">
        <v>1027</v>
      </c>
      <c r="X208" s="46">
        <v>6</v>
      </c>
      <c r="Y208" s="46" t="b">
        <v>1</v>
      </c>
      <c r="Z208" s="46" t="s">
        <v>675</v>
      </c>
      <c r="AA208" s="46" t="s">
        <v>676</v>
      </c>
      <c r="AB208" s="46" t="s">
        <v>677</v>
      </c>
      <c r="AC208" s="46">
        <v>0</v>
      </c>
      <c r="AD208" s="46" t="s">
        <v>678</v>
      </c>
      <c r="AE208" s="46">
        <v>8</v>
      </c>
      <c r="AF208" s="46" t="s">
        <v>679</v>
      </c>
      <c r="AG208" s="46">
        <v>443.22300000000001</v>
      </c>
      <c r="AH208" s="46" t="b">
        <v>1</v>
      </c>
      <c r="AI208" s="46">
        <v>-1</v>
      </c>
      <c r="AJ208" s="46" t="s">
        <v>680</v>
      </c>
      <c r="AK208" s="46">
        <v>0</v>
      </c>
      <c r="AL208" s="46" t="b">
        <v>0</v>
      </c>
      <c r="AM208" s="46">
        <v>443.22300000000001</v>
      </c>
      <c r="AN208" s="46" t="b">
        <v>1</v>
      </c>
      <c r="AO208" s="46">
        <v>0</v>
      </c>
      <c r="AP208" s="46" t="b">
        <v>0</v>
      </c>
      <c r="AQ208" s="46">
        <v>2830.9450000000002</v>
      </c>
      <c r="AS208" s="46">
        <v>2830.9450000000002</v>
      </c>
      <c r="AT208" s="46">
        <v>6</v>
      </c>
      <c r="AU208" s="46" t="b">
        <v>1</v>
      </c>
      <c r="AV208" s="46" t="b">
        <v>0</v>
      </c>
    </row>
    <row r="209" spans="2:48">
      <c r="B209" s="46" t="s">
        <v>665</v>
      </c>
      <c r="C209" s="46" t="s">
        <v>666</v>
      </c>
      <c r="D209" s="46">
        <v>20231201</v>
      </c>
      <c r="E209" s="46">
        <v>2023</v>
      </c>
      <c r="F209" s="46">
        <v>12</v>
      </c>
      <c r="G209" s="46" t="s">
        <v>726</v>
      </c>
      <c r="H209" s="46">
        <v>818</v>
      </c>
      <c r="I209" s="46" t="s">
        <v>668</v>
      </c>
      <c r="J209" s="46" t="s">
        <v>57</v>
      </c>
      <c r="K209" s="46" t="s">
        <v>666</v>
      </c>
      <c r="L209" s="46" t="s">
        <v>669</v>
      </c>
      <c r="M209" s="46">
        <v>344</v>
      </c>
      <c r="N209" s="46" t="s">
        <v>989</v>
      </c>
      <c r="O209" s="46" t="s">
        <v>990</v>
      </c>
      <c r="P209" s="46">
        <v>0</v>
      </c>
      <c r="Q209" s="46" t="s">
        <v>670</v>
      </c>
      <c r="R209" s="46" t="s">
        <v>23</v>
      </c>
      <c r="S209" s="46" t="s">
        <v>671</v>
      </c>
      <c r="T209" s="46" t="s">
        <v>672</v>
      </c>
      <c r="U209" s="46" t="b">
        <v>1</v>
      </c>
      <c r="V209" s="46" t="s">
        <v>1028</v>
      </c>
      <c r="W209" s="46" t="s">
        <v>1027</v>
      </c>
      <c r="X209" s="46">
        <v>6</v>
      </c>
      <c r="Y209" s="46" t="b">
        <v>1</v>
      </c>
      <c r="Z209" s="46" t="s">
        <v>675</v>
      </c>
      <c r="AA209" s="46" t="s">
        <v>676</v>
      </c>
      <c r="AB209" s="46" t="s">
        <v>677</v>
      </c>
      <c r="AC209" s="46">
        <v>0</v>
      </c>
      <c r="AD209" s="46" t="s">
        <v>678</v>
      </c>
      <c r="AE209" s="46">
        <v>8</v>
      </c>
      <c r="AF209" s="46" t="s">
        <v>679</v>
      </c>
      <c r="AG209" s="46">
        <v>5159.1289999999999</v>
      </c>
      <c r="AH209" s="46" t="b">
        <v>1</v>
      </c>
      <c r="AI209" s="46">
        <v>-1</v>
      </c>
      <c r="AJ209" s="46" t="s">
        <v>680</v>
      </c>
      <c r="AK209" s="46">
        <v>0</v>
      </c>
      <c r="AL209" s="46" t="b">
        <v>0</v>
      </c>
      <c r="AM209" s="46">
        <v>5159.1289999999999</v>
      </c>
      <c r="AN209" s="46" t="b">
        <v>1</v>
      </c>
      <c r="AO209" s="46">
        <v>0</v>
      </c>
      <c r="AP209" s="46" t="b">
        <v>0</v>
      </c>
      <c r="AQ209" s="46">
        <v>32952.292000000001</v>
      </c>
      <c r="AS209" s="46">
        <v>32952.292000000001</v>
      </c>
      <c r="AT209" s="46">
        <v>6</v>
      </c>
      <c r="AU209" s="46" t="b">
        <v>1</v>
      </c>
      <c r="AV209" s="46" t="b">
        <v>0</v>
      </c>
    </row>
    <row r="210" spans="2:48">
      <c r="B210" s="46" t="s">
        <v>665</v>
      </c>
      <c r="C210" s="46" t="s">
        <v>666</v>
      </c>
      <c r="D210" s="46">
        <v>20231201</v>
      </c>
      <c r="E210" s="46">
        <v>2023</v>
      </c>
      <c r="F210" s="46">
        <v>12</v>
      </c>
      <c r="G210" s="46" t="s">
        <v>726</v>
      </c>
      <c r="H210" s="46">
        <v>818</v>
      </c>
      <c r="I210" s="46" t="s">
        <v>668</v>
      </c>
      <c r="J210" s="46" t="s">
        <v>57</v>
      </c>
      <c r="K210" s="46" t="s">
        <v>666</v>
      </c>
      <c r="L210" s="46" t="s">
        <v>669</v>
      </c>
      <c r="M210" s="46">
        <v>348</v>
      </c>
      <c r="N210" s="46" t="s">
        <v>757</v>
      </c>
      <c r="O210" s="46" t="s">
        <v>82</v>
      </c>
      <c r="P210" s="46">
        <v>0</v>
      </c>
      <c r="Q210" s="46" t="s">
        <v>670</v>
      </c>
      <c r="R210" s="46" t="s">
        <v>23</v>
      </c>
      <c r="S210" s="46" t="s">
        <v>671</v>
      </c>
      <c r="T210" s="46" t="s">
        <v>672</v>
      </c>
      <c r="U210" s="46" t="b">
        <v>1</v>
      </c>
      <c r="V210" s="46" t="s">
        <v>1028</v>
      </c>
      <c r="W210" s="46" t="s">
        <v>1027</v>
      </c>
      <c r="X210" s="46">
        <v>6</v>
      </c>
      <c r="Y210" s="46" t="b">
        <v>1</v>
      </c>
      <c r="Z210" s="46" t="s">
        <v>675</v>
      </c>
      <c r="AA210" s="46" t="s">
        <v>676</v>
      </c>
      <c r="AB210" s="46" t="s">
        <v>677</v>
      </c>
      <c r="AC210" s="46">
        <v>0</v>
      </c>
      <c r="AD210" s="46" t="s">
        <v>678</v>
      </c>
      <c r="AE210" s="46">
        <v>8</v>
      </c>
      <c r="AF210" s="46" t="s">
        <v>679</v>
      </c>
      <c r="AG210" s="46">
        <v>17463.358</v>
      </c>
      <c r="AH210" s="46" t="b">
        <v>1</v>
      </c>
      <c r="AI210" s="46">
        <v>-1</v>
      </c>
      <c r="AJ210" s="46" t="s">
        <v>680</v>
      </c>
      <c r="AK210" s="46">
        <v>0</v>
      </c>
      <c r="AL210" s="46" t="b">
        <v>0</v>
      </c>
      <c r="AM210" s="46">
        <v>17463.358</v>
      </c>
      <c r="AN210" s="46" t="b">
        <v>1</v>
      </c>
      <c r="AO210" s="46">
        <v>0</v>
      </c>
      <c r="AP210" s="46" t="b">
        <v>0</v>
      </c>
      <c r="AQ210" s="46">
        <v>111541.625</v>
      </c>
      <c r="AS210" s="46">
        <v>111541.625</v>
      </c>
      <c r="AT210" s="46">
        <v>6</v>
      </c>
      <c r="AU210" s="46" t="b">
        <v>1</v>
      </c>
      <c r="AV210" s="46" t="b">
        <v>0</v>
      </c>
    </row>
    <row r="211" spans="2:48">
      <c r="B211" s="46" t="s">
        <v>665</v>
      </c>
      <c r="C211" s="46" t="s">
        <v>666</v>
      </c>
      <c r="D211" s="46">
        <v>20231201</v>
      </c>
      <c r="E211" s="46">
        <v>2023</v>
      </c>
      <c r="F211" s="46">
        <v>12</v>
      </c>
      <c r="G211" s="46" t="s">
        <v>726</v>
      </c>
      <c r="H211" s="46">
        <v>818</v>
      </c>
      <c r="I211" s="46" t="s">
        <v>668</v>
      </c>
      <c r="J211" s="46" t="s">
        <v>57</v>
      </c>
      <c r="K211" s="46" t="s">
        <v>666</v>
      </c>
      <c r="L211" s="46" t="s">
        <v>669</v>
      </c>
      <c r="M211" s="46">
        <v>380</v>
      </c>
      <c r="N211" s="46" t="s">
        <v>689</v>
      </c>
      <c r="O211" s="46" t="s">
        <v>71</v>
      </c>
      <c r="P211" s="46">
        <v>0</v>
      </c>
      <c r="Q211" s="46" t="s">
        <v>670</v>
      </c>
      <c r="R211" s="46" t="s">
        <v>23</v>
      </c>
      <c r="S211" s="46" t="s">
        <v>671</v>
      </c>
      <c r="T211" s="46" t="s">
        <v>672</v>
      </c>
      <c r="U211" s="46" t="b">
        <v>1</v>
      </c>
      <c r="V211" s="46" t="s">
        <v>1028</v>
      </c>
      <c r="W211" s="46" t="s">
        <v>1027</v>
      </c>
      <c r="X211" s="46">
        <v>6</v>
      </c>
      <c r="Y211" s="46" t="b">
        <v>1</v>
      </c>
      <c r="Z211" s="46" t="s">
        <v>675</v>
      </c>
      <c r="AA211" s="46" t="s">
        <v>676</v>
      </c>
      <c r="AB211" s="46" t="s">
        <v>677</v>
      </c>
      <c r="AC211" s="46">
        <v>0</v>
      </c>
      <c r="AD211" s="46" t="s">
        <v>678</v>
      </c>
      <c r="AE211" s="46">
        <v>8</v>
      </c>
      <c r="AF211" s="46" t="s">
        <v>679</v>
      </c>
      <c r="AG211" s="46">
        <v>22468.361000000001</v>
      </c>
      <c r="AH211" s="46" t="b">
        <v>1</v>
      </c>
      <c r="AI211" s="46">
        <v>-1</v>
      </c>
      <c r="AJ211" s="46" t="s">
        <v>680</v>
      </c>
      <c r="AK211" s="46">
        <v>0</v>
      </c>
      <c r="AL211" s="46" t="b">
        <v>0</v>
      </c>
      <c r="AM211" s="46">
        <v>22468.361000000001</v>
      </c>
      <c r="AN211" s="46" t="b">
        <v>1</v>
      </c>
      <c r="AO211" s="46">
        <v>0</v>
      </c>
      <c r="AP211" s="46" t="b">
        <v>0</v>
      </c>
      <c r="AQ211" s="46">
        <v>143509.48300000001</v>
      </c>
      <c r="AS211" s="46">
        <v>143509.48300000001</v>
      </c>
      <c r="AT211" s="46">
        <v>6</v>
      </c>
      <c r="AU211" s="46" t="b">
        <v>1</v>
      </c>
      <c r="AV211" s="46" t="b">
        <v>0</v>
      </c>
    </row>
    <row r="212" spans="2:48">
      <c r="B212" s="46" t="s">
        <v>665</v>
      </c>
      <c r="C212" s="46" t="s">
        <v>666</v>
      </c>
      <c r="D212" s="46">
        <v>20231201</v>
      </c>
      <c r="E212" s="46">
        <v>2023</v>
      </c>
      <c r="F212" s="46">
        <v>12</v>
      </c>
      <c r="G212" s="46" t="s">
        <v>726</v>
      </c>
      <c r="H212" s="46">
        <v>818</v>
      </c>
      <c r="I212" s="46" t="s">
        <v>668</v>
      </c>
      <c r="J212" s="46" t="s">
        <v>57</v>
      </c>
      <c r="K212" s="46" t="s">
        <v>666</v>
      </c>
      <c r="L212" s="46" t="s">
        <v>669</v>
      </c>
      <c r="M212" s="46">
        <v>490</v>
      </c>
      <c r="N212" s="46" t="s">
        <v>762</v>
      </c>
      <c r="O212" s="46" t="s">
        <v>763</v>
      </c>
      <c r="P212" s="46">
        <v>0</v>
      </c>
      <c r="Q212" s="46" t="s">
        <v>670</v>
      </c>
      <c r="R212" s="46" t="s">
        <v>23</v>
      </c>
      <c r="S212" s="46" t="s">
        <v>671</v>
      </c>
      <c r="T212" s="46" t="s">
        <v>672</v>
      </c>
      <c r="U212" s="46" t="b">
        <v>1</v>
      </c>
      <c r="V212" s="46" t="s">
        <v>1028</v>
      </c>
      <c r="W212" s="46" t="s">
        <v>1027</v>
      </c>
      <c r="X212" s="46">
        <v>6</v>
      </c>
      <c r="Y212" s="46" t="b">
        <v>1</v>
      </c>
      <c r="Z212" s="46" t="s">
        <v>675</v>
      </c>
      <c r="AA212" s="46" t="s">
        <v>676</v>
      </c>
      <c r="AB212" s="46" t="s">
        <v>677</v>
      </c>
      <c r="AC212" s="46">
        <v>0</v>
      </c>
      <c r="AD212" s="46" t="s">
        <v>678</v>
      </c>
      <c r="AE212" s="46">
        <v>8</v>
      </c>
      <c r="AF212" s="46" t="s">
        <v>679</v>
      </c>
      <c r="AG212" s="46">
        <v>185.803</v>
      </c>
      <c r="AH212" s="46" t="b">
        <v>1</v>
      </c>
      <c r="AI212" s="46">
        <v>-1</v>
      </c>
      <c r="AJ212" s="46" t="s">
        <v>680</v>
      </c>
      <c r="AK212" s="46">
        <v>0</v>
      </c>
      <c r="AL212" s="46" t="b">
        <v>0</v>
      </c>
      <c r="AM212" s="46">
        <v>185.803</v>
      </c>
      <c r="AN212" s="46" t="b">
        <v>1</v>
      </c>
      <c r="AO212" s="46">
        <v>0</v>
      </c>
      <c r="AP212" s="46" t="b">
        <v>0</v>
      </c>
      <c r="AQ212" s="46">
        <v>1186.759</v>
      </c>
      <c r="AS212" s="46">
        <v>1186.759</v>
      </c>
      <c r="AT212" s="46">
        <v>6</v>
      </c>
      <c r="AU212" s="46" t="b">
        <v>1</v>
      </c>
      <c r="AV212" s="46" t="b">
        <v>0</v>
      </c>
    </row>
    <row r="213" spans="2:48">
      <c r="B213" s="46" t="s">
        <v>665</v>
      </c>
      <c r="C213" s="46" t="s">
        <v>666</v>
      </c>
      <c r="D213" s="46">
        <v>20231201</v>
      </c>
      <c r="E213" s="46">
        <v>2023</v>
      </c>
      <c r="F213" s="46">
        <v>12</v>
      </c>
      <c r="G213" s="46" t="s">
        <v>726</v>
      </c>
      <c r="H213" s="46">
        <v>818</v>
      </c>
      <c r="I213" s="46" t="s">
        <v>668</v>
      </c>
      <c r="J213" s="46" t="s">
        <v>57</v>
      </c>
      <c r="K213" s="46" t="s">
        <v>666</v>
      </c>
      <c r="L213" s="46" t="s">
        <v>669</v>
      </c>
      <c r="M213" s="46">
        <v>616</v>
      </c>
      <c r="N213" s="46" t="s">
        <v>999</v>
      </c>
      <c r="O213" s="46" t="s">
        <v>84</v>
      </c>
      <c r="P213" s="46">
        <v>0</v>
      </c>
      <c r="Q213" s="46" t="s">
        <v>670</v>
      </c>
      <c r="R213" s="46" t="s">
        <v>23</v>
      </c>
      <c r="S213" s="46" t="s">
        <v>671</v>
      </c>
      <c r="T213" s="46" t="s">
        <v>672</v>
      </c>
      <c r="U213" s="46" t="b">
        <v>1</v>
      </c>
      <c r="V213" s="46" t="s">
        <v>1028</v>
      </c>
      <c r="W213" s="46" t="s">
        <v>1027</v>
      </c>
      <c r="X213" s="46">
        <v>6</v>
      </c>
      <c r="Y213" s="46" t="b">
        <v>1</v>
      </c>
      <c r="Z213" s="46" t="s">
        <v>675</v>
      </c>
      <c r="AA213" s="46" t="s">
        <v>676</v>
      </c>
      <c r="AB213" s="46" t="s">
        <v>677</v>
      </c>
      <c r="AC213" s="46">
        <v>0</v>
      </c>
      <c r="AD213" s="46" t="s">
        <v>678</v>
      </c>
      <c r="AE213" s="46">
        <v>8</v>
      </c>
      <c r="AF213" s="46" t="s">
        <v>679</v>
      </c>
      <c r="AG213" s="46">
        <v>7566.7790000000005</v>
      </c>
      <c r="AH213" s="46" t="b">
        <v>1</v>
      </c>
      <c r="AI213" s="46">
        <v>-1</v>
      </c>
      <c r="AJ213" s="46" t="s">
        <v>680</v>
      </c>
      <c r="AK213" s="46">
        <v>0</v>
      </c>
      <c r="AL213" s="46" t="b">
        <v>0</v>
      </c>
      <c r="AM213" s="46">
        <v>7566.7790000000005</v>
      </c>
      <c r="AN213" s="46" t="b">
        <v>1</v>
      </c>
      <c r="AO213" s="46">
        <v>0</v>
      </c>
      <c r="AP213" s="46" t="b">
        <v>0</v>
      </c>
      <c r="AQ213" s="46">
        <v>48330.387000000002</v>
      </c>
      <c r="AS213" s="46">
        <v>48330.387000000002</v>
      </c>
      <c r="AT213" s="46">
        <v>6</v>
      </c>
      <c r="AU213" s="46" t="b">
        <v>1</v>
      </c>
      <c r="AV213" s="46" t="b">
        <v>0</v>
      </c>
    </row>
    <row r="214" spans="2:48">
      <c r="B214" s="46" t="s">
        <v>665</v>
      </c>
      <c r="C214" s="46" t="s">
        <v>666</v>
      </c>
      <c r="D214" s="46">
        <v>20231201</v>
      </c>
      <c r="E214" s="46">
        <v>2023</v>
      </c>
      <c r="F214" s="46">
        <v>12</v>
      </c>
      <c r="G214" s="46" t="s">
        <v>726</v>
      </c>
      <c r="H214" s="46">
        <v>818</v>
      </c>
      <c r="I214" s="46" t="s">
        <v>668</v>
      </c>
      <c r="J214" s="46" t="s">
        <v>57</v>
      </c>
      <c r="K214" s="46" t="s">
        <v>666</v>
      </c>
      <c r="L214" s="46" t="s">
        <v>669</v>
      </c>
      <c r="M214" s="46">
        <v>642</v>
      </c>
      <c r="N214" s="46" t="s">
        <v>1010</v>
      </c>
      <c r="O214" s="46" t="s">
        <v>79</v>
      </c>
      <c r="P214" s="46">
        <v>0</v>
      </c>
      <c r="Q214" s="46" t="s">
        <v>670</v>
      </c>
      <c r="R214" s="46" t="s">
        <v>23</v>
      </c>
      <c r="S214" s="46" t="s">
        <v>671</v>
      </c>
      <c r="T214" s="46" t="s">
        <v>672</v>
      </c>
      <c r="U214" s="46" t="b">
        <v>1</v>
      </c>
      <c r="V214" s="46" t="s">
        <v>1028</v>
      </c>
      <c r="W214" s="46" t="s">
        <v>1027</v>
      </c>
      <c r="X214" s="46">
        <v>6</v>
      </c>
      <c r="Y214" s="46" t="b">
        <v>1</v>
      </c>
      <c r="Z214" s="46" t="s">
        <v>675</v>
      </c>
      <c r="AA214" s="46" t="s">
        <v>676</v>
      </c>
      <c r="AB214" s="46" t="s">
        <v>677</v>
      </c>
      <c r="AC214" s="46">
        <v>0</v>
      </c>
      <c r="AD214" s="46" t="s">
        <v>678</v>
      </c>
      <c r="AE214" s="46">
        <v>8</v>
      </c>
      <c r="AF214" s="46" t="s">
        <v>679</v>
      </c>
      <c r="AG214" s="46">
        <v>12066.287</v>
      </c>
      <c r="AH214" s="46" t="b">
        <v>1</v>
      </c>
      <c r="AI214" s="46">
        <v>-1</v>
      </c>
      <c r="AJ214" s="46" t="s">
        <v>680</v>
      </c>
      <c r="AK214" s="46">
        <v>0</v>
      </c>
      <c r="AL214" s="46" t="b">
        <v>0</v>
      </c>
      <c r="AM214" s="46">
        <v>12066.287</v>
      </c>
      <c r="AN214" s="46" t="b">
        <v>1</v>
      </c>
      <c r="AO214" s="46">
        <v>0</v>
      </c>
      <c r="AP214" s="46" t="b">
        <v>0</v>
      </c>
      <c r="AQ214" s="46">
        <v>77069.554999999993</v>
      </c>
      <c r="AS214" s="46">
        <v>77069.554999999993</v>
      </c>
      <c r="AT214" s="46">
        <v>6</v>
      </c>
      <c r="AU214" s="46" t="b">
        <v>1</v>
      </c>
      <c r="AV214" s="46" t="b">
        <v>0</v>
      </c>
    </row>
    <row r="215" spans="2:48">
      <c r="B215" s="46" t="s">
        <v>665</v>
      </c>
      <c r="C215" s="46" t="s">
        <v>666</v>
      </c>
      <c r="D215" s="46">
        <v>20231201</v>
      </c>
      <c r="E215" s="46">
        <v>2023</v>
      </c>
      <c r="F215" s="46">
        <v>12</v>
      </c>
      <c r="G215" s="46" t="s">
        <v>726</v>
      </c>
      <c r="H215" s="46">
        <v>818</v>
      </c>
      <c r="I215" s="46" t="s">
        <v>668</v>
      </c>
      <c r="J215" s="46" t="s">
        <v>57</v>
      </c>
      <c r="K215" s="46" t="s">
        <v>666</v>
      </c>
      <c r="L215" s="46" t="s">
        <v>669</v>
      </c>
      <c r="M215" s="46">
        <v>643</v>
      </c>
      <c r="N215" s="46" t="s">
        <v>761</v>
      </c>
      <c r="O215" s="46" t="s">
        <v>38</v>
      </c>
      <c r="P215" s="46">
        <v>0</v>
      </c>
      <c r="Q215" s="46" t="s">
        <v>670</v>
      </c>
      <c r="R215" s="46" t="s">
        <v>23</v>
      </c>
      <c r="S215" s="46" t="s">
        <v>671</v>
      </c>
      <c r="T215" s="46" t="s">
        <v>672</v>
      </c>
      <c r="U215" s="46" t="b">
        <v>1</v>
      </c>
      <c r="V215" s="46" t="s">
        <v>1028</v>
      </c>
      <c r="W215" s="46" t="s">
        <v>1027</v>
      </c>
      <c r="X215" s="46">
        <v>6</v>
      </c>
      <c r="Y215" s="46" t="b">
        <v>1</v>
      </c>
      <c r="Z215" s="46" t="s">
        <v>675</v>
      </c>
      <c r="AA215" s="46" t="s">
        <v>676</v>
      </c>
      <c r="AB215" s="46" t="s">
        <v>677</v>
      </c>
      <c r="AC215" s="46">
        <v>0</v>
      </c>
      <c r="AD215" s="46" t="s">
        <v>678</v>
      </c>
      <c r="AE215" s="46">
        <v>8</v>
      </c>
      <c r="AF215" s="46" t="s">
        <v>679</v>
      </c>
      <c r="AG215" s="46">
        <v>1996.13</v>
      </c>
      <c r="AH215" s="46" t="b">
        <v>1</v>
      </c>
      <c r="AI215" s="46">
        <v>-1</v>
      </c>
      <c r="AJ215" s="46" t="s">
        <v>680</v>
      </c>
      <c r="AK215" s="46">
        <v>0</v>
      </c>
      <c r="AL215" s="46" t="b">
        <v>0</v>
      </c>
      <c r="AM215" s="46">
        <v>1996.13</v>
      </c>
      <c r="AN215" s="46" t="b">
        <v>1</v>
      </c>
      <c r="AO215" s="46">
        <v>0</v>
      </c>
      <c r="AP215" s="46" t="b">
        <v>0</v>
      </c>
      <c r="AQ215" s="46">
        <v>12749.641</v>
      </c>
      <c r="AS215" s="46">
        <v>12749.641</v>
      </c>
      <c r="AT215" s="46">
        <v>6</v>
      </c>
      <c r="AU215" s="46" t="b">
        <v>1</v>
      </c>
      <c r="AV215" s="46" t="b">
        <v>0</v>
      </c>
    </row>
    <row r="216" spans="2:48">
      <c r="B216" s="46" t="s">
        <v>665</v>
      </c>
      <c r="C216" s="46" t="s">
        <v>666</v>
      </c>
      <c r="D216" s="46">
        <v>20231201</v>
      </c>
      <c r="E216" s="46">
        <v>2023</v>
      </c>
      <c r="F216" s="46">
        <v>12</v>
      </c>
      <c r="G216" s="46" t="s">
        <v>726</v>
      </c>
      <c r="H216" s="46">
        <v>818</v>
      </c>
      <c r="I216" s="46" t="s">
        <v>668</v>
      </c>
      <c r="J216" s="46" t="s">
        <v>57</v>
      </c>
      <c r="K216" s="46" t="s">
        <v>666</v>
      </c>
      <c r="L216" s="46" t="s">
        <v>669</v>
      </c>
      <c r="M216" s="46">
        <v>682</v>
      </c>
      <c r="N216" s="46" t="s">
        <v>758</v>
      </c>
      <c r="O216" s="46" t="s">
        <v>39</v>
      </c>
      <c r="P216" s="46">
        <v>0</v>
      </c>
      <c r="Q216" s="46" t="s">
        <v>670</v>
      </c>
      <c r="R216" s="46" t="s">
        <v>23</v>
      </c>
      <c r="S216" s="46" t="s">
        <v>671</v>
      </c>
      <c r="T216" s="46" t="s">
        <v>672</v>
      </c>
      <c r="U216" s="46" t="b">
        <v>1</v>
      </c>
      <c r="V216" s="46" t="s">
        <v>1028</v>
      </c>
      <c r="W216" s="46" t="s">
        <v>1027</v>
      </c>
      <c r="X216" s="46">
        <v>6</v>
      </c>
      <c r="Y216" s="46" t="b">
        <v>1</v>
      </c>
      <c r="Z216" s="46" t="s">
        <v>675</v>
      </c>
      <c r="AA216" s="46" t="s">
        <v>676</v>
      </c>
      <c r="AB216" s="46" t="s">
        <v>677</v>
      </c>
      <c r="AC216" s="46">
        <v>0</v>
      </c>
      <c r="AD216" s="46" t="s">
        <v>678</v>
      </c>
      <c r="AE216" s="46">
        <v>8</v>
      </c>
      <c r="AF216" s="46" t="s">
        <v>679</v>
      </c>
      <c r="AG216" s="46">
        <v>3685.3040000000001</v>
      </c>
      <c r="AH216" s="46" t="b">
        <v>1</v>
      </c>
      <c r="AI216" s="46">
        <v>-1</v>
      </c>
      <c r="AJ216" s="46" t="s">
        <v>680</v>
      </c>
      <c r="AK216" s="46">
        <v>0</v>
      </c>
      <c r="AL216" s="46" t="b">
        <v>0</v>
      </c>
      <c r="AM216" s="46">
        <v>3685.3040000000001</v>
      </c>
      <c r="AN216" s="46" t="b">
        <v>1</v>
      </c>
      <c r="AO216" s="46">
        <v>0</v>
      </c>
      <c r="AP216" s="46" t="b">
        <v>0</v>
      </c>
      <c r="AQ216" s="46">
        <v>23538.705000000002</v>
      </c>
      <c r="AS216" s="46">
        <v>23538.705000000002</v>
      </c>
      <c r="AT216" s="46">
        <v>6</v>
      </c>
      <c r="AU216" s="46" t="b">
        <v>1</v>
      </c>
      <c r="AV216" s="46" t="b">
        <v>0</v>
      </c>
    </row>
    <row r="217" spans="2:48">
      <c r="B217" s="46" t="s">
        <v>665</v>
      </c>
      <c r="C217" s="46" t="s">
        <v>666</v>
      </c>
      <c r="D217" s="46">
        <v>20231201</v>
      </c>
      <c r="E217" s="46">
        <v>2023</v>
      </c>
      <c r="F217" s="46">
        <v>12</v>
      </c>
      <c r="G217" s="46" t="s">
        <v>726</v>
      </c>
      <c r="H217" s="46">
        <v>818</v>
      </c>
      <c r="I217" s="46" t="s">
        <v>668</v>
      </c>
      <c r="J217" s="46" t="s">
        <v>57</v>
      </c>
      <c r="K217" s="46" t="s">
        <v>666</v>
      </c>
      <c r="L217" s="46" t="s">
        <v>669</v>
      </c>
      <c r="M217" s="46">
        <v>699</v>
      </c>
      <c r="N217" s="46" t="s">
        <v>748</v>
      </c>
      <c r="O217" s="46" t="s">
        <v>0</v>
      </c>
      <c r="P217" s="46">
        <v>0</v>
      </c>
      <c r="Q217" s="46" t="s">
        <v>670</v>
      </c>
      <c r="R217" s="46" t="s">
        <v>23</v>
      </c>
      <c r="S217" s="46" t="s">
        <v>671</v>
      </c>
      <c r="T217" s="46" t="s">
        <v>672</v>
      </c>
      <c r="U217" s="46" t="b">
        <v>1</v>
      </c>
      <c r="V217" s="46" t="s">
        <v>1028</v>
      </c>
      <c r="W217" s="46" t="s">
        <v>1027</v>
      </c>
      <c r="X217" s="46">
        <v>6</v>
      </c>
      <c r="Y217" s="46" t="b">
        <v>1</v>
      </c>
      <c r="Z217" s="46" t="s">
        <v>675</v>
      </c>
      <c r="AA217" s="46" t="s">
        <v>676</v>
      </c>
      <c r="AB217" s="46" t="s">
        <v>677</v>
      </c>
      <c r="AC217" s="46">
        <v>0</v>
      </c>
      <c r="AD217" s="46" t="s">
        <v>678</v>
      </c>
      <c r="AE217" s="46">
        <v>8</v>
      </c>
      <c r="AF217" s="46" t="s">
        <v>679</v>
      </c>
      <c r="AG217" s="46">
        <v>298.53699999999998</v>
      </c>
      <c r="AH217" s="46" t="b">
        <v>1</v>
      </c>
      <c r="AI217" s="46">
        <v>-1</v>
      </c>
      <c r="AJ217" s="46" t="s">
        <v>680</v>
      </c>
      <c r="AK217" s="46">
        <v>0</v>
      </c>
      <c r="AL217" s="46" t="b">
        <v>0</v>
      </c>
      <c r="AM217" s="46">
        <v>298.53699999999998</v>
      </c>
      <c r="AN217" s="46" t="b">
        <v>1</v>
      </c>
      <c r="AO217" s="46">
        <v>0</v>
      </c>
      <c r="AP217" s="46" t="b">
        <v>0</v>
      </c>
      <c r="AQ217" s="46">
        <v>1906.807</v>
      </c>
      <c r="AS217" s="46">
        <v>1906.807</v>
      </c>
      <c r="AT217" s="46">
        <v>6</v>
      </c>
      <c r="AU217" s="46" t="b">
        <v>1</v>
      </c>
      <c r="AV217" s="46" t="b">
        <v>0</v>
      </c>
    </row>
    <row r="218" spans="2:48">
      <c r="B218" s="46" t="s">
        <v>665</v>
      </c>
      <c r="C218" s="46" t="s">
        <v>666</v>
      </c>
      <c r="D218" s="46">
        <v>20231201</v>
      </c>
      <c r="E218" s="46">
        <v>2023</v>
      </c>
      <c r="F218" s="46">
        <v>12</v>
      </c>
      <c r="G218" s="46" t="s">
        <v>726</v>
      </c>
      <c r="H218" s="46">
        <v>818</v>
      </c>
      <c r="I218" s="46" t="s">
        <v>668</v>
      </c>
      <c r="J218" s="46" t="s">
        <v>57</v>
      </c>
      <c r="K218" s="46" t="s">
        <v>666</v>
      </c>
      <c r="L218" s="46" t="s">
        <v>669</v>
      </c>
      <c r="M218" s="46">
        <v>704</v>
      </c>
      <c r="N218" s="46" t="s">
        <v>756</v>
      </c>
      <c r="O218" s="46" t="s">
        <v>59</v>
      </c>
      <c r="P218" s="46">
        <v>0</v>
      </c>
      <c r="Q218" s="46" t="s">
        <v>670</v>
      </c>
      <c r="R218" s="46" t="s">
        <v>23</v>
      </c>
      <c r="S218" s="46" t="s">
        <v>671</v>
      </c>
      <c r="T218" s="46" t="s">
        <v>672</v>
      </c>
      <c r="U218" s="46" t="b">
        <v>1</v>
      </c>
      <c r="V218" s="46" t="s">
        <v>1028</v>
      </c>
      <c r="W218" s="46" t="s">
        <v>1027</v>
      </c>
      <c r="X218" s="46">
        <v>6</v>
      </c>
      <c r="Y218" s="46" t="b">
        <v>1</v>
      </c>
      <c r="Z218" s="46" t="s">
        <v>675</v>
      </c>
      <c r="AA218" s="46" t="s">
        <v>676</v>
      </c>
      <c r="AB218" s="46" t="s">
        <v>677</v>
      </c>
      <c r="AC218" s="46">
        <v>0</v>
      </c>
      <c r="AD218" s="46" t="s">
        <v>678</v>
      </c>
      <c r="AE218" s="46">
        <v>8</v>
      </c>
      <c r="AF218" s="46" t="s">
        <v>679</v>
      </c>
      <c r="AG218" s="46">
        <v>183.672</v>
      </c>
      <c r="AH218" s="46" t="b">
        <v>1</v>
      </c>
      <c r="AI218" s="46">
        <v>-1</v>
      </c>
      <c r="AJ218" s="46" t="s">
        <v>680</v>
      </c>
      <c r="AK218" s="46">
        <v>0</v>
      </c>
      <c r="AL218" s="46" t="b">
        <v>0</v>
      </c>
      <c r="AM218" s="46">
        <v>183.672</v>
      </c>
      <c r="AN218" s="46" t="b">
        <v>1</v>
      </c>
      <c r="AO218" s="46">
        <v>0</v>
      </c>
      <c r="AP218" s="46" t="b">
        <v>0</v>
      </c>
      <c r="AQ218" s="46">
        <v>1173.1469999999999</v>
      </c>
      <c r="AS218" s="46">
        <v>1173.1469999999999</v>
      </c>
      <c r="AT218" s="46">
        <v>6</v>
      </c>
      <c r="AU218" s="46" t="b">
        <v>1</v>
      </c>
      <c r="AV218" s="46" t="b">
        <v>0</v>
      </c>
    </row>
    <row r="219" spans="2:48">
      <c r="B219" s="46" t="s">
        <v>665</v>
      </c>
      <c r="C219" s="46" t="s">
        <v>666</v>
      </c>
      <c r="D219" s="46">
        <v>20231201</v>
      </c>
      <c r="E219" s="46">
        <v>2023</v>
      </c>
      <c r="F219" s="46">
        <v>12</v>
      </c>
      <c r="G219" s="46" t="s">
        <v>726</v>
      </c>
      <c r="H219" s="46">
        <v>818</v>
      </c>
      <c r="I219" s="46" t="s">
        <v>668</v>
      </c>
      <c r="J219" s="46" t="s">
        <v>57</v>
      </c>
      <c r="K219" s="46" t="s">
        <v>666</v>
      </c>
      <c r="L219" s="46" t="s">
        <v>669</v>
      </c>
      <c r="M219" s="46">
        <v>724</v>
      </c>
      <c r="N219" s="46" t="s">
        <v>684</v>
      </c>
      <c r="O219" s="46" t="s">
        <v>51</v>
      </c>
      <c r="P219" s="46">
        <v>0</v>
      </c>
      <c r="Q219" s="46" t="s">
        <v>670</v>
      </c>
      <c r="R219" s="46" t="s">
        <v>23</v>
      </c>
      <c r="S219" s="46" t="s">
        <v>671</v>
      </c>
      <c r="T219" s="46" t="s">
        <v>672</v>
      </c>
      <c r="U219" s="46" t="b">
        <v>1</v>
      </c>
      <c r="V219" s="46" t="s">
        <v>1028</v>
      </c>
      <c r="W219" s="46" t="s">
        <v>1027</v>
      </c>
      <c r="X219" s="46">
        <v>6</v>
      </c>
      <c r="Y219" s="46" t="b">
        <v>1</v>
      </c>
      <c r="Z219" s="46" t="s">
        <v>675</v>
      </c>
      <c r="AA219" s="46" t="s">
        <v>676</v>
      </c>
      <c r="AB219" s="46" t="s">
        <v>677</v>
      </c>
      <c r="AC219" s="46">
        <v>0</v>
      </c>
      <c r="AD219" s="46" t="s">
        <v>678</v>
      </c>
      <c r="AE219" s="46">
        <v>8</v>
      </c>
      <c r="AF219" s="46" t="s">
        <v>679</v>
      </c>
      <c r="AG219" s="46">
        <v>18828.174999999999</v>
      </c>
      <c r="AH219" s="46" t="b">
        <v>1</v>
      </c>
      <c r="AI219" s="46">
        <v>-1</v>
      </c>
      <c r="AJ219" s="46" t="s">
        <v>680</v>
      </c>
      <c r="AK219" s="46">
        <v>0</v>
      </c>
      <c r="AL219" s="46" t="b">
        <v>0</v>
      </c>
      <c r="AM219" s="46">
        <v>18828.174999999999</v>
      </c>
      <c r="AN219" s="46" t="b">
        <v>1</v>
      </c>
      <c r="AO219" s="46">
        <v>0</v>
      </c>
      <c r="AP219" s="46" t="b">
        <v>0</v>
      </c>
      <c r="AQ219" s="46">
        <v>120258.95699999999</v>
      </c>
      <c r="AS219" s="46">
        <v>120258.95699999999</v>
      </c>
      <c r="AT219" s="46">
        <v>6</v>
      </c>
      <c r="AU219" s="46" t="b">
        <v>1</v>
      </c>
      <c r="AV219" s="46" t="b">
        <v>0</v>
      </c>
    </row>
    <row r="220" spans="2:48">
      <c r="B220" s="46" t="s">
        <v>665</v>
      </c>
      <c r="C220" s="46" t="s">
        <v>666</v>
      </c>
      <c r="D220" s="46">
        <v>20231201</v>
      </c>
      <c r="E220" s="46">
        <v>2023</v>
      </c>
      <c r="F220" s="46">
        <v>12</v>
      </c>
      <c r="G220" s="46" t="s">
        <v>726</v>
      </c>
      <c r="H220" s="46">
        <v>818</v>
      </c>
      <c r="I220" s="46" t="s">
        <v>668</v>
      </c>
      <c r="J220" s="46" t="s">
        <v>57</v>
      </c>
      <c r="K220" s="46" t="s">
        <v>666</v>
      </c>
      <c r="L220" s="46" t="s">
        <v>669</v>
      </c>
      <c r="M220" s="46">
        <v>792</v>
      </c>
      <c r="N220" s="46" t="s">
        <v>691</v>
      </c>
      <c r="O220" s="46" t="s">
        <v>63</v>
      </c>
      <c r="P220" s="46">
        <v>0</v>
      </c>
      <c r="Q220" s="46" t="s">
        <v>670</v>
      </c>
      <c r="R220" s="46" t="s">
        <v>23</v>
      </c>
      <c r="S220" s="46" t="s">
        <v>671</v>
      </c>
      <c r="T220" s="46" t="s">
        <v>672</v>
      </c>
      <c r="U220" s="46" t="b">
        <v>1</v>
      </c>
      <c r="V220" s="46" t="s">
        <v>1028</v>
      </c>
      <c r="W220" s="46" t="s">
        <v>1027</v>
      </c>
      <c r="X220" s="46">
        <v>6</v>
      </c>
      <c r="Y220" s="46" t="b">
        <v>1</v>
      </c>
      <c r="Z220" s="46" t="s">
        <v>675</v>
      </c>
      <c r="AA220" s="46" t="s">
        <v>676</v>
      </c>
      <c r="AB220" s="46" t="s">
        <v>677</v>
      </c>
      <c r="AC220" s="46">
        <v>0</v>
      </c>
      <c r="AD220" s="46" t="s">
        <v>678</v>
      </c>
      <c r="AE220" s="46">
        <v>8</v>
      </c>
      <c r="AF220" s="46" t="s">
        <v>679</v>
      </c>
      <c r="AG220" s="46">
        <v>4672.7240000000002</v>
      </c>
      <c r="AH220" s="46" t="b">
        <v>1</v>
      </c>
      <c r="AI220" s="46">
        <v>-1</v>
      </c>
      <c r="AJ220" s="46" t="s">
        <v>680</v>
      </c>
      <c r="AK220" s="46">
        <v>0</v>
      </c>
      <c r="AL220" s="46" t="b">
        <v>0</v>
      </c>
      <c r="AM220" s="46">
        <v>4672.7240000000002</v>
      </c>
      <c r="AN220" s="46" t="b">
        <v>1</v>
      </c>
      <c r="AO220" s="46">
        <v>0</v>
      </c>
      <c r="AP220" s="46" t="b">
        <v>0</v>
      </c>
      <c r="AQ220" s="46">
        <v>29845.53</v>
      </c>
      <c r="AS220" s="46">
        <v>29845.53</v>
      </c>
      <c r="AT220" s="46">
        <v>6</v>
      </c>
      <c r="AU220" s="46" t="b">
        <v>1</v>
      </c>
      <c r="AV220" s="46" t="b">
        <v>0</v>
      </c>
    </row>
    <row r="221" spans="2:48">
      <c r="B221" s="46" t="s">
        <v>665</v>
      </c>
      <c r="C221" s="46" t="s">
        <v>666</v>
      </c>
      <c r="D221" s="46">
        <v>20231201</v>
      </c>
      <c r="E221" s="46">
        <v>2023</v>
      </c>
      <c r="F221" s="46">
        <v>12</v>
      </c>
      <c r="G221" s="46" t="s">
        <v>726</v>
      </c>
      <c r="H221" s="46">
        <v>818</v>
      </c>
      <c r="I221" s="46" t="s">
        <v>668</v>
      </c>
      <c r="J221" s="46" t="s">
        <v>57</v>
      </c>
      <c r="K221" s="46" t="s">
        <v>666</v>
      </c>
      <c r="L221" s="46" t="s">
        <v>669</v>
      </c>
      <c r="M221" s="46">
        <v>826</v>
      </c>
      <c r="N221" s="46" t="s">
        <v>685</v>
      </c>
      <c r="O221" s="46" t="s">
        <v>64</v>
      </c>
      <c r="P221" s="46">
        <v>0</v>
      </c>
      <c r="Q221" s="46" t="s">
        <v>670</v>
      </c>
      <c r="R221" s="46" t="s">
        <v>23</v>
      </c>
      <c r="S221" s="46" t="s">
        <v>671</v>
      </c>
      <c r="T221" s="46" t="s">
        <v>672</v>
      </c>
      <c r="U221" s="46" t="b">
        <v>1</v>
      </c>
      <c r="V221" s="46" t="s">
        <v>1028</v>
      </c>
      <c r="W221" s="46" t="s">
        <v>1027</v>
      </c>
      <c r="X221" s="46">
        <v>6</v>
      </c>
      <c r="Y221" s="46" t="b">
        <v>1</v>
      </c>
      <c r="Z221" s="46" t="s">
        <v>675</v>
      </c>
      <c r="AA221" s="46" t="s">
        <v>676</v>
      </c>
      <c r="AB221" s="46" t="s">
        <v>677</v>
      </c>
      <c r="AC221" s="46">
        <v>0</v>
      </c>
      <c r="AD221" s="46" t="s">
        <v>678</v>
      </c>
      <c r="AE221" s="46">
        <v>8</v>
      </c>
      <c r="AF221" s="46" t="s">
        <v>679</v>
      </c>
      <c r="AG221" s="46">
        <v>17.407</v>
      </c>
      <c r="AH221" s="46" t="b">
        <v>1</v>
      </c>
      <c r="AI221" s="46">
        <v>-1</v>
      </c>
      <c r="AJ221" s="46" t="s">
        <v>680</v>
      </c>
      <c r="AK221" s="46">
        <v>0</v>
      </c>
      <c r="AL221" s="46" t="b">
        <v>0</v>
      </c>
      <c r="AM221" s="46">
        <v>17.407</v>
      </c>
      <c r="AN221" s="46" t="b">
        <v>1</v>
      </c>
      <c r="AO221" s="46">
        <v>0</v>
      </c>
      <c r="AP221" s="46" t="b">
        <v>0</v>
      </c>
      <c r="AQ221" s="46">
        <v>111.18</v>
      </c>
      <c r="AS221" s="46">
        <v>111.18</v>
      </c>
      <c r="AT221" s="46">
        <v>6</v>
      </c>
      <c r="AU221" s="46" t="b">
        <v>1</v>
      </c>
      <c r="AV221" s="46" t="b">
        <v>0</v>
      </c>
    </row>
    <row r="222" spans="2:48">
      <c r="B222" s="46" t="s">
        <v>665</v>
      </c>
      <c r="C222" s="46" t="s">
        <v>666</v>
      </c>
      <c r="D222" s="46">
        <v>20240101</v>
      </c>
      <c r="E222" s="46">
        <v>2024</v>
      </c>
      <c r="F222" s="46">
        <v>1</v>
      </c>
      <c r="G222" s="46" t="s">
        <v>667</v>
      </c>
      <c r="H222" s="46">
        <v>818</v>
      </c>
      <c r="I222" s="46" t="s">
        <v>668</v>
      </c>
      <c r="J222" s="46" t="s">
        <v>57</v>
      </c>
      <c r="K222" s="46" t="s">
        <v>666</v>
      </c>
      <c r="L222" s="46" t="s">
        <v>669</v>
      </c>
      <c r="M222" s="46">
        <v>899</v>
      </c>
      <c r="N222" s="46" t="s">
        <v>1030</v>
      </c>
      <c r="O222" s="46" t="s">
        <v>1031</v>
      </c>
      <c r="P222" s="46">
        <v>0</v>
      </c>
      <c r="Q222" s="46" t="s">
        <v>670</v>
      </c>
      <c r="R222" s="46" t="s">
        <v>23</v>
      </c>
      <c r="S222" s="46" t="s">
        <v>671</v>
      </c>
      <c r="T222" s="46" t="s">
        <v>672</v>
      </c>
      <c r="U222" s="46" t="b">
        <v>1</v>
      </c>
      <c r="V222" s="46" t="s">
        <v>1028</v>
      </c>
      <c r="W222" s="46" t="s">
        <v>1027</v>
      </c>
      <c r="X222" s="46">
        <v>6</v>
      </c>
      <c r="Y222" s="46" t="b">
        <v>1</v>
      </c>
      <c r="Z222" s="46" t="s">
        <v>675</v>
      </c>
      <c r="AA222" s="46" t="s">
        <v>676</v>
      </c>
      <c r="AB222" s="46" t="s">
        <v>677</v>
      </c>
      <c r="AC222" s="46">
        <v>0</v>
      </c>
      <c r="AD222" s="46" t="s">
        <v>678</v>
      </c>
      <c r="AE222" s="46">
        <v>8</v>
      </c>
      <c r="AF222" s="46" t="s">
        <v>679</v>
      </c>
      <c r="AG222" s="46">
        <v>31.821999999999999</v>
      </c>
      <c r="AH222" s="46" t="b">
        <v>1</v>
      </c>
      <c r="AI222" s="46">
        <v>-1</v>
      </c>
      <c r="AJ222" s="46" t="s">
        <v>680</v>
      </c>
      <c r="AK222" s="46">
        <v>0</v>
      </c>
      <c r="AL222" s="46" t="b">
        <v>0</v>
      </c>
      <c r="AM222" s="46">
        <v>31.821999999999999</v>
      </c>
      <c r="AN222" s="46" t="b">
        <v>1</v>
      </c>
      <c r="AO222" s="46">
        <v>0</v>
      </c>
      <c r="AP222" s="46" t="b">
        <v>0</v>
      </c>
      <c r="AQ222" s="46">
        <v>203.25200000000001</v>
      </c>
      <c r="AS222" s="46">
        <v>203.25200000000001</v>
      </c>
      <c r="AT222" s="46">
        <v>6</v>
      </c>
      <c r="AU222" s="46" t="b">
        <v>1</v>
      </c>
      <c r="AV222" s="46" t="b">
        <v>0</v>
      </c>
    </row>
    <row r="223" spans="2:48">
      <c r="B223" s="46" t="s">
        <v>665</v>
      </c>
      <c r="C223" s="46" t="s">
        <v>666</v>
      </c>
      <c r="D223" s="46">
        <v>20240101</v>
      </c>
      <c r="E223" s="46">
        <v>2024</v>
      </c>
      <c r="F223" s="46">
        <v>1</v>
      </c>
      <c r="G223" s="46" t="s">
        <v>667</v>
      </c>
      <c r="H223" s="46">
        <v>818</v>
      </c>
      <c r="I223" s="46" t="s">
        <v>668</v>
      </c>
      <c r="J223" s="46" t="s">
        <v>57</v>
      </c>
      <c r="K223" s="46" t="s">
        <v>666</v>
      </c>
      <c r="L223" s="46" t="s">
        <v>669</v>
      </c>
      <c r="M223" s="46">
        <v>792</v>
      </c>
      <c r="N223" s="46" t="s">
        <v>691</v>
      </c>
      <c r="O223" s="46" t="s">
        <v>63</v>
      </c>
      <c r="P223" s="46">
        <v>0</v>
      </c>
      <c r="Q223" s="46" t="s">
        <v>670</v>
      </c>
      <c r="R223" s="46" t="s">
        <v>23</v>
      </c>
      <c r="S223" s="46" t="s">
        <v>671</v>
      </c>
      <c r="T223" s="46" t="s">
        <v>672</v>
      </c>
      <c r="U223" s="46" t="b">
        <v>1</v>
      </c>
      <c r="V223" s="46" t="s">
        <v>1028</v>
      </c>
      <c r="W223" s="46" t="s">
        <v>1027</v>
      </c>
      <c r="X223" s="46">
        <v>6</v>
      </c>
      <c r="Y223" s="46" t="b">
        <v>1</v>
      </c>
      <c r="Z223" s="46" t="s">
        <v>675</v>
      </c>
      <c r="AA223" s="46" t="s">
        <v>676</v>
      </c>
      <c r="AB223" s="46" t="s">
        <v>677</v>
      </c>
      <c r="AC223" s="46">
        <v>0</v>
      </c>
      <c r="AD223" s="46" t="s">
        <v>678</v>
      </c>
      <c r="AE223" s="46">
        <v>8</v>
      </c>
      <c r="AF223" s="46" t="s">
        <v>679</v>
      </c>
      <c r="AG223" s="46">
        <v>5476.1949999999997</v>
      </c>
      <c r="AH223" s="46" t="b">
        <v>1</v>
      </c>
      <c r="AI223" s="46">
        <v>-1</v>
      </c>
      <c r="AJ223" s="46" t="s">
        <v>680</v>
      </c>
      <c r="AK223" s="46">
        <v>0</v>
      </c>
      <c r="AL223" s="46" t="b">
        <v>0</v>
      </c>
      <c r="AM223" s="46">
        <v>5476.1949999999997</v>
      </c>
      <c r="AN223" s="46" t="b">
        <v>1</v>
      </c>
      <c r="AO223" s="46">
        <v>0</v>
      </c>
      <c r="AP223" s="46" t="b">
        <v>0</v>
      </c>
      <c r="AQ223" s="46">
        <v>34977.444000000003</v>
      </c>
      <c r="AS223" s="46">
        <v>34977.444000000003</v>
      </c>
      <c r="AT223" s="46">
        <v>6</v>
      </c>
      <c r="AU223" s="46" t="b">
        <v>1</v>
      </c>
      <c r="AV223" s="46" t="b">
        <v>0</v>
      </c>
    </row>
    <row r="224" spans="2:48">
      <c r="B224" s="46" t="s">
        <v>665</v>
      </c>
      <c r="C224" s="46" t="s">
        <v>666</v>
      </c>
      <c r="D224" s="46">
        <v>20240101</v>
      </c>
      <c r="E224" s="46">
        <v>2024</v>
      </c>
      <c r="F224" s="46">
        <v>1</v>
      </c>
      <c r="G224" s="46" t="s">
        <v>667</v>
      </c>
      <c r="H224" s="46">
        <v>818</v>
      </c>
      <c r="I224" s="46" t="s">
        <v>668</v>
      </c>
      <c r="J224" s="46" t="s">
        <v>57</v>
      </c>
      <c r="K224" s="46" t="s">
        <v>666</v>
      </c>
      <c r="L224" s="46" t="s">
        <v>669</v>
      </c>
      <c r="M224" s="46">
        <v>784</v>
      </c>
      <c r="N224" s="46" t="s">
        <v>694</v>
      </c>
      <c r="O224" s="46" t="s">
        <v>25</v>
      </c>
      <c r="P224" s="46">
        <v>0</v>
      </c>
      <c r="Q224" s="46" t="s">
        <v>670</v>
      </c>
      <c r="R224" s="46" t="s">
        <v>23</v>
      </c>
      <c r="S224" s="46" t="s">
        <v>671</v>
      </c>
      <c r="T224" s="46" t="s">
        <v>672</v>
      </c>
      <c r="U224" s="46" t="b">
        <v>1</v>
      </c>
      <c r="V224" s="46" t="s">
        <v>1028</v>
      </c>
      <c r="W224" s="46" t="s">
        <v>1027</v>
      </c>
      <c r="X224" s="46">
        <v>6</v>
      </c>
      <c r="Y224" s="46" t="b">
        <v>1</v>
      </c>
      <c r="Z224" s="46" t="s">
        <v>675</v>
      </c>
      <c r="AA224" s="46" t="s">
        <v>676</v>
      </c>
      <c r="AB224" s="46" t="s">
        <v>677</v>
      </c>
      <c r="AC224" s="46">
        <v>0</v>
      </c>
      <c r="AD224" s="46" t="s">
        <v>678</v>
      </c>
      <c r="AE224" s="46">
        <v>8</v>
      </c>
      <c r="AF224" s="46" t="s">
        <v>679</v>
      </c>
      <c r="AG224" s="46">
        <v>8613.6779999999999</v>
      </c>
      <c r="AH224" s="46" t="b">
        <v>1</v>
      </c>
      <c r="AI224" s="46">
        <v>-1</v>
      </c>
      <c r="AJ224" s="46" t="s">
        <v>680</v>
      </c>
      <c r="AK224" s="46">
        <v>0</v>
      </c>
      <c r="AL224" s="46" t="b">
        <v>0</v>
      </c>
      <c r="AM224" s="46">
        <v>8613.6779999999999</v>
      </c>
      <c r="AN224" s="46" t="b">
        <v>1</v>
      </c>
      <c r="AO224" s="46">
        <v>0</v>
      </c>
      <c r="AP224" s="46" t="b">
        <v>0</v>
      </c>
      <c r="AQ224" s="46">
        <v>55017.118000000002</v>
      </c>
      <c r="AS224" s="46">
        <v>55017.118000000002</v>
      </c>
      <c r="AT224" s="46">
        <v>6</v>
      </c>
      <c r="AU224" s="46" t="b">
        <v>1</v>
      </c>
      <c r="AV224" s="46" t="b">
        <v>0</v>
      </c>
    </row>
    <row r="225" spans="2:48">
      <c r="B225" s="46" t="s">
        <v>665</v>
      </c>
      <c r="C225" s="46" t="s">
        <v>666</v>
      </c>
      <c r="D225" s="46">
        <v>20240101</v>
      </c>
      <c r="E225" s="46">
        <v>2024</v>
      </c>
      <c r="F225" s="46">
        <v>1</v>
      </c>
      <c r="G225" s="46" t="s">
        <v>667</v>
      </c>
      <c r="H225" s="46">
        <v>818</v>
      </c>
      <c r="I225" s="46" t="s">
        <v>668</v>
      </c>
      <c r="J225" s="46" t="s">
        <v>57</v>
      </c>
      <c r="K225" s="46" t="s">
        <v>666</v>
      </c>
      <c r="L225" s="46" t="s">
        <v>669</v>
      </c>
      <c r="M225" s="46">
        <v>724</v>
      </c>
      <c r="N225" s="46" t="s">
        <v>684</v>
      </c>
      <c r="O225" s="46" t="s">
        <v>51</v>
      </c>
      <c r="P225" s="46">
        <v>0</v>
      </c>
      <c r="Q225" s="46" t="s">
        <v>670</v>
      </c>
      <c r="R225" s="46" t="s">
        <v>23</v>
      </c>
      <c r="S225" s="46" t="s">
        <v>671</v>
      </c>
      <c r="T225" s="46" t="s">
        <v>672</v>
      </c>
      <c r="U225" s="46" t="b">
        <v>1</v>
      </c>
      <c r="V225" s="46" t="s">
        <v>1028</v>
      </c>
      <c r="W225" s="46" t="s">
        <v>1027</v>
      </c>
      <c r="X225" s="46">
        <v>6</v>
      </c>
      <c r="Y225" s="46" t="b">
        <v>1</v>
      </c>
      <c r="Z225" s="46" t="s">
        <v>675</v>
      </c>
      <c r="AA225" s="46" t="s">
        <v>676</v>
      </c>
      <c r="AB225" s="46" t="s">
        <v>677</v>
      </c>
      <c r="AC225" s="46">
        <v>0</v>
      </c>
      <c r="AD225" s="46" t="s">
        <v>678</v>
      </c>
      <c r="AE225" s="46">
        <v>8</v>
      </c>
      <c r="AF225" s="46" t="s">
        <v>679</v>
      </c>
      <c r="AG225" s="46">
        <v>4168.2849999999999</v>
      </c>
      <c r="AH225" s="46" t="b">
        <v>1</v>
      </c>
      <c r="AI225" s="46">
        <v>-1</v>
      </c>
      <c r="AJ225" s="46" t="s">
        <v>680</v>
      </c>
      <c r="AK225" s="46">
        <v>0</v>
      </c>
      <c r="AL225" s="46" t="b">
        <v>0</v>
      </c>
      <c r="AM225" s="46">
        <v>4168.2849999999999</v>
      </c>
      <c r="AN225" s="46" t="b">
        <v>1</v>
      </c>
      <c r="AO225" s="46">
        <v>0</v>
      </c>
      <c r="AP225" s="46" t="b">
        <v>0</v>
      </c>
      <c r="AQ225" s="46">
        <v>26623.589</v>
      </c>
      <c r="AS225" s="46">
        <v>26623.589</v>
      </c>
      <c r="AT225" s="46">
        <v>6</v>
      </c>
      <c r="AU225" s="46" t="b">
        <v>1</v>
      </c>
      <c r="AV225" s="46" t="b">
        <v>0</v>
      </c>
    </row>
    <row r="226" spans="2:48">
      <c r="B226" s="46" t="s">
        <v>665</v>
      </c>
      <c r="C226" s="46" t="s">
        <v>666</v>
      </c>
      <c r="D226" s="46">
        <v>20240101</v>
      </c>
      <c r="E226" s="46">
        <v>2024</v>
      </c>
      <c r="F226" s="46">
        <v>1</v>
      </c>
      <c r="G226" s="46" t="s">
        <v>667</v>
      </c>
      <c r="H226" s="46">
        <v>818</v>
      </c>
      <c r="I226" s="46" t="s">
        <v>668</v>
      </c>
      <c r="J226" s="46" t="s">
        <v>57</v>
      </c>
      <c r="K226" s="46" t="s">
        <v>666</v>
      </c>
      <c r="L226" s="46" t="s">
        <v>669</v>
      </c>
      <c r="M226" s="46">
        <v>699</v>
      </c>
      <c r="N226" s="46" t="s">
        <v>748</v>
      </c>
      <c r="O226" s="46" t="s">
        <v>0</v>
      </c>
      <c r="P226" s="46">
        <v>0</v>
      </c>
      <c r="Q226" s="46" t="s">
        <v>670</v>
      </c>
      <c r="R226" s="46" t="s">
        <v>23</v>
      </c>
      <c r="S226" s="46" t="s">
        <v>671</v>
      </c>
      <c r="T226" s="46" t="s">
        <v>672</v>
      </c>
      <c r="U226" s="46" t="b">
        <v>1</v>
      </c>
      <c r="V226" s="46" t="s">
        <v>1028</v>
      </c>
      <c r="W226" s="46" t="s">
        <v>1027</v>
      </c>
      <c r="X226" s="46">
        <v>6</v>
      </c>
      <c r="Y226" s="46" t="b">
        <v>1</v>
      </c>
      <c r="Z226" s="46" t="s">
        <v>675</v>
      </c>
      <c r="AA226" s="46" t="s">
        <v>676</v>
      </c>
      <c r="AB226" s="46" t="s">
        <v>677</v>
      </c>
      <c r="AC226" s="46">
        <v>0</v>
      </c>
      <c r="AD226" s="46" t="s">
        <v>678</v>
      </c>
      <c r="AE226" s="46">
        <v>8</v>
      </c>
      <c r="AF226" s="46" t="s">
        <v>679</v>
      </c>
      <c r="AG226" s="46">
        <v>315.81400000000002</v>
      </c>
      <c r="AH226" s="46" t="b">
        <v>1</v>
      </c>
      <c r="AI226" s="46">
        <v>-1</v>
      </c>
      <c r="AJ226" s="46" t="s">
        <v>680</v>
      </c>
      <c r="AK226" s="46">
        <v>0</v>
      </c>
      <c r="AL226" s="46" t="b">
        <v>0</v>
      </c>
      <c r="AM226" s="46">
        <v>315.81400000000002</v>
      </c>
      <c r="AN226" s="46" t="b">
        <v>1</v>
      </c>
      <c r="AO226" s="46">
        <v>0</v>
      </c>
      <c r="AP226" s="46" t="b">
        <v>0</v>
      </c>
      <c r="AQ226" s="46">
        <v>2017.162</v>
      </c>
      <c r="AS226" s="46">
        <v>2017.162</v>
      </c>
      <c r="AT226" s="46">
        <v>6</v>
      </c>
      <c r="AU226" s="46" t="b">
        <v>1</v>
      </c>
      <c r="AV226" s="46" t="b">
        <v>0</v>
      </c>
    </row>
    <row r="227" spans="2:48">
      <c r="B227" s="46" t="s">
        <v>665</v>
      </c>
      <c r="C227" s="46" t="s">
        <v>666</v>
      </c>
      <c r="D227" s="46">
        <v>20240101</v>
      </c>
      <c r="E227" s="46">
        <v>2024</v>
      </c>
      <c r="F227" s="46">
        <v>1</v>
      </c>
      <c r="G227" s="46" t="s">
        <v>667</v>
      </c>
      <c r="H227" s="46">
        <v>818</v>
      </c>
      <c r="I227" s="46" t="s">
        <v>668</v>
      </c>
      <c r="J227" s="46" t="s">
        <v>57</v>
      </c>
      <c r="K227" s="46" t="s">
        <v>666</v>
      </c>
      <c r="L227" s="46" t="s">
        <v>669</v>
      </c>
      <c r="M227" s="46">
        <v>704</v>
      </c>
      <c r="N227" s="46" t="s">
        <v>756</v>
      </c>
      <c r="O227" s="46" t="s">
        <v>59</v>
      </c>
      <c r="P227" s="46">
        <v>0</v>
      </c>
      <c r="Q227" s="46" t="s">
        <v>670</v>
      </c>
      <c r="R227" s="46" t="s">
        <v>23</v>
      </c>
      <c r="S227" s="46" t="s">
        <v>671</v>
      </c>
      <c r="T227" s="46" t="s">
        <v>672</v>
      </c>
      <c r="U227" s="46" t="b">
        <v>1</v>
      </c>
      <c r="V227" s="46" t="s">
        <v>1028</v>
      </c>
      <c r="W227" s="46" t="s">
        <v>1027</v>
      </c>
      <c r="X227" s="46">
        <v>6</v>
      </c>
      <c r="Y227" s="46" t="b">
        <v>1</v>
      </c>
      <c r="Z227" s="46" t="s">
        <v>675</v>
      </c>
      <c r="AA227" s="46" t="s">
        <v>676</v>
      </c>
      <c r="AB227" s="46" t="s">
        <v>677</v>
      </c>
      <c r="AC227" s="46">
        <v>0</v>
      </c>
      <c r="AD227" s="46" t="s">
        <v>678</v>
      </c>
      <c r="AE227" s="46">
        <v>8</v>
      </c>
      <c r="AF227" s="46" t="s">
        <v>679</v>
      </c>
      <c r="AG227" s="46">
        <v>552.15499999999997</v>
      </c>
      <c r="AH227" s="46" t="b">
        <v>1</v>
      </c>
      <c r="AI227" s="46">
        <v>-1</v>
      </c>
      <c r="AJ227" s="46" t="s">
        <v>680</v>
      </c>
      <c r="AK227" s="46">
        <v>0</v>
      </c>
      <c r="AL227" s="46" t="b">
        <v>0</v>
      </c>
      <c r="AM227" s="46">
        <v>552.15499999999997</v>
      </c>
      <c r="AN227" s="46" t="b">
        <v>1</v>
      </c>
      <c r="AO227" s="46">
        <v>0</v>
      </c>
      <c r="AP227" s="46" t="b">
        <v>0</v>
      </c>
      <c r="AQ227" s="46">
        <v>3526.7150000000001</v>
      </c>
      <c r="AS227" s="46">
        <v>3526.7150000000001</v>
      </c>
      <c r="AT227" s="46">
        <v>6</v>
      </c>
      <c r="AU227" s="46" t="b">
        <v>1</v>
      </c>
      <c r="AV227" s="46" t="b">
        <v>0</v>
      </c>
    </row>
    <row r="228" spans="2:48">
      <c r="B228" s="46" t="s">
        <v>665</v>
      </c>
      <c r="C228" s="46" t="s">
        <v>666</v>
      </c>
      <c r="D228" s="46">
        <v>20240101</v>
      </c>
      <c r="E228" s="46">
        <v>2024</v>
      </c>
      <c r="F228" s="46">
        <v>1</v>
      </c>
      <c r="G228" s="46" t="s">
        <v>667</v>
      </c>
      <c r="H228" s="46">
        <v>818</v>
      </c>
      <c r="I228" s="46" t="s">
        <v>668</v>
      </c>
      <c r="J228" s="46" t="s">
        <v>57</v>
      </c>
      <c r="K228" s="46" t="s">
        <v>666</v>
      </c>
      <c r="L228" s="46" t="s">
        <v>669</v>
      </c>
      <c r="M228" s="46">
        <v>682</v>
      </c>
      <c r="N228" s="46" t="s">
        <v>758</v>
      </c>
      <c r="O228" s="46" t="s">
        <v>39</v>
      </c>
      <c r="P228" s="46">
        <v>0</v>
      </c>
      <c r="Q228" s="46" t="s">
        <v>670</v>
      </c>
      <c r="R228" s="46" t="s">
        <v>23</v>
      </c>
      <c r="S228" s="46" t="s">
        <v>671</v>
      </c>
      <c r="T228" s="46" t="s">
        <v>672</v>
      </c>
      <c r="U228" s="46" t="b">
        <v>1</v>
      </c>
      <c r="V228" s="46" t="s">
        <v>1028</v>
      </c>
      <c r="W228" s="46" t="s">
        <v>1027</v>
      </c>
      <c r="X228" s="46">
        <v>6</v>
      </c>
      <c r="Y228" s="46" t="b">
        <v>1</v>
      </c>
      <c r="Z228" s="46" t="s">
        <v>675</v>
      </c>
      <c r="AA228" s="46" t="s">
        <v>676</v>
      </c>
      <c r="AB228" s="46" t="s">
        <v>677</v>
      </c>
      <c r="AC228" s="46">
        <v>0</v>
      </c>
      <c r="AD228" s="46" t="s">
        <v>678</v>
      </c>
      <c r="AE228" s="46">
        <v>8</v>
      </c>
      <c r="AF228" s="46" t="s">
        <v>679</v>
      </c>
      <c r="AG228" s="46">
        <v>8092.56</v>
      </c>
      <c r="AH228" s="46" t="b">
        <v>1</v>
      </c>
      <c r="AI228" s="46">
        <v>-1</v>
      </c>
      <c r="AJ228" s="46" t="s">
        <v>680</v>
      </c>
      <c r="AK228" s="46">
        <v>0</v>
      </c>
      <c r="AL228" s="46" t="b">
        <v>0</v>
      </c>
      <c r="AM228" s="46">
        <v>8092.56</v>
      </c>
      <c r="AN228" s="46" t="b">
        <v>1</v>
      </c>
      <c r="AO228" s="46">
        <v>0</v>
      </c>
      <c r="AP228" s="46" t="b">
        <v>0</v>
      </c>
      <c r="AQ228" s="46">
        <v>51688.642999999996</v>
      </c>
      <c r="AS228" s="46">
        <v>51688.642999999996</v>
      </c>
      <c r="AT228" s="46">
        <v>6</v>
      </c>
      <c r="AU228" s="46" t="b">
        <v>1</v>
      </c>
      <c r="AV228" s="46" t="b">
        <v>0</v>
      </c>
    </row>
    <row r="229" spans="2:48">
      <c r="B229" s="46" t="s">
        <v>665</v>
      </c>
      <c r="C229" s="46" t="s">
        <v>666</v>
      </c>
      <c r="D229" s="46">
        <v>20240101</v>
      </c>
      <c r="E229" s="46">
        <v>2024</v>
      </c>
      <c r="F229" s="46">
        <v>1</v>
      </c>
      <c r="G229" s="46" t="s">
        <v>667</v>
      </c>
      <c r="H229" s="46">
        <v>818</v>
      </c>
      <c r="I229" s="46" t="s">
        <v>668</v>
      </c>
      <c r="J229" s="46" t="s">
        <v>57</v>
      </c>
      <c r="K229" s="46" t="s">
        <v>666</v>
      </c>
      <c r="L229" s="46" t="s">
        <v>669</v>
      </c>
      <c r="M229" s="46">
        <v>616</v>
      </c>
      <c r="N229" s="46" t="s">
        <v>999</v>
      </c>
      <c r="O229" s="46" t="s">
        <v>84</v>
      </c>
      <c r="P229" s="46">
        <v>0</v>
      </c>
      <c r="Q229" s="46" t="s">
        <v>670</v>
      </c>
      <c r="R229" s="46" t="s">
        <v>23</v>
      </c>
      <c r="S229" s="46" t="s">
        <v>671</v>
      </c>
      <c r="T229" s="46" t="s">
        <v>672</v>
      </c>
      <c r="U229" s="46" t="b">
        <v>1</v>
      </c>
      <c r="V229" s="46" t="s">
        <v>1028</v>
      </c>
      <c r="W229" s="46" t="s">
        <v>1027</v>
      </c>
      <c r="X229" s="46">
        <v>6</v>
      </c>
      <c r="Y229" s="46" t="b">
        <v>1</v>
      </c>
      <c r="Z229" s="46" t="s">
        <v>675</v>
      </c>
      <c r="AA229" s="46" t="s">
        <v>676</v>
      </c>
      <c r="AB229" s="46" t="s">
        <v>677</v>
      </c>
      <c r="AC229" s="46">
        <v>0</v>
      </c>
      <c r="AD229" s="46" t="s">
        <v>678</v>
      </c>
      <c r="AE229" s="46">
        <v>8</v>
      </c>
      <c r="AF229" s="46" t="s">
        <v>679</v>
      </c>
      <c r="AG229" s="46">
        <v>3536.9929999999999</v>
      </c>
      <c r="AH229" s="46" t="b">
        <v>1</v>
      </c>
      <c r="AI229" s="46">
        <v>-1</v>
      </c>
      <c r="AJ229" s="46" t="s">
        <v>680</v>
      </c>
      <c r="AK229" s="46">
        <v>0</v>
      </c>
      <c r="AL229" s="46" t="b">
        <v>0</v>
      </c>
      <c r="AM229" s="46">
        <v>3536.9929999999999</v>
      </c>
      <c r="AN229" s="46" t="b">
        <v>1</v>
      </c>
      <c r="AO229" s="46">
        <v>0</v>
      </c>
      <c r="AP229" s="46" t="b">
        <v>0</v>
      </c>
      <c r="AQ229" s="46">
        <v>22591.416000000001</v>
      </c>
      <c r="AS229" s="46">
        <v>22591.416000000001</v>
      </c>
      <c r="AT229" s="46">
        <v>6</v>
      </c>
      <c r="AU229" s="46" t="b">
        <v>1</v>
      </c>
      <c r="AV229" s="46" t="b">
        <v>0</v>
      </c>
    </row>
    <row r="230" spans="2:48">
      <c r="B230" s="46" t="s">
        <v>665</v>
      </c>
      <c r="C230" s="46" t="s">
        <v>666</v>
      </c>
      <c r="D230" s="46">
        <v>20240101</v>
      </c>
      <c r="E230" s="46">
        <v>2024</v>
      </c>
      <c r="F230" s="46">
        <v>1</v>
      </c>
      <c r="G230" s="46" t="s">
        <v>667</v>
      </c>
      <c r="H230" s="46">
        <v>818</v>
      </c>
      <c r="I230" s="46" t="s">
        <v>668</v>
      </c>
      <c r="J230" s="46" t="s">
        <v>57</v>
      </c>
      <c r="K230" s="46" t="s">
        <v>666</v>
      </c>
      <c r="L230" s="46" t="s">
        <v>669</v>
      </c>
      <c r="M230" s="46">
        <v>380</v>
      </c>
      <c r="N230" s="46" t="s">
        <v>689</v>
      </c>
      <c r="O230" s="46" t="s">
        <v>71</v>
      </c>
      <c r="P230" s="46">
        <v>0</v>
      </c>
      <c r="Q230" s="46" t="s">
        <v>670</v>
      </c>
      <c r="R230" s="46" t="s">
        <v>23</v>
      </c>
      <c r="S230" s="46" t="s">
        <v>671</v>
      </c>
      <c r="T230" s="46" t="s">
        <v>672</v>
      </c>
      <c r="U230" s="46" t="b">
        <v>1</v>
      </c>
      <c r="V230" s="46" t="s">
        <v>1028</v>
      </c>
      <c r="W230" s="46" t="s">
        <v>1027</v>
      </c>
      <c r="X230" s="46">
        <v>6</v>
      </c>
      <c r="Y230" s="46" t="b">
        <v>1</v>
      </c>
      <c r="Z230" s="46" t="s">
        <v>675</v>
      </c>
      <c r="AA230" s="46" t="s">
        <v>676</v>
      </c>
      <c r="AB230" s="46" t="s">
        <v>677</v>
      </c>
      <c r="AC230" s="46">
        <v>0</v>
      </c>
      <c r="AD230" s="46" t="s">
        <v>678</v>
      </c>
      <c r="AE230" s="46">
        <v>8</v>
      </c>
      <c r="AF230" s="46" t="s">
        <v>679</v>
      </c>
      <c r="AG230" s="46">
        <v>44316.671999999999</v>
      </c>
      <c r="AH230" s="46" t="b">
        <v>1</v>
      </c>
      <c r="AI230" s="46">
        <v>-1</v>
      </c>
      <c r="AJ230" s="46" t="s">
        <v>680</v>
      </c>
      <c r="AK230" s="46">
        <v>0</v>
      </c>
      <c r="AL230" s="46" t="b">
        <v>0</v>
      </c>
      <c r="AM230" s="46">
        <v>44316.671999999999</v>
      </c>
      <c r="AN230" s="46" t="b">
        <v>1</v>
      </c>
      <c r="AO230" s="46">
        <v>0</v>
      </c>
      <c r="AP230" s="46" t="b">
        <v>0</v>
      </c>
      <c r="AQ230" s="46">
        <v>283058.59100000001</v>
      </c>
      <c r="AS230" s="46">
        <v>283058.59100000001</v>
      </c>
      <c r="AT230" s="46">
        <v>6</v>
      </c>
      <c r="AU230" s="46" t="b">
        <v>1</v>
      </c>
      <c r="AV230" s="46" t="b">
        <v>0</v>
      </c>
    </row>
    <row r="231" spans="2:48">
      <c r="B231" s="46" t="s">
        <v>665</v>
      </c>
      <c r="C231" s="46" t="s">
        <v>666</v>
      </c>
      <c r="D231" s="46">
        <v>20240101</v>
      </c>
      <c r="E231" s="46">
        <v>2024</v>
      </c>
      <c r="F231" s="46">
        <v>1</v>
      </c>
      <c r="G231" s="46" t="s">
        <v>667</v>
      </c>
      <c r="H231" s="46">
        <v>818</v>
      </c>
      <c r="I231" s="46" t="s">
        <v>668</v>
      </c>
      <c r="J231" s="46" t="s">
        <v>57</v>
      </c>
      <c r="K231" s="46" t="s">
        <v>666</v>
      </c>
      <c r="L231" s="46" t="s">
        <v>669</v>
      </c>
      <c r="M231" s="46">
        <v>422</v>
      </c>
      <c r="N231" s="46" t="s">
        <v>697</v>
      </c>
      <c r="O231" s="46" t="s">
        <v>225</v>
      </c>
      <c r="P231" s="46">
        <v>0</v>
      </c>
      <c r="Q231" s="46" t="s">
        <v>670</v>
      </c>
      <c r="R231" s="46" t="s">
        <v>23</v>
      </c>
      <c r="S231" s="46" t="s">
        <v>671</v>
      </c>
      <c r="T231" s="46" t="s">
        <v>672</v>
      </c>
      <c r="U231" s="46" t="b">
        <v>1</v>
      </c>
      <c r="V231" s="46" t="s">
        <v>1028</v>
      </c>
      <c r="W231" s="46" t="s">
        <v>1027</v>
      </c>
      <c r="X231" s="46">
        <v>6</v>
      </c>
      <c r="Y231" s="46" t="b">
        <v>1</v>
      </c>
      <c r="Z231" s="46" t="s">
        <v>675</v>
      </c>
      <c r="AA231" s="46" t="s">
        <v>676</v>
      </c>
      <c r="AB231" s="46" t="s">
        <v>677</v>
      </c>
      <c r="AC231" s="46">
        <v>0</v>
      </c>
      <c r="AD231" s="46" t="s">
        <v>678</v>
      </c>
      <c r="AE231" s="46">
        <v>8</v>
      </c>
      <c r="AF231" s="46" t="s">
        <v>679</v>
      </c>
      <c r="AG231" s="46">
        <v>2136.3809999999999</v>
      </c>
      <c r="AH231" s="46" t="b">
        <v>1</v>
      </c>
      <c r="AI231" s="46">
        <v>-1</v>
      </c>
      <c r="AJ231" s="46" t="s">
        <v>680</v>
      </c>
      <c r="AK231" s="46">
        <v>0</v>
      </c>
      <c r="AL231" s="46" t="b">
        <v>0</v>
      </c>
      <c r="AM231" s="46">
        <v>2136.3809999999999</v>
      </c>
      <c r="AN231" s="46" t="b">
        <v>1</v>
      </c>
      <c r="AO231" s="46">
        <v>0</v>
      </c>
      <c r="AP231" s="46" t="b">
        <v>0</v>
      </c>
      <c r="AQ231" s="46">
        <v>13645.451999999999</v>
      </c>
      <c r="AS231" s="46">
        <v>13645.451999999999</v>
      </c>
      <c r="AT231" s="46">
        <v>6</v>
      </c>
      <c r="AU231" s="46" t="b">
        <v>1</v>
      </c>
      <c r="AV231" s="46" t="b">
        <v>0</v>
      </c>
    </row>
    <row r="232" spans="2:48">
      <c r="B232" s="46" t="s">
        <v>665</v>
      </c>
      <c r="C232" s="46" t="s">
        <v>666</v>
      </c>
      <c r="D232" s="46">
        <v>20240101</v>
      </c>
      <c r="E232" s="46">
        <v>2024</v>
      </c>
      <c r="F232" s="46">
        <v>1</v>
      </c>
      <c r="G232" s="46" t="s">
        <v>667</v>
      </c>
      <c r="H232" s="46">
        <v>818</v>
      </c>
      <c r="I232" s="46" t="s">
        <v>668</v>
      </c>
      <c r="J232" s="46" t="s">
        <v>57</v>
      </c>
      <c r="K232" s="46" t="s">
        <v>666</v>
      </c>
      <c r="L232" s="46" t="s">
        <v>669</v>
      </c>
      <c r="M232" s="46">
        <v>300</v>
      </c>
      <c r="N232" s="46" t="s">
        <v>719</v>
      </c>
      <c r="O232" s="46" t="s">
        <v>65</v>
      </c>
      <c r="P232" s="46">
        <v>0</v>
      </c>
      <c r="Q232" s="46" t="s">
        <v>670</v>
      </c>
      <c r="R232" s="46" t="s">
        <v>23</v>
      </c>
      <c r="S232" s="46" t="s">
        <v>671</v>
      </c>
      <c r="T232" s="46" t="s">
        <v>672</v>
      </c>
      <c r="U232" s="46" t="b">
        <v>1</v>
      </c>
      <c r="V232" s="46" t="s">
        <v>1028</v>
      </c>
      <c r="W232" s="46" t="s">
        <v>1027</v>
      </c>
      <c r="X232" s="46">
        <v>6</v>
      </c>
      <c r="Y232" s="46" t="b">
        <v>1</v>
      </c>
      <c r="Z232" s="46" t="s">
        <v>675</v>
      </c>
      <c r="AA232" s="46" t="s">
        <v>676</v>
      </c>
      <c r="AB232" s="46" t="s">
        <v>677</v>
      </c>
      <c r="AC232" s="46">
        <v>0</v>
      </c>
      <c r="AD232" s="46" t="s">
        <v>678</v>
      </c>
      <c r="AE232" s="46">
        <v>8</v>
      </c>
      <c r="AF232" s="46" t="s">
        <v>679</v>
      </c>
      <c r="AG232" s="46">
        <v>124.758</v>
      </c>
      <c r="AH232" s="46" t="b">
        <v>1</v>
      </c>
      <c r="AI232" s="46">
        <v>-1</v>
      </c>
      <c r="AJ232" s="46" t="s">
        <v>680</v>
      </c>
      <c r="AK232" s="46">
        <v>0</v>
      </c>
      <c r="AL232" s="46" t="b">
        <v>0</v>
      </c>
      <c r="AM232" s="46">
        <v>124.758</v>
      </c>
      <c r="AN232" s="46" t="b">
        <v>1</v>
      </c>
      <c r="AO232" s="46">
        <v>0</v>
      </c>
      <c r="AP232" s="46" t="b">
        <v>0</v>
      </c>
      <c r="AQ232" s="46">
        <v>796.851</v>
      </c>
      <c r="AS232" s="46">
        <v>796.851</v>
      </c>
      <c r="AT232" s="46">
        <v>6</v>
      </c>
      <c r="AU232" s="46" t="b">
        <v>1</v>
      </c>
      <c r="AV232" s="46" t="b">
        <v>0</v>
      </c>
    </row>
    <row r="233" spans="2:48">
      <c r="B233" s="46" t="s">
        <v>665</v>
      </c>
      <c r="C233" s="46" t="s">
        <v>666</v>
      </c>
      <c r="D233" s="46">
        <v>20240101</v>
      </c>
      <c r="E233" s="46">
        <v>2024</v>
      </c>
      <c r="F233" s="46">
        <v>1</v>
      </c>
      <c r="G233" s="46" t="s">
        <v>667</v>
      </c>
      <c r="H233" s="46">
        <v>818</v>
      </c>
      <c r="I233" s="46" t="s">
        <v>668</v>
      </c>
      <c r="J233" s="46" t="s">
        <v>57</v>
      </c>
      <c r="K233" s="46" t="s">
        <v>666</v>
      </c>
      <c r="L233" s="46" t="s">
        <v>669</v>
      </c>
      <c r="M233" s="46">
        <v>344</v>
      </c>
      <c r="N233" s="46" t="s">
        <v>989</v>
      </c>
      <c r="O233" s="46" t="s">
        <v>990</v>
      </c>
      <c r="P233" s="46">
        <v>0</v>
      </c>
      <c r="Q233" s="46" t="s">
        <v>670</v>
      </c>
      <c r="R233" s="46" t="s">
        <v>23</v>
      </c>
      <c r="S233" s="46" t="s">
        <v>671</v>
      </c>
      <c r="T233" s="46" t="s">
        <v>672</v>
      </c>
      <c r="U233" s="46" t="b">
        <v>1</v>
      </c>
      <c r="V233" s="46" t="s">
        <v>1028</v>
      </c>
      <c r="W233" s="46" t="s">
        <v>1027</v>
      </c>
      <c r="X233" s="46">
        <v>6</v>
      </c>
      <c r="Y233" s="46" t="b">
        <v>1</v>
      </c>
      <c r="Z233" s="46" t="s">
        <v>675</v>
      </c>
      <c r="AA233" s="46" t="s">
        <v>676</v>
      </c>
      <c r="AB233" s="46" t="s">
        <v>677</v>
      </c>
      <c r="AC233" s="46">
        <v>0</v>
      </c>
      <c r="AD233" s="46" t="s">
        <v>678</v>
      </c>
      <c r="AE233" s="46">
        <v>8</v>
      </c>
      <c r="AF233" s="46" t="s">
        <v>679</v>
      </c>
      <c r="AG233" s="46">
        <v>96.257000000000005</v>
      </c>
      <c r="AH233" s="46" t="b">
        <v>1</v>
      </c>
      <c r="AI233" s="46">
        <v>-1</v>
      </c>
      <c r="AJ233" s="46" t="s">
        <v>680</v>
      </c>
      <c r="AK233" s="46">
        <v>0</v>
      </c>
      <c r="AL233" s="46" t="b">
        <v>0</v>
      </c>
      <c r="AM233" s="46">
        <v>96.257000000000005</v>
      </c>
      <c r="AN233" s="46" t="b">
        <v>1</v>
      </c>
      <c r="AO233" s="46">
        <v>0</v>
      </c>
      <c r="AP233" s="46" t="b">
        <v>0</v>
      </c>
      <c r="AQ233" s="46">
        <v>614.80999999999995</v>
      </c>
      <c r="AS233" s="46">
        <v>614.80999999999995</v>
      </c>
      <c r="AT233" s="46">
        <v>6</v>
      </c>
      <c r="AU233" s="46" t="b">
        <v>1</v>
      </c>
      <c r="AV233" s="46" t="b">
        <v>0</v>
      </c>
    </row>
    <row r="234" spans="2:48">
      <c r="B234" s="46" t="s">
        <v>665</v>
      </c>
      <c r="C234" s="46" t="s">
        <v>666</v>
      </c>
      <c r="D234" s="46">
        <v>20240101</v>
      </c>
      <c r="E234" s="46">
        <v>2024</v>
      </c>
      <c r="F234" s="46">
        <v>1</v>
      </c>
      <c r="G234" s="46" t="s">
        <v>667</v>
      </c>
      <c r="H234" s="46">
        <v>818</v>
      </c>
      <c r="I234" s="46" t="s">
        <v>668</v>
      </c>
      <c r="J234" s="46" t="s">
        <v>57</v>
      </c>
      <c r="K234" s="46" t="s">
        <v>666</v>
      </c>
      <c r="L234" s="46" t="s">
        <v>669</v>
      </c>
      <c r="M234" s="46">
        <v>372</v>
      </c>
      <c r="N234" s="46" t="s">
        <v>1002</v>
      </c>
      <c r="O234" s="46" t="s">
        <v>87</v>
      </c>
      <c r="P234" s="46">
        <v>0</v>
      </c>
      <c r="Q234" s="46" t="s">
        <v>670</v>
      </c>
      <c r="R234" s="46" t="s">
        <v>23</v>
      </c>
      <c r="S234" s="46" t="s">
        <v>671</v>
      </c>
      <c r="T234" s="46" t="s">
        <v>672</v>
      </c>
      <c r="U234" s="46" t="b">
        <v>1</v>
      </c>
      <c r="V234" s="46" t="s">
        <v>1028</v>
      </c>
      <c r="W234" s="46" t="s">
        <v>1027</v>
      </c>
      <c r="X234" s="46">
        <v>6</v>
      </c>
      <c r="Y234" s="46" t="b">
        <v>1</v>
      </c>
      <c r="Z234" s="46" t="s">
        <v>675</v>
      </c>
      <c r="AA234" s="46" t="s">
        <v>676</v>
      </c>
      <c r="AB234" s="46" t="s">
        <v>677</v>
      </c>
      <c r="AC234" s="46">
        <v>0</v>
      </c>
      <c r="AD234" s="46" t="s">
        <v>678</v>
      </c>
      <c r="AE234" s="46">
        <v>8</v>
      </c>
      <c r="AF234" s="46" t="s">
        <v>679</v>
      </c>
      <c r="AG234" s="46">
        <v>4198.3220000000001</v>
      </c>
      <c r="AH234" s="46" t="b">
        <v>1</v>
      </c>
      <c r="AI234" s="46">
        <v>-1</v>
      </c>
      <c r="AJ234" s="46" t="s">
        <v>680</v>
      </c>
      <c r="AK234" s="46">
        <v>0</v>
      </c>
      <c r="AL234" s="46" t="b">
        <v>0</v>
      </c>
      <c r="AM234" s="46">
        <v>4198.3220000000001</v>
      </c>
      <c r="AN234" s="46" t="b">
        <v>1</v>
      </c>
      <c r="AO234" s="46">
        <v>0</v>
      </c>
      <c r="AP234" s="46" t="b">
        <v>0</v>
      </c>
      <c r="AQ234" s="46">
        <v>26815.439999999999</v>
      </c>
      <c r="AS234" s="46">
        <v>26815.439999999999</v>
      </c>
      <c r="AT234" s="46">
        <v>6</v>
      </c>
      <c r="AU234" s="46" t="b">
        <v>1</v>
      </c>
      <c r="AV234" s="46" t="b">
        <v>0</v>
      </c>
    </row>
    <row r="235" spans="2:48">
      <c r="B235" s="46" t="s">
        <v>665</v>
      </c>
      <c r="C235" s="46" t="s">
        <v>666</v>
      </c>
      <c r="D235" s="46">
        <v>20240101</v>
      </c>
      <c r="E235" s="46">
        <v>2024</v>
      </c>
      <c r="F235" s="46">
        <v>1</v>
      </c>
      <c r="G235" s="46" t="s">
        <v>667</v>
      </c>
      <c r="H235" s="46">
        <v>818</v>
      </c>
      <c r="I235" s="46" t="s">
        <v>668</v>
      </c>
      <c r="J235" s="46" t="s">
        <v>57</v>
      </c>
      <c r="K235" s="46" t="s">
        <v>666</v>
      </c>
      <c r="L235" s="46" t="s">
        <v>669</v>
      </c>
      <c r="M235" s="46">
        <v>251</v>
      </c>
      <c r="N235" s="46" t="s">
        <v>688</v>
      </c>
      <c r="O235" s="46" t="s">
        <v>69</v>
      </c>
      <c r="P235" s="46">
        <v>0</v>
      </c>
      <c r="Q235" s="46" t="s">
        <v>670</v>
      </c>
      <c r="R235" s="46" t="s">
        <v>23</v>
      </c>
      <c r="S235" s="46" t="s">
        <v>671</v>
      </c>
      <c r="T235" s="46" t="s">
        <v>672</v>
      </c>
      <c r="U235" s="46" t="b">
        <v>1</v>
      </c>
      <c r="V235" s="46" t="s">
        <v>1028</v>
      </c>
      <c r="W235" s="46" t="s">
        <v>1027</v>
      </c>
      <c r="X235" s="46">
        <v>6</v>
      </c>
      <c r="Y235" s="46" t="b">
        <v>1</v>
      </c>
      <c r="Z235" s="46" t="s">
        <v>675</v>
      </c>
      <c r="AA235" s="46" t="s">
        <v>676</v>
      </c>
      <c r="AB235" s="46" t="s">
        <v>677</v>
      </c>
      <c r="AC235" s="46">
        <v>0</v>
      </c>
      <c r="AD235" s="46" t="s">
        <v>678</v>
      </c>
      <c r="AE235" s="46">
        <v>8</v>
      </c>
      <c r="AF235" s="46" t="s">
        <v>679</v>
      </c>
      <c r="AG235" s="46">
        <v>92.799000000000007</v>
      </c>
      <c r="AH235" s="46" t="b">
        <v>1</v>
      </c>
      <c r="AI235" s="46">
        <v>-1</v>
      </c>
      <c r="AJ235" s="46" t="s">
        <v>680</v>
      </c>
      <c r="AK235" s="46">
        <v>0</v>
      </c>
      <c r="AL235" s="46" t="b">
        <v>0</v>
      </c>
      <c r="AM235" s="46">
        <v>92.799000000000007</v>
      </c>
      <c r="AN235" s="46" t="b">
        <v>1</v>
      </c>
      <c r="AO235" s="46">
        <v>0</v>
      </c>
      <c r="AP235" s="46" t="b">
        <v>0</v>
      </c>
      <c r="AQ235" s="46">
        <v>592.72199999999998</v>
      </c>
      <c r="AS235" s="46">
        <v>592.72199999999998</v>
      </c>
      <c r="AT235" s="46">
        <v>6</v>
      </c>
      <c r="AU235" s="46" t="b">
        <v>1</v>
      </c>
      <c r="AV235" s="46" t="b">
        <v>0</v>
      </c>
    </row>
    <row r="236" spans="2:48">
      <c r="B236" s="46" t="s">
        <v>665</v>
      </c>
      <c r="C236" s="46" t="s">
        <v>666</v>
      </c>
      <c r="D236" s="46">
        <v>20240101</v>
      </c>
      <c r="E236" s="46">
        <v>2024</v>
      </c>
      <c r="F236" s="46">
        <v>1</v>
      </c>
      <c r="G236" s="46" t="s">
        <v>667</v>
      </c>
      <c r="H236" s="46">
        <v>818</v>
      </c>
      <c r="I236" s="46" t="s">
        <v>668</v>
      </c>
      <c r="J236" s="46" t="s">
        <v>57</v>
      </c>
      <c r="K236" s="46" t="s">
        <v>666</v>
      </c>
      <c r="L236" s="46" t="s">
        <v>669</v>
      </c>
      <c r="M236" s="46">
        <v>144</v>
      </c>
      <c r="N236" s="46" t="s">
        <v>1029</v>
      </c>
      <c r="O236" s="46" t="s">
        <v>94</v>
      </c>
      <c r="P236" s="46">
        <v>0</v>
      </c>
      <c r="Q236" s="46" t="s">
        <v>670</v>
      </c>
      <c r="R236" s="46" t="s">
        <v>23</v>
      </c>
      <c r="S236" s="46" t="s">
        <v>671</v>
      </c>
      <c r="T236" s="46" t="s">
        <v>672</v>
      </c>
      <c r="U236" s="46" t="b">
        <v>1</v>
      </c>
      <c r="V236" s="46" t="s">
        <v>1028</v>
      </c>
      <c r="W236" s="46" t="s">
        <v>1027</v>
      </c>
      <c r="X236" s="46">
        <v>6</v>
      </c>
      <c r="Y236" s="46" t="b">
        <v>1</v>
      </c>
      <c r="Z236" s="46" t="s">
        <v>675</v>
      </c>
      <c r="AA236" s="46" t="s">
        <v>676</v>
      </c>
      <c r="AB236" s="46" t="s">
        <v>677</v>
      </c>
      <c r="AC236" s="46">
        <v>0</v>
      </c>
      <c r="AD236" s="46" t="s">
        <v>678</v>
      </c>
      <c r="AE236" s="46">
        <v>8</v>
      </c>
      <c r="AF236" s="46" t="s">
        <v>679</v>
      </c>
      <c r="AG236" s="46">
        <v>1355.347</v>
      </c>
      <c r="AH236" s="46" t="b">
        <v>1</v>
      </c>
      <c r="AI236" s="46">
        <v>-1</v>
      </c>
      <c r="AJ236" s="46" t="s">
        <v>680</v>
      </c>
      <c r="AK236" s="46">
        <v>0</v>
      </c>
      <c r="AL236" s="46" t="b">
        <v>0</v>
      </c>
      <c r="AM236" s="46">
        <v>1355.347</v>
      </c>
      <c r="AN236" s="46" t="b">
        <v>1</v>
      </c>
      <c r="AO236" s="46">
        <v>0</v>
      </c>
      <c r="AP236" s="46" t="b">
        <v>0</v>
      </c>
      <c r="AQ236" s="46">
        <v>8656.8490000000002</v>
      </c>
      <c r="AS236" s="46">
        <v>8656.8490000000002</v>
      </c>
      <c r="AT236" s="46">
        <v>6</v>
      </c>
      <c r="AU236" s="46" t="b">
        <v>1</v>
      </c>
      <c r="AV236" s="46" t="b">
        <v>0</v>
      </c>
    </row>
    <row r="237" spans="2:48">
      <c r="B237" s="46" t="s">
        <v>665</v>
      </c>
      <c r="C237" s="46" t="s">
        <v>666</v>
      </c>
      <c r="D237" s="46">
        <v>20240101</v>
      </c>
      <c r="E237" s="46">
        <v>2024</v>
      </c>
      <c r="F237" s="46">
        <v>1</v>
      </c>
      <c r="G237" s="46" t="s">
        <v>667</v>
      </c>
      <c r="H237" s="46">
        <v>818</v>
      </c>
      <c r="I237" s="46" t="s">
        <v>668</v>
      </c>
      <c r="J237" s="46" t="s">
        <v>57</v>
      </c>
      <c r="K237" s="46" t="s">
        <v>666</v>
      </c>
      <c r="L237" s="46" t="s">
        <v>669</v>
      </c>
      <c r="M237" s="46">
        <v>0</v>
      </c>
      <c r="N237" s="46" t="s">
        <v>670</v>
      </c>
      <c r="O237" s="46" t="s">
        <v>23</v>
      </c>
      <c r="P237" s="46">
        <v>0</v>
      </c>
      <c r="Q237" s="46" t="s">
        <v>670</v>
      </c>
      <c r="R237" s="46" t="s">
        <v>23</v>
      </c>
      <c r="S237" s="46" t="s">
        <v>671</v>
      </c>
      <c r="T237" s="46" t="s">
        <v>672</v>
      </c>
      <c r="U237" s="46" t="b">
        <v>1</v>
      </c>
      <c r="V237" s="46" t="s">
        <v>1028</v>
      </c>
      <c r="W237" s="46" t="s">
        <v>1027</v>
      </c>
      <c r="X237" s="46">
        <v>6</v>
      </c>
      <c r="Y237" s="46" t="b">
        <v>1</v>
      </c>
      <c r="Z237" s="46" t="s">
        <v>675</v>
      </c>
      <c r="AA237" s="46" t="s">
        <v>676</v>
      </c>
      <c r="AB237" s="46" t="s">
        <v>677</v>
      </c>
      <c r="AC237" s="46">
        <v>0</v>
      </c>
      <c r="AD237" s="46" t="s">
        <v>678</v>
      </c>
      <c r="AE237" s="46">
        <v>8</v>
      </c>
      <c r="AF237" s="46" t="s">
        <v>679</v>
      </c>
      <c r="AG237" s="46">
        <v>105343.128</v>
      </c>
      <c r="AH237" s="46" t="b">
        <v>1</v>
      </c>
      <c r="AI237" s="46">
        <v>-1</v>
      </c>
      <c r="AJ237" s="46" t="s">
        <v>680</v>
      </c>
      <c r="AK237" s="46">
        <v>0</v>
      </c>
      <c r="AL237" s="46" t="b">
        <v>0</v>
      </c>
      <c r="AM237" s="46">
        <v>105343.128</v>
      </c>
      <c r="AN237" s="46" t="b">
        <v>1</v>
      </c>
      <c r="AO237" s="46">
        <v>0</v>
      </c>
      <c r="AP237" s="46" t="b">
        <v>0</v>
      </c>
      <c r="AQ237" s="46">
        <v>672845.59499999997</v>
      </c>
      <c r="AS237" s="46">
        <v>672845.59499999997</v>
      </c>
      <c r="AT237" s="46">
        <v>6</v>
      </c>
      <c r="AU237" s="46" t="b">
        <v>0</v>
      </c>
      <c r="AV237" s="46" t="b">
        <v>1</v>
      </c>
    </row>
    <row r="238" spans="2:48">
      <c r="B238" s="46" t="s">
        <v>665</v>
      </c>
      <c r="C238" s="46" t="s">
        <v>666</v>
      </c>
      <c r="D238" s="46">
        <v>20240101</v>
      </c>
      <c r="E238" s="46">
        <v>2024</v>
      </c>
      <c r="F238" s="46">
        <v>1</v>
      </c>
      <c r="G238" s="46" t="s">
        <v>667</v>
      </c>
      <c r="H238" s="46">
        <v>818</v>
      </c>
      <c r="I238" s="46" t="s">
        <v>668</v>
      </c>
      <c r="J238" s="46" t="s">
        <v>57</v>
      </c>
      <c r="K238" s="46" t="s">
        <v>666</v>
      </c>
      <c r="L238" s="46" t="s">
        <v>669</v>
      </c>
      <c r="M238" s="46">
        <v>156</v>
      </c>
      <c r="N238" s="46" t="s">
        <v>711</v>
      </c>
      <c r="O238" s="46" t="s">
        <v>29</v>
      </c>
      <c r="P238" s="46">
        <v>0</v>
      </c>
      <c r="Q238" s="46" t="s">
        <v>670</v>
      </c>
      <c r="R238" s="46" t="s">
        <v>23</v>
      </c>
      <c r="S238" s="46" t="s">
        <v>671</v>
      </c>
      <c r="T238" s="46" t="s">
        <v>672</v>
      </c>
      <c r="U238" s="46" t="b">
        <v>1</v>
      </c>
      <c r="V238" s="46" t="s">
        <v>1028</v>
      </c>
      <c r="W238" s="46" t="s">
        <v>1027</v>
      </c>
      <c r="X238" s="46">
        <v>6</v>
      </c>
      <c r="Y238" s="46" t="b">
        <v>1</v>
      </c>
      <c r="Z238" s="46" t="s">
        <v>675</v>
      </c>
      <c r="AA238" s="46" t="s">
        <v>676</v>
      </c>
      <c r="AB238" s="46" t="s">
        <v>677</v>
      </c>
      <c r="AC238" s="46">
        <v>0</v>
      </c>
      <c r="AD238" s="46" t="s">
        <v>678</v>
      </c>
      <c r="AE238" s="46">
        <v>8</v>
      </c>
      <c r="AF238" s="46" t="s">
        <v>679</v>
      </c>
      <c r="AG238" s="46">
        <v>22235.091</v>
      </c>
      <c r="AH238" s="46" t="b">
        <v>1</v>
      </c>
      <c r="AI238" s="46">
        <v>-1</v>
      </c>
      <c r="AJ238" s="46" t="s">
        <v>680</v>
      </c>
      <c r="AK238" s="46">
        <v>0</v>
      </c>
      <c r="AL238" s="46" t="b">
        <v>0</v>
      </c>
      <c r="AM238" s="46">
        <v>22235.091</v>
      </c>
      <c r="AN238" s="46" t="b">
        <v>1</v>
      </c>
      <c r="AO238" s="46">
        <v>0</v>
      </c>
      <c r="AP238" s="46" t="b">
        <v>0</v>
      </c>
      <c r="AQ238" s="46">
        <v>142019.54199999999</v>
      </c>
      <c r="AS238" s="46">
        <v>142019.54199999999</v>
      </c>
      <c r="AT238" s="46">
        <v>6</v>
      </c>
      <c r="AU238" s="46" t="b">
        <v>1</v>
      </c>
      <c r="AV238" s="46" t="b">
        <v>0</v>
      </c>
    </row>
    <row r="239" spans="2:48">
      <c r="B239" s="46" t="s">
        <v>665</v>
      </c>
      <c r="C239" s="46" t="s">
        <v>666</v>
      </c>
      <c r="D239" s="46">
        <v>20240201</v>
      </c>
      <c r="E239" s="46">
        <v>2024</v>
      </c>
      <c r="F239" s="46">
        <v>2</v>
      </c>
      <c r="G239" s="46" t="s">
        <v>687</v>
      </c>
      <c r="H239" s="46">
        <v>818</v>
      </c>
      <c r="I239" s="46" t="s">
        <v>668</v>
      </c>
      <c r="J239" s="46" t="s">
        <v>57</v>
      </c>
      <c r="K239" s="46" t="s">
        <v>666</v>
      </c>
      <c r="L239" s="46" t="s">
        <v>669</v>
      </c>
      <c r="M239" s="46">
        <v>842</v>
      </c>
      <c r="N239" s="46" t="s">
        <v>713</v>
      </c>
      <c r="O239" s="46" t="s">
        <v>713</v>
      </c>
      <c r="P239" s="46">
        <v>0</v>
      </c>
      <c r="Q239" s="46" t="s">
        <v>670</v>
      </c>
      <c r="R239" s="46" t="s">
        <v>23</v>
      </c>
      <c r="S239" s="46" t="s">
        <v>671</v>
      </c>
      <c r="T239" s="46" t="s">
        <v>672</v>
      </c>
      <c r="U239" s="46" t="b">
        <v>1</v>
      </c>
      <c r="V239" s="46" t="s">
        <v>1028</v>
      </c>
      <c r="W239" s="46" t="s">
        <v>1027</v>
      </c>
      <c r="X239" s="46">
        <v>6</v>
      </c>
      <c r="Y239" s="46" t="b">
        <v>1</v>
      </c>
      <c r="Z239" s="46" t="s">
        <v>675</v>
      </c>
      <c r="AA239" s="46" t="s">
        <v>676</v>
      </c>
      <c r="AB239" s="46" t="s">
        <v>677</v>
      </c>
      <c r="AC239" s="46">
        <v>0</v>
      </c>
      <c r="AD239" s="46" t="s">
        <v>678</v>
      </c>
      <c r="AE239" s="46">
        <v>8</v>
      </c>
      <c r="AF239" s="46" t="s">
        <v>679</v>
      </c>
      <c r="AG239" s="46">
        <v>4.4470000000000001</v>
      </c>
      <c r="AH239" s="46" t="b">
        <v>1</v>
      </c>
      <c r="AI239" s="46">
        <v>-1</v>
      </c>
      <c r="AJ239" s="46" t="s">
        <v>680</v>
      </c>
      <c r="AK239" s="46">
        <v>0</v>
      </c>
      <c r="AL239" s="46" t="b">
        <v>0</v>
      </c>
      <c r="AM239" s="46">
        <v>4.4470000000000001</v>
      </c>
      <c r="AN239" s="46" t="b">
        <v>1</v>
      </c>
      <c r="AO239" s="46">
        <v>0</v>
      </c>
      <c r="AP239" s="46" t="b">
        <v>0</v>
      </c>
      <c r="AQ239" s="46">
        <v>28.402999999999999</v>
      </c>
      <c r="AS239" s="46">
        <v>28.402999999999999</v>
      </c>
      <c r="AT239" s="46">
        <v>6</v>
      </c>
      <c r="AU239" s="46" t="b">
        <v>1</v>
      </c>
      <c r="AV239" s="46" t="b">
        <v>0</v>
      </c>
    </row>
    <row r="240" spans="2:48">
      <c r="B240" s="46" t="s">
        <v>665</v>
      </c>
      <c r="C240" s="46" t="s">
        <v>666</v>
      </c>
      <c r="D240" s="46">
        <v>20240201</v>
      </c>
      <c r="E240" s="46">
        <v>2024</v>
      </c>
      <c r="F240" s="46">
        <v>2</v>
      </c>
      <c r="G240" s="46" t="s">
        <v>687</v>
      </c>
      <c r="H240" s="46">
        <v>818</v>
      </c>
      <c r="I240" s="46" t="s">
        <v>668</v>
      </c>
      <c r="J240" s="46" t="s">
        <v>57</v>
      </c>
      <c r="K240" s="46" t="s">
        <v>666</v>
      </c>
      <c r="L240" s="46" t="s">
        <v>669</v>
      </c>
      <c r="M240" s="46">
        <v>784</v>
      </c>
      <c r="N240" s="46" t="s">
        <v>694</v>
      </c>
      <c r="O240" s="46" t="s">
        <v>25</v>
      </c>
      <c r="P240" s="46">
        <v>0</v>
      </c>
      <c r="Q240" s="46" t="s">
        <v>670</v>
      </c>
      <c r="R240" s="46" t="s">
        <v>23</v>
      </c>
      <c r="S240" s="46" t="s">
        <v>671</v>
      </c>
      <c r="T240" s="46" t="s">
        <v>672</v>
      </c>
      <c r="U240" s="46" t="b">
        <v>1</v>
      </c>
      <c r="V240" s="46" t="s">
        <v>1028</v>
      </c>
      <c r="W240" s="46" t="s">
        <v>1027</v>
      </c>
      <c r="X240" s="46">
        <v>6</v>
      </c>
      <c r="Y240" s="46" t="b">
        <v>1</v>
      </c>
      <c r="Z240" s="46" t="s">
        <v>675</v>
      </c>
      <c r="AA240" s="46" t="s">
        <v>676</v>
      </c>
      <c r="AB240" s="46" t="s">
        <v>677</v>
      </c>
      <c r="AC240" s="46">
        <v>0</v>
      </c>
      <c r="AD240" s="46" t="s">
        <v>678</v>
      </c>
      <c r="AE240" s="46">
        <v>8</v>
      </c>
      <c r="AF240" s="46" t="s">
        <v>679</v>
      </c>
      <c r="AG240" s="46">
        <v>34029.330999999998</v>
      </c>
      <c r="AH240" s="46" t="b">
        <v>1</v>
      </c>
      <c r="AI240" s="46">
        <v>-1</v>
      </c>
      <c r="AJ240" s="46" t="s">
        <v>680</v>
      </c>
      <c r="AK240" s="46">
        <v>0</v>
      </c>
      <c r="AL240" s="46" t="b">
        <v>0</v>
      </c>
      <c r="AM240" s="46">
        <v>34029.330999999998</v>
      </c>
      <c r="AN240" s="46" t="b">
        <v>1</v>
      </c>
      <c r="AO240" s="46">
        <v>0</v>
      </c>
      <c r="AP240" s="46" t="b">
        <v>0</v>
      </c>
      <c r="AQ240" s="46">
        <v>217351.48800000001</v>
      </c>
      <c r="AS240" s="46">
        <v>217351.48800000001</v>
      </c>
      <c r="AT240" s="46">
        <v>6</v>
      </c>
      <c r="AU240" s="46" t="b">
        <v>1</v>
      </c>
      <c r="AV240" s="46" t="b">
        <v>0</v>
      </c>
    </row>
    <row r="241" spans="2:48">
      <c r="B241" s="46" t="s">
        <v>665</v>
      </c>
      <c r="C241" s="46" t="s">
        <v>666</v>
      </c>
      <c r="D241" s="46">
        <v>20240201</v>
      </c>
      <c r="E241" s="46">
        <v>2024</v>
      </c>
      <c r="F241" s="46">
        <v>2</v>
      </c>
      <c r="G241" s="46" t="s">
        <v>687</v>
      </c>
      <c r="H241" s="46">
        <v>818</v>
      </c>
      <c r="I241" s="46" t="s">
        <v>668</v>
      </c>
      <c r="J241" s="46" t="s">
        <v>57</v>
      </c>
      <c r="K241" s="46" t="s">
        <v>666</v>
      </c>
      <c r="L241" s="46" t="s">
        <v>669</v>
      </c>
      <c r="M241" s="46">
        <v>792</v>
      </c>
      <c r="N241" s="46" t="s">
        <v>691</v>
      </c>
      <c r="O241" s="46" t="s">
        <v>63</v>
      </c>
      <c r="P241" s="46">
        <v>0</v>
      </c>
      <c r="Q241" s="46" t="s">
        <v>670</v>
      </c>
      <c r="R241" s="46" t="s">
        <v>23</v>
      </c>
      <c r="S241" s="46" t="s">
        <v>671</v>
      </c>
      <c r="T241" s="46" t="s">
        <v>672</v>
      </c>
      <c r="U241" s="46" t="b">
        <v>1</v>
      </c>
      <c r="V241" s="46" t="s">
        <v>1028</v>
      </c>
      <c r="W241" s="46" t="s">
        <v>1027</v>
      </c>
      <c r="X241" s="46">
        <v>6</v>
      </c>
      <c r="Y241" s="46" t="b">
        <v>1</v>
      </c>
      <c r="Z241" s="46" t="s">
        <v>675</v>
      </c>
      <c r="AA241" s="46" t="s">
        <v>676</v>
      </c>
      <c r="AB241" s="46" t="s">
        <v>677</v>
      </c>
      <c r="AC241" s="46">
        <v>0</v>
      </c>
      <c r="AD241" s="46" t="s">
        <v>678</v>
      </c>
      <c r="AE241" s="46">
        <v>8</v>
      </c>
      <c r="AF241" s="46" t="s">
        <v>679</v>
      </c>
      <c r="AG241" s="46">
        <v>8418.1749999999993</v>
      </c>
      <c r="AH241" s="46" t="b">
        <v>1</v>
      </c>
      <c r="AI241" s="46">
        <v>-1</v>
      </c>
      <c r="AJ241" s="46" t="s">
        <v>680</v>
      </c>
      <c r="AK241" s="46">
        <v>0</v>
      </c>
      <c r="AL241" s="46" t="b">
        <v>0</v>
      </c>
      <c r="AM241" s="46">
        <v>8418.1749999999993</v>
      </c>
      <c r="AN241" s="46" t="b">
        <v>1</v>
      </c>
      <c r="AO241" s="46">
        <v>0</v>
      </c>
      <c r="AP241" s="46" t="b">
        <v>0</v>
      </c>
      <c r="AQ241" s="46">
        <v>53768.402999999998</v>
      </c>
      <c r="AS241" s="46">
        <v>53768.402999999998</v>
      </c>
      <c r="AT241" s="46">
        <v>6</v>
      </c>
      <c r="AU241" s="46" t="b">
        <v>1</v>
      </c>
      <c r="AV241" s="46" t="b">
        <v>0</v>
      </c>
    </row>
    <row r="242" spans="2:48">
      <c r="B242" s="46" t="s">
        <v>665</v>
      </c>
      <c r="C242" s="46" t="s">
        <v>666</v>
      </c>
      <c r="D242" s="46">
        <v>20240201</v>
      </c>
      <c r="E242" s="46">
        <v>2024</v>
      </c>
      <c r="F242" s="46">
        <v>2</v>
      </c>
      <c r="G242" s="46" t="s">
        <v>687</v>
      </c>
      <c r="H242" s="46">
        <v>818</v>
      </c>
      <c r="I242" s="46" t="s">
        <v>668</v>
      </c>
      <c r="J242" s="46" t="s">
        <v>57</v>
      </c>
      <c r="K242" s="46" t="s">
        <v>666</v>
      </c>
      <c r="L242" s="46" t="s">
        <v>669</v>
      </c>
      <c r="M242" s="46">
        <v>682</v>
      </c>
      <c r="N242" s="46" t="s">
        <v>758</v>
      </c>
      <c r="O242" s="46" t="s">
        <v>39</v>
      </c>
      <c r="P242" s="46">
        <v>0</v>
      </c>
      <c r="Q242" s="46" t="s">
        <v>670</v>
      </c>
      <c r="R242" s="46" t="s">
        <v>23</v>
      </c>
      <c r="S242" s="46" t="s">
        <v>671</v>
      </c>
      <c r="T242" s="46" t="s">
        <v>672</v>
      </c>
      <c r="U242" s="46" t="b">
        <v>1</v>
      </c>
      <c r="V242" s="46" t="s">
        <v>1028</v>
      </c>
      <c r="W242" s="46" t="s">
        <v>1027</v>
      </c>
      <c r="X242" s="46">
        <v>6</v>
      </c>
      <c r="Y242" s="46" t="b">
        <v>1</v>
      </c>
      <c r="Z242" s="46" t="s">
        <v>675</v>
      </c>
      <c r="AA242" s="46" t="s">
        <v>676</v>
      </c>
      <c r="AB242" s="46" t="s">
        <v>677</v>
      </c>
      <c r="AC242" s="46">
        <v>0</v>
      </c>
      <c r="AD242" s="46" t="s">
        <v>678</v>
      </c>
      <c r="AE242" s="46">
        <v>8</v>
      </c>
      <c r="AF242" s="46" t="s">
        <v>679</v>
      </c>
      <c r="AG242" s="46">
        <v>12.643000000000001</v>
      </c>
      <c r="AH242" s="46" t="b">
        <v>1</v>
      </c>
      <c r="AI242" s="46">
        <v>-1</v>
      </c>
      <c r="AJ242" s="46" t="s">
        <v>680</v>
      </c>
      <c r="AK242" s="46">
        <v>0</v>
      </c>
      <c r="AL242" s="46" t="b">
        <v>0</v>
      </c>
      <c r="AM242" s="46">
        <v>12.643000000000001</v>
      </c>
      <c r="AN242" s="46" t="b">
        <v>1</v>
      </c>
      <c r="AO242" s="46">
        <v>0</v>
      </c>
      <c r="AP242" s="46" t="b">
        <v>0</v>
      </c>
      <c r="AQ242" s="46">
        <v>80.753</v>
      </c>
      <c r="AS242" s="46">
        <v>80.753</v>
      </c>
      <c r="AT242" s="46">
        <v>6</v>
      </c>
      <c r="AU242" s="46" t="b">
        <v>1</v>
      </c>
      <c r="AV242" s="46" t="b">
        <v>0</v>
      </c>
    </row>
    <row r="243" spans="2:48">
      <c r="B243" s="46" t="s">
        <v>665</v>
      </c>
      <c r="C243" s="46" t="s">
        <v>666</v>
      </c>
      <c r="D243" s="46">
        <v>20240201</v>
      </c>
      <c r="E243" s="46">
        <v>2024</v>
      </c>
      <c r="F243" s="46">
        <v>2</v>
      </c>
      <c r="G243" s="46" t="s">
        <v>687</v>
      </c>
      <c r="H243" s="46">
        <v>818</v>
      </c>
      <c r="I243" s="46" t="s">
        <v>668</v>
      </c>
      <c r="J243" s="46" t="s">
        <v>57</v>
      </c>
      <c r="K243" s="46" t="s">
        <v>666</v>
      </c>
      <c r="L243" s="46" t="s">
        <v>669</v>
      </c>
      <c r="M243" s="46">
        <v>699</v>
      </c>
      <c r="N243" s="46" t="s">
        <v>748</v>
      </c>
      <c r="O243" s="46" t="s">
        <v>0</v>
      </c>
      <c r="P243" s="46">
        <v>0</v>
      </c>
      <c r="Q243" s="46" t="s">
        <v>670</v>
      </c>
      <c r="R243" s="46" t="s">
        <v>23</v>
      </c>
      <c r="S243" s="46" t="s">
        <v>671</v>
      </c>
      <c r="T243" s="46" t="s">
        <v>672</v>
      </c>
      <c r="U243" s="46" t="b">
        <v>1</v>
      </c>
      <c r="V243" s="46" t="s">
        <v>1028</v>
      </c>
      <c r="W243" s="46" t="s">
        <v>1027</v>
      </c>
      <c r="X243" s="46">
        <v>6</v>
      </c>
      <c r="Y243" s="46" t="b">
        <v>1</v>
      </c>
      <c r="Z243" s="46" t="s">
        <v>675</v>
      </c>
      <c r="AA243" s="46" t="s">
        <v>676</v>
      </c>
      <c r="AB243" s="46" t="s">
        <v>677</v>
      </c>
      <c r="AC243" s="46">
        <v>0</v>
      </c>
      <c r="AD243" s="46" t="s">
        <v>678</v>
      </c>
      <c r="AE243" s="46">
        <v>8</v>
      </c>
      <c r="AF243" s="46" t="s">
        <v>679</v>
      </c>
      <c r="AG243" s="46">
        <v>1048.204</v>
      </c>
      <c r="AH243" s="46" t="b">
        <v>1</v>
      </c>
      <c r="AI243" s="46">
        <v>-1</v>
      </c>
      <c r="AJ243" s="46" t="s">
        <v>680</v>
      </c>
      <c r="AK243" s="46">
        <v>0</v>
      </c>
      <c r="AL243" s="46" t="b">
        <v>0</v>
      </c>
      <c r="AM243" s="46">
        <v>1048.204</v>
      </c>
      <c r="AN243" s="46" t="b">
        <v>1</v>
      </c>
      <c r="AO243" s="46">
        <v>0</v>
      </c>
      <c r="AP243" s="46" t="b">
        <v>0</v>
      </c>
      <c r="AQ243" s="46">
        <v>6695.07</v>
      </c>
      <c r="AS243" s="46">
        <v>6695.07</v>
      </c>
      <c r="AT243" s="46">
        <v>6</v>
      </c>
      <c r="AU243" s="46" t="b">
        <v>1</v>
      </c>
      <c r="AV243" s="46" t="b">
        <v>0</v>
      </c>
    </row>
    <row r="244" spans="2:48">
      <c r="B244" s="46" t="s">
        <v>665</v>
      </c>
      <c r="C244" s="46" t="s">
        <v>666</v>
      </c>
      <c r="D244" s="46">
        <v>20240201</v>
      </c>
      <c r="E244" s="46">
        <v>2024</v>
      </c>
      <c r="F244" s="46">
        <v>2</v>
      </c>
      <c r="G244" s="46" t="s">
        <v>687</v>
      </c>
      <c r="H244" s="46">
        <v>818</v>
      </c>
      <c r="I244" s="46" t="s">
        <v>668</v>
      </c>
      <c r="J244" s="46" t="s">
        <v>57</v>
      </c>
      <c r="K244" s="46" t="s">
        <v>666</v>
      </c>
      <c r="L244" s="46" t="s">
        <v>669</v>
      </c>
      <c r="M244" s="46">
        <v>704</v>
      </c>
      <c r="N244" s="46" t="s">
        <v>756</v>
      </c>
      <c r="O244" s="46" t="s">
        <v>59</v>
      </c>
      <c r="P244" s="46">
        <v>0</v>
      </c>
      <c r="Q244" s="46" t="s">
        <v>670</v>
      </c>
      <c r="R244" s="46" t="s">
        <v>23</v>
      </c>
      <c r="S244" s="46" t="s">
        <v>671</v>
      </c>
      <c r="T244" s="46" t="s">
        <v>672</v>
      </c>
      <c r="U244" s="46" t="b">
        <v>1</v>
      </c>
      <c r="V244" s="46" t="s">
        <v>1028</v>
      </c>
      <c r="W244" s="46" t="s">
        <v>1027</v>
      </c>
      <c r="X244" s="46">
        <v>6</v>
      </c>
      <c r="Y244" s="46" t="b">
        <v>1</v>
      </c>
      <c r="Z244" s="46" t="s">
        <v>675</v>
      </c>
      <c r="AA244" s="46" t="s">
        <v>676</v>
      </c>
      <c r="AB244" s="46" t="s">
        <v>677</v>
      </c>
      <c r="AC244" s="46">
        <v>0</v>
      </c>
      <c r="AD244" s="46" t="s">
        <v>678</v>
      </c>
      <c r="AE244" s="46">
        <v>8</v>
      </c>
      <c r="AF244" s="46" t="s">
        <v>679</v>
      </c>
      <c r="AG244" s="46">
        <v>25225.617999999999</v>
      </c>
      <c r="AH244" s="46" t="b">
        <v>1</v>
      </c>
      <c r="AI244" s="46">
        <v>-1</v>
      </c>
      <c r="AJ244" s="46" t="s">
        <v>680</v>
      </c>
      <c r="AK244" s="46">
        <v>0</v>
      </c>
      <c r="AL244" s="46" t="b">
        <v>0</v>
      </c>
      <c r="AM244" s="46">
        <v>25225.617999999999</v>
      </c>
      <c r="AN244" s="46" t="b">
        <v>1</v>
      </c>
      <c r="AO244" s="46">
        <v>0</v>
      </c>
      <c r="AP244" s="46" t="b">
        <v>0</v>
      </c>
      <c r="AQ244" s="46">
        <v>161120.579</v>
      </c>
      <c r="AS244" s="46">
        <v>161120.579</v>
      </c>
      <c r="AT244" s="46">
        <v>6</v>
      </c>
      <c r="AU244" s="46" t="b">
        <v>1</v>
      </c>
      <c r="AV244" s="46" t="b">
        <v>0</v>
      </c>
    </row>
    <row r="245" spans="2:48">
      <c r="B245" s="46" t="s">
        <v>665</v>
      </c>
      <c r="C245" s="46" t="s">
        <v>666</v>
      </c>
      <c r="D245" s="46">
        <v>20240201</v>
      </c>
      <c r="E245" s="46">
        <v>2024</v>
      </c>
      <c r="F245" s="46">
        <v>2</v>
      </c>
      <c r="G245" s="46" t="s">
        <v>687</v>
      </c>
      <c r="H245" s="46">
        <v>818</v>
      </c>
      <c r="I245" s="46" t="s">
        <v>668</v>
      </c>
      <c r="J245" s="46" t="s">
        <v>57</v>
      </c>
      <c r="K245" s="46" t="s">
        <v>666</v>
      </c>
      <c r="L245" s="46" t="s">
        <v>669</v>
      </c>
      <c r="M245" s="46">
        <v>724</v>
      </c>
      <c r="N245" s="46" t="s">
        <v>684</v>
      </c>
      <c r="O245" s="46" t="s">
        <v>51</v>
      </c>
      <c r="P245" s="46">
        <v>0</v>
      </c>
      <c r="Q245" s="46" t="s">
        <v>670</v>
      </c>
      <c r="R245" s="46" t="s">
        <v>23</v>
      </c>
      <c r="S245" s="46" t="s">
        <v>671</v>
      </c>
      <c r="T245" s="46" t="s">
        <v>672</v>
      </c>
      <c r="U245" s="46" t="b">
        <v>1</v>
      </c>
      <c r="V245" s="46" t="s">
        <v>1028</v>
      </c>
      <c r="W245" s="46" t="s">
        <v>1027</v>
      </c>
      <c r="X245" s="46">
        <v>6</v>
      </c>
      <c r="Y245" s="46" t="b">
        <v>1</v>
      </c>
      <c r="Z245" s="46" t="s">
        <v>675</v>
      </c>
      <c r="AA245" s="46" t="s">
        <v>676</v>
      </c>
      <c r="AB245" s="46" t="s">
        <v>677</v>
      </c>
      <c r="AC245" s="46">
        <v>0</v>
      </c>
      <c r="AD245" s="46" t="s">
        <v>678</v>
      </c>
      <c r="AE245" s="46">
        <v>8</v>
      </c>
      <c r="AF245" s="46" t="s">
        <v>679</v>
      </c>
      <c r="AG245" s="46">
        <v>23227.279999999999</v>
      </c>
      <c r="AH245" s="46" t="b">
        <v>1</v>
      </c>
      <c r="AI245" s="46">
        <v>-1</v>
      </c>
      <c r="AJ245" s="46" t="s">
        <v>680</v>
      </c>
      <c r="AK245" s="46">
        <v>0</v>
      </c>
      <c r="AL245" s="46" t="b">
        <v>0</v>
      </c>
      <c r="AM245" s="46">
        <v>23227.279999999999</v>
      </c>
      <c r="AN245" s="46" t="b">
        <v>1</v>
      </c>
      <c r="AO245" s="46">
        <v>0</v>
      </c>
      <c r="AP245" s="46" t="b">
        <v>0</v>
      </c>
      <c r="AQ245" s="46">
        <v>148356.83199999999</v>
      </c>
      <c r="AS245" s="46">
        <v>148356.83199999999</v>
      </c>
      <c r="AT245" s="46">
        <v>6</v>
      </c>
      <c r="AU245" s="46" t="b">
        <v>1</v>
      </c>
      <c r="AV245" s="46" t="b">
        <v>0</v>
      </c>
    </row>
    <row r="246" spans="2:48">
      <c r="B246" s="46" t="s">
        <v>665</v>
      </c>
      <c r="C246" s="46" t="s">
        <v>666</v>
      </c>
      <c r="D246" s="46">
        <v>20240201</v>
      </c>
      <c r="E246" s="46">
        <v>2024</v>
      </c>
      <c r="F246" s="46">
        <v>2</v>
      </c>
      <c r="G246" s="46" t="s">
        <v>687</v>
      </c>
      <c r="H246" s="46">
        <v>818</v>
      </c>
      <c r="I246" s="46" t="s">
        <v>668</v>
      </c>
      <c r="J246" s="46" t="s">
        <v>57</v>
      </c>
      <c r="K246" s="46" t="s">
        <v>666</v>
      </c>
      <c r="L246" s="46" t="s">
        <v>669</v>
      </c>
      <c r="M246" s="46">
        <v>490</v>
      </c>
      <c r="N246" s="46" t="s">
        <v>762</v>
      </c>
      <c r="O246" s="46" t="s">
        <v>763</v>
      </c>
      <c r="P246" s="46">
        <v>0</v>
      </c>
      <c r="Q246" s="46" t="s">
        <v>670</v>
      </c>
      <c r="R246" s="46" t="s">
        <v>23</v>
      </c>
      <c r="S246" s="46" t="s">
        <v>671</v>
      </c>
      <c r="T246" s="46" t="s">
        <v>672</v>
      </c>
      <c r="U246" s="46" t="b">
        <v>1</v>
      </c>
      <c r="V246" s="46" t="s">
        <v>1028</v>
      </c>
      <c r="W246" s="46" t="s">
        <v>1027</v>
      </c>
      <c r="X246" s="46">
        <v>6</v>
      </c>
      <c r="Y246" s="46" t="b">
        <v>1</v>
      </c>
      <c r="Z246" s="46" t="s">
        <v>675</v>
      </c>
      <c r="AA246" s="46" t="s">
        <v>676</v>
      </c>
      <c r="AB246" s="46" t="s">
        <v>677</v>
      </c>
      <c r="AC246" s="46">
        <v>0</v>
      </c>
      <c r="AD246" s="46" t="s">
        <v>678</v>
      </c>
      <c r="AE246" s="46">
        <v>8</v>
      </c>
      <c r="AF246" s="46" t="s">
        <v>679</v>
      </c>
      <c r="AG246" s="46">
        <v>449.84199999999998</v>
      </c>
      <c r="AH246" s="46" t="b">
        <v>1</v>
      </c>
      <c r="AI246" s="46">
        <v>-1</v>
      </c>
      <c r="AJ246" s="46" t="s">
        <v>680</v>
      </c>
      <c r="AK246" s="46">
        <v>0</v>
      </c>
      <c r="AL246" s="46" t="b">
        <v>0</v>
      </c>
      <c r="AM246" s="46">
        <v>449.84199999999998</v>
      </c>
      <c r="AN246" s="46" t="b">
        <v>1</v>
      </c>
      <c r="AO246" s="46">
        <v>0</v>
      </c>
      <c r="AP246" s="46" t="b">
        <v>0</v>
      </c>
      <c r="AQ246" s="46">
        <v>2873.223</v>
      </c>
      <c r="AS246" s="46">
        <v>2873.223</v>
      </c>
      <c r="AT246" s="46">
        <v>6</v>
      </c>
      <c r="AU246" s="46" t="b">
        <v>1</v>
      </c>
      <c r="AV246" s="46" t="b">
        <v>0</v>
      </c>
    </row>
    <row r="247" spans="2:48">
      <c r="B247" s="46" t="s">
        <v>665</v>
      </c>
      <c r="C247" s="46" t="s">
        <v>666</v>
      </c>
      <c r="D247" s="46">
        <v>20240201</v>
      </c>
      <c r="E247" s="46">
        <v>2024</v>
      </c>
      <c r="F247" s="46">
        <v>2</v>
      </c>
      <c r="G247" s="46" t="s">
        <v>687</v>
      </c>
      <c r="H247" s="46">
        <v>818</v>
      </c>
      <c r="I247" s="46" t="s">
        <v>668</v>
      </c>
      <c r="J247" s="46" t="s">
        <v>57</v>
      </c>
      <c r="K247" s="46" t="s">
        <v>666</v>
      </c>
      <c r="L247" s="46" t="s">
        <v>669</v>
      </c>
      <c r="M247" s="46">
        <v>404</v>
      </c>
      <c r="N247" s="46" t="s">
        <v>712</v>
      </c>
      <c r="O247" s="46" t="s">
        <v>117</v>
      </c>
      <c r="P247" s="46">
        <v>0</v>
      </c>
      <c r="Q247" s="46" t="s">
        <v>670</v>
      </c>
      <c r="R247" s="46" t="s">
        <v>23</v>
      </c>
      <c r="S247" s="46" t="s">
        <v>671</v>
      </c>
      <c r="T247" s="46" t="s">
        <v>672</v>
      </c>
      <c r="U247" s="46" t="b">
        <v>1</v>
      </c>
      <c r="V247" s="46" t="s">
        <v>1028</v>
      </c>
      <c r="W247" s="46" t="s">
        <v>1027</v>
      </c>
      <c r="X247" s="46">
        <v>6</v>
      </c>
      <c r="Y247" s="46" t="b">
        <v>1</v>
      </c>
      <c r="Z247" s="46" t="s">
        <v>675</v>
      </c>
      <c r="AA247" s="46" t="s">
        <v>676</v>
      </c>
      <c r="AB247" s="46" t="s">
        <v>677</v>
      </c>
      <c r="AC247" s="46">
        <v>0</v>
      </c>
      <c r="AD247" s="46" t="s">
        <v>678</v>
      </c>
      <c r="AE247" s="46">
        <v>8</v>
      </c>
      <c r="AF247" s="46" t="s">
        <v>679</v>
      </c>
      <c r="AG247" s="46">
        <v>3.1469999999999998</v>
      </c>
      <c r="AH247" s="46" t="b">
        <v>1</v>
      </c>
      <c r="AI247" s="46">
        <v>-1</v>
      </c>
      <c r="AJ247" s="46" t="s">
        <v>680</v>
      </c>
      <c r="AK247" s="46">
        <v>0</v>
      </c>
      <c r="AL247" s="46" t="b">
        <v>0</v>
      </c>
      <c r="AM247" s="46">
        <v>3.1469999999999998</v>
      </c>
      <c r="AN247" s="46" t="b">
        <v>1</v>
      </c>
      <c r="AO247" s="46">
        <v>0</v>
      </c>
      <c r="AP247" s="46" t="b">
        <v>0</v>
      </c>
      <c r="AQ247" s="46">
        <v>20.100000000000001</v>
      </c>
      <c r="AS247" s="46">
        <v>20.100000000000001</v>
      </c>
      <c r="AT247" s="46">
        <v>6</v>
      </c>
      <c r="AU247" s="46" t="b">
        <v>1</v>
      </c>
      <c r="AV247" s="46" t="b">
        <v>0</v>
      </c>
    </row>
    <row r="248" spans="2:48">
      <c r="B248" s="46" t="s">
        <v>665</v>
      </c>
      <c r="C248" s="46" t="s">
        <v>666</v>
      </c>
      <c r="D248" s="46">
        <v>20240201</v>
      </c>
      <c r="E248" s="46">
        <v>2024</v>
      </c>
      <c r="F248" s="46">
        <v>2</v>
      </c>
      <c r="G248" s="46" t="s">
        <v>687</v>
      </c>
      <c r="H248" s="46">
        <v>818</v>
      </c>
      <c r="I248" s="46" t="s">
        <v>668</v>
      </c>
      <c r="J248" s="46" t="s">
        <v>57</v>
      </c>
      <c r="K248" s="46" t="s">
        <v>666</v>
      </c>
      <c r="L248" s="46" t="s">
        <v>669</v>
      </c>
      <c r="M248" s="46">
        <v>376</v>
      </c>
      <c r="N248" s="46" t="s">
        <v>991</v>
      </c>
      <c r="O248" s="46" t="s">
        <v>100</v>
      </c>
      <c r="P248" s="46">
        <v>0</v>
      </c>
      <c r="Q248" s="46" t="s">
        <v>670</v>
      </c>
      <c r="R248" s="46" t="s">
        <v>23</v>
      </c>
      <c r="S248" s="46" t="s">
        <v>671</v>
      </c>
      <c r="T248" s="46" t="s">
        <v>672</v>
      </c>
      <c r="U248" s="46" t="b">
        <v>1</v>
      </c>
      <c r="V248" s="46" t="s">
        <v>1028</v>
      </c>
      <c r="W248" s="46" t="s">
        <v>1027</v>
      </c>
      <c r="X248" s="46">
        <v>6</v>
      </c>
      <c r="Y248" s="46" t="b">
        <v>1</v>
      </c>
      <c r="Z248" s="46" t="s">
        <v>675</v>
      </c>
      <c r="AA248" s="46" t="s">
        <v>676</v>
      </c>
      <c r="AB248" s="46" t="s">
        <v>677</v>
      </c>
      <c r="AC248" s="46">
        <v>0</v>
      </c>
      <c r="AD248" s="46" t="s">
        <v>678</v>
      </c>
      <c r="AE248" s="46">
        <v>8</v>
      </c>
      <c r="AF248" s="46" t="s">
        <v>679</v>
      </c>
      <c r="AG248" s="46">
        <v>9964.1659999999993</v>
      </c>
      <c r="AH248" s="46" t="b">
        <v>1</v>
      </c>
      <c r="AI248" s="46">
        <v>-1</v>
      </c>
      <c r="AJ248" s="46" t="s">
        <v>680</v>
      </c>
      <c r="AK248" s="46">
        <v>0</v>
      </c>
      <c r="AL248" s="46" t="b">
        <v>0</v>
      </c>
      <c r="AM248" s="46">
        <v>9964.1659999999993</v>
      </c>
      <c r="AN248" s="46" t="b">
        <v>1</v>
      </c>
      <c r="AO248" s="46">
        <v>0</v>
      </c>
      <c r="AP248" s="46" t="b">
        <v>0</v>
      </c>
      <c r="AQ248" s="46">
        <v>63642.93</v>
      </c>
      <c r="AS248" s="46">
        <v>63642.93</v>
      </c>
      <c r="AT248" s="46">
        <v>6</v>
      </c>
      <c r="AU248" s="46" t="b">
        <v>1</v>
      </c>
      <c r="AV248" s="46" t="b">
        <v>0</v>
      </c>
    </row>
    <row r="249" spans="2:48">
      <c r="B249" s="46" t="s">
        <v>665</v>
      </c>
      <c r="C249" s="46" t="s">
        <v>666</v>
      </c>
      <c r="D249" s="46">
        <v>20240201</v>
      </c>
      <c r="E249" s="46">
        <v>2024</v>
      </c>
      <c r="F249" s="46">
        <v>2</v>
      </c>
      <c r="G249" s="46" t="s">
        <v>687</v>
      </c>
      <c r="H249" s="46">
        <v>818</v>
      </c>
      <c r="I249" s="46" t="s">
        <v>668</v>
      </c>
      <c r="J249" s="46" t="s">
        <v>57</v>
      </c>
      <c r="K249" s="46" t="s">
        <v>666</v>
      </c>
      <c r="L249" s="46" t="s">
        <v>669</v>
      </c>
      <c r="M249" s="46">
        <v>380</v>
      </c>
      <c r="N249" s="46" t="s">
        <v>689</v>
      </c>
      <c r="O249" s="46" t="s">
        <v>71</v>
      </c>
      <c r="P249" s="46">
        <v>0</v>
      </c>
      <c r="Q249" s="46" t="s">
        <v>670</v>
      </c>
      <c r="R249" s="46" t="s">
        <v>23</v>
      </c>
      <c r="S249" s="46" t="s">
        <v>671</v>
      </c>
      <c r="T249" s="46" t="s">
        <v>672</v>
      </c>
      <c r="U249" s="46" t="b">
        <v>1</v>
      </c>
      <c r="V249" s="46" t="s">
        <v>1028</v>
      </c>
      <c r="W249" s="46" t="s">
        <v>1027</v>
      </c>
      <c r="X249" s="46">
        <v>6</v>
      </c>
      <c r="Y249" s="46" t="b">
        <v>1</v>
      </c>
      <c r="Z249" s="46" t="s">
        <v>675</v>
      </c>
      <c r="AA249" s="46" t="s">
        <v>676</v>
      </c>
      <c r="AB249" s="46" t="s">
        <v>677</v>
      </c>
      <c r="AC249" s="46">
        <v>0</v>
      </c>
      <c r="AD249" s="46" t="s">
        <v>678</v>
      </c>
      <c r="AE249" s="46">
        <v>8</v>
      </c>
      <c r="AF249" s="46" t="s">
        <v>679</v>
      </c>
      <c r="AG249" s="46">
        <v>29714.654999999999</v>
      </c>
      <c r="AH249" s="46" t="b">
        <v>1</v>
      </c>
      <c r="AI249" s="46">
        <v>-1</v>
      </c>
      <c r="AJ249" s="46" t="s">
        <v>680</v>
      </c>
      <c r="AK249" s="46">
        <v>0</v>
      </c>
      <c r="AL249" s="46" t="b">
        <v>0</v>
      </c>
      <c r="AM249" s="46">
        <v>29714.654999999999</v>
      </c>
      <c r="AN249" s="46" t="b">
        <v>1</v>
      </c>
      <c r="AO249" s="46">
        <v>0</v>
      </c>
      <c r="AP249" s="46" t="b">
        <v>0</v>
      </c>
      <c r="AQ249" s="46">
        <v>189792.86900000001</v>
      </c>
      <c r="AS249" s="46">
        <v>189792.86900000001</v>
      </c>
      <c r="AT249" s="46">
        <v>6</v>
      </c>
      <c r="AU249" s="46" t="b">
        <v>1</v>
      </c>
      <c r="AV249" s="46" t="b">
        <v>0</v>
      </c>
    </row>
    <row r="250" spans="2:48">
      <c r="B250" s="46" t="s">
        <v>665</v>
      </c>
      <c r="C250" s="46" t="s">
        <v>666</v>
      </c>
      <c r="D250" s="46">
        <v>20240201</v>
      </c>
      <c r="E250" s="46">
        <v>2024</v>
      </c>
      <c r="F250" s="46">
        <v>2</v>
      </c>
      <c r="G250" s="46" t="s">
        <v>687</v>
      </c>
      <c r="H250" s="46">
        <v>818</v>
      </c>
      <c r="I250" s="46" t="s">
        <v>668</v>
      </c>
      <c r="J250" s="46" t="s">
        <v>57</v>
      </c>
      <c r="K250" s="46" t="s">
        <v>666</v>
      </c>
      <c r="L250" s="46" t="s">
        <v>669</v>
      </c>
      <c r="M250" s="46">
        <v>251</v>
      </c>
      <c r="N250" s="46" t="s">
        <v>688</v>
      </c>
      <c r="O250" s="46" t="s">
        <v>69</v>
      </c>
      <c r="P250" s="46">
        <v>0</v>
      </c>
      <c r="Q250" s="46" t="s">
        <v>670</v>
      </c>
      <c r="R250" s="46" t="s">
        <v>23</v>
      </c>
      <c r="S250" s="46" t="s">
        <v>671</v>
      </c>
      <c r="T250" s="46" t="s">
        <v>672</v>
      </c>
      <c r="U250" s="46" t="b">
        <v>1</v>
      </c>
      <c r="V250" s="46" t="s">
        <v>1028</v>
      </c>
      <c r="W250" s="46" t="s">
        <v>1027</v>
      </c>
      <c r="X250" s="46">
        <v>6</v>
      </c>
      <c r="Y250" s="46" t="b">
        <v>1</v>
      </c>
      <c r="Z250" s="46" t="s">
        <v>675</v>
      </c>
      <c r="AA250" s="46" t="s">
        <v>676</v>
      </c>
      <c r="AB250" s="46" t="s">
        <v>677</v>
      </c>
      <c r="AC250" s="46">
        <v>0</v>
      </c>
      <c r="AD250" s="46" t="s">
        <v>678</v>
      </c>
      <c r="AE250" s="46">
        <v>8</v>
      </c>
      <c r="AF250" s="46" t="s">
        <v>679</v>
      </c>
      <c r="AG250" s="46">
        <v>1562.7059999999999</v>
      </c>
      <c r="AH250" s="46" t="b">
        <v>1</v>
      </c>
      <c r="AI250" s="46">
        <v>-1</v>
      </c>
      <c r="AJ250" s="46" t="s">
        <v>680</v>
      </c>
      <c r="AK250" s="46">
        <v>0</v>
      </c>
      <c r="AL250" s="46" t="b">
        <v>0</v>
      </c>
      <c r="AM250" s="46">
        <v>1562.7059999999999</v>
      </c>
      <c r="AN250" s="46" t="b">
        <v>1</v>
      </c>
      <c r="AO250" s="46">
        <v>0</v>
      </c>
      <c r="AP250" s="46" t="b">
        <v>0</v>
      </c>
      <c r="AQ250" s="46">
        <v>9981.2870000000003</v>
      </c>
      <c r="AS250" s="46">
        <v>9981.2870000000003</v>
      </c>
      <c r="AT250" s="46">
        <v>6</v>
      </c>
      <c r="AU250" s="46" t="b">
        <v>1</v>
      </c>
      <c r="AV250" s="46" t="b">
        <v>0</v>
      </c>
    </row>
    <row r="251" spans="2:48">
      <c r="B251" s="46" t="s">
        <v>665</v>
      </c>
      <c r="C251" s="46" t="s">
        <v>666</v>
      </c>
      <c r="D251" s="46">
        <v>20240201</v>
      </c>
      <c r="E251" s="46">
        <v>2024</v>
      </c>
      <c r="F251" s="46">
        <v>2</v>
      </c>
      <c r="G251" s="46" t="s">
        <v>687</v>
      </c>
      <c r="H251" s="46">
        <v>818</v>
      </c>
      <c r="I251" s="46" t="s">
        <v>668</v>
      </c>
      <c r="J251" s="46" t="s">
        <v>57</v>
      </c>
      <c r="K251" s="46" t="s">
        <v>666</v>
      </c>
      <c r="L251" s="46" t="s">
        <v>669</v>
      </c>
      <c r="M251" s="46">
        <v>156</v>
      </c>
      <c r="N251" s="46" t="s">
        <v>711</v>
      </c>
      <c r="O251" s="46" t="s">
        <v>29</v>
      </c>
      <c r="P251" s="46">
        <v>0</v>
      </c>
      <c r="Q251" s="46" t="s">
        <v>670</v>
      </c>
      <c r="R251" s="46" t="s">
        <v>23</v>
      </c>
      <c r="S251" s="46" t="s">
        <v>671</v>
      </c>
      <c r="T251" s="46" t="s">
        <v>672</v>
      </c>
      <c r="U251" s="46" t="b">
        <v>1</v>
      </c>
      <c r="V251" s="46" t="s">
        <v>1028</v>
      </c>
      <c r="W251" s="46" t="s">
        <v>1027</v>
      </c>
      <c r="X251" s="46">
        <v>6</v>
      </c>
      <c r="Y251" s="46" t="b">
        <v>1</v>
      </c>
      <c r="Z251" s="46" t="s">
        <v>675</v>
      </c>
      <c r="AA251" s="46" t="s">
        <v>676</v>
      </c>
      <c r="AB251" s="46" t="s">
        <v>677</v>
      </c>
      <c r="AC251" s="46">
        <v>0</v>
      </c>
      <c r="AD251" s="46" t="s">
        <v>678</v>
      </c>
      <c r="AE251" s="46">
        <v>8</v>
      </c>
      <c r="AF251" s="46" t="s">
        <v>679</v>
      </c>
      <c r="AG251" s="46">
        <v>18980.996999999999</v>
      </c>
      <c r="AH251" s="46" t="b">
        <v>1</v>
      </c>
      <c r="AI251" s="46">
        <v>-1</v>
      </c>
      <c r="AJ251" s="46" t="s">
        <v>680</v>
      </c>
      <c r="AK251" s="46">
        <v>0</v>
      </c>
      <c r="AL251" s="46" t="b">
        <v>0</v>
      </c>
      <c r="AM251" s="46">
        <v>18980.996999999999</v>
      </c>
      <c r="AN251" s="46" t="b">
        <v>1</v>
      </c>
      <c r="AO251" s="46">
        <v>0</v>
      </c>
      <c r="AP251" s="46" t="b">
        <v>0</v>
      </c>
      <c r="AQ251" s="46">
        <v>121235.061</v>
      </c>
      <c r="AS251" s="46">
        <v>121235.061</v>
      </c>
      <c r="AT251" s="46">
        <v>6</v>
      </c>
      <c r="AU251" s="46" t="b">
        <v>1</v>
      </c>
      <c r="AV251" s="46" t="b">
        <v>0</v>
      </c>
    </row>
    <row r="252" spans="2:48">
      <c r="B252" s="46" t="s">
        <v>665</v>
      </c>
      <c r="C252" s="46" t="s">
        <v>666</v>
      </c>
      <c r="D252" s="46">
        <v>20240201</v>
      </c>
      <c r="E252" s="46">
        <v>2024</v>
      </c>
      <c r="F252" s="46">
        <v>2</v>
      </c>
      <c r="G252" s="46" t="s">
        <v>687</v>
      </c>
      <c r="H252" s="46">
        <v>818</v>
      </c>
      <c r="I252" s="46" t="s">
        <v>668</v>
      </c>
      <c r="J252" s="46" t="s">
        <v>57</v>
      </c>
      <c r="K252" s="46" t="s">
        <v>666</v>
      </c>
      <c r="L252" s="46" t="s">
        <v>669</v>
      </c>
      <c r="M252" s="46">
        <v>144</v>
      </c>
      <c r="N252" s="46" t="s">
        <v>1029</v>
      </c>
      <c r="O252" s="46" t="s">
        <v>94</v>
      </c>
      <c r="P252" s="46">
        <v>0</v>
      </c>
      <c r="Q252" s="46" t="s">
        <v>670</v>
      </c>
      <c r="R252" s="46" t="s">
        <v>23</v>
      </c>
      <c r="S252" s="46" t="s">
        <v>671</v>
      </c>
      <c r="T252" s="46" t="s">
        <v>672</v>
      </c>
      <c r="U252" s="46" t="b">
        <v>1</v>
      </c>
      <c r="V252" s="46" t="s">
        <v>1028</v>
      </c>
      <c r="W252" s="46" t="s">
        <v>1027</v>
      </c>
      <c r="X252" s="46">
        <v>6</v>
      </c>
      <c r="Y252" s="46" t="b">
        <v>1</v>
      </c>
      <c r="Z252" s="46" t="s">
        <v>675</v>
      </c>
      <c r="AA252" s="46" t="s">
        <v>676</v>
      </c>
      <c r="AB252" s="46" t="s">
        <v>677</v>
      </c>
      <c r="AC252" s="46">
        <v>0</v>
      </c>
      <c r="AD252" s="46" t="s">
        <v>678</v>
      </c>
      <c r="AE252" s="46">
        <v>8</v>
      </c>
      <c r="AF252" s="46" t="s">
        <v>679</v>
      </c>
      <c r="AG252" s="46">
        <v>119.10299999999999</v>
      </c>
      <c r="AH252" s="46" t="b">
        <v>1</v>
      </c>
      <c r="AI252" s="46">
        <v>-1</v>
      </c>
      <c r="AJ252" s="46" t="s">
        <v>680</v>
      </c>
      <c r="AK252" s="46">
        <v>0</v>
      </c>
      <c r="AL252" s="46" t="b">
        <v>0</v>
      </c>
      <c r="AM252" s="46">
        <v>119.10299999999999</v>
      </c>
      <c r="AN252" s="46" t="b">
        <v>1</v>
      </c>
      <c r="AO252" s="46">
        <v>0</v>
      </c>
      <c r="AP252" s="46" t="b">
        <v>0</v>
      </c>
      <c r="AQ252" s="46">
        <v>760.73500000000001</v>
      </c>
      <c r="AS252" s="46">
        <v>760.73500000000001</v>
      </c>
      <c r="AT252" s="46">
        <v>6</v>
      </c>
      <c r="AU252" s="46" t="b">
        <v>1</v>
      </c>
      <c r="AV252" s="46" t="b">
        <v>0</v>
      </c>
    </row>
    <row r="253" spans="2:48">
      <c r="B253" s="46" t="s">
        <v>665</v>
      </c>
      <c r="C253" s="46" t="s">
        <v>666</v>
      </c>
      <c r="D253" s="46">
        <v>20240201</v>
      </c>
      <c r="E253" s="46">
        <v>2024</v>
      </c>
      <c r="F253" s="46">
        <v>2</v>
      </c>
      <c r="G253" s="46" t="s">
        <v>687</v>
      </c>
      <c r="H253" s="46">
        <v>818</v>
      </c>
      <c r="I253" s="46" t="s">
        <v>668</v>
      </c>
      <c r="J253" s="46" t="s">
        <v>57</v>
      </c>
      <c r="K253" s="46" t="s">
        <v>666</v>
      </c>
      <c r="L253" s="46" t="s">
        <v>669</v>
      </c>
      <c r="M253" s="46">
        <v>40</v>
      </c>
      <c r="N253" s="46" t="s">
        <v>750</v>
      </c>
      <c r="O253" s="46" t="s">
        <v>43</v>
      </c>
      <c r="P253" s="46">
        <v>0</v>
      </c>
      <c r="Q253" s="46" t="s">
        <v>670</v>
      </c>
      <c r="R253" s="46" t="s">
        <v>23</v>
      </c>
      <c r="S253" s="46" t="s">
        <v>671</v>
      </c>
      <c r="T253" s="46" t="s">
        <v>672</v>
      </c>
      <c r="U253" s="46" t="b">
        <v>1</v>
      </c>
      <c r="V253" s="46" t="s">
        <v>1028</v>
      </c>
      <c r="W253" s="46" t="s">
        <v>1027</v>
      </c>
      <c r="X253" s="46">
        <v>6</v>
      </c>
      <c r="Y253" s="46" t="b">
        <v>1</v>
      </c>
      <c r="Z253" s="46" t="s">
        <v>675</v>
      </c>
      <c r="AA253" s="46" t="s">
        <v>676</v>
      </c>
      <c r="AB253" s="46" t="s">
        <v>677</v>
      </c>
      <c r="AC253" s="46">
        <v>0</v>
      </c>
      <c r="AD253" s="46" t="s">
        <v>678</v>
      </c>
      <c r="AE253" s="46">
        <v>8</v>
      </c>
      <c r="AF253" s="46" t="s">
        <v>679</v>
      </c>
      <c r="AG253" s="46">
        <v>2492.9180000000001</v>
      </c>
      <c r="AH253" s="46" t="b">
        <v>1</v>
      </c>
      <c r="AI253" s="46">
        <v>-1</v>
      </c>
      <c r="AJ253" s="46" t="s">
        <v>680</v>
      </c>
      <c r="AK253" s="46">
        <v>0</v>
      </c>
      <c r="AL253" s="46" t="b">
        <v>0</v>
      </c>
      <c r="AM253" s="46">
        <v>2492.9180000000001</v>
      </c>
      <c r="AN253" s="46" t="b">
        <v>1</v>
      </c>
      <c r="AO253" s="46">
        <v>0</v>
      </c>
      <c r="AP253" s="46" t="b">
        <v>0</v>
      </c>
      <c r="AQ253" s="46">
        <v>15922.717000000001</v>
      </c>
      <c r="AS253" s="46">
        <v>15922.717000000001</v>
      </c>
      <c r="AT253" s="46">
        <v>6</v>
      </c>
      <c r="AU253" s="46" t="b">
        <v>1</v>
      </c>
      <c r="AV253" s="46" t="b">
        <v>0</v>
      </c>
    </row>
    <row r="254" spans="2:48">
      <c r="B254" s="46" t="s">
        <v>665</v>
      </c>
      <c r="C254" s="46" t="s">
        <v>666</v>
      </c>
      <c r="D254" s="46">
        <v>20240201</v>
      </c>
      <c r="E254" s="46">
        <v>2024</v>
      </c>
      <c r="F254" s="46">
        <v>2</v>
      </c>
      <c r="G254" s="46" t="s">
        <v>687</v>
      </c>
      <c r="H254" s="46">
        <v>818</v>
      </c>
      <c r="I254" s="46" t="s">
        <v>668</v>
      </c>
      <c r="J254" s="46" t="s">
        <v>57</v>
      </c>
      <c r="K254" s="46" t="s">
        <v>666</v>
      </c>
      <c r="L254" s="46" t="s">
        <v>669</v>
      </c>
      <c r="M254" s="46">
        <v>0</v>
      </c>
      <c r="N254" s="46" t="s">
        <v>670</v>
      </c>
      <c r="O254" s="46" t="s">
        <v>23</v>
      </c>
      <c r="P254" s="46">
        <v>0</v>
      </c>
      <c r="Q254" s="46" t="s">
        <v>670</v>
      </c>
      <c r="R254" s="46" t="s">
        <v>23</v>
      </c>
      <c r="S254" s="46" t="s">
        <v>671</v>
      </c>
      <c r="T254" s="46" t="s">
        <v>672</v>
      </c>
      <c r="U254" s="46" t="b">
        <v>1</v>
      </c>
      <c r="V254" s="46" t="s">
        <v>1028</v>
      </c>
      <c r="W254" s="46" t="s">
        <v>1027</v>
      </c>
      <c r="X254" s="46">
        <v>6</v>
      </c>
      <c r="Y254" s="46" t="b">
        <v>1</v>
      </c>
      <c r="Z254" s="46" t="s">
        <v>675</v>
      </c>
      <c r="AA254" s="46" t="s">
        <v>676</v>
      </c>
      <c r="AB254" s="46" t="s">
        <v>677</v>
      </c>
      <c r="AC254" s="46">
        <v>0</v>
      </c>
      <c r="AD254" s="46" t="s">
        <v>678</v>
      </c>
      <c r="AE254" s="46">
        <v>8</v>
      </c>
      <c r="AF254" s="46" t="s">
        <v>679</v>
      </c>
      <c r="AG254" s="46">
        <v>155989.04500000001</v>
      </c>
      <c r="AH254" s="46" t="b">
        <v>1</v>
      </c>
      <c r="AI254" s="46">
        <v>-1</v>
      </c>
      <c r="AJ254" s="46" t="s">
        <v>680</v>
      </c>
      <c r="AK254" s="46">
        <v>0</v>
      </c>
      <c r="AL254" s="46" t="b">
        <v>0</v>
      </c>
      <c r="AM254" s="46">
        <v>155989.04500000001</v>
      </c>
      <c r="AN254" s="46" t="b">
        <v>1</v>
      </c>
      <c r="AO254" s="46">
        <v>0</v>
      </c>
      <c r="AP254" s="46" t="b">
        <v>0</v>
      </c>
      <c r="AQ254" s="46">
        <v>996330.21699999995</v>
      </c>
      <c r="AS254" s="46">
        <v>996330.21699999995</v>
      </c>
      <c r="AT254" s="46">
        <v>6</v>
      </c>
      <c r="AU254" s="46" t="b">
        <v>0</v>
      </c>
      <c r="AV254" s="46" t="b">
        <v>1</v>
      </c>
    </row>
    <row r="255" spans="2:48">
      <c r="B255" s="46" t="s">
        <v>665</v>
      </c>
      <c r="C255" s="46" t="s">
        <v>666</v>
      </c>
      <c r="D255" s="46">
        <v>20240201</v>
      </c>
      <c r="E255" s="46">
        <v>2024</v>
      </c>
      <c r="F255" s="46">
        <v>2</v>
      </c>
      <c r="G255" s="46" t="s">
        <v>687</v>
      </c>
      <c r="H255" s="46">
        <v>818</v>
      </c>
      <c r="I255" s="46" t="s">
        <v>668</v>
      </c>
      <c r="J255" s="46" t="s">
        <v>57</v>
      </c>
      <c r="K255" s="46" t="s">
        <v>666</v>
      </c>
      <c r="L255" s="46" t="s">
        <v>669</v>
      </c>
      <c r="M255" s="46">
        <v>348</v>
      </c>
      <c r="N255" s="46" t="s">
        <v>757</v>
      </c>
      <c r="O255" s="46" t="s">
        <v>82</v>
      </c>
      <c r="P255" s="46">
        <v>0</v>
      </c>
      <c r="Q255" s="46" t="s">
        <v>670</v>
      </c>
      <c r="R255" s="46" t="s">
        <v>23</v>
      </c>
      <c r="S255" s="46" t="s">
        <v>671</v>
      </c>
      <c r="T255" s="46" t="s">
        <v>672</v>
      </c>
      <c r="U255" s="46" t="b">
        <v>1</v>
      </c>
      <c r="V255" s="46" t="s">
        <v>1028</v>
      </c>
      <c r="W255" s="46" t="s">
        <v>1027</v>
      </c>
      <c r="X255" s="46">
        <v>6</v>
      </c>
      <c r="Y255" s="46" t="b">
        <v>1</v>
      </c>
      <c r="Z255" s="46" t="s">
        <v>675</v>
      </c>
      <c r="AA255" s="46" t="s">
        <v>676</v>
      </c>
      <c r="AB255" s="46" t="s">
        <v>677</v>
      </c>
      <c r="AC255" s="46">
        <v>0</v>
      </c>
      <c r="AD255" s="46" t="s">
        <v>678</v>
      </c>
      <c r="AE255" s="46">
        <v>8</v>
      </c>
      <c r="AF255" s="46" t="s">
        <v>679</v>
      </c>
      <c r="AG255" s="46">
        <v>735.81200000000001</v>
      </c>
      <c r="AH255" s="46" t="b">
        <v>1</v>
      </c>
      <c r="AI255" s="46">
        <v>-1</v>
      </c>
      <c r="AJ255" s="46" t="s">
        <v>680</v>
      </c>
      <c r="AK255" s="46">
        <v>0</v>
      </c>
      <c r="AL255" s="46" t="b">
        <v>0</v>
      </c>
      <c r="AM255" s="46">
        <v>735.81200000000001</v>
      </c>
      <c r="AN255" s="46" t="b">
        <v>1</v>
      </c>
      <c r="AO255" s="46">
        <v>0</v>
      </c>
      <c r="AP255" s="46" t="b">
        <v>0</v>
      </c>
      <c r="AQ255" s="46">
        <v>4699.7669999999998</v>
      </c>
      <c r="AS255" s="46">
        <v>4699.7669999999998</v>
      </c>
      <c r="AT255" s="46">
        <v>6</v>
      </c>
      <c r="AU255" s="46" t="b">
        <v>1</v>
      </c>
      <c r="AV255" s="46" t="b">
        <v>0</v>
      </c>
    </row>
    <row r="256" spans="2:48">
      <c r="B256" s="46" t="s">
        <v>665</v>
      </c>
      <c r="C256" s="46" t="s">
        <v>666</v>
      </c>
      <c r="D256" s="46">
        <v>20240301</v>
      </c>
      <c r="E256" s="46">
        <v>2024</v>
      </c>
      <c r="F256" s="46">
        <v>3</v>
      </c>
      <c r="G256" s="46" t="s">
        <v>692</v>
      </c>
      <c r="H256" s="46">
        <v>818</v>
      </c>
      <c r="I256" s="46" t="s">
        <v>668</v>
      </c>
      <c r="J256" s="46" t="s">
        <v>57</v>
      </c>
      <c r="K256" s="46" t="s">
        <v>666</v>
      </c>
      <c r="L256" s="46" t="s">
        <v>669</v>
      </c>
      <c r="M256" s="46">
        <v>344</v>
      </c>
      <c r="N256" s="46" t="s">
        <v>989</v>
      </c>
      <c r="O256" s="46" t="s">
        <v>990</v>
      </c>
      <c r="P256" s="46">
        <v>0</v>
      </c>
      <c r="Q256" s="46" t="s">
        <v>670</v>
      </c>
      <c r="R256" s="46" t="s">
        <v>23</v>
      </c>
      <c r="S256" s="46" t="s">
        <v>671</v>
      </c>
      <c r="T256" s="46" t="s">
        <v>672</v>
      </c>
      <c r="U256" s="46" t="b">
        <v>1</v>
      </c>
      <c r="V256" s="46" t="s">
        <v>1028</v>
      </c>
      <c r="W256" s="46" t="s">
        <v>1027</v>
      </c>
      <c r="X256" s="46">
        <v>6</v>
      </c>
      <c r="Y256" s="46" t="b">
        <v>1</v>
      </c>
      <c r="Z256" s="46" t="s">
        <v>675</v>
      </c>
      <c r="AA256" s="46" t="s">
        <v>676</v>
      </c>
      <c r="AB256" s="46" t="s">
        <v>677</v>
      </c>
      <c r="AC256" s="46">
        <v>0</v>
      </c>
      <c r="AD256" s="46" t="s">
        <v>678</v>
      </c>
      <c r="AE256" s="46">
        <v>8</v>
      </c>
      <c r="AF256" s="46" t="s">
        <v>679</v>
      </c>
      <c r="AG256" s="46">
        <v>311.89299999999997</v>
      </c>
      <c r="AH256" s="46" t="b">
        <v>1</v>
      </c>
      <c r="AI256" s="46">
        <v>-1</v>
      </c>
      <c r="AJ256" s="46" t="s">
        <v>680</v>
      </c>
      <c r="AK256" s="46">
        <v>0</v>
      </c>
      <c r="AL256" s="46" t="b">
        <v>0</v>
      </c>
      <c r="AM256" s="46">
        <v>311.89299999999997</v>
      </c>
      <c r="AN256" s="46" t="b">
        <v>1</v>
      </c>
      <c r="AO256" s="46">
        <v>0</v>
      </c>
      <c r="AP256" s="46" t="b">
        <v>0</v>
      </c>
      <c r="AQ256" s="46">
        <v>1992.114</v>
      </c>
      <c r="AS256" s="46">
        <v>1992.114</v>
      </c>
      <c r="AT256" s="46">
        <v>6</v>
      </c>
      <c r="AU256" s="46" t="b">
        <v>1</v>
      </c>
      <c r="AV256" s="46" t="b">
        <v>0</v>
      </c>
    </row>
    <row r="257" spans="2:48">
      <c r="B257" s="46" t="s">
        <v>665</v>
      </c>
      <c r="C257" s="46" t="s">
        <v>666</v>
      </c>
      <c r="D257" s="46">
        <v>20240301</v>
      </c>
      <c r="E257" s="46">
        <v>2024</v>
      </c>
      <c r="F257" s="46">
        <v>3</v>
      </c>
      <c r="G257" s="46" t="s">
        <v>692</v>
      </c>
      <c r="H257" s="46">
        <v>818</v>
      </c>
      <c r="I257" s="46" t="s">
        <v>668</v>
      </c>
      <c r="J257" s="46" t="s">
        <v>57</v>
      </c>
      <c r="K257" s="46" t="s">
        <v>666</v>
      </c>
      <c r="L257" s="46" t="s">
        <v>669</v>
      </c>
      <c r="M257" s="46">
        <v>251</v>
      </c>
      <c r="N257" s="46" t="s">
        <v>688</v>
      </c>
      <c r="O257" s="46" t="s">
        <v>69</v>
      </c>
      <c r="P257" s="46">
        <v>0</v>
      </c>
      <c r="Q257" s="46" t="s">
        <v>670</v>
      </c>
      <c r="R257" s="46" t="s">
        <v>23</v>
      </c>
      <c r="S257" s="46" t="s">
        <v>671</v>
      </c>
      <c r="T257" s="46" t="s">
        <v>672</v>
      </c>
      <c r="U257" s="46" t="b">
        <v>1</v>
      </c>
      <c r="V257" s="46" t="s">
        <v>1028</v>
      </c>
      <c r="W257" s="46" t="s">
        <v>1027</v>
      </c>
      <c r="X257" s="46">
        <v>6</v>
      </c>
      <c r="Y257" s="46" t="b">
        <v>1</v>
      </c>
      <c r="Z257" s="46" t="s">
        <v>675</v>
      </c>
      <c r="AA257" s="46" t="s">
        <v>676</v>
      </c>
      <c r="AB257" s="46" t="s">
        <v>677</v>
      </c>
      <c r="AC257" s="46">
        <v>0</v>
      </c>
      <c r="AD257" s="46" t="s">
        <v>678</v>
      </c>
      <c r="AE257" s="46">
        <v>8</v>
      </c>
      <c r="AF257" s="46" t="s">
        <v>679</v>
      </c>
      <c r="AG257" s="46">
        <v>1128.9939999999999</v>
      </c>
      <c r="AH257" s="46" t="b">
        <v>1</v>
      </c>
      <c r="AI257" s="46">
        <v>-1</v>
      </c>
      <c r="AJ257" s="46" t="s">
        <v>680</v>
      </c>
      <c r="AK257" s="46">
        <v>0</v>
      </c>
      <c r="AL257" s="46" t="b">
        <v>0</v>
      </c>
      <c r="AM257" s="46">
        <v>1128.9939999999999</v>
      </c>
      <c r="AN257" s="46" t="b">
        <v>1</v>
      </c>
      <c r="AO257" s="46">
        <v>0</v>
      </c>
      <c r="AP257" s="46" t="b">
        <v>0</v>
      </c>
      <c r="AQ257" s="46">
        <v>7211.0910000000003</v>
      </c>
      <c r="AS257" s="46">
        <v>7211.0910000000003</v>
      </c>
      <c r="AT257" s="46">
        <v>6</v>
      </c>
      <c r="AU257" s="46" t="b">
        <v>1</v>
      </c>
      <c r="AV257" s="46" t="b">
        <v>0</v>
      </c>
    </row>
    <row r="258" spans="2:48">
      <c r="B258" s="46" t="s">
        <v>665</v>
      </c>
      <c r="C258" s="46" t="s">
        <v>666</v>
      </c>
      <c r="D258" s="46">
        <v>20240301</v>
      </c>
      <c r="E258" s="46">
        <v>2024</v>
      </c>
      <c r="F258" s="46">
        <v>3</v>
      </c>
      <c r="G258" s="46" t="s">
        <v>692</v>
      </c>
      <c r="H258" s="46">
        <v>818</v>
      </c>
      <c r="I258" s="46" t="s">
        <v>668</v>
      </c>
      <c r="J258" s="46" t="s">
        <v>57</v>
      </c>
      <c r="K258" s="46" t="s">
        <v>666</v>
      </c>
      <c r="L258" s="46" t="s">
        <v>669</v>
      </c>
      <c r="M258" s="46">
        <v>276</v>
      </c>
      <c r="N258" s="46" t="s">
        <v>681</v>
      </c>
      <c r="O258" s="46" t="s">
        <v>30</v>
      </c>
      <c r="P258" s="46">
        <v>0</v>
      </c>
      <c r="Q258" s="46" t="s">
        <v>670</v>
      </c>
      <c r="R258" s="46" t="s">
        <v>23</v>
      </c>
      <c r="S258" s="46" t="s">
        <v>671</v>
      </c>
      <c r="T258" s="46" t="s">
        <v>672</v>
      </c>
      <c r="U258" s="46" t="b">
        <v>1</v>
      </c>
      <c r="V258" s="46" t="s">
        <v>1028</v>
      </c>
      <c r="W258" s="46" t="s">
        <v>1027</v>
      </c>
      <c r="X258" s="46">
        <v>6</v>
      </c>
      <c r="Y258" s="46" t="b">
        <v>1</v>
      </c>
      <c r="Z258" s="46" t="s">
        <v>675</v>
      </c>
      <c r="AA258" s="46" t="s">
        <v>676</v>
      </c>
      <c r="AB258" s="46" t="s">
        <v>677</v>
      </c>
      <c r="AC258" s="46">
        <v>0</v>
      </c>
      <c r="AD258" s="46" t="s">
        <v>678</v>
      </c>
      <c r="AE258" s="46">
        <v>8</v>
      </c>
      <c r="AF258" s="46" t="s">
        <v>679</v>
      </c>
      <c r="AG258" s="46">
        <v>10.119</v>
      </c>
      <c r="AH258" s="46" t="b">
        <v>1</v>
      </c>
      <c r="AI258" s="46">
        <v>-1</v>
      </c>
      <c r="AJ258" s="46" t="s">
        <v>680</v>
      </c>
      <c r="AK258" s="46">
        <v>0</v>
      </c>
      <c r="AL258" s="46" t="b">
        <v>0</v>
      </c>
      <c r="AM258" s="46">
        <v>10.119</v>
      </c>
      <c r="AN258" s="46" t="b">
        <v>1</v>
      </c>
      <c r="AO258" s="46">
        <v>0</v>
      </c>
      <c r="AP258" s="46" t="b">
        <v>0</v>
      </c>
      <c r="AQ258" s="46">
        <v>64.635000000000005</v>
      </c>
      <c r="AS258" s="46">
        <v>64.635000000000005</v>
      </c>
      <c r="AT258" s="46">
        <v>6</v>
      </c>
      <c r="AU258" s="46" t="b">
        <v>1</v>
      </c>
      <c r="AV258" s="46" t="b">
        <v>0</v>
      </c>
    </row>
    <row r="259" spans="2:48">
      <c r="B259" s="46" t="s">
        <v>665</v>
      </c>
      <c r="C259" s="46" t="s">
        <v>666</v>
      </c>
      <c r="D259" s="46">
        <v>20240301</v>
      </c>
      <c r="E259" s="46">
        <v>2024</v>
      </c>
      <c r="F259" s="46">
        <v>3</v>
      </c>
      <c r="G259" s="46" t="s">
        <v>692</v>
      </c>
      <c r="H259" s="46">
        <v>818</v>
      </c>
      <c r="I259" s="46" t="s">
        <v>668</v>
      </c>
      <c r="J259" s="46" t="s">
        <v>57</v>
      </c>
      <c r="K259" s="46" t="s">
        <v>666</v>
      </c>
      <c r="L259" s="46" t="s">
        <v>669</v>
      </c>
      <c r="M259" s="46">
        <v>842</v>
      </c>
      <c r="N259" s="46" t="s">
        <v>713</v>
      </c>
      <c r="O259" s="46" t="s">
        <v>713</v>
      </c>
      <c r="P259" s="46">
        <v>0</v>
      </c>
      <c r="Q259" s="46" t="s">
        <v>670</v>
      </c>
      <c r="R259" s="46" t="s">
        <v>23</v>
      </c>
      <c r="S259" s="46" t="s">
        <v>671</v>
      </c>
      <c r="T259" s="46" t="s">
        <v>672</v>
      </c>
      <c r="U259" s="46" t="b">
        <v>1</v>
      </c>
      <c r="V259" s="46" t="s">
        <v>1028</v>
      </c>
      <c r="W259" s="46" t="s">
        <v>1027</v>
      </c>
      <c r="X259" s="46">
        <v>6</v>
      </c>
      <c r="Y259" s="46" t="b">
        <v>1</v>
      </c>
      <c r="Z259" s="46" t="s">
        <v>675</v>
      </c>
      <c r="AA259" s="46" t="s">
        <v>676</v>
      </c>
      <c r="AB259" s="46" t="s">
        <v>677</v>
      </c>
      <c r="AC259" s="46">
        <v>0</v>
      </c>
      <c r="AD259" s="46" t="s">
        <v>678</v>
      </c>
      <c r="AE259" s="46">
        <v>8</v>
      </c>
      <c r="AF259" s="46" t="s">
        <v>679</v>
      </c>
      <c r="AG259" s="46">
        <v>931.71400000000006</v>
      </c>
      <c r="AH259" s="46" t="b">
        <v>1</v>
      </c>
      <c r="AI259" s="46">
        <v>-1</v>
      </c>
      <c r="AJ259" s="46" t="s">
        <v>680</v>
      </c>
      <c r="AK259" s="46">
        <v>0</v>
      </c>
      <c r="AL259" s="46" t="b">
        <v>0</v>
      </c>
      <c r="AM259" s="46">
        <v>931.71400000000006</v>
      </c>
      <c r="AN259" s="46" t="b">
        <v>1</v>
      </c>
      <c r="AO259" s="46">
        <v>0</v>
      </c>
      <c r="AP259" s="46" t="b">
        <v>0</v>
      </c>
      <c r="AQ259" s="46">
        <v>5951.0249999999996</v>
      </c>
      <c r="AS259" s="46">
        <v>5951.0249999999996</v>
      </c>
      <c r="AT259" s="46">
        <v>6</v>
      </c>
      <c r="AU259" s="46" t="b">
        <v>1</v>
      </c>
      <c r="AV259" s="46" t="b">
        <v>0</v>
      </c>
    </row>
    <row r="260" spans="2:48">
      <c r="B260" s="46" t="s">
        <v>665</v>
      </c>
      <c r="C260" s="46" t="s">
        <v>666</v>
      </c>
      <c r="D260" s="46">
        <v>20240301</v>
      </c>
      <c r="E260" s="46">
        <v>2024</v>
      </c>
      <c r="F260" s="46">
        <v>3</v>
      </c>
      <c r="G260" s="46" t="s">
        <v>692</v>
      </c>
      <c r="H260" s="46">
        <v>818</v>
      </c>
      <c r="I260" s="46" t="s">
        <v>668</v>
      </c>
      <c r="J260" s="46" t="s">
        <v>57</v>
      </c>
      <c r="K260" s="46" t="s">
        <v>666</v>
      </c>
      <c r="L260" s="46" t="s">
        <v>669</v>
      </c>
      <c r="M260" s="46">
        <v>792</v>
      </c>
      <c r="N260" s="46" t="s">
        <v>691</v>
      </c>
      <c r="O260" s="46" t="s">
        <v>63</v>
      </c>
      <c r="P260" s="46">
        <v>0</v>
      </c>
      <c r="Q260" s="46" t="s">
        <v>670</v>
      </c>
      <c r="R260" s="46" t="s">
        <v>23</v>
      </c>
      <c r="S260" s="46" t="s">
        <v>671</v>
      </c>
      <c r="T260" s="46" t="s">
        <v>672</v>
      </c>
      <c r="U260" s="46" t="b">
        <v>1</v>
      </c>
      <c r="V260" s="46" t="s">
        <v>1028</v>
      </c>
      <c r="W260" s="46" t="s">
        <v>1027</v>
      </c>
      <c r="X260" s="46">
        <v>6</v>
      </c>
      <c r="Y260" s="46" t="b">
        <v>1</v>
      </c>
      <c r="Z260" s="46" t="s">
        <v>675</v>
      </c>
      <c r="AA260" s="46" t="s">
        <v>676</v>
      </c>
      <c r="AB260" s="46" t="s">
        <v>677</v>
      </c>
      <c r="AC260" s="46">
        <v>0</v>
      </c>
      <c r="AD260" s="46" t="s">
        <v>678</v>
      </c>
      <c r="AE260" s="46">
        <v>8</v>
      </c>
      <c r="AF260" s="46" t="s">
        <v>679</v>
      </c>
      <c r="AG260" s="46">
        <v>5712.6329999999998</v>
      </c>
      <c r="AH260" s="46" t="b">
        <v>1</v>
      </c>
      <c r="AI260" s="46">
        <v>-1</v>
      </c>
      <c r="AJ260" s="46" t="s">
        <v>680</v>
      </c>
      <c r="AK260" s="46">
        <v>0</v>
      </c>
      <c r="AL260" s="46" t="b">
        <v>0</v>
      </c>
      <c r="AM260" s="46">
        <v>5712.6329999999998</v>
      </c>
      <c r="AN260" s="46" t="b">
        <v>1</v>
      </c>
      <c r="AO260" s="46">
        <v>0</v>
      </c>
      <c r="AP260" s="46" t="b">
        <v>0</v>
      </c>
      <c r="AQ260" s="46">
        <v>36487.618000000002</v>
      </c>
      <c r="AS260" s="46">
        <v>36487.618000000002</v>
      </c>
      <c r="AT260" s="46">
        <v>6</v>
      </c>
      <c r="AU260" s="46" t="b">
        <v>1</v>
      </c>
      <c r="AV260" s="46" t="b">
        <v>0</v>
      </c>
    </row>
    <row r="261" spans="2:48">
      <c r="B261" s="46" t="s">
        <v>665</v>
      </c>
      <c r="C261" s="46" t="s">
        <v>666</v>
      </c>
      <c r="D261" s="46">
        <v>20240301</v>
      </c>
      <c r="E261" s="46">
        <v>2024</v>
      </c>
      <c r="F261" s="46">
        <v>3</v>
      </c>
      <c r="G261" s="46" t="s">
        <v>692</v>
      </c>
      <c r="H261" s="46">
        <v>818</v>
      </c>
      <c r="I261" s="46" t="s">
        <v>668</v>
      </c>
      <c r="J261" s="46" t="s">
        <v>57</v>
      </c>
      <c r="K261" s="46" t="s">
        <v>666</v>
      </c>
      <c r="L261" s="46" t="s">
        <v>669</v>
      </c>
      <c r="M261" s="46">
        <v>724</v>
      </c>
      <c r="N261" s="46" t="s">
        <v>684</v>
      </c>
      <c r="O261" s="46" t="s">
        <v>51</v>
      </c>
      <c r="P261" s="46">
        <v>0</v>
      </c>
      <c r="Q261" s="46" t="s">
        <v>670</v>
      </c>
      <c r="R261" s="46" t="s">
        <v>23</v>
      </c>
      <c r="S261" s="46" t="s">
        <v>671</v>
      </c>
      <c r="T261" s="46" t="s">
        <v>672</v>
      </c>
      <c r="U261" s="46" t="b">
        <v>1</v>
      </c>
      <c r="V261" s="46" t="s">
        <v>1028</v>
      </c>
      <c r="W261" s="46" t="s">
        <v>1027</v>
      </c>
      <c r="X261" s="46">
        <v>6</v>
      </c>
      <c r="Y261" s="46" t="b">
        <v>1</v>
      </c>
      <c r="Z261" s="46" t="s">
        <v>675</v>
      </c>
      <c r="AA261" s="46" t="s">
        <v>676</v>
      </c>
      <c r="AB261" s="46" t="s">
        <v>677</v>
      </c>
      <c r="AC261" s="46">
        <v>0</v>
      </c>
      <c r="AD261" s="46" t="s">
        <v>678</v>
      </c>
      <c r="AE261" s="46">
        <v>8</v>
      </c>
      <c r="AF261" s="46" t="s">
        <v>679</v>
      </c>
      <c r="AG261" s="46">
        <v>11593.393</v>
      </c>
      <c r="AH261" s="46" t="b">
        <v>1</v>
      </c>
      <c r="AI261" s="46">
        <v>-1</v>
      </c>
      <c r="AJ261" s="46" t="s">
        <v>680</v>
      </c>
      <c r="AK261" s="46">
        <v>0</v>
      </c>
      <c r="AL261" s="46" t="b">
        <v>0</v>
      </c>
      <c r="AM261" s="46">
        <v>11593.393</v>
      </c>
      <c r="AN261" s="46" t="b">
        <v>1</v>
      </c>
      <c r="AO261" s="46">
        <v>0</v>
      </c>
      <c r="AP261" s="46" t="b">
        <v>0</v>
      </c>
      <c r="AQ261" s="46">
        <v>74049.093999999997</v>
      </c>
      <c r="AS261" s="46">
        <v>74049.093999999997</v>
      </c>
      <c r="AT261" s="46">
        <v>6</v>
      </c>
      <c r="AU261" s="46" t="b">
        <v>1</v>
      </c>
      <c r="AV261" s="46" t="b">
        <v>0</v>
      </c>
    </row>
    <row r="262" spans="2:48">
      <c r="B262" s="46" t="s">
        <v>665</v>
      </c>
      <c r="C262" s="46" t="s">
        <v>666</v>
      </c>
      <c r="D262" s="46">
        <v>20240301</v>
      </c>
      <c r="E262" s="46">
        <v>2024</v>
      </c>
      <c r="F262" s="46">
        <v>3</v>
      </c>
      <c r="G262" s="46" t="s">
        <v>692</v>
      </c>
      <c r="H262" s="46">
        <v>818</v>
      </c>
      <c r="I262" s="46" t="s">
        <v>668</v>
      </c>
      <c r="J262" s="46" t="s">
        <v>57</v>
      </c>
      <c r="K262" s="46" t="s">
        <v>666</v>
      </c>
      <c r="L262" s="46" t="s">
        <v>669</v>
      </c>
      <c r="M262" s="46">
        <v>784</v>
      </c>
      <c r="N262" s="46" t="s">
        <v>694</v>
      </c>
      <c r="O262" s="46" t="s">
        <v>25</v>
      </c>
      <c r="P262" s="46">
        <v>0</v>
      </c>
      <c r="Q262" s="46" t="s">
        <v>670</v>
      </c>
      <c r="R262" s="46" t="s">
        <v>23</v>
      </c>
      <c r="S262" s="46" t="s">
        <v>671</v>
      </c>
      <c r="T262" s="46" t="s">
        <v>672</v>
      </c>
      <c r="U262" s="46" t="b">
        <v>1</v>
      </c>
      <c r="V262" s="46" t="s">
        <v>1028</v>
      </c>
      <c r="W262" s="46" t="s">
        <v>1027</v>
      </c>
      <c r="X262" s="46">
        <v>6</v>
      </c>
      <c r="Y262" s="46" t="b">
        <v>1</v>
      </c>
      <c r="Z262" s="46" t="s">
        <v>675</v>
      </c>
      <c r="AA262" s="46" t="s">
        <v>676</v>
      </c>
      <c r="AB262" s="46" t="s">
        <v>677</v>
      </c>
      <c r="AC262" s="46">
        <v>0</v>
      </c>
      <c r="AD262" s="46" t="s">
        <v>678</v>
      </c>
      <c r="AE262" s="46">
        <v>8</v>
      </c>
      <c r="AF262" s="46" t="s">
        <v>679</v>
      </c>
      <c r="AG262" s="46">
        <v>11956.043</v>
      </c>
      <c r="AH262" s="46" t="b">
        <v>1</v>
      </c>
      <c r="AI262" s="46">
        <v>-1</v>
      </c>
      <c r="AJ262" s="46" t="s">
        <v>680</v>
      </c>
      <c r="AK262" s="46">
        <v>0</v>
      </c>
      <c r="AL262" s="46" t="b">
        <v>0</v>
      </c>
      <c r="AM262" s="46">
        <v>11956.043</v>
      </c>
      <c r="AN262" s="46" t="b">
        <v>1</v>
      </c>
      <c r="AO262" s="46">
        <v>0</v>
      </c>
      <c r="AP262" s="46" t="b">
        <v>0</v>
      </c>
      <c r="AQ262" s="46">
        <v>76365.403999999995</v>
      </c>
      <c r="AS262" s="46">
        <v>76365.403999999995</v>
      </c>
      <c r="AT262" s="46">
        <v>6</v>
      </c>
      <c r="AU262" s="46" t="b">
        <v>1</v>
      </c>
      <c r="AV262" s="46" t="b">
        <v>0</v>
      </c>
    </row>
    <row r="263" spans="2:48">
      <c r="B263" s="46" t="s">
        <v>665</v>
      </c>
      <c r="C263" s="46" t="s">
        <v>666</v>
      </c>
      <c r="D263" s="46">
        <v>20240301</v>
      </c>
      <c r="E263" s="46">
        <v>2024</v>
      </c>
      <c r="F263" s="46">
        <v>3</v>
      </c>
      <c r="G263" s="46" t="s">
        <v>692</v>
      </c>
      <c r="H263" s="46">
        <v>818</v>
      </c>
      <c r="I263" s="46" t="s">
        <v>668</v>
      </c>
      <c r="J263" s="46" t="s">
        <v>57</v>
      </c>
      <c r="K263" s="46" t="s">
        <v>666</v>
      </c>
      <c r="L263" s="46" t="s">
        <v>669</v>
      </c>
      <c r="M263" s="46">
        <v>156</v>
      </c>
      <c r="N263" s="46" t="s">
        <v>711</v>
      </c>
      <c r="O263" s="46" t="s">
        <v>29</v>
      </c>
      <c r="P263" s="46">
        <v>0</v>
      </c>
      <c r="Q263" s="46" t="s">
        <v>670</v>
      </c>
      <c r="R263" s="46" t="s">
        <v>23</v>
      </c>
      <c r="S263" s="46" t="s">
        <v>671</v>
      </c>
      <c r="T263" s="46" t="s">
        <v>672</v>
      </c>
      <c r="U263" s="46" t="b">
        <v>1</v>
      </c>
      <c r="V263" s="46" t="s">
        <v>1028</v>
      </c>
      <c r="W263" s="46" t="s">
        <v>1027</v>
      </c>
      <c r="X263" s="46">
        <v>6</v>
      </c>
      <c r="Y263" s="46" t="b">
        <v>1</v>
      </c>
      <c r="Z263" s="46" t="s">
        <v>675</v>
      </c>
      <c r="AA263" s="46" t="s">
        <v>676</v>
      </c>
      <c r="AB263" s="46" t="s">
        <v>677</v>
      </c>
      <c r="AC263" s="46">
        <v>0</v>
      </c>
      <c r="AD263" s="46" t="s">
        <v>678</v>
      </c>
      <c r="AE263" s="46">
        <v>8</v>
      </c>
      <c r="AF263" s="46" t="s">
        <v>679</v>
      </c>
      <c r="AG263" s="46">
        <v>37964.947999999997</v>
      </c>
      <c r="AH263" s="46" t="b">
        <v>1</v>
      </c>
      <c r="AI263" s="46">
        <v>-1</v>
      </c>
      <c r="AJ263" s="46" t="s">
        <v>680</v>
      </c>
      <c r="AK263" s="46">
        <v>0</v>
      </c>
      <c r="AL263" s="46" t="b">
        <v>0</v>
      </c>
      <c r="AM263" s="46">
        <v>37964.947999999997</v>
      </c>
      <c r="AN263" s="46" t="b">
        <v>1</v>
      </c>
      <c r="AO263" s="46">
        <v>0</v>
      </c>
      <c r="AP263" s="46" t="b">
        <v>0</v>
      </c>
      <c r="AQ263" s="46">
        <v>242488.98199999999</v>
      </c>
      <c r="AS263" s="46">
        <v>242488.98199999999</v>
      </c>
      <c r="AT263" s="46">
        <v>6</v>
      </c>
      <c r="AU263" s="46" t="b">
        <v>1</v>
      </c>
      <c r="AV263" s="46" t="b">
        <v>0</v>
      </c>
    </row>
    <row r="264" spans="2:48">
      <c r="B264" s="46" t="s">
        <v>665</v>
      </c>
      <c r="C264" s="46" t="s">
        <v>666</v>
      </c>
      <c r="D264" s="46">
        <v>20240301</v>
      </c>
      <c r="E264" s="46">
        <v>2024</v>
      </c>
      <c r="F264" s="46">
        <v>3</v>
      </c>
      <c r="G264" s="46" t="s">
        <v>692</v>
      </c>
      <c r="H264" s="46">
        <v>818</v>
      </c>
      <c r="I264" s="46" t="s">
        <v>668</v>
      </c>
      <c r="J264" s="46" t="s">
        <v>57</v>
      </c>
      <c r="K264" s="46" t="s">
        <v>666</v>
      </c>
      <c r="L264" s="46" t="s">
        <v>669</v>
      </c>
      <c r="M264" s="46">
        <v>704</v>
      </c>
      <c r="N264" s="46" t="s">
        <v>756</v>
      </c>
      <c r="O264" s="46" t="s">
        <v>59</v>
      </c>
      <c r="P264" s="46">
        <v>0</v>
      </c>
      <c r="Q264" s="46" t="s">
        <v>670</v>
      </c>
      <c r="R264" s="46" t="s">
        <v>23</v>
      </c>
      <c r="S264" s="46" t="s">
        <v>671</v>
      </c>
      <c r="T264" s="46" t="s">
        <v>672</v>
      </c>
      <c r="U264" s="46" t="b">
        <v>1</v>
      </c>
      <c r="V264" s="46" t="s">
        <v>1028</v>
      </c>
      <c r="W264" s="46" t="s">
        <v>1027</v>
      </c>
      <c r="X264" s="46">
        <v>6</v>
      </c>
      <c r="Y264" s="46" t="b">
        <v>1</v>
      </c>
      <c r="Z264" s="46" t="s">
        <v>675</v>
      </c>
      <c r="AA264" s="46" t="s">
        <v>676</v>
      </c>
      <c r="AB264" s="46" t="s">
        <v>677</v>
      </c>
      <c r="AC264" s="46">
        <v>0</v>
      </c>
      <c r="AD264" s="46" t="s">
        <v>678</v>
      </c>
      <c r="AE264" s="46">
        <v>8</v>
      </c>
      <c r="AF264" s="46" t="s">
        <v>679</v>
      </c>
      <c r="AG264" s="46">
        <v>268.63099999999997</v>
      </c>
      <c r="AH264" s="46" t="b">
        <v>1</v>
      </c>
      <c r="AI264" s="46">
        <v>-1</v>
      </c>
      <c r="AJ264" s="46" t="s">
        <v>680</v>
      </c>
      <c r="AK264" s="46">
        <v>0</v>
      </c>
      <c r="AL264" s="46" t="b">
        <v>0</v>
      </c>
      <c r="AM264" s="46">
        <v>268.63099999999997</v>
      </c>
      <c r="AN264" s="46" t="b">
        <v>1</v>
      </c>
      <c r="AO264" s="46">
        <v>0</v>
      </c>
      <c r="AP264" s="46" t="b">
        <v>0</v>
      </c>
      <c r="AQ264" s="46">
        <v>1715.7919999999999</v>
      </c>
      <c r="AS264" s="46">
        <v>1715.7919999999999</v>
      </c>
      <c r="AT264" s="46">
        <v>6</v>
      </c>
      <c r="AU264" s="46" t="b">
        <v>1</v>
      </c>
      <c r="AV264" s="46" t="b">
        <v>0</v>
      </c>
    </row>
    <row r="265" spans="2:48">
      <c r="B265" s="46" t="s">
        <v>665</v>
      </c>
      <c r="C265" s="46" t="s">
        <v>666</v>
      </c>
      <c r="D265" s="46">
        <v>20240301</v>
      </c>
      <c r="E265" s="46">
        <v>2024</v>
      </c>
      <c r="F265" s="46">
        <v>3</v>
      </c>
      <c r="G265" s="46" t="s">
        <v>692</v>
      </c>
      <c r="H265" s="46">
        <v>818</v>
      </c>
      <c r="I265" s="46" t="s">
        <v>668</v>
      </c>
      <c r="J265" s="46" t="s">
        <v>57</v>
      </c>
      <c r="K265" s="46" t="s">
        <v>666</v>
      </c>
      <c r="L265" s="46" t="s">
        <v>669</v>
      </c>
      <c r="M265" s="46">
        <v>620</v>
      </c>
      <c r="N265" s="46" t="s">
        <v>693</v>
      </c>
      <c r="O265" s="46" t="s">
        <v>85</v>
      </c>
      <c r="P265" s="46">
        <v>0</v>
      </c>
      <c r="Q265" s="46" t="s">
        <v>670</v>
      </c>
      <c r="R265" s="46" t="s">
        <v>23</v>
      </c>
      <c r="S265" s="46" t="s">
        <v>671</v>
      </c>
      <c r="T265" s="46" t="s">
        <v>672</v>
      </c>
      <c r="U265" s="46" t="b">
        <v>1</v>
      </c>
      <c r="V265" s="46" t="s">
        <v>1028</v>
      </c>
      <c r="W265" s="46" t="s">
        <v>1027</v>
      </c>
      <c r="X265" s="46">
        <v>6</v>
      </c>
      <c r="Y265" s="46" t="b">
        <v>1</v>
      </c>
      <c r="Z265" s="46" t="s">
        <v>675</v>
      </c>
      <c r="AA265" s="46" t="s">
        <v>676</v>
      </c>
      <c r="AB265" s="46" t="s">
        <v>677</v>
      </c>
      <c r="AC265" s="46">
        <v>0</v>
      </c>
      <c r="AD265" s="46" t="s">
        <v>678</v>
      </c>
      <c r="AE265" s="46">
        <v>8</v>
      </c>
      <c r="AF265" s="46" t="s">
        <v>679</v>
      </c>
      <c r="AG265" s="46">
        <v>19773.205999999998</v>
      </c>
      <c r="AH265" s="46" t="b">
        <v>1</v>
      </c>
      <c r="AI265" s="46">
        <v>-1</v>
      </c>
      <c r="AJ265" s="46" t="s">
        <v>680</v>
      </c>
      <c r="AK265" s="46">
        <v>0</v>
      </c>
      <c r="AL265" s="46" t="b">
        <v>0</v>
      </c>
      <c r="AM265" s="46">
        <v>19773.205999999998</v>
      </c>
      <c r="AN265" s="46" t="b">
        <v>1</v>
      </c>
      <c r="AO265" s="46">
        <v>0</v>
      </c>
      <c r="AP265" s="46" t="b">
        <v>0</v>
      </c>
      <c r="AQ265" s="46">
        <v>126295.039</v>
      </c>
      <c r="AS265" s="46">
        <v>126295.039</v>
      </c>
      <c r="AT265" s="46">
        <v>6</v>
      </c>
      <c r="AU265" s="46" t="b">
        <v>1</v>
      </c>
      <c r="AV265" s="46" t="b">
        <v>0</v>
      </c>
    </row>
    <row r="266" spans="2:48">
      <c r="B266" s="46" t="s">
        <v>665</v>
      </c>
      <c r="C266" s="46" t="s">
        <v>666</v>
      </c>
      <c r="D266" s="46">
        <v>20240301</v>
      </c>
      <c r="E266" s="46">
        <v>2024</v>
      </c>
      <c r="F266" s="46">
        <v>3</v>
      </c>
      <c r="G266" s="46" t="s">
        <v>692</v>
      </c>
      <c r="H266" s="46">
        <v>818</v>
      </c>
      <c r="I266" s="46" t="s">
        <v>668</v>
      </c>
      <c r="J266" s="46" t="s">
        <v>57</v>
      </c>
      <c r="K266" s="46" t="s">
        <v>666</v>
      </c>
      <c r="L266" s="46" t="s">
        <v>669</v>
      </c>
      <c r="M266" s="46">
        <v>634</v>
      </c>
      <c r="N266" s="46" t="s">
        <v>993</v>
      </c>
      <c r="O266" s="46" t="s">
        <v>37</v>
      </c>
      <c r="P266" s="46">
        <v>0</v>
      </c>
      <c r="Q266" s="46" t="s">
        <v>670</v>
      </c>
      <c r="R266" s="46" t="s">
        <v>23</v>
      </c>
      <c r="S266" s="46" t="s">
        <v>671</v>
      </c>
      <c r="T266" s="46" t="s">
        <v>672</v>
      </c>
      <c r="U266" s="46" t="b">
        <v>1</v>
      </c>
      <c r="V266" s="46" t="s">
        <v>1028</v>
      </c>
      <c r="W266" s="46" t="s">
        <v>1027</v>
      </c>
      <c r="X266" s="46">
        <v>6</v>
      </c>
      <c r="Y266" s="46" t="b">
        <v>1</v>
      </c>
      <c r="Z266" s="46" t="s">
        <v>675</v>
      </c>
      <c r="AA266" s="46" t="s">
        <v>676</v>
      </c>
      <c r="AB266" s="46" t="s">
        <v>677</v>
      </c>
      <c r="AC266" s="46">
        <v>0</v>
      </c>
      <c r="AD266" s="46" t="s">
        <v>678</v>
      </c>
      <c r="AE266" s="46">
        <v>8</v>
      </c>
      <c r="AF266" s="46" t="s">
        <v>679</v>
      </c>
      <c r="AG266" s="46">
        <v>0.51100000000000001</v>
      </c>
      <c r="AH266" s="46" t="b">
        <v>1</v>
      </c>
      <c r="AI266" s="46">
        <v>-1</v>
      </c>
      <c r="AJ266" s="46" t="s">
        <v>680</v>
      </c>
      <c r="AK266" s="46">
        <v>0</v>
      </c>
      <c r="AL266" s="46" t="b">
        <v>0</v>
      </c>
      <c r="AM266" s="46">
        <v>0.51100000000000001</v>
      </c>
      <c r="AN266" s="46" t="b">
        <v>1</v>
      </c>
      <c r="AO266" s="46">
        <v>0</v>
      </c>
      <c r="AP266" s="46" t="b">
        <v>0</v>
      </c>
      <c r="AQ266" s="46">
        <v>3.262</v>
      </c>
      <c r="AS266" s="46">
        <v>3.262</v>
      </c>
      <c r="AT266" s="46">
        <v>6</v>
      </c>
      <c r="AU266" s="46" t="b">
        <v>1</v>
      </c>
      <c r="AV266" s="46" t="b">
        <v>0</v>
      </c>
    </row>
    <row r="267" spans="2:48">
      <c r="B267" s="46" t="s">
        <v>665</v>
      </c>
      <c r="C267" s="46" t="s">
        <v>666</v>
      </c>
      <c r="D267" s="46">
        <v>20240301</v>
      </c>
      <c r="E267" s="46">
        <v>2024</v>
      </c>
      <c r="F267" s="46">
        <v>3</v>
      </c>
      <c r="G267" s="46" t="s">
        <v>692</v>
      </c>
      <c r="H267" s="46">
        <v>818</v>
      </c>
      <c r="I267" s="46" t="s">
        <v>668</v>
      </c>
      <c r="J267" s="46" t="s">
        <v>57</v>
      </c>
      <c r="K267" s="46" t="s">
        <v>666</v>
      </c>
      <c r="L267" s="46" t="s">
        <v>669</v>
      </c>
      <c r="M267" s="46">
        <v>682</v>
      </c>
      <c r="N267" s="46" t="s">
        <v>758</v>
      </c>
      <c r="O267" s="46" t="s">
        <v>39</v>
      </c>
      <c r="P267" s="46">
        <v>0</v>
      </c>
      <c r="Q267" s="46" t="s">
        <v>670</v>
      </c>
      <c r="R267" s="46" t="s">
        <v>23</v>
      </c>
      <c r="S267" s="46" t="s">
        <v>671</v>
      </c>
      <c r="T267" s="46" t="s">
        <v>672</v>
      </c>
      <c r="U267" s="46" t="b">
        <v>1</v>
      </c>
      <c r="V267" s="46" t="s">
        <v>1028</v>
      </c>
      <c r="W267" s="46" t="s">
        <v>1027</v>
      </c>
      <c r="X267" s="46">
        <v>6</v>
      </c>
      <c r="Y267" s="46" t="b">
        <v>1</v>
      </c>
      <c r="Z267" s="46" t="s">
        <v>675</v>
      </c>
      <c r="AA267" s="46" t="s">
        <v>676</v>
      </c>
      <c r="AB267" s="46" t="s">
        <v>677</v>
      </c>
      <c r="AC267" s="46">
        <v>0</v>
      </c>
      <c r="AD267" s="46" t="s">
        <v>678</v>
      </c>
      <c r="AE267" s="46">
        <v>8</v>
      </c>
      <c r="AF267" s="46" t="s">
        <v>679</v>
      </c>
      <c r="AG267" s="46">
        <v>50206.555999999997</v>
      </c>
      <c r="AH267" s="46" t="b">
        <v>1</v>
      </c>
      <c r="AI267" s="46">
        <v>-1</v>
      </c>
      <c r="AJ267" s="46" t="s">
        <v>680</v>
      </c>
      <c r="AK267" s="46">
        <v>0</v>
      </c>
      <c r="AL267" s="46" t="b">
        <v>0</v>
      </c>
      <c r="AM267" s="46">
        <v>50206.555999999997</v>
      </c>
      <c r="AN267" s="46" t="b">
        <v>1</v>
      </c>
      <c r="AO267" s="46">
        <v>0</v>
      </c>
      <c r="AP267" s="46" t="b">
        <v>0</v>
      </c>
      <c r="AQ267" s="46">
        <v>320678.34399999998</v>
      </c>
      <c r="AS267" s="46">
        <v>320678.34399999998</v>
      </c>
      <c r="AT267" s="46">
        <v>6</v>
      </c>
      <c r="AU267" s="46" t="b">
        <v>1</v>
      </c>
      <c r="AV267" s="46" t="b">
        <v>0</v>
      </c>
    </row>
    <row r="268" spans="2:48">
      <c r="B268" s="46" t="s">
        <v>665</v>
      </c>
      <c r="C268" s="46" t="s">
        <v>666</v>
      </c>
      <c r="D268" s="46">
        <v>20240301</v>
      </c>
      <c r="E268" s="46">
        <v>2024</v>
      </c>
      <c r="F268" s="46">
        <v>3</v>
      </c>
      <c r="G268" s="46" t="s">
        <v>692</v>
      </c>
      <c r="H268" s="46">
        <v>818</v>
      </c>
      <c r="I268" s="46" t="s">
        <v>668</v>
      </c>
      <c r="J268" s="46" t="s">
        <v>57</v>
      </c>
      <c r="K268" s="46" t="s">
        <v>666</v>
      </c>
      <c r="L268" s="46" t="s">
        <v>669</v>
      </c>
      <c r="M268" s="46">
        <v>528</v>
      </c>
      <c r="N268" s="46" t="s">
        <v>698</v>
      </c>
      <c r="O268" s="46" t="s">
        <v>60</v>
      </c>
      <c r="P268" s="46">
        <v>0</v>
      </c>
      <c r="Q268" s="46" t="s">
        <v>670</v>
      </c>
      <c r="R268" s="46" t="s">
        <v>23</v>
      </c>
      <c r="S268" s="46" t="s">
        <v>671</v>
      </c>
      <c r="T268" s="46" t="s">
        <v>672</v>
      </c>
      <c r="U268" s="46" t="b">
        <v>1</v>
      </c>
      <c r="V268" s="46" t="s">
        <v>1028</v>
      </c>
      <c r="W268" s="46" t="s">
        <v>1027</v>
      </c>
      <c r="X268" s="46">
        <v>6</v>
      </c>
      <c r="Y268" s="46" t="b">
        <v>1</v>
      </c>
      <c r="Z268" s="46" t="s">
        <v>675</v>
      </c>
      <c r="AA268" s="46" t="s">
        <v>676</v>
      </c>
      <c r="AB268" s="46" t="s">
        <v>677</v>
      </c>
      <c r="AC268" s="46">
        <v>0</v>
      </c>
      <c r="AD268" s="46" t="s">
        <v>678</v>
      </c>
      <c r="AE268" s="46">
        <v>8</v>
      </c>
      <c r="AF268" s="46" t="s">
        <v>679</v>
      </c>
      <c r="AG268" s="46">
        <v>49.875</v>
      </c>
      <c r="AH268" s="46" t="b">
        <v>1</v>
      </c>
      <c r="AI268" s="46">
        <v>-1</v>
      </c>
      <c r="AJ268" s="46" t="s">
        <v>680</v>
      </c>
      <c r="AK268" s="46">
        <v>0</v>
      </c>
      <c r="AL268" s="46" t="b">
        <v>0</v>
      </c>
      <c r="AM268" s="46">
        <v>49.875</v>
      </c>
      <c r="AN268" s="46" t="b">
        <v>1</v>
      </c>
      <c r="AO268" s="46">
        <v>0</v>
      </c>
      <c r="AP268" s="46" t="b">
        <v>0</v>
      </c>
      <c r="AQ268" s="46">
        <v>318.56</v>
      </c>
      <c r="AS268" s="46">
        <v>318.56</v>
      </c>
      <c r="AT268" s="46">
        <v>6</v>
      </c>
      <c r="AU268" s="46" t="b">
        <v>1</v>
      </c>
      <c r="AV268" s="46" t="b">
        <v>0</v>
      </c>
    </row>
    <row r="269" spans="2:48">
      <c r="B269" s="46" t="s">
        <v>665</v>
      </c>
      <c r="C269" s="46" t="s">
        <v>666</v>
      </c>
      <c r="D269" s="46">
        <v>20240301</v>
      </c>
      <c r="E269" s="46">
        <v>2024</v>
      </c>
      <c r="F269" s="46">
        <v>3</v>
      </c>
      <c r="G269" s="46" t="s">
        <v>692</v>
      </c>
      <c r="H269" s="46">
        <v>818</v>
      </c>
      <c r="I269" s="46" t="s">
        <v>668</v>
      </c>
      <c r="J269" s="46" t="s">
        <v>57</v>
      </c>
      <c r="K269" s="46" t="s">
        <v>666</v>
      </c>
      <c r="L269" s="46" t="s">
        <v>669</v>
      </c>
      <c r="M269" s="46">
        <v>490</v>
      </c>
      <c r="N269" s="46" t="s">
        <v>762</v>
      </c>
      <c r="O269" s="46" t="s">
        <v>763</v>
      </c>
      <c r="P269" s="46">
        <v>0</v>
      </c>
      <c r="Q269" s="46" t="s">
        <v>670</v>
      </c>
      <c r="R269" s="46" t="s">
        <v>23</v>
      </c>
      <c r="S269" s="46" t="s">
        <v>671</v>
      </c>
      <c r="T269" s="46" t="s">
        <v>672</v>
      </c>
      <c r="U269" s="46" t="b">
        <v>1</v>
      </c>
      <c r="V269" s="46" t="s">
        <v>1028</v>
      </c>
      <c r="W269" s="46" t="s">
        <v>1027</v>
      </c>
      <c r="X269" s="46">
        <v>6</v>
      </c>
      <c r="Y269" s="46" t="b">
        <v>1</v>
      </c>
      <c r="Z269" s="46" t="s">
        <v>675</v>
      </c>
      <c r="AA269" s="46" t="s">
        <v>676</v>
      </c>
      <c r="AB269" s="46" t="s">
        <v>677</v>
      </c>
      <c r="AC269" s="46">
        <v>0</v>
      </c>
      <c r="AD269" s="46" t="s">
        <v>678</v>
      </c>
      <c r="AE269" s="46">
        <v>8</v>
      </c>
      <c r="AF269" s="46" t="s">
        <v>679</v>
      </c>
      <c r="AG269" s="46">
        <v>414.39</v>
      </c>
      <c r="AH269" s="46" t="b">
        <v>1</v>
      </c>
      <c r="AI269" s="46">
        <v>-1</v>
      </c>
      <c r="AJ269" s="46" t="s">
        <v>680</v>
      </c>
      <c r="AK269" s="46">
        <v>0</v>
      </c>
      <c r="AL269" s="46" t="b">
        <v>0</v>
      </c>
      <c r="AM269" s="46">
        <v>414.39</v>
      </c>
      <c r="AN269" s="46" t="b">
        <v>1</v>
      </c>
      <c r="AO269" s="46">
        <v>0</v>
      </c>
      <c r="AP269" s="46" t="b">
        <v>0</v>
      </c>
      <c r="AQ269" s="46">
        <v>2646.7869999999998</v>
      </c>
      <c r="AS269" s="46">
        <v>2646.7869999999998</v>
      </c>
      <c r="AT269" s="46">
        <v>6</v>
      </c>
      <c r="AU269" s="46" t="b">
        <v>1</v>
      </c>
      <c r="AV269" s="46" t="b">
        <v>0</v>
      </c>
    </row>
    <row r="270" spans="2:48">
      <c r="B270" s="46" t="s">
        <v>665</v>
      </c>
      <c r="C270" s="46" t="s">
        <v>666</v>
      </c>
      <c r="D270" s="46">
        <v>20240301</v>
      </c>
      <c r="E270" s="46">
        <v>2024</v>
      </c>
      <c r="F270" s="46">
        <v>3</v>
      </c>
      <c r="G270" s="46" t="s">
        <v>692</v>
      </c>
      <c r="H270" s="46">
        <v>818</v>
      </c>
      <c r="I270" s="46" t="s">
        <v>668</v>
      </c>
      <c r="J270" s="46" t="s">
        <v>57</v>
      </c>
      <c r="K270" s="46" t="s">
        <v>666</v>
      </c>
      <c r="L270" s="46" t="s">
        <v>669</v>
      </c>
      <c r="M270" s="46">
        <v>380</v>
      </c>
      <c r="N270" s="46" t="s">
        <v>689</v>
      </c>
      <c r="O270" s="46" t="s">
        <v>71</v>
      </c>
      <c r="P270" s="46">
        <v>0</v>
      </c>
      <c r="Q270" s="46" t="s">
        <v>670</v>
      </c>
      <c r="R270" s="46" t="s">
        <v>23</v>
      </c>
      <c r="S270" s="46" t="s">
        <v>671</v>
      </c>
      <c r="T270" s="46" t="s">
        <v>672</v>
      </c>
      <c r="U270" s="46" t="b">
        <v>1</v>
      </c>
      <c r="V270" s="46" t="s">
        <v>1028</v>
      </c>
      <c r="W270" s="46" t="s">
        <v>1027</v>
      </c>
      <c r="X270" s="46">
        <v>6</v>
      </c>
      <c r="Y270" s="46" t="b">
        <v>1</v>
      </c>
      <c r="Z270" s="46" t="s">
        <v>675</v>
      </c>
      <c r="AA270" s="46" t="s">
        <v>676</v>
      </c>
      <c r="AB270" s="46" t="s">
        <v>677</v>
      </c>
      <c r="AC270" s="46">
        <v>0</v>
      </c>
      <c r="AD270" s="46" t="s">
        <v>678</v>
      </c>
      <c r="AE270" s="46">
        <v>8</v>
      </c>
      <c r="AF270" s="46" t="s">
        <v>679</v>
      </c>
      <c r="AG270" s="46">
        <v>20846.103999999999</v>
      </c>
      <c r="AH270" s="46" t="b">
        <v>1</v>
      </c>
      <c r="AI270" s="46">
        <v>-1</v>
      </c>
      <c r="AJ270" s="46" t="s">
        <v>680</v>
      </c>
      <c r="AK270" s="46">
        <v>0</v>
      </c>
      <c r="AL270" s="46" t="b">
        <v>0</v>
      </c>
      <c r="AM270" s="46">
        <v>20846.103999999999</v>
      </c>
      <c r="AN270" s="46" t="b">
        <v>1</v>
      </c>
      <c r="AO270" s="46">
        <v>0</v>
      </c>
      <c r="AP270" s="46" t="b">
        <v>0</v>
      </c>
      <c r="AQ270" s="46">
        <v>133147.83100000001</v>
      </c>
      <c r="AS270" s="46">
        <v>133147.83100000001</v>
      </c>
      <c r="AT270" s="46">
        <v>6</v>
      </c>
      <c r="AU270" s="46" t="b">
        <v>1</v>
      </c>
      <c r="AV270" s="46" t="b">
        <v>0</v>
      </c>
    </row>
    <row r="271" spans="2:48">
      <c r="B271" s="46" t="s">
        <v>665</v>
      </c>
      <c r="C271" s="46" t="s">
        <v>666</v>
      </c>
      <c r="D271" s="46">
        <v>20240301</v>
      </c>
      <c r="E271" s="46">
        <v>2024</v>
      </c>
      <c r="F271" s="46">
        <v>3</v>
      </c>
      <c r="G271" s="46" t="s">
        <v>692</v>
      </c>
      <c r="H271" s="46">
        <v>818</v>
      </c>
      <c r="I271" s="46" t="s">
        <v>668</v>
      </c>
      <c r="J271" s="46" t="s">
        <v>57</v>
      </c>
      <c r="K271" s="46" t="s">
        <v>666</v>
      </c>
      <c r="L271" s="46" t="s">
        <v>669</v>
      </c>
      <c r="M271" s="46">
        <v>208</v>
      </c>
      <c r="N271" s="46" t="s">
        <v>988</v>
      </c>
      <c r="O271" s="46" t="s">
        <v>72</v>
      </c>
      <c r="P271" s="46">
        <v>0</v>
      </c>
      <c r="Q271" s="46" t="s">
        <v>670</v>
      </c>
      <c r="R271" s="46" t="s">
        <v>23</v>
      </c>
      <c r="S271" s="46" t="s">
        <v>671</v>
      </c>
      <c r="T271" s="46" t="s">
        <v>672</v>
      </c>
      <c r="U271" s="46" t="b">
        <v>1</v>
      </c>
      <c r="V271" s="46" t="s">
        <v>1028</v>
      </c>
      <c r="W271" s="46" t="s">
        <v>1027</v>
      </c>
      <c r="X271" s="46">
        <v>6</v>
      </c>
      <c r="Y271" s="46" t="b">
        <v>1</v>
      </c>
      <c r="Z271" s="46" t="s">
        <v>675</v>
      </c>
      <c r="AA271" s="46" t="s">
        <v>676</v>
      </c>
      <c r="AB271" s="46" t="s">
        <v>677</v>
      </c>
      <c r="AC271" s="46">
        <v>0</v>
      </c>
      <c r="AD271" s="46" t="s">
        <v>678</v>
      </c>
      <c r="AE271" s="46">
        <v>8</v>
      </c>
      <c r="AF271" s="46" t="s">
        <v>679</v>
      </c>
      <c r="AG271" s="46">
        <v>53.518000000000001</v>
      </c>
      <c r="AH271" s="46" t="b">
        <v>1</v>
      </c>
      <c r="AI271" s="46">
        <v>-1</v>
      </c>
      <c r="AJ271" s="46" t="s">
        <v>680</v>
      </c>
      <c r="AK271" s="46">
        <v>0</v>
      </c>
      <c r="AL271" s="46" t="b">
        <v>0</v>
      </c>
      <c r="AM271" s="46">
        <v>53.518000000000001</v>
      </c>
      <c r="AN271" s="46" t="b">
        <v>1</v>
      </c>
      <c r="AO271" s="46">
        <v>0</v>
      </c>
      <c r="AP271" s="46" t="b">
        <v>0</v>
      </c>
      <c r="AQ271" s="46">
        <v>341.827</v>
      </c>
      <c r="AS271" s="46">
        <v>341.827</v>
      </c>
      <c r="AT271" s="46">
        <v>6</v>
      </c>
      <c r="AU271" s="46" t="b">
        <v>1</v>
      </c>
      <c r="AV271" s="46" t="b">
        <v>0</v>
      </c>
    </row>
    <row r="272" spans="2:48">
      <c r="B272" s="46" t="s">
        <v>665</v>
      </c>
      <c r="C272" s="46" t="s">
        <v>666</v>
      </c>
      <c r="D272" s="46">
        <v>20240301</v>
      </c>
      <c r="E272" s="46">
        <v>2024</v>
      </c>
      <c r="F272" s="46">
        <v>3</v>
      </c>
      <c r="G272" s="46" t="s">
        <v>692</v>
      </c>
      <c r="H272" s="46">
        <v>818</v>
      </c>
      <c r="I272" s="46" t="s">
        <v>668</v>
      </c>
      <c r="J272" s="46" t="s">
        <v>57</v>
      </c>
      <c r="K272" s="46" t="s">
        <v>666</v>
      </c>
      <c r="L272" s="46" t="s">
        <v>669</v>
      </c>
      <c r="M272" s="46">
        <v>0</v>
      </c>
      <c r="N272" s="46" t="s">
        <v>670</v>
      </c>
      <c r="O272" s="46" t="s">
        <v>23</v>
      </c>
      <c r="P272" s="46">
        <v>0</v>
      </c>
      <c r="Q272" s="46" t="s">
        <v>670</v>
      </c>
      <c r="R272" s="46" t="s">
        <v>23</v>
      </c>
      <c r="S272" s="46" t="s">
        <v>671</v>
      </c>
      <c r="T272" s="46" t="s">
        <v>672</v>
      </c>
      <c r="U272" s="46" t="b">
        <v>1</v>
      </c>
      <c r="V272" s="46" t="s">
        <v>1028</v>
      </c>
      <c r="W272" s="46" t="s">
        <v>1027</v>
      </c>
      <c r="X272" s="46">
        <v>6</v>
      </c>
      <c r="Y272" s="46" t="b">
        <v>1</v>
      </c>
      <c r="Z272" s="46" t="s">
        <v>675</v>
      </c>
      <c r="AA272" s="46" t="s">
        <v>676</v>
      </c>
      <c r="AB272" s="46" t="s">
        <v>677</v>
      </c>
      <c r="AC272" s="46">
        <v>0</v>
      </c>
      <c r="AD272" s="46" t="s">
        <v>678</v>
      </c>
      <c r="AE272" s="46">
        <v>8</v>
      </c>
      <c r="AF272" s="46" t="s">
        <v>679</v>
      </c>
      <c r="AG272" s="46">
        <v>161222.52600000001</v>
      </c>
      <c r="AH272" s="46" t="b">
        <v>1</v>
      </c>
      <c r="AI272" s="46">
        <v>-1</v>
      </c>
      <c r="AJ272" s="46" t="s">
        <v>680</v>
      </c>
      <c r="AK272" s="46">
        <v>0</v>
      </c>
      <c r="AL272" s="46" t="b">
        <v>0</v>
      </c>
      <c r="AM272" s="46">
        <v>161222.52600000001</v>
      </c>
      <c r="AN272" s="46" t="b">
        <v>1</v>
      </c>
      <c r="AO272" s="46">
        <v>0</v>
      </c>
      <c r="AP272" s="46" t="b">
        <v>0</v>
      </c>
      <c r="AQ272" s="46">
        <v>1029757.406</v>
      </c>
      <c r="AS272" s="46">
        <v>1029757.406</v>
      </c>
      <c r="AT272" s="46">
        <v>6</v>
      </c>
      <c r="AU272" s="46" t="b">
        <v>0</v>
      </c>
      <c r="AV272" s="46" t="b">
        <v>1</v>
      </c>
    </row>
    <row r="273" spans="2:48">
      <c r="B273" s="46" t="s">
        <v>665</v>
      </c>
      <c r="C273" s="46" t="s">
        <v>666</v>
      </c>
      <c r="D273" s="46">
        <v>20240401</v>
      </c>
      <c r="E273" s="46">
        <v>2024</v>
      </c>
      <c r="F273" s="46">
        <v>4</v>
      </c>
      <c r="G273" s="46" t="s">
        <v>695</v>
      </c>
      <c r="H273" s="46">
        <v>818</v>
      </c>
      <c r="I273" s="46" t="s">
        <v>668</v>
      </c>
      <c r="J273" s="46" t="s">
        <v>57</v>
      </c>
      <c r="K273" s="46" t="s">
        <v>666</v>
      </c>
      <c r="L273" s="46" t="s">
        <v>669</v>
      </c>
      <c r="M273" s="46">
        <v>344</v>
      </c>
      <c r="N273" s="46" t="s">
        <v>989</v>
      </c>
      <c r="O273" s="46" t="s">
        <v>990</v>
      </c>
      <c r="P273" s="46">
        <v>0</v>
      </c>
      <c r="Q273" s="46" t="s">
        <v>670</v>
      </c>
      <c r="R273" s="46" t="s">
        <v>23</v>
      </c>
      <c r="S273" s="46" t="s">
        <v>671</v>
      </c>
      <c r="T273" s="46" t="s">
        <v>672</v>
      </c>
      <c r="U273" s="46" t="b">
        <v>1</v>
      </c>
      <c r="V273" s="46" t="s">
        <v>1028</v>
      </c>
      <c r="W273" s="46" t="s">
        <v>1027</v>
      </c>
      <c r="X273" s="46">
        <v>6</v>
      </c>
      <c r="Y273" s="46" t="b">
        <v>1</v>
      </c>
      <c r="Z273" s="46" t="s">
        <v>675</v>
      </c>
      <c r="AA273" s="46" t="s">
        <v>676</v>
      </c>
      <c r="AB273" s="46" t="s">
        <v>677</v>
      </c>
      <c r="AC273" s="46">
        <v>0</v>
      </c>
      <c r="AD273" s="46" t="s">
        <v>678</v>
      </c>
      <c r="AE273" s="46">
        <v>8</v>
      </c>
      <c r="AF273" s="46" t="s">
        <v>679</v>
      </c>
      <c r="AG273" s="46">
        <v>1219.123</v>
      </c>
      <c r="AH273" s="46" t="b">
        <v>1</v>
      </c>
      <c r="AI273" s="46">
        <v>-1</v>
      </c>
      <c r="AJ273" s="46" t="s">
        <v>680</v>
      </c>
      <c r="AK273" s="46">
        <v>0</v>
      </c>
      <c r="AL273" s="46" t="b">
        <v>0</v>
      </c>
      <c r="AM273" s="46">
        <v>1219.123</v>
      </c>
      <c r="AN273" s="46" t="b">
        <v>1</v>
      </c>
      <c r="AO273" s="46">
        <v>0</v>
      </c>
      <c r="AP273" s="46" t="b">
        <v>0</v>
      </c>
      <c r="AQ273" s="46">
        <v>7786.76</v>
      </c>
      <c r="AS273" s="46">
        <v>7786.76</v>
      </c>
      <c r="AT273" s="46">
        <v>6</v>
      </c>
      <c r="AU273" s="46" t="b">
        <v>1</v>
      </c>
      <c r="AV273" s="46" t="b">
        <v>0</v>
      </c>
    </row>
    <row r="274" spans="2:48">
      <c r="B274" s="46" t="s">
        <v>665</v>
      </c>
      <c r="C274" s="46" t="s">
        <v>666</v>
      </c>
      <c r="D274" s="46">
        <v>20240401</v>
      </c>
      <c r="E274" s="46">
        <v>2024</v>
      </c>
      <c r="F274" s="46">
        <v>4</v>
      </c>
      <c r="G274" s="46" t="s">
        <v>695</v>
      </c>
      <c r="H274" s="46">
        <v>818</v>
      </c>
      <c r="I274" s="46" t="s">
        <v>668</v>
      </c>
      <c r="J274" s="46" t="s">
        <v>57</v>
      </c>
      <c r="K274" s="46" t="s">
        <v>666</v>
      </c>
      <c r="L274" s="46" t="s">
        <v>669</v>
      </c>
      <c r="M274" s="46">
        <v>348</v>
      </c>
      <c r="N274" s="46" t="s">
        <v>757</v>
      </c>
      <c r="O274" s="46" t="s">
        <v>82</v>
      </c>
      <c r="P274" s="46">
        <v>0</v>
      </c>
      <c r="Q274" s="46" t="s">
        <v>670</v>
      </c>
      <c r="R274" s="46" t="s">
        <v>23</v>
      </c>
      <c r="S274" s="46" t="s">
        <v>671</v>
      </c>
      <c r="T274" s="46" t="s">
        <v>672</v>
      </c>
      <c r="U274" s="46" t="b">
        <v>1</v>
      </c>
      <c r="V274" s="46" t="s">
        <v>1028</v>
      </c>
      <c r="W274" s="46" t="s">
        <v>1027</v>
      </c>
      <c r="X274" s="46">
        <v>6</v>
      </c>
      <c r="Y274" s="46" t="b">
        <v>1</v>
      </c>
      <c r="Z274" s="46" t="s">
        <v>675</v>
      </c>
      <c r="AA274" s="46" t="s">
        <v>676</v>
      </c>
      <c r="AB274" s="46" t="s">
        <v>677</v>
      </c>
      <c r="AC274" s="46">
        <v>0</v>
      </c>
      <c r="AD274" s="46" t="s">
        <v>678</v>
      </c>
      <c r="AE274" s="46">
        <v>8</v>
      </c>
      <c r="AF274" s="46" t="s">
        <v>679</v>
      </c>
      <c r="AG274" s="46">
        <v>1201.6220000000001</v>
      </c>
      <c r="AH274" s="46" t="b">
        <v>1</v>
      </c>
      <c r="AI274" s="46">
        <v>-1</v>
      </c>
      <c r="AJ274" s="46" t="s">
        <v>680</v>
      </c>
      <c r="AK274" s="46">
        <v>0</v>
      </c>
      <c r="AL274" s="46" t="b">
        <v>0</v>
      </c>
      <c r="AM274" s="46">
        <v>1201.6220000000001</v>
      </c>
      <c r="AN274" s="46" t="b">
        <v>1</v>
      </c>
      <c r="AO274" s="46">
        <v>0</v>
      </c>
      <c r="AP274" s="46" t="b">
        <v>0</v>
      </c>
      <c r="AQ274" s="46">
        <v>7674.9769999999999</v>
      </c>
      <c r="AS274" s="46">
        <v>7674.9769999999999</v>
      </c>
      <c r="AT274" s="46">
        <v>6</v>
      </c>
      <c r="AU274" s="46" t="b">
        <v>1</v>
      </c>
      <c r="AV274" s="46" t="b">
        <v>0</v>
      </c>
    </row>
    <row r="275" spans="2:48">
      <c r="B275" s="46" t="s">
        <v>665</v>
      </c>
      <c r="C275" s="46" t="s">
        <v>666</v>
      </c>
      <c r="D275" s="46">
        <v>20240401</v>
      </c>
      <c r="E275" s="46">
        <v>2024</v>
      </c>
      <c r="F275" s="46">
        <v>4</v>
      </c>
      <c r="G275" s="46" t="s">
        <v>695</v>
      </c>
      <c r="H275" s="46">
        <v>818</v>
      </c>
      <c r="I275" s="46" t="s">
        <v>668</v>
      </c>
      <c r="J275" s="46" t="s">
        <v>57</v>
      </c>
      <c r="K275" s="46" t="s">
        <v>666</v>
      </c>
      <c r="L275" s="46" t="s">
        <v>669</v>
      </c>
      <c r="M275" s="46">
        <v>784</v>
      </c>
      <c r="N275" s="46" t="s">
        <v>694</v>
      </c>
      <c r="O275" s="46" t="s">
        <v>25</v>
      </c>
      <c r="P275" s="46">
        <v>0</v>
      </c>
      <c r="Q275" s="46" t="s">
        <v>670</v>
      </c>
      <c r="R275" s="46" t="s">
        <v>23</v>
      </c>
      <c r="S275" s="46" t="s">
        <v>671</v>
      </c>
      <c r="T275" s="46" t="s">
        <v>672</v>
      </c>
      <c r="U275" s="46" t="b">
        <v>1</v>
      </c>
      <c r="V275" s="46" t="s">
        <v>1028</v>
      </c>
      <c r="W275" s="46" t="s">
        <v>1027</v>
      </c>
      <c r="X275" s="46">
        <v>6</v>
      </c>
      <c r="Y275" s="46" t="b">
        <v>1</v>
      </c>
      <c r="Z275" s="46" t="s">
        <v>675</v>
      </c>
      <c r="AA275" s="46" t="s">
        <v>676</v>
      </c>
      <c r="AB275" s="46" t="s">
        <v>677</v>
      </c>
      <c r="AC275" s="46">
        <v>0</v>
      </c>
      <c r="AD275" s="46" t="s">
        <v>678</v>
      </c>
      <c r="AE275" s="46">
        <v>8</v>
      </c>
      <c r="AF275" s="46" t="s">
        <v>679</v>
      </c>
      <c r="AG275" s="46">
        <v>18312.403999999999</v>
      </c>
      <c r="AH275" s="46" t="b">
        <v>1</v>
      </c>
      <c r="AI275" s="46">
        <v>-1</v>
      </c>
      <c r="AJ275" s="46" t="s">
        <v>680</v>
      </c>
      <c r="AK275" s="46">
        <v>0</v>
      </c>
      <c r="AL275" s="46" t="b">
        <v>0</v>
      </c>
      <c r="AM275" s="46">
        <v>18312.403999999999</v>
      </c>
      <c r="AN275" s="46" t="b">
        <v>1</v>
      </c>
      <c r="AO275" s="46">
        <v>0</v>
      </c>
      <c r="AP275" s="46" t="b">
        <v>0</v>
      </c>
      <c r="AQ275" s="46">
        <v>116964.63099999999</v>
      </c>
      <c r="AS275" s="46">
        <v>116964.63099999999</v>
      </c>
      <c r="AT275" s="46">
        <v>6</v>
      </c>
      <c r="AU275" s="46" t="b">
        <v>1</v>
      </c>
      <c r="AV275" s="46" t="b">
        <v>0</v>
      </c>
    </row>
    <row r="276" spans="2:48">
      <c r="B276" s="46" t="s">
        <v>665</v>
      </c>
      <c r="C276" s="46" t="s">
        <v>666</v>
      </c>
      <c r="D276" s="46">
        <v>20240401</v>
      </c>
      <c r="E276" s="46">
        <v>2024</v>
      </c>
      <c r="F276" s="46">
        <v>4</v>
      </c>
      <c r="G276" s="46" t="s">
        <v>695</v>
      </c>
      <c r="H276" s="46">
        <v>818</v>
      </c>
      <c r="I276" s="46" t="s">
        <v>668</v>
      </c>
      <c r="J276" s="46" t="s">
        <v>57</v>
      </c>
      <c r="K276" s="46" t="s">
        <v>666</v>
      </c>
      <c r="L276" s="46" t="s">
        <v>669</v>
      </c>
      <c r="M276" s="46">
        <v>704</v>
      </c>
      <c r="N276" s="46" t="s">
        <v>756</v>
      </c>
      <c r="O276" s="46" t="s">
        <v>59</v>
      </c>
      <c r="P276" s="46">
        <v>0</v>
      </c>
      <c r="Q276" s="46" t="s">
        <v>670</v>
      </c>
      <c r="R276" s="46" t="s">
        <v>23</v>
      </c>
      <c r="S276" s="46" t="s">
        <v>671</v>
      </c>
      <c r="T276" s="46" t="s">
        <v>672</v>
      </c>
      <c r="U276" s="46" t="b">
        <v>1</v>
      </c>
      <c r="V276" s="46" t="s">
        <v>1028</v>
      </c>
      <c r="W276" s="46" t="s">
        <v>1027</v>
      </c>
      <c r="X276" s="46">
        <v>6</v>
      </c>
      <c r="Y276" s="46" t="b">
        <v>1</v>
      </c>
      <c r="Z276" s="46" t="s">
        <v>675</v>
      </c>
      <c r="AA276" s="46" t="s">
        <v>676</v>
      </c>
      <c r="AB276" s="46" t="s">
        <v>677</v>
      </c>
      <c r="AC276" s="46">
        <v>0</v>
      </c>
      <c r="AD276" s="46" t="s">
        <v>678</v>
      </c>
      <c r="AE276" s="46">
        <v>8</v>
      </c>
      <c r="AF276" s="46" t="s">
        <v>679</v>
      </c>
      <c r="AG276" s="46">
        <v>11073.13</v>
      </c>
      <c r="AH276" s="46" t="b">
        <v>1</v>
      </c>
      <c r="AI276" s="46">
        <v>-1</v>
      </c>
      <c r="AJ276" s="46" t="s">
        <v>680</v>
      </c>
      <c r="AK276" s="46">
        <v>0</v>
      </c>
      <c r="AL276" s="46" t="b">
        <v>0</v>
      </c>
      <c r="AM276" s="46">
        <v>11073.13</v>
      </c>
      <c r="AN276" s="46" t="b">
        <v>1</v>
      </c>
      <c r="AO276" s="46">
        <v>0</v>
      </c>
      <c r="AP276" s="46" t="b">
        <v>0</v>
      </c>
      <c r="AQ276" s="46">
        <v>70726.081000000006</v>
      </c>
      <c r="AS276" s="46">
        <v>70726.081000000006</v>
      </c>
      <c r="AT276" s="46">
        <v>6</v>
      </c>
      <c r="AU276" s="46" t="b">
        <v>1</v>
      </c>
      <c r="AV276" s="46" t="b">
        <v>0</v>
      </c>
    </row>
    <row r="277" spans="2:48">
      <c r="B277" s="46" t="s">
        <v>665</v>
      </c>
      <c r="C277" s="46" t="s">
        <v>666</v>
      </c>
      <c r="D277" s="46">
        <v>20240401</v>
      </c>
      <c r="E277" s="46">
        <v>2024</v>
      </c>
      <c r="F277" s="46">
        <v>4</v>
      </c>
      <c r="G277" s="46" t="s">
        <v>695</v>
      </c>
      <c r="H277" s="46">
        <v>818</v>
      </c>
      <c r="I277" s="46" t="s">
        <v>668</v>
      </c>
      <c r="J277" s="46" t="s">
        <v>57</v>
      </c>
      <c r="K277" s="46" t="s">
        <v>666</v>
      </c>
      <c r="L277" s="46" t="s">
        <v>669</v>
      </c>
      <c r="M277" s="46">
        <v>724</v>
      </c>
      <c r="N277" s="46" t="s">
        <v>684</v>
      </c>
      <c r="O277" s="46" t="s">
        <v>51</v>
      </c>
      <c r="P277" s="46">
        <v>0</v>
      </c>
      <c r="Q277" s="46" t="s">
        <v>670</v>
      </c>
      <c r="R277" s="46" t="s">
        <v>23</v>
      </c>
      <c r="S277" s="46" t="s">
        <v>671</v>
      </c>
      <c r="T277" s="46" t="s">
        <v>672</v>
      </c>
      <c r="U277" s="46" t="b">
        <v>1</v>
      </c>
      <c r="V277" s="46" t="s">
        <v>1028</v>
      </c>
      <c r="W277" s="46" t="s">
        <v>1027</v>
      </c>
      <c r="X277" s="46">
        <v>6</v>
      </c>
      <c r="Y277" s="46" t="b">
        <v>1</v>
      </c>
      <c r="Z277" s="46" t="s">
        <v>675</v>
      </c>
      <c r="AA277" s="46" t="s">
        <v>676</v>
      </c>
      <c r="AB277" s="46" t="s">
        <v>677</v>
      </c>
      <c r="AC277" s="46">
        <v>0</v>
      </c>
      <c r="AD277" s="46" t="s">
        <v>678</v>
      </c>
      <c r="AE277" s="46">
        <v>8</v>
      </c>
      <c r="AF277" s="46" t="s">
        <v>679</v>
      </c>
      <c r="AG277" s="46">
        <v>1386.1579999999999</v>
      </c>
      <c r="AH277" s="46" t="b">
        <v>1</v>
      </c>
      <c r="AI277" s="46">
        <v>-1</v>
      </c>
      <c r="AJ277" s="46" t="s">
        <v>680</v>
      </c>
      <c r="AK277" s="46">
        <v>0</v>
      </c>
      <c r="AL277" s="46" t="b">
        <v>0</v>
      </c>
      <c r="AM277" s="46">
        <v>1386.1579999999999</v>
      </c>
      <c r="AN277" s="46" t="b">
        <v>1</v>
      </c>
      <c r="AO277" s="46">
        <v>0</v>
      </c>
      <c r="AP277" s="46" t="b">
        <v>0</v>
      </c>
      <c r="AQ277" s="46">
        <v>8853.6440000000002</v>
      </c>
      <c r="AS277" s="46">
        <v>8853.6440000000002</v>
      </c>
      <c r="AT277" s="46">
        <v>6</v>
      </c>
      <c r="AU277" s="46" t="b">
        <v>1</v>
      </c>
      <c r="AV277" s="46" t="b">
        <v>0</v>
      </c>
    </row>
    <row r="278" spans="2:48">
      <c r="B278" s="46" t="s">
        <v>665</v>
      </c>
      <c r="C278" s="46" t="s">
        <v>666</v>
      </c>
      <c r="D278" s="46">
        <v>20240401</v>
      </c>
      <c r="E278" s="46">
        <v>2024</v>
      </c>
      <c r="F278" s="46">
        <v>4</v>
      </c>
      <c r="G278" s="46" t="s">
        <v>695</v>
      </c>
      <c r="H278" s="46">
        <v>818</v>
      </c>
      <c r="I278" s="46" t="s">
        <v>668</v>
      </c>
      <c r="J278" s="46" t="s">
        <v>57</v>
      </c>
      <c r="K278" s="46" t="s">
        <v>666</v>
      </c>
      <c r="L278" s="46" t="s">
        <v>669</v>
      </c>
      <c r="M278" s="46">
        <v>699</v>
      </c>
      <c r="N278" s="46" t="s">
        <v>748</v>
      </c>
      <c r="O278" s="46" t="s">
        <v>0</v>
      </c>
      <c r="P278" s="46">
        <v>0</v>
      </c>
      <c r="Q278" s="46" t="s">
        <v>670</v>
      </c>
      <c r="R278" s="46" t="s">
        <v>23</v>
      </c>
      <c r="S278" s="46" t="s">
        <v>671</v>
      </c>
      <c r="T278" s="46" t="s">
        <v>672</v>
      </c>
      <c r="U278" s="46" t="b">
        <v>1</v>
      </c>
      <c r="V278" s="46" t="s">
        <v>1028</v>
      </c>
      <c r="W278" s="46" t="s">
        <v>1027</v>
      </c>
      <c r="X278" s="46">
        <v>6</v>
      </c>
      <c r="Y278" s="46" t="b">
        <v>1</v>
      </c>
      <c r="Z278" s="46" t="s">
        <v>675</v>
      </c>
      <c r="AA278" s="46" t="s">
        <v>676</v>
      </c>
      <c r="AB278" s="46" t="s">
        <v>677</v>
      </c>
      <c r="AC278" s="46">
        <v>0</v>
      </c>
      <c r="AD278" s="46" t="s">
        <v>678</v>
      </c>
      <c r="AE278" s="46">
        <v>8</v>
      </c>
      <c r="AF278" s="46" t="s">
        <v>679</v>
      </c>
      <c r="AG278" s="46">
        <v>7348.5519999999997</v>
      </c>
      <c r="AH278" s="46" t="b">
        <v>1</v>
      </c>
      <c r="AI278" s="46">
        <v>-1</v>
      </c>
      <c r="AJ278" s="46" t="s">
        <v>680</v>
      </c>
      <c r="AK278" s="46">
        <v>0</v>
      </c>
      <c r="AL278" s="46" t="b">
        <v>0</v>
      </c>
      <c r="AM278" s="46">
        <v>7348.5519999999997</v>
      </c>
      <c r="AN278" s="46" t="b">
        <v>1</v>
      </c>
      <c r="AO278" s="46">
        <v>0</v>
      </c>
      <c r="AP278" s="46" t="b">
        <v>0</v>
      </c>
      <c r="AQ278" s="46">
        <v>46936.527000000002</v>
      </c>
      <c r="AS278" s="46">
        <v>46936.527000000002</v>
      </c>
      <c r="AT278" s="46">
        <v>6</v>
      </c>
      <c r="AU278" s="46" t="b">
        <v>1</v>
      </c>
      <c r="AV278" s="46" t="b">
        <v>0</v>
      </c>
    </row>
    <row r="279" spans="2:48">
      <c r="B279" s="46" t="s">
        <v>665</v>
      </c>
      <c r="C279" s="46" t="s">
        <v>666</v>
      </c>
      <c r="D279" s="46">
        <v>20240401</v>
      </c>
      <c r="E279" s="46">
        <v>2024</v>
      </c>
      <c r="F279" s="46">
        <v>4</v>
      </c>
      <c r="G279" s="46" t="s">
        <v>695</v>
      </c>
      <c r="H279" s="46">
        <v>818</v>
      </c>
      <c r="I279" s="46" t="s">
        <v>668</v>
      </c>
      <c r="J279" s="46" t="s">
        <v>57</v>
      </c>
      <c r="K279" s="46" t="s">
        <v>666</v>
      </c>
      <c r="L279" s="46" t="s">
        <v>669</v>
      </c>
      <c r="M279" s="46">
        <v>682</v>
      </c>
      <c r="N279" s="46" t="s">
        <v>758</v>
      </c>
      <c r="O279" s="46" t="s">
        <v>39</v>
      </c>
      <c r="P279" s="46">
        <v>0</v>
      </c>
      <c r="Q279" s="46" t="s">
        <v>670</v>
      </c>
      <c r="R279" s="46" t="s">
        <v>23</v>
      </c>
      <c r="S279" s="46" t="s">
        <v>671</v>
      </c>
      <c r="T279" s="46" t="s">
        <v>672</v>
      </c>
      <c r="U279" s="46" t="b">
        <v>1</v>
      </c>
      <c r="V279" s="46" t="s">
        <v>1028</v>
      </c>
      <c r="W279" s="46" t="s">
        <v>1027</v>
      </c>
      <c r="X279" s="46">
        <v>6</v>
      </c>
      <c r="Y279" s="46" t="b">
        <v>1</v>
      </c>
      <c r="Z279" s="46" t="s">
        <v>675</v>
      </c>
      <c r="AA279" s="46" t="s">
        <v>676</v>
      </c>
      <c r="AB279" s="46" t="s">
        <v>677</v>
      </c>
      <c r="AC279" s="46">
        <v>0</v>
      </c>
      <c r="AD279" s="46" t="s">
        <v>678</v>
      </c>
      <c r="AE279" s="46">
        <v>8</v>
      </c>
      <c r="AF279" s="46" t="s">
        <v>679</v>
      </c>
      <c r="AG279" s="46">
        <v>55974.718000000001</v>
      </c>
      <c r="AH279" s="46" t="b">
        <v>1</v>
      </c>
      <c r="AI279" s="46">
        <v>-1</v>
      </c>
      <c r="AJ279" s="46" t="s">
        <v>680</v>
      </c>
      <c r="AK279" s="46">
        <v>0</v>
      </c>
      <c r="AL279" s="46" t="b">
        <v>0</v>
      </c>
      <c r="AM279" s="46">
        <v>55974.718000000001</v>
      </c>
      <c r="AN279" s="46" t="b">
        <v>1</v>
      </c>
      <c r="AO279" s="46">
        <v>0</v>
      </c>
      <c r="AP279" s="46" t="b">
        <v>0</v>
      </c>
      <c r="AQ279" s="46">
        <v>357520.63900000002</v>
      </c>
      <c r="AS279" s="46">
        <v>357520.63900000002</v>
      </c>
      <c r="AT279" s="46">
        <v>6</v>
      </c>
      <c r="AU279" s="46" t="b">
        <v>1</v>
      </c>
      <c r="AV279" s="46" t="b">
        <v>0</v>
      </c>
    </row>
    <row r="280" spans="2:48">
      <c r="B280" s="46" t="s">
        <v>665</v>
      </c>
      <c r="C280" s="46" t="s">
        <v>666</v>
      </c>
      <c r="D280" s="46">
        <v>20240401</v>
      </c>
      <c r="E280" s="46">
        <v>2024</v>
      </c>
      <c r="F280" s="46">
        <v>4</v>
      </c>
      <c r="G280" s="46" t="s">
        <v>695</v>
      </c>
      <c r="H280" s="46">
        <v>818</v>
      </c>
      <c r="I280" s="46" t="s">
        <v>668</v>
      </c>
      <c r="J280" s="46" t="s">
        <v>57</v>
      </c>
      <c r="K280" s="46" t="s">
        <v>666</v>
      </c>
      <c r="L280" s="46" t="s">
        <v>669</v>
      </c>
      <c r="M280" s="46">
        <v>616</v>
      </c>
      <c r="N280" s="46" t="s">
        <v>999</v>
      </c>
      <c r="O280" s="46" t="s">
        <v>84</v>
      </c>
      <c r="P280" s="46">
        <v>0</v>
      </c>
      <c r="Q280" s="46" t="s">
        <v>670</v>
      </c>
      <c r="R280" s="46" t="s">
        <v>23</v>
      </c>
      <c r="S280" s="46" t="s">
        <v>671</v>
      </c>
      <c r="T280" s="46" t="s">
        <v>672</v>
      </c>
      <c r="U280" s="46" t="b">
        <v>1</v>
      </c>
      <c r="V280" s="46" t="s">
        <v>1028</v>
      </c>
      <c r="W280" s="46" t="s">
        <v>1027</v>
      </c>
      <c r="X280" s="46">
        <v>6</v>
      </c>
      <c r="Y280" s="46" t="b">
        <v>1</v>
      </c>
      <c r="Z280" s="46" t="s">
        <v>675</v>
      </c>
      <c r="AA280" s="46" t="s">
        <v>676</v>
      </c>
      <c r="AB280" s="46" t="s">
        <v>677</v>
      </c>
      <c r="AC280" s="46">
        <v>0</v>
      </c>
      <c r="AD280" s="46" t="s">
        <v>678</v>
      </c>
      <c r="AE280" s="46">
        <v>8</v>
      </c>
      <c r="AF280" s="46" t="s">
        <v>679</v>
      </c>
      <c r="AG280" s="46">
        <v>7179.3549999999996</v>
      </c>
      <c r="AH280" s="46" t="b">
        <v>1</v>
      </c>
      <c r="AI280" s="46">
        <v>-1</v>
      </c>
      <c r="AJ280" s="46" t="s">
        <v>680</v>
      </c>
      <c r="AK280" s="46">
        <v>0</v>
      </c>
      <c r="AL280" s="46" t="b">
        <v>0</v>
      </c>
      <c r="AM280" s="46">
        <v>7179.3549999999996</v>
      </c>
      <c r="AN280" s="46" t="b">
        <v>1</v>
      </c>
      <c r="AO280" s="46">
        <v>0</v>
      </c>
      <c r="AP280" s="46" t="b">
        <v>0</v>
      </c>
      <c r="AQ280" s="46">
        <v>45855.839999999997</v>
      </c>
      <c r="AS280" s="46">
        <v>45855.839999999997</v>
      </c>
      <c r="AT280" s="46">
        <v>6</v>
      </c>
      <c r="AU280" s="46" t="b">
        <v>1</v>
      </c>
      <c r="AV280" s="46" t="b">
        <v>0</v>
      </c>
    </row>
    <row r="281" spans="2:48">
      <c r="B281" s="46" t="s">
        <v>665</v>
      </c>
      <c r="C281" s="46" t="s">
        <v>666</v>
      </c>
      <c r="D281" s="46">
        <v>20240401</v>
      </c>
      <c r="E281" s="46">
        <v>2024</v>
      </c>
      <c r="F281" s="46">
        <v>4</v>
      </c>
      <c r="G281" s="46" t="s">
        <v>695</v>
      </c>
      <c r="H281" s="46">
        <v>818</v>
      </c>
      <c r="I281" s="46" t="s">
        <v>668</v>
      </c>
      <c r="J281" s="46" t="s">
        <v>57</v>
      </c>
      <c r="K281" s="46" t="s">
        <v>666</v>
      </c>
      <c r="L281" s="46" t="s">
        <v>669</v>
      </c>
      <c r="M281" s="46">
        <v>422</v>
      </c>
      <c r="N281" s="46" t="s">
        <v>697</v>
      </c>
      <c r="O281" s="46" t="s">
        <v>225</v>
      </c>
      <c r="P281" s="46">
        <v>0</v>
      </c>
      <c r="Q281" s="46" t="s">
        <v>670</v>
      </c>
      <c r="R281" s="46" t="s">
        <v>23</v>
      </c>
      <c r="S281" s="46" t="s">
        <v>671</v>
      </c>
      <c r="T281" s="46" t="s">
        <v>672</v>
      </c>
      <c r="U281" s="46" t="b">
        <v>1</v>
      </c>
      <c r="V281" s="46" t="s">
        <v>1028</v>
      </c>
      <c r="W281" s="46" t="s">
        <v>1027</v>
      </c>
      <c r="X281" s="46">
        <v>6</v>
      </c>
      <c r="Y281" s="46" t="b">
        <v>1</v>
      </c>
      <c r="Z281" s="46" t="s">
        <v>675</v>
      </c>
      <c r="AA281" s="46" t="s">
        <v>676</v>
      </c>
      <c r="AB281" s="46" t="s">
        <v>677</v>
      </c>
      <c r="AC281" s="46">
        <v>0</v>
      </c>
      <c r="AD281" s="46" t="s">
        <v>678</v>
      </c>
      <c r="AE281" s="46">
        <v>8</v>
      </c>
      <c r="AF281" s="46" t="s">
        <v>679</v>
      </c>
      <c r="AG281" s="46">
        <v>3801.61</v>
      </c>
      <c r="AH281" s="46" t="b">
        <v>1</v>
      </c>
      <c r="AI281" s="46">
        <v>-1</v>
      </c>
      <c r="AJ281" s="46" t="s">
        <v>680</v>
      </c>
      <c r="AK281" s="46">
        <v>0</v>
      </c>
      <c r="AL281" s="46" t="b">
        <v>0</v>
      </c>
      <c r="AM281" s="46">
        <v>3801.61</v>
      </c>
      <c r="AN281" s="46" t="b">
        <v>1</v>
      </c>
      <c r="AO281" s="46">
        <v>0</v>
      </c>
      <c r="AP281" s="46" t="b">
        <v>0</v>
      </c>
      <c r="AQ281" s="46">
        <v>24281.57</v>
      </c>
      <c r="AS281" s="46">
        <v>24281.57</v>
      </c>
      <c r="AT281" s="46">
        <v>6</v>
      </c>
      <c r="AU281" s="46" t="b">
        <v>1</v>
      </c>
      <c r="AV281" s="46" t="b">
        <v>0</v>
      </c>
    </row>
    <row r="282" spans="2:48">
      <c r="B282" s="46" t="s">
        <v>665</v>
      </c>
      <c r="C282" s="46" t="s">
        <v>666</v>
      </c>
      <c r="D282" s="46">
        <v>20240401</v>
      </c>
      <c r="E282" s="46">
        <v>2024</v>
      </c>
      <c r="F282" s="46">
        <v>4</v>
      </c>
      <c r="G282" s="46" t="s">
        <v>695</v>
      </c>
      <c r="H282" s="46">
        <v>818</v>
      </c>
      <c r="I282" s="46" t="s">
        <v>668</v>
      </c>
      <c r="J282" s="46" t="s">
        <v>57</v>
      </c>
      <c r="K282" s="46" t="s">
        <v>666</v>
      </c>
      <c r="L282" s="46" t="s">
        <v>669</v>
      </c>
      <c r="M282" s="46">
        <v>410</v>
      </c>
      <c r="N282" s="46" t="s">
        <v>754</v>
      </c>
      <c r="O282" s="46" t="s">
        <v>755</v>
      </c>
      <c r="P282" s="46">
        <v>0</v>
      </c>
      <c r="Q282" s="46" t="s">
        <v>670</v>
      </c>
      <c r="R282" s="46" t="s">
        <v>23</v>
      </c>
      <c r="S282" s="46" t="s">
        <v>671</v>
      </c>
      <c r="T282" s="46" t="s">
        <v>672</v>
      </c>
      <c r="U282" s="46" t="b">
        <v>1</v>
      </c>
      <c r="V282" s="46" t="s">
        <v>1028</v>
      </c>
      <c r="W282" s="46" t="s">
        <v>1027</v>
      </c>
      <c r="X282" s="46">
        <v>6</v>
      </c>
      <c r="Y282" s="46" t="b">
        <v>1</v>
      </c>
      <c r="Z282" s="46" t="s">
        <v>675</v>
      </c>
      <c r="AA282" s="46" t="s">
        <v>676</v>
      </c>
      <c r="AB282" s="46" t="s">
        <v>677</v>
      </c>
      <c r="AC282" s="46">
        <v>0</v>
      </c>
      <c r="AD282" s="46" t="s">
        <v>678</v>
      </c>
      <c r="AE282" s="46">
        <v>8</v>
      </c>
      <c r="AF282" s="46" t="s">
        <v>679</v>
      </c>
      <c r="AG282" s="46">
        <v>300.947</v>
      </c>
      <c r="AH282" s="46" t="b">
        <v>1</v>
      </c>
      <c r="AI282" s="46">
        <v>-1</v>
      </c>
      <c r="AJ282" s="46" t="s">
        <v>680</v>
      </c>
      <c r="AK282" s="46">
        <v>0</v>
      </c>
      <c r="AL282" s="46" t="b">
        <v>0</v>
      </c>
      <c r="AM282" s="46">
        <v>300.947</v>
      </c>
      <c r="AN282" s="46" t="b">
        <v>1</v>
      </c>
      <c r="AO282" s="46">
        <v>0</v>
      </c>
      <c r="AP282" s="46" t="b">
        <v>0</v>
      </c>
      <c r="AQ282" s="46">
        <v>1922.204</v>
      </c>
      <c r="AS282" s="46">
        <v>1922.204</v>
      </c>
      <c r="AT282" s="46">
        <v>6</v>
      </c>
      <c r="AU282" s="46" t="b">
        <v>1</v>
      </c>
      <c r="AV282" s="46" t="b">
        <v>0</v>
      </c>
    </row>
    <row r="283" spans="2:48">
      <c r="B283" s="46" t="s">
        <v>665</v>
      </c>
      <c r="C283" s="46" t="s">
        <v>666</v>
      </c>
      <c r="D283" s="46">
        <v>20240401</v>
      </c>
      <c r="E283" s="46">
        <v>2024</v>
      </c>
      <c r="F283" s="46">
        <v>4</v>
      </c>
      <c r="G283" s="46" t="s">
        <v>695</v>
      </c>
      <c r="H283" s="46">
        <v>818</v>
      </c>
      <c r="I283" s="46" t="s">
        <v>668</v>
      </c>
      <c r="J283" s="46" t="s">
        <v>57</v>
      </c>
      <c r="K283" s="46" t="s">
        <v>666</v>
      </c>
      <c r="L283" s="46" t="s">
        <v>669</v>
      </c>
      <c r="M283" s="46">
        <v>380</v>
      </c>
      <c r="N283" s="46" t="s">
        <v>689</v>
      </c>
      <c r="O283" s="46" t="s">
        <v>71</v>
      </c>
      <c r="P283" s="46">
        <v>0</v>
      </c>
      <c r="Q283" s="46" t="s">
        <v>670</v>
      </c>
      <c r="R283" s="46" t="s">
        <v>23</v>
      </c>
      <c r="S283" s="46" t="s">
        <v>671</v>
      </c>
      <c r="T283" s="46" t="s">
        <v>672</v>
      </c>
      <c r="U283" s="46" t="b">
        <v>1</v>
      </c>
      <c r="V283" s="46" t="s">
        <v>1028</v>
      </c>
      <c r="W283" s="46" t="s">
        <v>1027</v>
      </c>
      <c r="X283" s="46">
        <v>6</v>
      </c>
      <c r="Y283" s="46" t="b">
        <v>1</v>
      </c>
      <c r="Z283" s="46" t="s">
        <v>675</v>
      </c>
      <c r="AA283" s="46" t="s">
        <v>676</v>
      </c>
      <c r="AB283" s="46" t="s">
        <v>677</v>
      </c>
      <c r="AC283" s="46">
        <v>0</v>
      </c>
      <c r="AD283" s="46" t="s">
        <v>678</v>
      </c>
      <c r="AE283" s="46">
        <v>8</v>
      </c>
      <c r="AF283" s="46" t="s">
        <v>679</v>
      </c>
      <c r="AG283" s="46">
        <v>61319.803999999996</v>
      </c>
      <c r="AH283" s="46" t="b">
        <v>1</v>
      </c>
      <c r="AI283" s="46">
        <v>-1</v>
      </c>
      <c r="AJ283" s="46" t="s">
        <v>680</v>
      </c>
      <c r="AK283" s="46">
        <v>0</v>
      </c>
      <c r="AL283" s="46" t="b">
        <v>0</v>
      </c>
      <c r="AM283" s="46">
        <v>61319.803999999996</v>
      </c>
      <c r="AN283" s="46" t="b">
        <v>1</v>
      </c>
      <c r="AO283" s="46">
        <v>0</v>
      </c>
      <c r="AP283" s="46" t="b">
        <v>0</v>
      </c>
      <c r="AQ283" s="46">
        <v>391660.66899999999</v>
      </c>
      <c r="AS283" s="46">
        <v>391660.66899999999</v>
      </c>
      <c r="AT283" s="46">
        <v>6</v>
      </c>
      <c r="AU283" s="46" t="b">
        <v>1</v>
      </c>
      <c r="AV283" s="46" t="b">
        <v>0</v>
      </c>
    </row>
    <row r="284" spans="2:48">
      <c r="B284" s="46" t="s">
        <v>665</v>
      </c>
      <c r="C284" s="46" t="s">
        <v>666</v>
      </c>
      <c r="D284" s="46">
        <v>20240401</v>
      </c>
      <c r="E284" s="46">
        <v>2024</v>
      </c>
      <c r="F284" s="46">
        <v>4</v>
      </c>
      <c r="G284" s="46" t="s">
        <v>695</v>
      </c>
      <c r="H284" s="46">
        <v>818</v>
      </c>
      <c r="I284" s="46" t="s">
        <v>668</v>
      </c>
      <c r="J284" s="46" t="s">
        <v>57</v>
      </c>
      <c r="K284" s="46" t="s">
        <v>666</v>
      </c>
      <c r="L284" s="46" t="s">
        <v>669</v>
      </c>
      <c r="M284" s="46">
        <v>100</v>
      </c>
      <c r="N284" s="46" t="s">
        <v>705</v>
      </c>
      <c r="O284" s="46" t="s">
        <v>81</v>
      </c>
      <c r="P284" s="46">
        <v>0</v>
      </c>
      <c r="Q284" s="46" t="s">
        <v>670</v>
      </c>
      <c r="R284" s="46" t="s">
        <v>23</v>
      </c>
      <c r="S284" s="46" t="s">
        <v>671</v>
      </c>
      <c r="T284" s="46" t="s">
        <v>672</v>
      </c>
      <c r="U284" s="46" t="b">
        <v>1</v>
      </c>
      <c r="V284" s="46" t="s">
        <v>1028</v>
      </c>
      <c r="W284" s="46" t="s">
        <v>1027</v>
      </c>
      <c r="X284" s="46">
        <v>6</v>
      </c>
      <c r="Y284" s="46" t="b">
        <v>1</v>
      </c>
      <c r="Z284" s="46" t="s">
        <v>675</v>
      </c>
      <c r="AA284" s="46" t="s">
        <v>676</v>
      </c>
      <c r="AB284" s="46" t="s">
        <v>677</v>
      </c>
      <c r="AC284" s="46">
        <v>0</v>
      </c>
      <c r="AD284" s="46" t="s">
        <v>678</v>
      </c>
      <c r="AE284" s="46">
        <v>8</v>
      </c>
      <c r="AF284" s="46" t="s">
        <v>679</v>
      </c>
      <c r="AG284" s="46">
        <v>101.7</v>
      </c>
      <c r="AH284" s="46" t="b">
        <v>1</v>
      </c>
      <c r="AI284" s="46">
        <v>-1</v>
      </c>
      <c r="AJ284" s="46" t="s">
        <v>680</v>
      </c>
      <c r="AK284" s="46">
        <v>0</v>
      </c>
      <c r="AL284" s="46" t="b">
        <v>0</v>
      </c>
      <c r="AM284" s="46">
        <v>101.7</v>
      </c>
      <c r="AN284" s="46" t="b">
        <v>1</v>
      </c>
      <c r="AO284" s="46">
        <v>0</v>
      </c>
      <c r="AP284" s="46" t="b">
        <v>0</v>
      </c>
      <c r="AQ284" s="46">
        <v>649.57500000000005</v>
      </c>
      <c r="AS284" s="46">
        <v>649.57500000000005</v>
      </c>
      <c r="AT284" s="46">
        <v>6</v>
      </c>
      <c r="AU284" s="46" t="b">
        <v>1</v>
      </c>
      <c r="AV284" s="46" t="b">
        <v>0</v>
      </c>
    </row>
    <row r="285" spans="2:48">
      <c r="B285" s="46" t="s">
        <v>665</v>
      </c>
      <c r="C285" s="46" t="s">
        <v>666</v>
      </c>
      <c r="D285" s="46">
        <v>20240401</v>
      </c>
      <c r="E285" s="46">
        <v>2024</v>
      </c>
      <c r="F285" s="46">
        <v>4</v>
      </c>
      <c r="G285" s="46" t="s">
        <v>695</v>
      </c>
      <c r="H285" s="46">
        <v>818</v>
      </c>
      <c r="I285" s="46" t="s">
        <v>668</v>
      </c>
      <c r="J285" s="46" t="s">
        <v>57</v>
      </c>
      <c r="K285" s="46" t="s">
        <v>666</v>
      </c>
      <c r="L285" s="46" t="s">
        <v>669</v>
      </c>
      <c r="M285" s="46">
        <v>144</v>
      </c>
      <c r="N285" s="46" t="s">
        <v>1029</v>
      </c>
      <c r="O285" s="46" t="s">
        <v>94</v>
      </c>
      <c r="P285" s="46">
        <v>0</v>
      </c>
      <c r="Q285" s="46" t="s">
        <v>670</v>
      </c>
      <c r="R285" s="46" t="s">
        <v>23</v>
      </c>
      <c r="S285" s="46" t="s">
        <v>671</v>
      </c>
      <c r="T285" s="46" t="s">
        <v>672</v>
      </c>
      <c r="U285" s="46" t="b">
        <v>1</v>
      </c>
      <c r="V285" s="46" t="s">
        <v>1028</v>
      </c>
      <c r="W285" s="46" t="s">
        <v>1027</v>
      </c>
      <c r="X285" s="46">
        <v>6</v>
      </c>
      <c r="Y285" s="46" t="b">
        <v>1</v>
      </c>
      <c r="Z285" s="46" t="s">
        <v>675</v>
      </c>
      <c r="AA285" s="46" t="s">
        <v>676</v>
      </c>
      <c r="AB285" s="46" t="s">
        <v>677</v>
      </c>
      <c r="AC285" s="46">
        <v>0</v>
      </c>
      <c r="AD285" s="46" t="s">
        <v>678</v>
      </c>
      <c r="AE285" s="46">
        <v>8</v>
      </c>
      <c r="AF285" s="46" t="s">
        <v>679</v>
      </c>
      <c r="AG285" s="46">
        <v>1118.1369999999999</v>
      </c>
      <c r="AH285" s="46" t="b">
        <v>1</v>
      </c>
      <c r="AI285" s="46">
        <v>-1</v>
      </c>
      <c r="AJ285" s="46" t="s">
        <v>680</v>
      </c>
      <c r="AK285" s="46">
        <v>0</v>
      </c>
      <c r="AL285" s="46" t="b">
        <v>0</v>
      </c>
      <c r="AM285" s="46">
        <v>1118.1369999999999</v>
      </c>
      <c r="AN285" s="46" t="b">
        <v>1</v>
      </c>
      <c r="AO285" s="46">
        <v>0</v>
      </c>
      <c r="AP285" s="46" t="b">
        <v>0</v>
      </c>
      <c r="AQ285" s="46">
        <v>7141.7449999999999</v>
      </c>
      <c r="AS285" s="46">
        <v>7141.7449999999999</v>
      </c>
      <c r="AT285" s="46">
        <v>6</v>
      </c>
      <c r="AU285" s="46" t="b">
        <v>1</v>
      </c>
      <c r="AV285" s="46" t="b">
        <v>0</v>
      </c>
    </row>
    <row r="286" spans="2:48">
      <c r="B286" s="46" t="s">
        <v>665</v>
      </c>
      <c r="C286" s="46" t="s">
        <v>666</v>
      </c>
      <c r="D286" s="46">
        <v>20240401</v>
      </c>
      <c r="E286" s="46">
        <v>2024</v>
      </c>
      <c r="F286" s="46">
        <v>4</v>
      </c>
      <c r="G286" s="46" t="s">
        <v>695</v>
      </c>
      <c r="H286" s="46">
        <v>818</v>
      </c>
      <c r="I286" s="46" t="s">
        <v>668</v>
      </c>
      <c r="J286" s="46" t="s">
        <v>57</v>
      </c>
      <c r="K286" s="46" t="s">
        <v>666</v>
      </c>
      <c r="L286" s="46" t="s">
        <v>669</v>
      </c>
      <c r="M286" s="46">
        <v>152</v>
      </c>
      <c r="N286" s="46" t="s">
        <v>1011</v>
      </c>
      <c r="O286" s="46" t="s">
        <v>101</v>
      </c>
      <c r="P286" s="46">
        <v>0</v>
      </c>
      <c r="Q286" s="46" t="s">
        <v>670</v>
      </c>
      <c r="R286" s="46" t="s">
        <v>23</v>
      </c>
      <c r="S286" s="46" t="s">
        <v>671</v>
      </c>
      <c r="T286" s="46" t="s">
        <v>672</v>
      </c>
      <c r="U286" s="46" t="b">
        <v>1</v>
      </c>
      <c r="V286" s="46" t="s">
        <v>1028</v>
      </c>
      <c r="W286" s="46" t="s">
        <v>1027</v>
      </c>
      <c r="X286" s="46">
        <v>6</v>
      </c>
      <c r="Y286" s="46" t="b">
        <v>1</v>
      </c>
      <c r="Z286" s="46" t="s">
        <v>675</v>
      </c>
      <c r="AA286" s="46" t="s">
        <v>676</v>
      </c>
      <c r="AB286" s="46" t="s">
        <v>677</v>
      </c>
      <c r="AC286" s="46">
        <v>0</v>
      </c>
      <c r="AD286" s="46" t="s">
        <v>678</v>
      </c>
      <c r="AE286" s="46">
        <v>8</v>
      </c>
      <c r="AF286" s="46" t="s">
        <v>679</v>
      </c>
      <c r="AG286" s="46">
        <v>20486.859</v>
      </c>
      <c r="AH286" s="46" t="b">
        <v>1</v>
      </c>
      <c r="AI286" s="46">
        <v>-1</v>
      </c>
      <c r="AJ286" s="46" t="s">
        <v>680</v>
      </c>
      <c r="AK286" s="46">
        <v>0</v>
      </c>
      <c r="AL286" s="46" t="b">
        <v>0</v>
      </c>
      <c r="AM286" s="46">
        <v>20486.859</v>
      </c>
      <c r="AN286" s="46" t="b">
        <v>1</v>
      </c>
      <c r="AO286" s="46">
        <v>0</v>
      </c>
      <c r="AP286" s="46" t="b">
        <v>0</v>
      </c>
      <c r="AQ286" s="46">
        <v>130853.273</v>
      </c>
      <c r="AS286" s="46">
        <v>130853.273</v>
      </c>
      <c r="AT286" s="46">
        <v>6</v>
      </c>
      <c r="AU286" s="46" t="b">
        <v>1</v>
      </c>
      <c r="AV286" s="46" t="b">
        <v>0</v>
      </c>
    </row>
    <row r="287" spans="2:48">
      <c r="B287" s="46" t="s">
        <v>665</v>
      </c>
      <c r="C287" s="46" t="s">
        <v>666</v>
      </c>
      <c r="D287" s="46">
        <v>20240401</v>
      </c>
      <c r="E287" s="46">
        <v>2024</v>
      </c>
      <c r="F287" s="46">
        <v>4</v>
      </c>
      <c r="G287" s="46" t="s">
        <v>695</v>
      </c>
      <c r="H287" s="46">
        <v>818</v>
      </c>
      <c r="I287" s="46" t="s">
        <v>668</v>
      </c>
      <c r="J287" s="46" t="s">
        <v>57</v>
      </c>
      <c r="K287" s="46" t="s">
        <v>666</v>
      </c>
      <c r="L287" s="46" t="s">
        <v>669</v>
      </c>
      <c r="M287" s="46">
        <v>842</v>
      </c>
      <c r="N287" s="46" t="s">
        <v>713</v>
      </c>
      <c r="O287" s="46" t="s">
        <v>713</v>
      </c>
      <c r="P287" s="46">
        <v>0</v>
      </c>
      <c r="Q287" s="46" t="s">
        <v>670</v>
      </c>
      <c r="R287" s="46" t="s">
        <v>23</v>
      </c>
      <c r="S287" s="46" t="s">
        <v>671</v>
      </c>
      <c r="T287" s="46" t="s">
        <v>672</v>
      </c>
      <c r="U287" s="46" t="b">
        <v>1</v>
      </c>
      <c r="V287" s="46" t="s">
        <v>1028</v>
      </c>
      <c r="W287" s="46" t="s">
        <v>1027</v>
      </c>
      <c r="X287" s="46">
        <v>6</v>
      </c>
      <c r="Y287" s="46" t="b">
        <v>1</v>
      </c>
      <c r="Z287" s="46" t="s">
        <v>675</v>
      </c>
      <c r="AA287" s="46" t="s">
        <v>676</v>
      </c>
      <c r="AB287" s="46" t="s">
        <v>677</v>
      </c>
      <c r="AC287" s="46">
        <v>0</v>
      </c>
      <c r="AD287" s="46" t="s">
        <v>678</v>
      </c>
      <c r="AE287" s="46">
        <v>8</v>
      </c>
      <c r="AF287" s="46" t="s">
        <v>679</v>
      </c>
      <c r="AG287" s="46">
        <v>1.722</v>
      </c>
      <c r="AH287" s="46" t="b">
        <v>1</v>
      </c>
      <c r="AI287" s="46">
        <v>-1</v>
      </c>
      <c r="AJ287" s="46" t="s">
        <v>680</v>
      </c>
      <c r="AK287" s="46">
        <v>0</v>
      </c>
      <c r="AL287" s="46" t="b">
        <v>0</v>
      </c>
      <c r="AM287" s="46">
        <v>1.722</v>
      </c>
      <c r="AN287" s="46" t="b">
        <v>1</v>
      </c>
      <c r="AO287" s="46">
        <v>0</v>
      </c>
      <c r="AP287" s="46" t="b">
        <v>0</v>
      </c>
      <c r="AQ287" s="46">
        <v>11</v>
      </c>
      <c r="AS287" s="46">
        <v>11</v>
      </c>
      <c r="AT287" s="46">
        <v>6</v>
      </c>
      <c r="AU287" s="46" t="b">
        <v>1</v>
      </c>
      <c r="AV287" s="46" t="b">
        <v>0</v>
      </c>
    </row>
    <row r="288" spans="2:48">
      <c r="B288" s="46" t="s">
        <v>665</v>
      </c>
      <c r="C288" s="46" t="s">
        <v>666</v>
      </c>
      <c r="D288" s="46">
        <v>20240401</v>
      </c>
      <c r="E288" s="46">
        <v>2024</v>
      </c>
      <c r="F288" s="46">
        <v>4</v>
      </c>
      <c r="G288" s="46" t="s">
        <v>695</v>
      </c>
      <c r="H288" s="46">
        <v>818</v>
      </c>
      <c r="I288" s="46" t="s">
        <v>668</v>
      </c>
      <c r="J288" s="46" t="s">
        <v>57</v>
      </c>
      <c r="K288" s="46" t="s">
        <v>666</v>
      </c>
      <c r="L288" s="46" t="s">
        <v>669</v>
      </c>
      <c r="M288" s="46">
        <v>792</v>
      </c>
      <c r="N288" s="46" t="s">
        <v>691</v>
      </c>
      <c r="O288" s="46" t="s">
        <v>63</v>
      </c>
      <c r="P288" s="46">
        <v>0</v>
      </c>
      <c r="Q288" s="46" t="s">
        <v>670</v>
      </c>
      <c r="R288" s="46" t="s">
        <v>23</v>
      </c>
      <c r="S288" s="46" t="s">
        <v>671</v>
      </c>
      <c r="T288" s="46" t="s">
        <v>672</v>
      </c>
      <c r="U288" s="46" t="b">
        <v>1</v>
      </c>
      <c r="V288" s="46" t="s">
        <v>1028</v>
      </c>
      <c r="W288" s="46" t="s">
        <v>1027</v>
      </c>
      <c r="X288" s="46">
        <v>6</v>
      </c>
      <c r="Y288" s="46" t="b">
        <v>1</v>
      </c>
      <c r="Z288" s="46" t="s">
        <v>675</v>
      </c>
      <c r="AA288" s="46" t="s">
        <v>676</v>
      </c>
      <c r="AB288" s="46" t="s">
        <v>677</v>
      </c>
      <c r="AC288" s="46">
        <v>0</v>
      </c>
      <c r="AD288" s="46" t="s">
        <v>678</v>
      </c>
      <c r="AE288" s="46">
        <v>8</v>
      </c>
      <c r="AF288" s="46" t="s">
        <v>679</v>
      </c>
      <c r="AG288" s="46">
        <v>7126.09</v>
      </c>
      <c r="AH288" s="46" t="b">
        <v>1</v>
      </c>
      <c r="AI288" s="46">
        <v>-1</v>
      </c>
      <c r="AJ288" s="46" t="s">
        <v>680</v>
      </c>
      <c r="AK288" s="46">
        <v>0</v>
      </c>
      <c r="AL288" s="46" t="b">
        <v>0</v>
      </c>
      <c r="AM288" s="46">
        <v>7126.09</v>
      </c>
      <c r="AN288" s="46" t="b">
        <v>1</v>
      </c>
      <c r="AO288" s="46">
        <v>0</v>
      </c>
      <c r="AP288" s="46" t="b">
        <v>0</v>
      </c>
      <c r="AQ288" s="46">
        <v>45515.627</v>
      </c>
      <c r="AS288" s="46">
        <v>45515.627</v>
      </c>
      <c r="AT288" s="46">
        <v>6</v>
      </c>
      <c r="AU288" s="46" t="b">
        <v>1</v>
      </c>
      <c r="AV288" s="46" t="b">
        <v>0</v>
      </c>
    </row>
    <row r="289" spans="2:48">
      <c r="B289" s="46" t="s">
        <v>665</v>
      </c>
      <c r="C289" s="46" t="s">
        <v>666</v>
      </c>
      <c r="D289" s="46">
        <v>20240401</v>
      </c>
      <c r="E289" s="46">
        <v>2024</v>
      </c>
      <c r="F289" s="46">
        <v>4</v>
      </c>
      <c r="G289" s="46" t="s">
        <v>695</v>
      </c>
      <c r="H289" s="46">
        <v>818</v>
      </c>
      <c r="I289" s="46" t="s">
        <v>668</v>
      </c>
      <c r="J289" s="46" t="s">
        <v>57</v>
      </c>
      <c r="K289" s="46" t="s">
        <v>666</v>
      </c>
      <c r="L289" s="46" t="s">
        <v>669</v>
      </c>
      <c r="M289" s="46">
        <v>156</v>
      </c>
      <c r="N289" s="46" t="s">
        <v>711</v>
      </c>
      <c r="O289" s="46" t="s">
        <v>29</v>
      </c>
      <c r="P289" s="46">
        <v>0</v>
      </c>
      <c r="Q289" s="46" t="s">
        <v>670</v>
      </c>
      <c r="R289" s="46" t="s">
        <v>23</v>
      </c>
      <c r="S289" s="46" t="s">
        <v>671</v>
      </c>
      <c r="T289" s="46" t="s">
        <v>672</v>
      </c>
      <c r="U289" s="46" t="b">
        <v>1</v>
      </c>
      <c r="V289" s="46" t="s">
        <v>1028</v>
      </c>
      <c r="W289" s="46" t="s">
        <v>1027</v>
      </c>
      <c r="X289" s="46">
        <v>6</v>
      </c>
      <c r="Y289" s="46" t="b">
        <v>1</v>
      </c>
      <c r="Z289" s="46" t="s">
        <v>675</v>
      </c>
      <c r="AA289" s="46" t="s">
        <v>676</v>
      </c>
      <c r="AB289" s="46" t="s">
        <v>677</v>
      </c>
      <c r="AC289" s="46">
        <v>0</v>
      </c>
      <c r="AD289" s="46" t="s">
        <v>678</v>
      </c>
      <c r="AE289" s="46">
        <v>8</v>
      </c>
      <c r="AF289" s="46" t="s">
        <v>679</v>
      </c>
      <c r="AG289" s="46">
        <v>23489.599999999999</v>
      </c>
      <c r="AH289" s="46" t="b">
        <v>1</v>
      </c>
      <c r="AI289" s="46">
        <v>-1</v>
      </c>
      <c r="AJ289" s="46" t="s">
        <v>680</v>
      </c>
      <c r="AK289" s="46">
        <v>0</v>
      </c>
      <c r="AL289" s="46" t="b">
        <v>0</v>
      </c>
      <c r="AM289" s="46">
        <v>23489.599999999999</v>
      </c>
      <c r="AN289" s="46" t="b">
        <v>1</v>
      </c>
      <c r="AO289" s="46">
        <v>0</v>
      </c>
      <c r="AP289" s="46" t="b">
        <v>0</v>
      </c>
      <c r="AQ289" s="46">
        <v>150032.32000000001</v>
      </c>
      <c r="AS289" s="46">
        <v>150032.32000000001</v>
      </c>
      <c r="AT289" s="46">
        <v>6</v>
      </c>
      <c r="AU289" s="46" t="b">
        <v>1</v>
      </c>
      <c r="AV289" s="46" t="b">
        <v>0</v>
      </c>
    </row>
    <row r="290" spans="2:48">
      <c r="B290" s="46" t="s">
        <v>665</v>
      </c>
      <c r="C290" s="46" t="s">
        <v>666</v>
      </c>
      <c r="D290" s="46">
        <v>20240401</v>
      </c>
      <c r="E290" s="46">
        <v>2024</v>
      </c>
      <c r="F290" s="46">
        <v>4</v>
      </c>
      <c r="G290" s="46" t="s">
        <v>695</v>
      </c>
      <c r="H290" s="46">
        <v>818</v>
      </c>
      <c r="I290" s="46" t="s">
        <v>668</v>
      </c>
      <c r="J290" s="46" t="s">
        <v>57</v>
      </c>
      <c r="K290" s="46" t="s">
        <v>666</v>
      </c>
      <c r="L290" s="46" t="s">
        <v>669</v>
      </c>
      <c r="M290" s="46">
        <v>56</v>
      </c>
      <c r="N290" s="46" t="s">
        <v>696</v>
      </c>
      <c r="O290" s="46" t="s">
        <v>74</v>
      </c>
      <c r="P290" s="46">
        <v>0</v>
      </c>
      <c r="Q290" s="46" t="s">
        <v>670</v>
      </c>
      <c r="R290" s="46" t="s">
        <v>23</v>
      </c>
      <c r="S290" s="46" t="s">
        <v>671</v>
      </c>
      <c r="T290" s="46" t="s">
        <v>672</v>
      </c>
      <c r="U290" s="46" t="b">
        <v>1</v>
      </c>
      <c r="V290" s="46" t="s">
        <v>1028</v>
      </c>
      <c r="W290" s="46" t="s">
        <v>1027</v>
      </c>
      <c r="X290" s="46">
        <v>6</v>
      </c>
      <c r="Y290" s="46" t="b">
        <v>1</v>
      </c>
      <c r="Z290" s="46" t="s">
        <v>675</v>
      </c>
      <c r="AA290" s="46" t="s">
        <v>676</v>
      </c>
      <c r="AB290" s="46" t="s">
        <v>677</v>
      </c>
      <c r="AC290" s="46">
        <v>0</v>
      </c>
      <c r="AD290" s="46" t="s">
        <v>678</v>
      </c>
      <c r="AE290" s="46">
        <v>8</v>
      </c>
      <c r="AF290" s="46" t="s">
        <v>679</v>
      </c>
      <c r="AG290" s="46">
        <v>3.4980000000000002</v>
      </c>
      <c r="AH290" s="46" t="b">
        <v>1</v>
      </c>
      <c r="AI290" s="46">
        <v>-1</v>
      </c>
      <c r="AJ290" s="46" t="s">
        <v>680</v>
      </c>
      <c r="AK290" s="46">
        <v>0</v>
      </c>
      <c r="AL290" s="46" t="b">
        <v>0</v>
      </c>
      <c r="AM290" s="46">
        <v>3.4980000000000002</v>
      </c>
      <c r="AN290" s="46" t="b">
        <v>1</v>
      </c>
      <c r="AO290" s="46">
        <v>0</v>
      </c>
      <c r="AP290" s="46" t="b">
        <v>0</v>
      </c>
      <c r="AQ290" s="46">
        <v>22.344000000000001</v>
      </c>
      <c r="AS290" s="46">
        <v>22.344000000000001</v>
      </c>
      <c r="AT290" s="46">
        <v>6</v>
      </c>
      <c r="AU290" s="46" t="b">
        <v>1</v>
      </c>
      <c r="AV290" s="46" t="b">
        <v>0</v>
      </c>
    </row>
    <row r="291" spans="2:48">
      <c r="B291" s="46" t="s">
        <v>665</v>
      </c>
      <c r="C291" s="46" t="s">
        <v>666</v>
      </c>
      <c r="D291" s="46">
        <v>20240401</v>
      </c>
      <c r="E291" s="46">
        <v>2024</v>
      </c>
      <c r="F291" s="46">
        <v>4</v>
      </c>
      <c r="G291" s="46" t="s">
        <v>695</v>
      </c>
      <c r="H291" s="46">
        <v>818</v>
      </c>
      <c r="I291" s="46" t="s">
        <v>668</v>
      </c>
      <c r="J291" s="46" t="s">
        <v>57</v>
      </c>
      <c r="K291" s="46" t="s">
        <v>666</v>
      </c>
      <c r="L291" s="46" t="s">
        <v>669</v>
      </c>
      <c r="M291" s="46">
        <v>0</v>
      </c>
      <c r="N291" s="46" t="s">
        <v>670</v>
      </c>
      <c r="O291" s="46" t="s">
        <v>23</v>
      </c>
      <c r="P291" s="46">
        <v>0</v>
      </c>
      <c r="Q291" s="46" t="s">
        <v>670</v>
      </c>
      <c r="R291" s="46" t="s">
        <v>23</v>
      </c>
      <c r="S291" s="46" t="s">
        <v>671</v>
      </c>
      <c r="T291" s="46" t="s">
        <v>672</v>
      </c>
      <c r="U291" s="46" t="b">
        <v>1</v>
      </c>
      <c r="V291" s="46" t="s">
        <v>1028</v>
      </c>
      <c r="W291" s="46" t="s">
        <v>1027</v>
      </c>
      <c r="X291" s="46">
        <v>6</v>
      </c>
      <c r="Y291" s="46" t="b">
        <v>1</v>
      </c>
      <c r="Z291" s="46" t="s">
        <v>675</v>
      </c>
      <c r="AA291" s="46" t="s">
        <v>676</v>
      </c>
      <c r="AB291" s="46" t="s">
        <v>677</v>
      </c>
      <c r="AC291" s="46">
        <v>0</v>
      </c>
      <c r="AD291" s="46" t="s">
        <v>678</v>
      </c>
      <c r="AE291" s="46">
        <v>8</v>
      </c>
      <c r="AF291" s="46" t="s">
        <v>679</v>
      </c>
      <c r="AG291" s="46">
        <v>221445.03</v>
      </c>
      <c r="AH291" s="46" t="b">
        <v>1</v>
      </c>
      <c r="AI291" s="46">
        <v>-1</v>
      </c>
      <c r="AJ291" s="46" t="s">
        <v>680</v>
      </c>
      <c r="AK291" s="46">
        <v>0</v>
      </c>
      <c r="AL291" s="46" t="b">
        <v>0</v>
      </c>
      <c r="AM291" s="46">
        <v>221445.03</v>
      </c>
      <c r="AN291" s="46" t="b">
        <v>1</v>
      </c>
      <c r="AO291" s="46">
        <v>0</v>
      </c>
      <c r="AP291" s="46" t="b">
        <v>0</v>
      </c>
      <c r="AQ291" s="46">
        <v>1414409.426</v>
      </c>
      <c r="AS291" s="46">
        <v>1414409.426</v>
      </c>
      <c r="AT291" s="46">
        <v>6</v>
      </c>
      <c r="AU291" s="46" t="b">
        <v>0</v>
      </c>
      <c r="AV291" s="46" t="b">
        <v>1</v>
      </c>
    </row>
    <row r="292" spans="2:48">
      <c r="B292" s="46" t="s">
        <v>665</v>
      </c>
      <c r="C292" s="46" t="s">
        <v>666</v>
      </c>
      <c r="D292" s="46">
        <v>20240501</v>
      </c>
      <c r="E292" s="46">
        <v>2024</v>
      </c>
      <c r="F292" s="46">
        <v>5</v>
      </c>
      <c r="G292" s="46" t="s">
        <v>699</v>
      </c>
      <c r="H292" s="46">
        <v>818</v>
      </c>
      <c r="I292" s="46" t="s">
        <v>668</v>
      </c>
      <c r="J292" s="46" t="s">
        <v>57</v>
      </c>
      <c r="K292" s="46" t="s">
        <v>666</v>
      </c>
      <c r="L292" s="46" t="s">
        <v>669</v>
      </c>
      <c r="M292" s="46">
        <v>792</v>
      </c>
      <c r="N292" s="46" t="s">
        <v>691</v>
      </c>
      <c r="O292" s="46" t="s">
        <v>63</v>
      </c>
      <c r="P292" s="46">
        <v>0</v>
      </c>
      <c r="Q292" s="46" t="s">
        <v>670</v>
      </c>
      <c r="R292" s="46" t="s">
        <v>23</v>
      </c>
      <c r="S292" s="46" t="s">
        <v>671</v>
      </c>
      <c r="T292" s="46" t="s">
        <v>672</v>
      </c>
      <c r="U292" s="46" t="b">
        <v>1</v>
      </c>
      <c r="V292" s="46" t="s">
        <v>1028</v>
      </c>
      <c r="W292" s="46" t="s">
        <v>1027</v>
      </c>
      <c r="X292" s="46">
        <v>6</v>
      </c>
      <c r="Y292" s="46" t="b">
        <v>1</v>
      </c>
      <c r="Z292" s="46" t="s">
        <v>675</v>
      </c>
      <c r="AA292" s="46" t="s">
        <v>676</v>
      </c>
      <c r="AB292" s="46" t="s">
        <v>677</v>
      </c>
      <c r="AC292" s="46">
        <v>0</v>
      </c>
      <c r="AD292" s="46" t="s">
        <v>678</v>
      </c>
      <c r="AE292" s="46">
        <v>8</v>
      </c>
      <c r="AF292" s="46" t="s">
        <v>679</v>
      </c>
      <c r="AG292" s="46">
        <v>7639.5190000000002</v>
      </c>
      <c r="AH292" s="46" t="b">
        <v>1</v>
      </c>
      <c r="AI292" s="46">
        <v>-1</v>
      </c>
      <c r="AJ292" s="46" t="s">
        <v>680</v>
      </c>
      <c r="AK292" s="46">
        <v>0</v>
      </c>
      <c r="AL292" s="46" t="b">
        <v>0</v>
      </c>
      <c r="AM292" s="46">
        <v>7639.5190000000002</v>
      </c>
      <c r="AN292" s="46" t="b">
        <v>1</v>
      </c>
      <c r="AO292" s="46">
        <v>0</v>
      </c>
      <c r="AP292" s="46" t="b">
        <v>0</v>
      </c>
      <c r="AQ292" s="46">
        <v>48794.987000000001</v>
      </c>
      <c r="AS292" s="46">
        <v>48794.987000000001</v>
      </c>
      <c r="AT292" s="46">
        <v>6</v>
      </c>
      <c r="AU292" s="46" t="b">
        <v>1</v>
      </c>
      <c r="AV292" s="46" t="b">
        <v>0</v>
      </c>
    </row>
    <row r="293" spans="2:48">
      <c r="B293" s="46" t="s">
        <v>665</v>
      </c>
      <c r="C293" s="46" t="s">
        <v>666</v>
      </c>
      <c r="D293" s="46">
        <v>20240501</v>
      </c>
      <c r="E293" s="46">
        <v>2024</v>
      </c>
      <c r="F293" s="46">
        <v>5</v>
      </c>
      <c r="G293" s="46" t="s">
        <v>699</v>
      </c>
      <c r="H293" s="46">
        <v>818</v>
      </c>
      <c r="I293" s="46" t="s">
        <v>668</v>
      </c>
      <c r="J293" s="46" t="s">
        <v>57</v>
      </c>
      <c r="K293" s="46" t="s">
        <v>666</v>
      </c>
      <c r="L293" s="46" t="s">
        <v>669</v>
      </c>
      <c r="M293" s="46">
        <v>704</v>
      </c>
      <c r="N293" s="46" t="s">
        <v>756</v>
      </c>
      <c r="O293" s="46" t="s">
        <v>59</v>
      </c>
      <c r="P293" s="46">
        <v>0</v>
      </c>
      <c r="Q293" s="46" t="s">
        <v>670</v>
      </c>
      <c r="R293" s="46" t="s">
        <v>23</v>
      </c>
      <c r="S293" s="46" t="s">
        <v>671</v>
      </c>
      <c r="T293" s="46" t="s">
        <v>672</v>
      </c>
      <c r="U293" s="46" t="b">
        <v>1</v>
      </c>
      <c r="V293" s="46" t="s">
        <v>1028</v>
      </c>
      <c r="W293" s="46" t="s">
        <v>1027</v>
      </c>
      <c r="X293" s="46">
        <v>6</v>
      </c>
      <c r="Y293" s="46" t="b">
        <v>1</v>
      </c>
      <c r="Z293" s="46" t="s">
        <v>675</v>
      </c>
      <c r="AA293" s="46" t="s">
        <v>676</v>
      </c>
      <c r="AB293" s="46" t="s">
        <v>677</v>
      </c>
      <c r="AC293" s="46">
        <v>0</v>
      </c>
      <c r="AD293" s="46" t="s">
        <v>678</v>
      </c>
      <c r="AE293" s="46">
        <v>8</v>
      </c>
      <c r="AF293" s="46" t="s">
        <v>679</v>
      </c>
      <c r="AG293" s="46">
        <v>27276.464</v>
      </c>
      <c r="AH293" s="46" t="b">
        <v>1</v>
      </c>
      <c r="AI293" s="46">
        <v>-1</v>
      </c>
      <c r="AJ293" s="46" t="s">
        <v>680</v>
      </c>
      <c r="AK293" s="46">
        <v>0</v>
      </c>
      <c r="AL293" s="46" t="b">
        <v>0</v>
      </c>
      <c r="AM293" s="46">
        <v>27276.464</v>
      </c>
      <c r="AN293" s="46" t="b">
        <v>1</v>
      </c>
      <c r="AO293" s="46">
        <v>0</v>
      </c>
      <c r="AP293" s="46" t="b">
        <v>0</v>
      </c>
      <c r="AQ293" s="46">
        <v>174219.70300000001</v>
      </c>
      <c r="AS293" s="46">
        <v>174219.70300000001</v>
      </c>
      <c r="AT293" s="46">
        <v>6</v>
      </c>
      <c r="AU293" s="46" t="b">
        <v>1</v>
      </c>
      <c r="AV293" s="46" t="b">
        <v>0</v>
      </c>
    </row>
    <row r="294" spans="2:48">
      <c r="B294" s="46" t="s">
        <v>665</v>
      </c>
      <c r="C294" s="46" t="s">
        <v>666</v>
      </c>
      <c r="D294" s="46">
        <v>20240501</v>
      </c>
      <c r="E294" s="46">
        <v>2024</v>
      </c>
      <c r="F294" s="46">
        <v>5</v>
      </c>
      <c r="G294" s="46" t="s">
        <v>699</v>
      </c>
      <c r="H294" s="46">
        <v>818</v>
      </c>
      <c r="I294" s="46" t="s">
        <v>668</v>
      </c>
      <c r="J294" s="46" t="s">
        <v>57</v>
      </c>
      <c r="K294" s="46" t="s">
        <v>666</v>
      </c>
      <c r="L294" s="46" t="s">
        <v>669</v>
      </c>
      <c r="M294" s="46">
        <v>724</v>
      </c>
      <c r="N294" s="46" t="s">
        <v>684</v>
      </c>
      <c r="O294" s="46" t="s">
        <v>51</v>
      </c>
      <c r="P294" s="46">
        <v>0</v>
      </c>
      <c r="Q294" s="46" t="s">
        <v>670</v>
      </c>
      <c r="R294" s="46" t="s">
        <v>23</v>
      </c>
      <c r="S294" s="46" t="s">
        <v>671</v>
      </c>
      <c r="T294" s="46" t="s">
        <v>672</v>
      </c>
      <c r="U294" s="46" t="b">
        <v>1</v>
      </c>
      <c r="V294" s="46" t="s">
        <v>1028</v>
      </c>
      <c r="W294" s="46" t="s">
        <v>1027</v>
      </c>
      <c r="X294" s="46">
        <v>6</v>
      </c>
      <c r="Y294" s="46" t="b">
        <v>1</v>
      </c>
      <c r="Z294" s="46" t="s">
        <v>675</v>
      </c>
      <c r="AA294" s="46" t="s">
        <v>676</v>
      </c>
      <c r="AB294" s="46" t="s">
        <v>677</v>
      </c>
      <c r="AC294" s="46">
        <v>0</v>
      </c>
      <c r="AD294" s="46" t="s">
        <v>678</v>
      </c>
      <c r="AE294" s="46">
        <v>8</v>
      </c>
      <c r="AF294" s="46" t="s">
        <v>679</v>
      </c>
      <c r="AG294" s="46">
        <v>13605.714</v>
      </c>
      <c r="AH294" s="46" t="b">
        <v>1</v>
      </c>
      <c r="AI294" s="46">
        <v>-1</v>
      </c>
      <c r="AJ294" s="46" t="s">
        <v>680</v>
      </c>
      <c r="AK294" s="46">
        <v>0</v>
      </c>
      <c r="AL294" s="46" t="b">
        <v>0</v>
      </c>
      <c r="AM294" s="46">
        <v>13605.714</v>
      </c>
      <c r="AN294" s="46" t="b">
        <v>1</v>
      </c>
      <c r="AO294" s="46">
        <v>0</v>
      </c>
      <c r="AP294" s="46" t="b">
        <v>0</v>
      </c>
      <c r="AQ294" s="46">
        <v>86902.157000000007</v>
      </c>
      <c r="AS294" s="46">
        <v>86902.157000000007</v>
      </c>
      <c r="AT294" s="46">
        <v>6</v>
      </c>
      <c r="AU294" s="46" t="b">
        <v>1</v>
      </c>
      <c r="AV294" s="46" t="b">
        <v>0</v>
      </c>
    </row>
    <row r="295" spans="2:48">
      <c r="B295" s="46" t="s">
        <v>665</v>
      </c>
      <c r="C295" s="46" t="s">
        <v>666</v>
      </c>
      <c r="D295" s="46">
        <v>20240501</v>
      </c>
      <c r="E295" s="46">
        <v>2024</v>
      </c>
      <c r="F295" s="46">
        <v>5</v>
      </c>
      <c r="G295" s="46" t="s">
        <v>699</v>
      </c>
      <c r="H295" s="46">
        <v>818</v>
      </c>
      <c r="I295" s="46" t="s">
        <v>668</v>
      </c>
      <c r="J295" s="46" t="s">
        <v>57</v>
      </c>
      <c r="K295" s="46" t="s">
        <v>666</v>
      </c>
      <c r="L295" s="46" t="s">
        <v>669</v>
      </c>
      <c r="M295" s="46">
        <v>699</v>
      </c>
      <c r="N295" s="46" t="s">
        <v>748</v>
      </c>
      <c r="O295" s="46" t="s">
        <v>0</v>
      </c>
      <c r="P295" s="46">
        <v>0</v>
      </c>
      <c r="Q295" s="46" t="s">
        <v>670</v>
      </c>
      <c r="R295" s="46" t="s">
        <v>23</v>
      </c>
      <c r="S295" s="46" t="s">
        <v>671</v>
      </c>
      <c r="T295" s="46" t="s">
        <v>672</v>
      </c>
      <c r="U295" s="46" t="b">
        <v>1</v>
      </c>
      <c r="V295" s="46" t="s">
        <v>1028</v>
      </c>
      <c r="W295" s="46" t="s">
        <v>1027</v>
      </c>
      <c r="X295" s="46">
        <v>6</v>
      </c>
      <c r="Y295" s="46" t="b">
        <v>1</v>
      </c>
      <c r="Z295" s="46" t="s">
        <v>675</v>
      </c>
      <c r="AA295" s="46" t="s">
        <v>676</v>
      </c>
      <c r="AB295" s="46" t="s">
        <v>677</v>
      </c>
      <c r="AC295" s="46">
        <v>0</v>
      </c>
      <c r="AD295" s="46" t="s">
        <v>678</v>
      </c>
      <c r="AE295" s="46">
        <v>8</v>
      </c>
      <c r="AF295" s="46" t="s">
        <v>679</v>
      </c>
      <c r="AG295" s="46">
        <v>510.08100000000002</v>
      </c>
      <c r="AH295" s="46" t="b">
        <v>1</v>
      </c>
      <c r="AI295" s="46">
        <v>-1</v>
      </c>
      <c r="AJ295" s="46" t="s">
        <v>680</v>
      </c>
      <c r="AK295" s="46">
        <v>0</v>
      </c>
      <c r="AL295" s="46" t="b">
        <v>0</v>
      </c>
      <c r="AM295" s="46">
        <v>510.08100000000002</v>
      </c>
      <c r="AN295" s="46" t="b">
        <v>1</v>
      </c>
      <c r="AO295" s="46">
        <v>0</v>
      </c>
      <c r="AP295" s="46" t="b">
        <v>0</v>
      </c>
      <c r="AQ295" s="46">
        <v>3257.9789999999998</v>
      </c>
      <c r="AS295" s="46">
        <v>3257.9789999999998</v>
      </c>
      <c r="AT295" s="46">
        <v>6</v>
      </c>
      <c r="AU295" s="46" t="b">
        <v>1</v>
      </c>
      <c r="AV295" s="46" t="b">
        <v>0</v>
      </c>
    </row>
    <row r="296" spans="2:48">
      <c r="B296" s="46" t="s">
        <v>665</v>
      </c>
      <c r="C296" s="46" t="s">
        <v>666</v>
      </c>
      <c r="D296" s="46">
        <v>20240501</v>
      </c>
      <c r="E296" s="46">
        <v>2024</v>
      </c>
      <c r="F296" s="46">
        <v>5</v>
      </c>
      <c r="G296" s="46" t="s">
        <v>699</v>
      </c>
      <c r="H296" s="46">
        <v>818</v>
      </c>
      <c r="I296" s="46" t="s">
        <v>668</v>
      </c>
      <c r="J296" s="46" t="s">
        <v>57</v>
      </c>
      <c r="K296" s="46" t="s">
        <v>666</v>
      </c>
      <c r="L296" s="46" t="s">
        <v>669</v>
      </c>
      <c r="M296" s="46">
        <v>620</v>
      </c>
      <c r="N296" s="46" t="s">
        <v>693</v>
      </c>
      <c r="O296" s="46" t="s">
        <v>85</v>
      </c>
      <c r="P296" s="46">
        <v>0</v>
      </c>
      <c r="Q296" s="46" t="s">
        <v>670</v>
      </c>
      <c r="R296" s="46" t="s">
        <v>23</v>
      </c>
      <c r="S296" s="46" t="s">
        <v>671</v>
      </c>
      <c r="T296" s="46" t="s">
        <v>672</v>
      </c>
      <c r="U296" s="46" t="b">
        <v>1</v>
      </c>
      <c r="V296" s="46" t="s">
        <v>1028</v>
      </c>
      <c r="W296" s="46" t="s">
        <v>1027</v>
      </c>
      <c r="X296" s="46">
        <v>6</v>
      </c>
      <c r="Y296" s="46" t="b">
        <v>1</v>
      </c>
      <c r="Z296" s="46" t="s">
        <v>675</v>
      </c>
      <c r="AA296" s="46" t="s">
        <v>676</v>
      </c>
      <c r="AB296" s="46" t="s">
        <v>677</v>
      </c>
      <c r="AC296" s="46">
        <v>0</v>
      </c>
      <c r="AD296" s="46" t="s">
        <v>678</v>
      </c>
      <c r="AE296" s="46">
        <v>8</v>
      </c>
      <c r="AF296" s="46" t="s">
        <v>679</v>
      </c>
      <c r="AG296" s="46">
        <v>32783.962</v>
      </c>
      <c r="AH296" s="46" t="b">
        <v>1</v>
      </c>
      <c r="AI296" s="46">
        <v>-1</v>
      </c>
      <c r="AJ296" s="46" t="s">
        <v>680</v>
      </c>
      <c r="AK296" s="46">
        <v>0</v>
      </c>
      <c r="AL296" s="46" t="b">
        <v>0</v>
      </c>
      <c r="AM296" s="46">
        <v>32783.962</v>
      </c>
      <c r="AN296" s="46" t="b">
        <v>1</v>
      </c>
      <c r="AO296" s="46">
        <v>0</v>
      </c>
      <c r="AP296" s="46" t="b">
        <v>0</v>
      </c>
      <c r="AQ296" s="46">
        <v>209397.092</v>
      </c>
      <c r="AS296" s="46">
        <v>209397.092</v>
      </c>
      <c r="AT296" s="46">
        <v>6</v>
      </c>
      <c r="AU296" s="46" t="b">
        <v>1</v>
      </c>
      <c r="AV296" s="46" t="b">
        <v>0</v>
      </c>
    </row>
    <row r="297" spans="2:48">
      <c r="B297" s="46" t="s">
        <v>665</v>
      </c>
      <c r="C297" s="46" t="s">
        <v>666</v>
      </c>
      <c r="D297" s="46">
        <v>20240501</v>
      </c>
      <c r="E297" s="46">
        <v>2024</v>
      </c>
      <c r="F297" s="46">
        <v>5</v>
      </c>
      <c r="G297" s="46" t="s">
        <v>699</v>
      </c>
      <c r="H297" s="46">
        <v>818</v>
      </c>
      <c r="I297" s="46" t="s">
        <v>668</v>
      </c>
      <c r="J297" s="46" t="s">
        <v>57</v>
      </c>
      <c r="K297" s="46" t="s">
        <v>666</v>
      </c>
      <c r="L297" s="46" t="s">
        <v>669</v>
      </c>
      <c r="M297" s="46">
        <v>490</v>
      </c>
      <c r="N297" s="46" t="s">
        <v>762</v>
      </c>
      <c r="O297" s="46" t="s">
        <v>763</v>
      </c>
      <c r="P297" s="46">
        <v>0</v>
      </c>
      <c r="Q297" s="46" t="s">
        <v>670</v>
      </c>
      <c r="R297" s="46" t="s">
        <v>23</v>
      </c>
      <c r="S297" s="46" t="s">
        <v>671</v>
      </c>
      <c r="T297" s="46" t="s">
        <v>672</v>
      </c>
      <c r="U297" s="46" t="b">
        <v>1</v>
      </c>
      <c r="V297" s="46" t="s">
        <v>1028</v>
      </c>
      <c r="W297" s="46" t="s">
        <v>1027</v>
      </c>
      <c r="X297" s="46">
        <v>6</v>
      </c>
      <c r="Y297" s="46" t="b">
        <v>1</v>
      </c>
      <c r="Z297" s="46" t="s">
        <v>675</v>
      </c>
      <c r="AA297" s="46" t="s">
        <v>676</v>
      </c>
      <c r="AB297" s="46" t="s">
        <v>677</v>
      </c>
      <c r="AC297" s="46">
        <v>0</v>
      </c>
      <c r="AD297" s="46" t="s">
        <v>678</v>
      </c>
      <c r="AE297" s="46">
        <v>8</v>
      </c>
      <c r="AF297" s="46" t="s">
        <v>679</v>
      </c>
      <c r="AG297" s="46">
        <v>438.93</v>
      </c>
      <c r="AH297" s="46" t="b">
        <v>1</v>
      </c>
      <c r="AI297" s="46">
        <v>-1</v>
      </c>
      <c r="AJ297" s="46" t="s">
        <v>680</v>
      </c>
      <c r="AK297" s="46">
        <v>0</v>
      </c>
      <c r="AL297" s="46" t="b">
        <v>0</v>
      </c>
      <c r="AM297" s="46">
        <v>438.93</v>
      </c>
      <c r="AN297" s="46" t="b">
        <v>1</v>
      </c>
      <c r="AO297" s="46">
        <v>0</v>
      </c>
      <c r="AP297" s="46" t="b">
        <v>0</v>
      </c>
      <c r="AQ297" s="46">
        <v>2803.527</v>
      </c>
      <c r="AS297" s="46">
        <v>2803.527</v>
      </c>
      <c r="AT297" s="46">
        <v>6</v>
      </c>
      <c r="AU297" s="46" t="b">
        <v>1</v>
      </c>
      <c r="AV297" s="46" t="b">
        <v>0</v>
      </c>
    </row>
    <row r="298" spans="2:48">
      <c r="B298" s="46" t="s">
        <v>665</v>
      </c>
      <c r="C298" s="46" t="s">
        <v>666</v>
      </c>
      <c r="D298" s="46">
        <v>20240501</v>
      </c>
      <c r="E298" s="46">
        <v>2024</v>
      </c>
      <c r="F298" s="46">
        <v>5</v>
      </c>
      <c r="G298" s="46" t="s">
        <v>699</v>
      </c>
      <c r="H298" s="46">
        <v>818</v>
      </c>
      <c r="I298" s="46" t="s">
        <v>668</v>
      </c>
      <c r="J298" s="46" t="s">
        <v>57</v>
      </c>
      <c r="K298" s="46" t="s">
        <v>666</v>
      </c>
      <c r="L298" s="46" t="s">
        <v>669</v>
      </c>
      <c r="M298" s="46">
        <v>616</v>
      </c>
      <c r="N298" s="46" t="s">
        <v>999</v>
      </c>
      <c r="O298" s="46" t="s">
        <v>84</v>
      </c>
      <c r="P298" s="46">
        <v>0</v>
      </c>
      <c r="Q298" s="46" t="s">
        <v>670</v>
      </c>
      <c r="R298" s="46" t="s">
        <v>23</v>
      </c>
      <c r="S298" s="46" t="s">
        <v>671</v>
      </c>
      <c r="T298" s="46" t="s">
        <v>672</v>
      </c>
      <c r="U298" s="46" t="b">
        <v>1</v>
      </c>
      <c r="V298" s="46" t="s">
        <v>1028</v>
      </c>
      <c r="W298" s="46" t="s">
        <v>1027</v>
      </c>
      <c r="X298" s="46">
        <v>6</v>
      </c>
      <c r="Y298" s="46" t="b">
        <v>1</v>
      </c>
      <c r="Z298" s="46" t="s">
        <v>675</v>
      </c>
      <c r="AA298" s="46" t="s">
        <v>676</v>
      </c>
      <c r="AB298" s="46" t="s">
        <v>677</v>
      </c>
      <c r="AC298" s="46">
        <v>0</v>
      </c>
      <c r="AD298" s="46" t="s">
        <v>678</v>
      </c>
      <c r="AE298" s="46">
        <v>8</v>
      </c>
      <c r="AF298" s="46" t="s">
        <v>679</v>
      </c>
      <c r="AG298" s="46">
        <v>13824.487999999999</v>
      </c>
      <c r="AH298" s="46" t="b">
        <v>1</v>
      </c>
      <c r="AI298" s="46">
        <v>-1</v>
      </c>
      <c r="AJ298" s="46" t="s">
        <v>680</v>
      </c>
      <c r="AK298" s="46">
        <v>0</v>
      </c>
      <c r="AL298" s="46" t="b">
        <v>0</v>
      </c>
      <c r="AM298" s="46">
        <v>13824.487999999999</v>
      </c>
      <c r="AN298" s="46" t="b">
        <v>1</v>
      </c>
      <c r="AO298" s="46">
        <v>0</v>
      </c>
      <c r="AP298" s="46" t="b">
        <v>0</v>
      </c>
      <c r="AQ298" s="46">
        <v>88299.5</v>
      </c>
      <c r="AS298" s="46">
        <v>88299.5</v>
      </c>
      <c r="AT298" s="46">
        <v>6</v>
      </c>
      <c r="AU298" s="46" t="b">
        <v>1</v>
      </c>
      <c r="AV298" s="46" t="b">
        <v>0</v>
      </c>
    </row>
    <row r="299" spans="2:48">
      <c r="B299" s="46" t="s">
        <v>665</v>
      </c>
      <c r="C299" s="46" t="s">
        <v>666</v>
      </c>
      <c r="D299" s="46">
        <v>20240501</v>
      </c>
      <c r="E299" s="46">
        <v>2024</v>
      </c>
      <c r="F299" s="46">
        <v>5</v>
      </c>
      <c r="G299" s="46" t="s">
        <v>699</v>
      </c>
      <c r="H299" s="46">
        <v>818</v>
      </c>
      <c r="I299" s="46" t="s">
        <v>668</v>
      </c>
      <c r="J299" s="46" t="s">
        <v>57</v>
      </c>
      <c r="K299" s="46" t="s">
        <v>666</v>
      </c>
      <c r="L299" s="46" t="s">
        <v>669</v>
      </c>
      <c r="M299" s="46">
        <v>410</v>
      </c>
      <c r="N299" s="46" t="s">
        <v>754</v>
      </c>
      <c r="O299" s="46" t="s">
        <v>755</v>
      </c>
      <c r="P299" s="46">
        <v>0</v>
      </c>
      <c r="Q299" s="46" t="s">
        <v>670</v>
      </c>
      <c r="R299" s="46" t="s">
        <v>23</v>
      </c>
      <c r="S299" s="46" t="s">
        <v>671</v>
      </c>
      <c r="T299" s="46" t="s">
        <v>672</v>
      </c>
      <c r="U299" s="46" t="b">
        <v>1</v>
      </c>
      <c r="V299" s="46" t="s">
        <v>1028</v>
      </c>
      <c r="W299" s="46" t="s">
        <v>1027</v>
      </c>
      <c r="X299" s="46">
        <v>6</v>
      </c>
      <c r="Y299" s="46" t="b">
        <v>1</v>
      </c>
      <c r="Z299" s="46" t="s">
        <v>675</v>
      </c>
      <c r="AA299" s="46" t="s">
        <v>676</v>
      </c>
      <c r="AB299" s="46" t="s">
        <v>677</v>
      </c>
      <c r="AC299" s="46">
        <v>0</v>
      </c>
      <c r="AD299" s="46" t="s">
        <v>678</v>
      </c>
      <c r="AE299" s="46">
        <v>8</v>
      </c>
      <c r="AF299" s="46" t="s">
        <v>679</v>
      </c>
      <c r="AG299" s="46">
        <v>752.428</v>
      </c>
      <c r="AH299" s="46" t="b">
        <v>1</v>
      </c>
      <c r="AI299" s="46">
        <v>-1</v>
      </c>
      <c r="AJ299" s="46" t="s">
        <v>680</v>
      </c>
      <c r="AK299" s="46">
        <v>0</v>
      </c>
      <c r="AL299" s="46" t="b">
        <v>0</v>
      </c>
      <c r="AM299" s="46">
        <v>752.428</v>
      </c>
      <c r="AN299" s="46" t="b">
        <v>1</v>
      </c>
      <c r="AO299" s="46">
        <v>0</v>
      </c>
      <c r="AP299" s="46" t="b">
        <v>0</v>
      </c>
      <c r="AQ299" s="46">
        <v>4805.8959999999997</v>
      </c>
      <c r="AS299" s="46">
        <v>4805.8959999999997</v>
      </c>
      <c r="AT299" s="46">
        <v>6</v>
      </c>
      <c r="AU299" s="46" t="b">
        <v>1</v>
      </c>
      <c r="AV299" s="46" t="b">
        <v>0</v>
      </c>
    </row>
    <row r="300" spans="2:48">
      <c r="B300" s="46" t="s">
        <v>665</v>
      </c>
      <c r="C300" s="46" t="s">
        <v>666</v>
      </c>
      <c r="D300" s="46">
        <v>20240501</v>
      </c>
      <c r="E300" s="46">
        <v>2024</v>
      </c>
      <c r="F300" s="46">
        <v>5</v>
      </c>
      <c r="G300" s="46" t="s">
        <v>699</v>
      </c>
      <c r="H300" s="46">
        <v>818</v>
      </c>
      <c r="I300" s="46" t="s">
        <v>668</v>
      </c>
      <c r="J300" s="46" t="s">
        <v>57</v>
      </c>
      <c r="K300" s="46" t="s">
        <v>666</v>
      </c>
      <c r="L300" s="46" t="s">
        <v>669</v>
      </c>
      <c r="M300" s="46">
        <v>422</v>
      </c>
      <c r="N300" s="46" t="s">
        <v>697</v>
      </c>
      <c r="O300" s="46" t="s">
        <v>225</v>
      </c>
      <c r="P300" s="46">
        <v>0</v>
      </c>
      <c r="Q300" s="46" t="s">
        <v>670</v>
      </c>
      <c r="R300" s="46" t="s">
        <v>23</v>
      </c>
      <c r="S300" s="46" t="s">
        <v>671</v>
      </c>
      <c r="T300" s="46" t="s">
        <v>672</v>
      </c>
      <c r="U300" s="46" t="b">
        <v>1</v>
      </c>
      <c r="V300" s="46" t="s">
        <v>1028</v>
      </c>
      <c r="W300" s="46" t="s">
        <v>1027</v>
      </c>
      <c r="X300" s="46">
        <v>6</v>
      </c>
      <c r="Y300" s="46" t="b">
        <v>1</v>
      </c>
      <c r="Z300" s="46" t="s">
        <v>675</v>
      </c>
      <c r="AA300" s="46" t="s">
        <v>676</v>
      </c>
      <c r="AB300" s="46" t="s">
        <v>677</v>
      </c>
      <c r="AC300" s="46">
        <v>0</v>
      </c>
      <c r="AD300" s="46" t="s">
        <v>678</v>
      </c>
      <c r="AE300" s="46">
        <v>8</v>
      </c>
      <c r="AF300" s="46" t="s">
        <v>679</v>
      </c>
      <c r="AG300" s="46">
        <v>2962.6819999999998</v>
      </c>
      <c r="AH300" s="46" t="b">
        <v>1</v>
      </c>
      <c r="AI300" s="46">
        <v>-1</v>
      </c>
      <c r="AJ300" s="46" t="s">
        <v>680</v>
      </c>
      <c r="AK300" s="46">
        <v>0</v>
      </c>
      <c r="AL300" s="46" t="b">
        <v>0</v>
      </c>
      <c r="AM300" s="46">
        <v>2962.6819999999998</v>
      </c>
      <c r="AN300" s="46" t="b">
        <v>1</v>
      </c>
      <c r="AO300" s="46">
        <v>0</v>
      </c>
      <c r="AP300" s="46" t="b">
        <v>0</v>
      </c>
      <c r="AQ300" s="46">
        <v>18923.183000000001</v>
      </c>
      <c r="AS300" s="46">
        <v>18923.183000000001</v>
      </c>
      <c r="AT300" s="46">
        <v>6</v>
      </c>
      <c r="AU300" s="46" t="b">
        <v>1</v>
      </c>
      <c r="AV300" s="46" t="b">
        <v>0</v>
      </c>
    </row>
    <row r="301" spans="2:48">
      <c r="B301" s="46" t="s">
        <v>665</v>
      </c>
      <c r="C301" s="46" t="s">
        <v>666</v>
      </c>
      <c r="D301" s="46">
        <v>20240501</v>
      </c>
      <c r="E301" s="46">
        <v>2024</v>
      </c>
      <c r="F301" s="46">
        <v>5</v>
      </c>
      <c r="G301" s="46" t="s">
        <v>699</v>
      </c>
      <c r="H301" s="46">
        <v>818</v>
      </c>
      <c r="I301" s="46" t="s">
        <v>668</v>
      </c>
      <c r="J301" s="46" t="s">
        <v>57</v>
      </c>
      <c r="K301" s="46" t="s">
        <v>666</v>
      </c>
      <c r="L301" s="46" t="s">
        <v>669</v>
      </c>
      <c r="M301" s="46">
        <v>380</v>
      </c>
      <c r="N301" s="46" t="s">
        <v>689</v>
      </c>
      <c r="O301" s="46" t="s">
        <v>71</v>
      </c>
      <c r="P301" s="46">
        <v>0</v>
      </c>
      <c r="Q301" s="46" t="s">
        <v>670</v>
      </c>
      <c r="R301" s="46" t="s">
        <v>23</v>
      </c>
      <c r="S301" s="46" t="s">
        <v>671</v>
      </c>
      <c r="T301" s="46" t="s">
        <v>672</v>
      </c>
      <c r="U301" s="46" t="b">
        <v>1</v>
      </c>
      <c r="V301" s="46" t="s">
        <v>1028</v>
      </c>
      <c r="W301" s="46" t="s">
        <v>1027</v>
      </c>
      <c r="X301" s="46">
        <v>6</v>
      </c>
      <c r="Y301" s="46" t="b">
        <v>1</v>
      </c>
      <c r="Z301" s="46" t="s">
        <v>675</v>
      </c>
      <c r="AA301" s="46" t="s">
        <v>676</v>
      </c>
      <c r="AB301" s="46" t="s">
        <v>677</v>
      </c>
      <c r="AC301" s="46">
        <v>0</v>
      </c>
      <c r="AD301" s="46" t="s">
        <v>678</v>
      </c>
      <c r="AE301" s="46">
        <v>8</v>
      </c>
      <c r="AF301" s="46" t="s">
        <v>679</v>
      </c>
      <c r="AG301" s="46">
        <v>68997.082999999999</v>
      </c>
      <c r="AH301" s="46" t="b">
        <v>1</v>
      </c>
      <c r="AI301" s="46">
        <v>-1</v>
      </c>
      <c r="AJ301" s="46" t="s">
        <v>680</v>
      </c>
      <c r="AK301" s="46">
        <v>0</v>
      </c>
      <c r="AL301" s="46" t="b">
        <v>0</v>
      </c>
      <c r="AM301" s="46">
        <v>68997.082999999999</v>
      </c>
      <c r="AN301" s="46" t="b">
        <v>1</v>
      </c>
      <c r="AO301" s="46">
        <v>0</v>
      </c>
      <c r="AP301" s="46" t="b">
        <v>0</v>
      </c>
      <c r="AQ301" s="46">
        <v>440696.837</v>
      </c>
      <c r="AS301" s="46">
        <v>440696.837</v>
      </c>
      <c r="AT301" s="46">
        <v>6</v>
      </c>
      <c r="AU301" s="46" t="b">
        <v>1</v>
      </c>
      <c r="AV301" s="46" t="b">
        <v>0</v>
      </c>
    </row>
    <row r="302" spans="2:48">
      <c r="B302" s="46" t="s">
        <v>665</v>
      </c>
      <c r="C302" s="46" t="s">
        <v>666</v>
      </c>
      <c r="D302" s="46">
        <v>20240501</v>
      </c>
      <c r="E302" s="46">
        <v>2024</v>
      </c>
      <c r="F302" s="46">
        <v>5</v>
      </c>
      <c r="G302" s="46" t="s">
        <v>699</v>
      </c>
      <c r="H302" s="46">
        <v>818</v>
      </c>
      <c r="I302" s="46" t="s">
        <v>668</v>
      </c>
      <c r="J302" s="46" t="s">
        <v>57</v>
      </c>
      <c r="K302" s="46" t="s">
        <v>666</v>
      </c>
      <c r="L302" s="46" t="s">
        <v>669</v>
      </c>
      <c r="M302" s="46">
        <v>344</v>
      </c>
      <c r="N302" s="46" t="s">
        <v>989</v>
      </c>
      <c r="O302" s="46" t="s">
        <v>990</v>
      </c>
      <c r="P302" s="46">
        <v>0</v>
      </c>
      <c r="Q302" s="46" t="s">
        <v>670</v>
      </c>
      <c r="R302" s="46" t="s">
        <v>23</v>
      </c>
      <c r="S302" s="46" t="s">
        <v>671</v>
      </c>
      <c r="T302" s="46" t="s">
        <v>672</v>
      </c>
      <c r="U302" s="46" t="b">
        <v>1</v>
      </c>
      <c r="V302" s="46" t="s">
        <v>1028</v>
      </c>
      <c r="W302" s="46" t="s">
        <v>1027</v>
      </c>
      <c r="X302" s="46">
        <v>6</v>
      </c>
      <c r="Y302" s="46" t="b">
        <v>1</v>
      </c>
      <c r="Z302" s="46" t="s">
        <v>675</v>
      </c>
      <c r="AA302" s="46" t="s">
        <v>676</v>
      </c>
      <c r="AB302" s="46" t="s">
        <v>677</v>
      </c>
      <c r="AC302" s="46">
        <v>0</v>
      </c>
      <c r="AD302" s="46" t="s">
        <v>678</v>
      </c>
      <c r="AE302" s="46">
        <v>8</v>
      </c>
      <c r="AF302" s="46" t="s">
        <v>679</v>
      </c>
      <c r="AG302" s="46">
        <v>202.00800000000001</v>
      </c>
      <c r="AH302" s="46" t="b">
        <v>1</v>
      </c>
      <c r="AI302" s="46">
        <v>-1</v>
      </c>
      <c r="AJ302" s="46" t="s">
        <v>680</v>
      </c>
      <c r="AK302" s="46">
        <v>0</v>
      </c>
      <c r="AL302" s="46" t="b">
        <v>0</v>
      </c>
      <c r="AM302" s="46">
        <v>202.00800000000001</v>
      </c>
      <c r="AN302" s="46" t="b">
        <v>1</v>
      </c>
      <c r="AO302" s="46">
        <v>0</v>
      </c>
      <c r="AP302" s="46" t="b">
        <v>0</v>
      </c>
      <c r="AQ302" s="46">
        <v>1290.259</v>
      </c>
      <c r="AS302" s="46">
        <v>1290.259</v>
      </c>
      <c r="AT302" s="46">
        <v>6</v>
      </c>
      <c r="AU302" s="46" t="b">
        <v>1</v>
      </c>
      <c r="AV302" s="46" t="b">
        <v>0</v>
      </c>
    </row>
    <row r="303" spans="2:48">
      <c r="B303" s="46" t="s">
        <v>665</v>
      </c>
      <c r="C303" s="46" t="s">
        <v>666</v>
      </c>
      <c r="D303" s="46">
        <v>20240501</v>
      </c>
      <c r="E303" s="46">
        <v>2024</v>
      </c>
      <c r="F303" s="46">
        <v>5</v>
      </c>
      <c r="G303" s="46" t="s">
        <v>699</v>
      </c>
      <c r="H303" s="46">
        <v>818</v>
      </c>
      <c r="I303" s="46" t="s">
        <v>668</v>
      </c>
      <c r="J303" s="46" t="s">
        <v>57</v>
      </c>
      <c r="K303" s="46" t="s">
        <v>666</v>
      </c>
      <c r="L303" s="46" t="s">
        <v>669</v>
      </c>
      <c r="M303" s="46">
        <v>251</v>
      </c>
      <c r="N303" s="46" t="s">
        <v>688</v>
      </c>
      <c r="O303" s="46" t="s">
        <v>69</v>
      </c>
      <c r="P303" s="46">
        <v>0</v>
      </c>
      <c r="Q303" s="46" t="s">
        <v>670</v>
      </c>
      <c r="R303" s="46" t="s">
        <v>23</v>
      </c>
      <c r="S303" s="46" t="s">
        <v>671</v>
      </c>
      <c r="T303" s="46" t="s">
        <v>672</v>
      </c>
      <c r="U303" s="46" t="b">
        <v>1</v>
      </c>
      <c r="V303" s="46" t="s">
        <v>1028</v>
      </c>
      <c r="W303" s="46" t="s">
        <v>1027</v>
      </c>
      <c r="X303" s="46">
        <v>6</v>
      </c>
      <c r="Y303" s="46" t="b">
        <v>1</v>
      </c>
      <c r="Z303" s="46" t="s">
        <v>675</v>
      </c>
      <c r="AA303" s="46" t="s">
        <v>676</v>
      </c>
      <c r="AB303" s="46" t="s">
        <v>677</v>
      </c>
      <c r="AC303" s="46">
        <v>0</v>
      </c>
      <c r="AD303" s="46" t="s">
        <v>678</v>
      </c>
      <c r="AE303" s="46">
        <v>8</v>
      </c>
      <c r="AF303" s="46" t="s">
        <v>679</v>
      </c>
      <c r="AG303" s="46">
        <v>875.78800000000001</v>
      </c>
      <c r="AH303" s="46" t="b">
        <v>1</v>
      </c>
      <c r="AI303" s="46">
        <v>-1</v>
      </c>
      <c r="AJ303" s="46" t="s">
        <v>680</v>
      </c>
      <c r="AK303" s="46">
        <v>0</v>
      </c>
      <c r="AL303" s="46" t="b">
        <v>0</v>
      </c>
      <c r="AM303" s="46">
        <v>875.78800000000001</v>
      </c>
      <c r="AN303" s="46" t="b">
        <v>1</v>
      </c>
      <c r="AO303" s="46">
        <v>0</v>
      </c>
      <c r="AP303" s="46" t="b">
        <v>0</v>
      </c>
      <c r="AQ303" s="46">
        <v>5593.8149999999996</v>
      </c>
      <c r="AS303" s="46">
        <v>5593.8149999999996</v>
      </c>
      <c r="AT303" s="46">
        <v>6</v>
      </c>
      <c r="AU303" s="46" t="b">
        <v>1</v>
      </c>
      <c r="AV303" s="46" t="b">
        <v>0</v>
      </c>
    </row>
    <row r="304" spans="2:48">
      <c r="B304" s="46" t="s">
        <v>665</v>
      </c>
      <c r="C304" s="46" t="s">
        <v>666</v>
      </c>
      <c r="D304" s="46">
        <v>20240501</v>
      </c>
      <c r="E304" s="46">
        <v>2024</v>
      </c>
      <c r="F304" s="46">
        <v>5</v>
      </c>
      <c r="G304" s="46" t="s">
        <v>699</v>
      </c>
      <c r="H304" s="46">
        <v>818</v>
      </c>
      <c r="I304" s="46" t="s">
        <v>668</v>
      </c>
      <c r="J304" s="46" t="s">
        <v>57</v>
      </c>
      <c r="K304" s="46" t="s">
        <v>666</v>
      </c>
      <c r="L304" s="46" t="s">
        <v>669</v>
      </c>
      <c r="M304" s="46">
        <v>144</v>
      </c>
      <c r="N304" s="46" t="s">
        <v>1029</v>
      </c>
      <c r="O304" s="46" t="s">
        <v>94</v>
      </c>
      <c r="P304" s="46">
        <v>0</v>
      </c>
      <c r="Q304" s="46" t="s">
        <v>670</v>
      </c>
      <c r="R304" s="46" t="s">
        <v>23</v>
      </c>
      <c r="S304" s="46" t="s">
        <v>671</v>
      </c>
      <c r="T304" s="46" t="s">
        <v>672</v>
      </c>
      <c r="U304" s="46" t="b">
        <v>1</v>
      </c>
      <c r="V304" s="46" t="s">
        <v>1028</v>
      </c>
      <c r="W304" s="46" t="s">
        <v>1027</v>
      </c>
      <c r="X304" s="46">
        <v>6</v>
      </c>
      <c r="Y304" s="46" t="b">
        <v>1</v>
      </c>
      <c r="Z304" s="46" t="s">
        <v>675</v>
      </c>
      <c r="AA304" s="46" t="s">
        <v>676</v>
      </c>
      <c r="AB304" s="46" t="s">
        <v>677</v>
      </c>
      <c r="AC304" s="46">
        <v>0</v>
      </c>
      <c r="AD304" s="46" t="s">
        <v>678</v>
      </c>
      <c r="AE304" s="46">
        <v>8</v>
      </c>
      <c r="AF304" s="46" t="s">
        <v>679</v>
      </c>
      <c r="AG304" s="46">
        <v>430.363</v>
      </c>
      <c r="AH304" s="46" t="b">
        <v>1</v>
      </c>
      <c r="AI304" s="46">
        <v>-1</v>
      </c>
      <c r="AJ304" s="46" t="s">
        <v>680</v>
      </c>
      <c r="AK304" s="46">
        <v>0</v>
      </c>
      <c r="AL304" s="46" t="b">
        <v>0</v>
      </c>
      <c r="AM304" s="46">
        <v>430.363</v>
      </c>
      <c r="AN304" s="46" t="b">
        <v>1</v>
      </c>
      <c r="AO304" s="46">
        <v>0</v>
      </c>
      <c r="AP304" s="46" t="b">
        <v>0</v>
      </c>
      <c r="AQ304" s="46">
        <v>2748.8040000000001</v>
      </c>
      <c r="AS304" s="46">
        <v>2748.8040000000001</v>
      </c>
      <c r="AT304" s="46">
        <v>6</v>
      </c>
      <c r="AU304" s="46" t="b">
        <v>1</v>
      </c>
      <c r="AV304" s="46" t="b">
        <v>0</v>
      </c>
    </row>
    <row r="305" spans="2:48">
      <c r="B305" s="46" t="s">
        <v>665</v>
      </c>
      <c r="C305" s="46" t="s">
        <v>666</v>
      </c>
      <c r="D305" s="46">
        <v>20240501</v>
      </c>
      <c r="E305" s="46">
        <v>2024</v>
      </c>
      <c r="F305" s="46">
        <v>5</v>
      </c>
      <c r="G305" s="46" t="s">
        <v>699</v>
      </c>
      <c r="H305" s="46">
        <v>818</v>
      </c>
      <c r="I305" s="46" t="s">
        <v>668</v>
      </c>
      <c r="J305" s="46" t="s">
        <v>57</v>
      </c>
      <c r="K305" s="46" t="s">
        <v>666</v>
      </c>
      <c r="L305" s="46" t="s">
        <v>669</v>
      </c>
      <c r="M305" s="46">
        <v>156</v>
      </c>
      <c r="N305" s="46" t="s">
        <v>711</v>
      </c>
      <c r="O305" s="46" t="s">
        <v>29</v>
      </c>
      <c r="P305" s="46">
        <v>0</v>
      </c>
      <c r="Q305" s="46" t="s">
        <v>670</v>
      </c>
      <c r="R305" s="46" t="s">
        <v>23</v>
      </c>
      <c r="S305" s="46" t="s">
        <v>671</v>
      </c>
      <c r="T305" s="46" t="s">
        <v>672</v>
      </c>
      <c r="U305" s="46" t="b">
        <v>1</v>
      </c>
      <c r="V305" s="46" t="s">
        <v>1028</v>
      </c>
      <c r="W305" s="46" t="s">
        <v>1027</v>
      </c>
      <c r="X305" s="46">
        <v>6</v>
      </c>
      <c r="Y305" s="46" t="b">
        <v>1</v>
      </c>
      <c r="Z305" s="46" t="s">
        <v>675</v>
      </c>
      <c r="AA305" s="46" t="s">
        <v>676</v>
      </c>
      <c r="AB305" s="46" t="s">
        <v>677</v>
      </c>
      <c r="AC305" s="46">
        <v>0</v>
      </c>
      <c r="AD305" s="46" t="s">
        <v>678</v>
      </c>
      <c r="AE305" s="46">
        <v>8</v>
      </c>
      <c r="AF305" s="46" t="s">
        <v>679</v>
      </c>
      <c r="AG305" s="46">
        <v>23919.48</v>
      </c>
      <c r="AH305" s="46" t="b">
        <v>1</v>
      </c>
      <c r="AI305" s="46">
        <v>-1</v>
      </c>
      <c r="AJ305" s="46" t="s">
        <v>680</v>
      </c>
      <c r="AK305" s="46">
        <v>0</v>
      </c>
      <c r="AL305" s="46" t="b">
        <v>0</v>
      </c>
      <c r="AM305" s="46">
        <v>23919.48</v>
      </c>
      <c r="AN305" s="46" t="b">
        <v>1</v>
      </c>
      <c r="AO305" s="46">
        <v>0</v>
      </c>
      <c r="AP305" s="46" t="b">
        <v>0</v>
      </c>
      <c r="AQ305" s="46">
        <v>152778.04399999999</v>
      </c>
      <c r="AS305" s="46">
        <v>152778.04399999999</v>
      </c>
      <c r="AT305" s="46">
        <v>6</v>
      </c>
      <c r="AU305" s="46" t="b">
        <v>1</v>
      </c>
      <c r="AV305" s="46" t="b">
        <v>0</v>
      </c>
    </row>
    <row r="306" spans="2:48">
      <c r="B306" s="46" t="s">
        <v>665</v>
      </c>
      <c r="C306" s="46" t="s">
        <v>666</v>
      </c>
      <c r="D306" s="46">
        <v>20240501</v>
      </c>
      <c r="E306" s="46">
        <v>2024</v>
      </c>
      <c r="F306" s="46">
        <v>5</v>
      </c>
      <c r="G306" s="46" t="s">
        <v>699</v>
      </c>
      <c r="H306" s="46">
        <v>818</v>
      </c>
      <c r="I306" s="46" t="s">
        <v>668</v>
      </c>
      <c r="J306" s="46" t="s">
        <v>57</v>
      </c>
      <c r="K306" s="46" t="s">
        <v>666</v>
      </c>
      <c r="L306" s="46" t="s">
        <v>669</v>
      </c>
      <c r="M306" s="46">
        <v>40</v>
      </c>
      <c r="N306" s="46" t="s">
        <v>750</v>
      </c>
      <c r="O306" s="46" t="s">
        <v>43</v>
      </c>
      <c r="P306" s="46">
        <v>0</v>
      </c>
      <c r="Q306" s="46" t="s">
        <v>670</v>
      </c>
      <c r="R306" s="46" t="s">
        <v>23</v>
      </c>
      <c r="S306" s="46" t="s">
        <v>671</v>
      </c>
      <c r="T306" s="46" t="s">
        <v>672</v>
      </c>
      <c r="U306" s="46" t="b">
        <v>1</v>
      </c>
      <c r="V306" s="46" t="s">
        <v>1028</v>
      </c>
      <c r="W306" s="46" t="s">
        <v>1027</v>
      </c>
      <c r="X306" s="46">
        <v>6</v>
      </c>
      <c r="Y306" s="46" t="b">
        <v>1</v>
      </c>
      <c r="Z306" s="46" t="s">
        <v>675</v>
      </c>
      <c r="AA306" s="46" t="s">
        <v>676</v>
      </c>
      <c r="AB306" s="46" t="s">
        <v>677</v>
      </c>
      <c r="AC306" s="46">
        <v>0</v>
      </c>
      <c r="AD306" s="46" t="s">
        <v>678</v>
      </c>
      <c r="AE306" s="46">
        <v>8</v>
      </c>
      <c r="AF306" s="46" t="s">
        <v>679</v>
      </c>
      <c r="AG306" s="46">
        <v>3885.19</v>
      </c>
      <c r="AH306" s="46" t="b">
        <v>1</v>
      </c>
      <c r="AI306" s="46">
        <v>-1</v>
      </c>
      <c r="AJ306" s="46" t="s">
        <v>680</v>
      </c>
      <c r="AK306" s="46">
        <v>0</v>
      </c>
      <c r="AL306" s="46" t="b">
        <v>0</v>
      </c>
      <c r="AM306" s="46">
        <v>3885.19</v>
      </c>
      <c r="AN306" s="46" t="b">
        <v>1</v>
      </c>
      <c r="AO306" s="46">
        <v>0</v>
      </c>
      <c r="AP306" s="46" t="b">
        <v>0</v>
      </c>
      <c r="AQ306" s="46">
        <v>24815.412</v>
      </c>
      <c r="AS306" s="46">
        <v>24815.412</v>
      </c>
      <c r="AT306" s="46">
        <v>6</v>
      </c>
      <c r="AU306" s="46" t="b">
        <v>1</v>
      </c>
      <c r="AV306" s="46" t="b">
        <v>0</v>
      </c>
    </row>
    <row r="307" spans="2:48">
      <c r="B307" s="46" t="s">
        <v>665</v>
      </c>
      <c r="C307" s="46" t="s">
        <v>666</v>
      </c>
      <c r="D307" s="46">
        <v>20240501</v>
      </c>
      <c r="E307" s="46">
        <v>2024</v>
      </c>
      <c r="F307" s="46">
        <v>5</v>
      </c>
      <c r="G307" s="46" t="s">
        <v>699</v>
      </c>
      <c r="H307" s="46">
        <v>818</v>
      </c>
      <c r="I307" s="46" t="s">
        <v>668</v>
      </c>
      <c r="J307" s="46" t="s">
        <v>57</v>
      </c>
      <c r="K307" s="46" t="s">
        <v>666</v>
      </c>
      <c r="L307" s="46" t="s">
        <v>669</v>
      </c>
      <c r="M307" s="46">
        <v>0</v>
      </c>
      <c r="N307" s="46" t="s">
        <v>670</v>
      </c>
      <c r="O307" s="46" t="s">
        <v>23</v>
      </c>
      <c r="P307" s="46">
        <v>0</v>
      </c>
      <c r="Q307" s="46" t="s">
        <v>670</v>
      </c>
      <c r="R307" s="46" t="s">
        <v>23</v>
      </c>
      <c r="S307" s="46" t="s">
        <v>671</v>
      </c>
      <c r="T307" s="46" t="s">
        <v>672</v>
      </c>
      <c r="U307" s="46" t="b">
        <v>1</v>
      </c>
      <c r="V307" s="46" t="s">
        <v>1028</v>
      </c>
      <c r="W307" s="46" t="s">
        <v>1027</v>
      </c>
      <c r="X307" s="46">
        <v>6</v>
      </c>
      <c r="Y307" s="46" t="b">
        <v>1</v>
      </c>
      <c r="Z307" s="46" t="s">
        <v>675</v>
      </c>
      <c r="AA307" s="46" t="s">
        <v>676</v>
      </c>
      <c r="AB307" s="46" t="s">
        <v>677</v>
      </c>
      <c r="AC307" s="46">
        <v>0</v>
      </c>
      <c r="AD307" s="46" t="s">
        <v>678</v>
      </c>
      <c r="AE307" s="46">
        <v>8</v>
      </c>
      <c r="AF307" s="46" t="s">
        <v>679</v>
      </c>
      <c r="AG307" s="46">
        <v>198104.18</v>
      </c>
      <c r="AH307" s="46" t="b">
        <v>1</v>
      </c>
      <c r="AI307" s="46">
        <v>-1</v>
      </c>
      <c r="AJ307" s="46" t="s">
        <v>680</v>
      </c>
      <c r="AK307" s="46">
        <v>0</v>
      </c>
      <c r="AL307" s="46" t="b">
        <v>0</v>
      </c>
      <c r="AM307" s="46">
        <v>198104.18</v>
      </c>
      <c r="AN307" s="46" t="b">
        <v>1</v>
      </c>
      <c r="AO307" s="46">
        <v>0</v>
      </c>
      <c r="AP307" s="46" t="b">
        <v>0</v>
      </c>
      <c r="AQ307" s="46">
        <v>1265327.196</v>
      </c>
      <c r="AS307" s="46">
        <v>1265327.196</v>
      </c>
      <c r="AT307" s="46">
        <v>6</v>
      </c>
      <c r="AU307" s="46" t="b">
        <v>0</v>
      </c>
      <c r="AV307" s="46" t="b">
        <v>1</v>
      </c>
    </row>
    <row r="308" spans="2:48">
      <c r="B308" s="46" t="s">
        <v>665</v>
      </c>
      <c r="C308" s="46" t="s">
        <v>666</v>
      </c>
      <c r="D308" s="46">
        <v>20240601</v>
      </c>
      <c r="E308" s="46">
        <v>2024</v>
      </c>
      <c r="F308" s="46">
        <v>6</v>
      </c>
      <c r="G308" s="46" t="s">
        <v>700</v>
      </c>
      <c r="H308" s="46">
        <v>818</v>
      </c>
      <c r="I308" s="46" t="s">
        <v>668</v>
      </c>
      <c r="J308" s="46" t="s">
        <v>57</v>
      </c>
      <c r="K308" s="46" t="s">
        <v>666</v>
      </c>
      <c r="L308" s="46" t="s">
        <v>669</v>
      </c>
      <c r="M308" s="46">
        <v>842</v>
      </c>
      <c r="N308" s="46" t="s">
        <v>713</v>
      </c>
      <c r="O308" s="46" t="s">
        <v>713</v>
      </c>
      <c r="P308" s="46">
        <v>0</v>
      </c>
      <c r="Q308" s="46" t="s">
        <v>670</v>
      </c>
      <c r="R308" s="46" t="s">
        <v>23</v>
      </c>
      <c r="S308" s="46" t="s">
        <v>671</v>
      </c>
      <c r="T308" s="46" t="s">
        <v>672</v>
      </c>
      <c r="U308" s="46" t="b">
        <v>1</v>
      </c>
      <c r="V308" s="46" t="s">
        <v>1028</v>
      </c>
      <c r="W308" s="46" t="s">
        <v>1027</v>
      </c>
      <c r="X308" s="46">
        <v>6</v>
      </c>
      <c r="Y308" s="46" t="b">
        <v>1</v>
      </c>
      <c r="Z308" s="46" t="s">
        <v>675</v>
      </c>
      <c r="AA308" s="46" t="s">
        <v>676</v>
      </c>
      <c r="AB308" s="46" t="s">
        <v>677</v>
      </c>
      <c r="AC308" s="46">
        <v>0</v>
      </c>
      <c r="AD308" s="46" t="s">
        <v>678</v>
      </c>
      <c r="AE308" s="46">
        <v>8</v>
      </c>
      <c r="AF308" s="46" t="s">
        <v>679</v>
      </c>
      <c r="AG308" s="46">
        <v>1.597</v>
      </c>
      <c r="AH308" s="46" t="b">
        <v>1</v>
      </c>
      <c r="AI308" s="46">
        <v>-1</v>
      </c>
      <c r="AJ308" s="46" t="s">
        <v>680</v>
      </c>
      <c r="AK308" s="46">
        <v>0</v>
      </c>
      <c r="AL308" s="46" t="b">
        <v>0</v>
      </c>
      <c r="AM308" s="46">
        <v>1.597</v>
      </c>
      <c r="AN308" s="46" t="b">
        <v>1</v>
      </c>
      <c r="AO308" s="46">
        <v>0</v>
      </c>
      <c r="AP308" s="46" t="b">
        <v>0</v>
      </c>
      <c r="AQ308" s="46">
        <v>10.199999999999999</v>
      </c>
      <c r="AS308" s="46">
        <v>10.199999999999999</v>
      </c>
      <c r="AT308" s="46">
        <v>6</v>
      </c>
      <c r="AU308" s="46" t="b">
        <v>1</v>
      </c>
      <c r="AV308" s="46" t="b">
        <v>0</v>
      </c>
    </row>
    <row r="309" spans="2:48">
      <c r="B309" s="46" t="s">
        <v>665</v>
      </c>
      <c r="C309" s="46" t="s">
        <v>666</v>
      </c>
      <c r="D309" s="46">
        <v>20240601</v>
      </c>
      <c r="E309" s="46">
        <v>2024</v>
      </c>
      <c r="F309" s="46">
        <v>6</v>
      </c>
      <c r="G309" s="46" t="s">
        <v>700</v>
      </c>
      <c r="H309" s="46">
        <v>818</v>
      </c>
      <c r="I309" s="46" t="s">
        <v>668</v>
      </c>
      <c r="J309" s="46" t="s">
        <v>57</v>
      </c>
      <c r="K309" s="46" t="s">
        <v>666</v>
      </c>
      <c r="L309" s="46" t="s">
        <v>669</v>
      </c>
      <c r="M309" s="46">
        <v>784</v>
      </c>
      <c r="N309" s="46" t="s">
        <v>694</v>
      </c>
      <c r="O309" s="46" t="s">
        <v>25</v>
      </c>
      <c r="P309" s="46">
        <v>0</v>
      </c>
      <c r="Q309" s="46" t="s">
        <v>670</v>
      </c>
      <c r="R309" s="46" t="s">
        <v>23</v>
      </c>
      <c r="S309" s="46" t="s">
        <v>671</v>
      </c>
      <c r="T309" s="46" t="s">
        <v>672</v>
      </c>
      <c r="U309" s="46" t="b">
        <v>1</v>
      </c>
      <c r="V309" s="46" t="s">
        <v>1028</v>
      </c>
      <c r="W309" s="46" t="s">
        <v>1027</v>
      </c>
      <c r="X309" s="46">
        <v>6</v>
      </c>
      <c r="Y309" s="46" t="b">
        <v>1</v>
      </c>
      <c r="Z309" s="46" t="s">
        <v>675</v>
      </c>
      <c r="AA309" s="46" t="s">
        <v>676</v>
      </c>
      <c r="AB309" s="46" t="s">
        <v>677</v>
      </c>
      <c r="AC309" s="46">
        <v>0</v>
      </c>
      <c r="AD309" s="46" t="s">
        <v>678</v>
      </c>
      <c r="AE309" s="46">
        <v>8</v>
      </c>
      <c r="AF309" s="46" t="s">
        <v>679</v>
      </c>
      <c r="AG309" s="46">
        <v>15941.405000000001</v>
      </c>
      <c r="AH309" s="46" t="b">
        <v>1</v>
      </c>
      <c r="AI309" s="46">
        <v>-1</v>
      </c>
      <c r="AJ309" s="46" t="s">
        <v>680</v>
      </c>
      <c r="AK309" s="46">
        <v>0</v>
      </c>
      <c r="AL309" s="46" t="b">
        <v>0</v>
      </c>
      <c r="AM309" s="46">
        <v>15941.405000000001</v>
      </c>
      <c r="AN309" s="46" t="b">
        <v>1</v>
      </c>
      <c r="AO309" s="46">
        <v>0</v>
      </c>
      <c r="AP309" s="46" t="b">
        <v>0</v>
      </c>
      <c r="AQ309" s="46">
        <v>101820.637</v>
      </c>
      <c r="AS309" s="46">
        <v>101820.637</v>
      </c>
      <c r="AT309" s="46">
        <v>6</v>
      </c>
      <c r="AU309" s="46" t="b">
        <v>1</v>
      </c>
      <c r="AV309" s="46" t="b">
        <v>0</v>
      </c>
    </row>
    <row r="310" spans="2:48">
      <c r="B310" s="46" t="s">
        <v>665</v>
      </c>
      <c r="C310" s="46" t="s">
        <v>666</v>
      </c>
      <c r="D310" s="46">
        <v>20240601</v>
      </c>
      <c r="E310" s="46">
        <v>2024</v>
      </c>
      <c r="F310" s="46">
        <v>6</v>
      </c>
      <c r="G310" s="46" t="s">
        <v>700</v>
      </c>
      <c r="H310" s="46">
        <v>818</v>
      </c>
      <c r="I310" s="46" t="s">
        <v>668</v>
      </c>
      <c r="J310" s="46" t="s">
        <v>57</v>
      </c>
      <c r="K310" s="46" t="s">
        <v>666</v>
      </c>
      <c r="L310" s="46" t="s">
        <v>669</v>
      </c>
      <c r="M310" s="46">
        <v>792</v>
      </c>
      <c r="N310" s="46" t="s">
        <v>691</v>
      </c>
      <c r="O310" s="46" t="s">
        <v>63</v>
      </c>
      <c r="P310" s="46">
        <v>0</v>
      </c>
      <c r="Q310" s="46" t="s">
        <v>670</v>
      </c>
      <c r="R310" s="46" t="s">
        <v>23</v>
      </c>
      <c r="S310" s="46" t="s">
        <v>671</v>
      </c>
      <c r="T310" s="46" t="s">
        <v>672</v>
      </c>
      <c r="U310" s="46" t="b">
        <v>1</v>
      </c>
      <c r="V310" s="46" t="s">
        <v>1028</v>
      </c>
      <c r="W310" s="46" t="s">
        <v>1027</v>
      </c>
      <c r="X310" s="46">
        <v>6</v>
      </c>
      <c r="Y310" s="46" t="b">
        <v>1</v>
      </c>
      <c r="Z310" s="46" t="s">
        <v>675</v>
      </c>
      <c r="AA310" s="46" t="s">
        <v>676</v>
      </c>
      <c r="AB310" s="46" t="s">
        <v>677</v>
      </c>
      <c r="AC310" s="46">
        <v>0</v>
      </c>
      <c r="AD310" s="46" t="s">
        <v>678</v>
      </c>
      <c r="AE310" s="46">
        <v>8</v>
      </c>
      <c r="AF310" s="46" t="s">
        <v>679</v>
      </c>
      <c r="AG310" s="46">
        <v>21148.117999999999</v>
      </c>
      <c r="AH310" s="46" t="b">
        <v>1</v>
      </c>
      <c r="AI310" s="46">
        <v>-1</v>
      </c>
      <c r="AJ310" s="46" t="s">
        <v>680</v>
      </c>
      <c r="AK310" s="46">
        <v>0</v>
      </c>
      <c r="AL310" s="46" t="b">
        <v>0</v>
      </c>
      <c r="AM310" s="46">
        <v>21148.117999999999</v>
      </c>
      <c r="AN310" s="46" t="b">
        <v>1</v>
      </c>
      <c r="AO310" s="46">
        <v>0</v>
      </c>
      <c r="AP310" s="46" t="b">
        <v>0</v>
      </c>
      <c r="AQ310" s="46">
        <v>135076.85399999999</v>
      </c>
      <c r="AS310" s="46">
        <v>135076.85399999999</v>
      </c>
      <c r="AT310" s="46">
        <v>6</v>
      </c>
      <c r="AU310" s="46" t="b">
        <v>1</v>
      </c>
      <c r="AV310" s="46" t="b">
        <v>0</v>
      </c>
    </row>
    <row r="311" spans="2:48">
      <c r="B311" s="46" t="s">
        <v>665</v>
      </c>
      <c r="C311" s="46" t="s">
        <v>666</v>
      </c>
      <c r="D311" s="46">
        <v>20240601</v>
      </c>
      <c r="E311" s="46">
        <v>2024</v>
      </c>
      <c r="F311" s="46">
        <v>6</v>
      </c>
      <c r="G311" s="46" t="s">
        <v>700</v>
      </c>
      <c r="H311" s="46">
        <v>818</v>
      </c>
      <c r="I311" s="46" t="s">
        <v>668</v>
      </c>
      <c r="J311" s="46" t="s">
        <v>57</v>
      </c>
      <c r="K311" s="46" t="s">
        <v>666</v>
      </c>
      <c r="L311" s="46" t="s">
        <v>669</v>
      </c>
      <c r="M311" s="46">
        <v>704</v>
      </c>
      <c r="N311" s="46" t="s">
        <v>756</v>
      </c>
      <c r="O311" s="46" t="s">
        <v>59</v>
      </c>
      <c r="P311" s="46">
        <v>0</v>
      </c>
      <c r="Q311" s="46" t="s">
        <v>670</v>
      </c>
      <c r="R311" s="46" t="s">
        <v>23</v>
      </c>
      <c r="S311" s="46" t="s">
        <v>671</v>
      </c>
      <c r="T311" s="46" t="s">
        <v>672</v>
      </c>
      <c r="U311" s="46" t="b">
        <v>1</v>
      </c>
      <c r="V311" s="46" t="s">
        <v>1028</v>
      </c>
      <c r="W311" s="46" t="s">
        <v>1027</v>
      </c>
      <c r="X311" s="46">
        <v>6</v>
      </c>
      <c r="Y311" s="46" t="b">
        <v>1</v>
      </c>
      <c r="Z311" s="46" t="s">
        <v>675</v>
      </c>
      <c r="AA311" s="46" t="s">
        <v>676</v>
      </c>
      <c r="AB311" s="46" t="s">
        <v>677</v>
      </c>
      <c r="AC311" s="46">
        <v>0</v>
      </c>
      <c r="AD311" s="46" t="s">
        <v>678</v>
      </c>
      <c r="AE311" s="46">
        <v>8</v>
      </c>
      <c r="AF311" s="46" t="s">
        <v>679</v>
      </c>
      <c r="AG311" s="46">
        <v>29.533000000000001</v>
      </c>
      <c r="AH311" s="46" t="b">
        <v>1</v>
      </c>
      <c r="AI311" s="46">
        <v>-1</v>
      </c>
      <c r="AJ311" s="46" t="s">
        <v>680</v>
      </c>
      <c r="AK311" s="46">
        <v>0</v>
      </c>
      <c r="AL311" s="46" t="b">
        <v>0</v>
      </c>
      <c r="AM311" s="46">
        <v>29.533000000000001</v>
      </c>
      <c r="AN311" s="46" t="b">
        <v>1</v>
      </c>
      <c r="AO311" s="46">
        <v>0</v>
      </c>
      <c r="AP311" s="46" t="b">
        <v>0</v>
      </c>
      <c r="AQ311" s="46">
        <v>188.63499999999999</v>
      </c>
      <c r="AS311" s="46">
        <v>188.63499999999999</v>
      </c>
      <c r="AT311" s="46">
        <v>6</v>
      </c>
      <c r="AU311" s="46" t="b">
        <v>1</v>
      </c>
      <c r="AV311" s="46" t="b">
        <v>0</v>
      </c>
    </row>
    <row r="312" spans="2:48">
      <c r="B312" s="46" t="s">
        <v>665</v>
      </c>
      <c r="C312" s="46" t="s">
        <v>666</v>
      </c>
      <c r="D312" s="46">
        <v>20240601</v>
      </c>
      <c r="E312" s="46">
        <v>2024</v>
      </c>
      <c r="F312" s="46">
        <v>6</v>
      </c>
      <c r="G312" s="46" t="s">
        <v>700</v>
      </c>
      <c r="H312" s="46">
        <v>818</v>
      </c>
      <c r="I312" s="46" t="s">
        <v>668</v>
      </c>
      <c r="J312" s="46" t="s">
        <v>57</v>
      </c>
      <c r="K312" s="46" t="s">
        <v>666</v>
      </c>
      <c r="L312" s="46" t="s">
        <v>669</v>
      </c>
      <c r="M312" s="46">
        <v>724</v>
      </c>
      <c r="N312" s="46" t="s">
        <v>684</v>
      </c>
      <c r="O312" s="46" t="s">
        <v>51</v>
      </c>
      <c r="P312" s="46">
        <v>0</v>
      </c>
      <c r="Q312" s="46" t="s">
        <v>670</v>
      </c>
      <c r="R312" s="46" t="s">
        <v>23</v>
      </c>
      <c r="S312" s="46" t="s">
        <v>671</v>
      </c>
      <c r="T312" s="46" t="s">
        <v>672</v>
      </c>
      <c r="U312" s="46" t="b">
        <v>1</v>
      </c>
      <c r="V312" s="46" t="s">
        <v>1028</v>
      </c>
      <c r="W312" s="46" t="s">
        <v>1027</v>
      </c>
      <c r="X312" s="46">
        <v>6</v>
      </c>
      <c r="Y312" s="46" t="b">
        <v>1</v>
      </c>
      <c r="Z312" s="46" t="s">
        <v>675</v>
      </c>
      <c r="AA312" s="46" t="s">
        <v>676</v>
      </c>
      <c r="AB312" s="46" t="s">
        <v>677</v>
      </c>
      <c r="AC312" s="46">
        <v>0</v>
      </c>
      <c r="AD312" s="46" t="s">
        <v>678</v>
      </c>
      <c r="AE312" s="46">
        <v>8</v>
      </c>
      <c r="AF312" s="46" t="s">
        <v>679</v>
      </c>
      <c r="AG312" s="46">
        <v>522.33100000000002</v>
      </c>
      <c r="AH312" s="46" t="b">
        <v>1</v>
      </c>
      <c r="AI312" s="46">
        <v>-1</v>
      </c>
      <c r="AJ312" s="46" t="s">
        <v>680</v>
      </c>
      <c r="AK312" s="46">
        <v>0</v>
      </c>
      <c r="AL312" s="46" t="b">
        <v>0</v>
      </c>
      <c r="AM312" s="46">
        <v>522.33100000000002</v>
      </c>
      <c r="AN312" s="46" t="b">
        <v>1</v>
      </c>
      <c r="AO312" s="46">
        <v>0</v>
      </c>
      <c r="AP312" s="46" t="b">
        <v>0</v>
      </c>
      <c r="AQ312" s="46">
        <v>3336.22</v>
      </c>
      <c r="AS312" s="46">
        <v>3336.22</v>
      </c>
      <c r="AT312" s="46">
        <v>6</v>
      </c>
      <c r="AU312" s="46" t="b">
        <v>1</v>
      </c>
      <c r="AV312" s="46" t="b">
        <v>0</v>
      </c>
    </row>
    <row r="313" spans="2:48">
      <c r="B313" s="46" t="s">
        <v>665</v>
      </c>
      <c r="C313" s="46" t="s">
        <v>666</v>
      </c>
      <c r="D313" s="46">
        <v>20240601</v>
      </c>
      <c r="E313" s="46">
        <v>2024</v>
      </c>
      <c r="F313" s="46">
        <v>6</v>
      </c>
      <c r="G313" s="46" t="s">
        <v>700</v>
      </c>
      <c r="H313" s="46">
        <v>818</v>
      </c>
      <c r="I313" s="46" t="s">
        <v>668</v>
      </c>
      <c r="J313" s="46" t="s">
        <v>57</v>
      </c>
      <c r="K313" s="46" t="s">
        <v>666</v>
      </c>
      <c r="L313" s="46" t="s">
        <v>669</v>
      </c>
      <c r="M313" s="46">
        <v>682</v>
      </c>
      <c r="N313" s="46" t="s">
        <v>758</v>
      </c>
      <c r="O313" s="46" t="s">
        <v>39</v>
      </c>
      <c r="P313" s="46">
        <v>0</v>
      </c>
      <c r="Q313" s="46" t="s">
        <v>670</v>
      </c>
      <c r="R313" s="46" t="s">
        <v>23</v>
      </c>
      <c r="S313" s="46" t="s">
        <v>671</v>
      </c>
      <c r="T313" s="46" t="s">
        <v>672</v>
      </c>
      <c r="U313" s="46" t="b">
        <v>1</v>
      </c>
      <c r="V313" s="46" t="s">
        <v>1028</v>
      </c>
      <c r="W313" s="46" t="s">
        <v>1027</v>
      </c>
      <c r="X313" s="46">
        <v>6</v>
      </c>
      <c r="Y313" s="46" t="b">
        <v>1</v>
      </c>
      <c r="Z313" s="46" t="s">
        <v>675</v>
      </c>
      <c r="AA313" s="46" t="s">
        <v>676</v>
      </c>
      <c r="AB313" s="46" t="s">
        <v>677</v>
      </c>
      <c r="AC313" s="46">
        <v>0</v>
      </c>
      <c r="AD313" s="46" t="s">
        <v>678</v>
      </c>
      <c r="AE313" s="46">
        <v>8</v>
      </c>
      <c r="AF313" s="46" t="s">
        <v>679</v>
      </c>
      <c r="AG313" s="46">
        <v>95616.657999999996</v>
      </c>
      <c r="AH313" s="46" t="b">
        <v>1</v>
      </c>
      <c r="AI313" s="46">
        <v>-1</v>
      </c>
      <c r="AJ313" s="46" t="s">
        <v>680</v>
      </c>
      <c r="AK313" s="46">
        <v>0</v>
      </c>
      <c r="AL313" s="46" t="b">
        <v>0</v>
      </c>
      <c r="AM313" s="46">
        <v>95616.657999999996</v>
      </c>
      <c r="AN313" s="46" t="b">
        <v>1</v>
      </c>
      <c r="AO313" s="46">
        <v>0</v>
      </c>
      <c r="AP313" s="46" t="b">
        <v>0</v>
      </c>
      <c r="AQ313" s="46">
        <v>610720.875</v>
      </c>
      <c r="AS313" s="46">
        <v>610720.875</v>
      </c>
      <c r="AT313" s="46">
        <v>6</v>
      </c>
      <c r="AU313" s="46" t="b">
        <v>1</v>
      </c>
      <c r="AV313" s="46" t="b">
        <v>0</v>
      </c>
    </row>
    <row r="314" spans="2:48">
      <c r="B314" s="46" t="s">
        <v>665</v>
      </c>
      <c r="C314" s="46" t="s">
        <v>666</v>
      </c>
      <c r="D314" s="46">
        <v>20240601</v>
      </c>
      <c r="E314" s="46">
        <v>2024</v>
      </c>
      <c r="F314" s="46">
        <v>6</v>
      </c>
      <c r="G314" s="46" t="s">
        <v>700</v>
      </c>
      <c r="H314" s="46">
        <v>818</v>
      </c>
      <c r="I314" s="46" t="s">
        <v>668</v>
      </c>
      <c r="J314" s="46" t="s">
        <v>57</v>
      </c>
      <c r="K314" s="46" t="s">
        <v>666</v>
      </c>
      <c r="L314" s="46" t="s">
        <v>669</v>
      </c>
      <c r="M314" s="46">
        <v>699</v>
      </c>
      <c r="N314" s="46" t="s">
        <v>748</v>
      </c>
      <c r="O314" s="46" t="s">
        <v>0</v>
      </c>
      <c r="P314" s="46">
        <v>0</v>
      </c>
      <c r="Q314" s="46" t="s">
        <v>670</v>
      </c>
      <c r="R314" s="46" t="s">
        <v>23</v>
      </c>
      <c r="S314" s="46" t="s">
        <v>671</v>
      </c>
      <c r="T314" s="46" t="s">
        <v>672</v>
      </c>
      <c r="U314" s="46" t="b">
        <v>1</v>
      </c>
      <c r="V314" s="46" t="s">
        <v>1028</v>
      </c>
      <c r="W314" s="46" t="s">
        <v>1027</v>
      </c>
      <c r="X314" s="46">
        <v>6</v>
      </c>
      <c r="Y314" s="46" t="b">
        <v>1</v>
      </c>
      <c r="Z314" s="46" t="s">
        <v>675</v>
      </c>
      <c r="AA314" s="46" t="s">
        <v>676</v>
      </c>
      <c r="AB314" s="46" t="s">
        <v>677</v>
      </c>
      <c r="AC314" s="46">
        <v>0</v>
      </c>
      <c r="AD314" s="46" t="s">
        <v>678</v>
      </c>
      <c r="AE314" s="46">
        <v>8</v>
      </c>
      <c r="AF314" s="46" t="s">
        <v>679</v>
      </c>
      <c r="AG314" s="46">
        <v>2833.886</v>
      </c>
      <c r="AH314" s="46" t="b">
        <v>1</v>
      </c>
      <c r="AI314" s="46">
        <v>-1</v>
      </c>
      <c r="AJ314" s="46" t="s">
        <v>680</v>
      </c>
      <c r="AK314" s="46">
        <v>0</v>
      </c>
      <c r="AL314" s="46" t="b">
        <v>0</v>
      </c>
      <c r="AM314" s="46">
        <v>2833.886</v>
      </c>
      <c r="AN314" s="46" t="b">
        <v>1</v>
      </c>
      <c r="AO314" s="46">
        <v>0</v>
      </c>
      <c r="AP314" s="46" t="b">
        <v>0</v>
      </c>
      <c r="AQ314" s="46">
        <v>18100.543000000001</v>
      </c>
      <c r="AS314" s="46">
        <v>18100.543000000001</v>
      </c>
      <c r="AT314" s="46">
        <v>6</v>
      </c>
      <c r="AU314" s="46" t="b">
        <v>1</v>
      </c>
      <c r="AV314" s="46" t="b">
        <v>0</v>
      </c>
    </row>
    <row r="315" spans="2:48">
      <c r="B315" s="46" t="s">
        <v>665</v>
      </c>
      <c r="C315" s="46" t="s">
        <v>666</v>
      </c>
      <c r="D315" s="46">
        <v>20240601</v>
      </c>
      <c r="E315" s="46">
        <v>2024</v>
      </c>
      <c r="F315" s="46">
        <v>6</v>
      </c>
      <c r="G315" s="46" t="s">
        <v>700</v>
      </c>
      <c r="H315" s="46">
        <v>818</v>
      </c>
      <c r="I315" s="46" t="s">
        <v>668</v>
      </c>
      <c r="J315" s="46" t="s">
        <v>57</v>
      </c>
      <c r="K315" s="46" t="s">
        <v>666</v>
      </c>
      <c r="L315" s="46" t="s">
        <v>669</v>
      </c>
      <c r="M315" s="46">
        <v>380</v>
      </c>
      <c r="N315" s="46" t="s">
        <v>689</v>
      </c>
      <c r="O315" s="46" t="s">
        <v>71</v>
      </c>
      <c r="P315" s="46">
        <v>0</v>
      </c>
      <c r="Q315" s="46" t="s">
        <v>670</v>
      </c>
      <c r="R315" s="46" t="s">
        <v>23</v>
      </c>
      <c r="S315" s="46" t="s">
        <v>671</v>
      </c>
      <c r="T315" s="46" t="s">
        <v>672</v>
      </c>
      <c r="U315" s="46" t="b">
        <v>1</v>
      </c>
      <c r="V315" s="46" t="s">
        <v>1028</v>
      </c>
      <c r="W315" s="46" t="s">
        <v>1027</v>
      </c>
      <c r="X315" s="46">
        <v>6</v>
      </c>
      <c r="Y315" s="46" t="b">
        <v>1</v>
      </c>
      <c r="Z315" s="46" t="s">
        <v>675</v>
      </c>
      <c r="AA315" s="46" t="s">
        <v>676</v>
      </c>
      <c r="AB315" s="46" t="s">
        <v>677</v>
      </c>
      <c r="AC315" s="46">
        <v>0</v>
      </c>
      <c r="AD315" s="46" t="s">
        <v>678</v>
      </c>
      <c r="AE315" s="46">
        <v>8</v>
      </c>
      <c r="AF315" s="46" t="s">
        <v>679</v>
      </c>
      <c r="AG315" s="46">
        <v>557.27099999999996</v>
      </c>
      <c r="AH315" s="46" t="b">
        <v>1</v>
      </c>
      <c r="AI315" s="46">
        <v>-1</v>
      </c>
      <c r="AJ315" s="46" t="s">
        <v>680</v>
      </c>
      <c r="AK315" s="46">
        <v>0</v>
      </c>
      <c r="AL315" s="46" t="b">
        <v>0</v>
      </c>
      <c r="AM315" s="46">
        <v>557.27099999999996</v>
      </c>
      <c r="AN315" s="46" t="b">
        <v>1</v>
      </c>
      <c r="AO315" s="46">
        <v>0</v>
      </c>
      <c r="AP315" s="46" t="b">
        <v>0</v>
      </c>
      <c r="AQ315" s="46">
        <v>3559.3919999999998</v>
      </c>
      <c r="AS315" s="46">
        <v>3559.3919999999998</v>
      </c>
      <c r="AT315" s="46">
        <v>6</v>
      </c>
      <c r="AU315" s="46" t="b">
        <v>1</v>
      </c>
      <c r="AV315" s="46" t="b">
        <v>0</v>
      </c>
    </row>
    <row r="316" spans="2:48">
      <c r="B316" s="46" t="s">
        <v>665</v>
      </c>
      <c r="C316" s="46" t="s">
        <v>666</v>
      </c>
      <c r="D316" s="46">
        <v>20240601</v>
      </c>
      <c r="E316" s="46">
        <v>2024</v>
      </c>
      <c r="F316" s="46">
        <v>6</v>
      </c>
      <c r="G316" s="46" t="s">
        <v>700</v>
      </c>
      <c r="H316" s="46">
        <v>818</v>
      </c>
      <c r="I316" s="46" t="s">
        <v>668</v>
      </c>
      <c r="J316" s="46" t="s">
        <v>57</v>
      </c>
      <c r="K316" s="46" t="s">
        <v>666</v>
      </c>
      <c r="L316" s="46" t="s">
        <v>669</v>
      </c>
      <c r="M316" s="46">
        <v>410</v>
      </c>
      <c r="N316" s="46" t="s">
        <v>754</v>
      </c>
      <c r="O316" s="46" t="s">
        <v>755</v>
      </c>
      <c r="P316" s="46">
        <v>0</v>
      </c>
      <c r="Q316" s="46" t="s">
        <v>670</v>
      </c>
      <c r="R316" s="46" t="s">
        <v>23</v>
      </c>
      <c r="S316" s="46" t="s">
        <v>671</v>
      </c>
      <c r="T316" s="46" t="s">
        <v>672</v>
      </c>
      <c r="U316" s="46" t="b">
        <v>1</v>
      </c>
      <c r="V316" s="46" t="s">
        <v>1028</v>
      </c>
      <c r="W316" s="46" t="s">
        <v>1027</v>
      </c>
      <c r="X316" s="46">
        <v>6</v>
      </c>
      <c r="Y316" s="46" t="b">
        <v>1</v>
      </c>
      <c r="Z316" s="46" t="s">
        <v>675</v>
      </c>
      <c r="AA316" s="46" t="s">
        <v>676</v>
      </c>
      <c r="AB316" s="46" t="s">
        <v>677</v>
      </c>
      <c r="AC316" s="46">
        <v>0</v>
      </c>
      <c r="AD316" s="46" t="s">
        <v>678</v>
      </c>
      <c r="AE316" s="46">
        <v>8</v>
      </c>
      <c r="AF316" s="46" t="s">
        <v>679</v>
      </c>
      <c r="AG316" s="46">
        <v>5018.4170000000004</v>
      </c>
      <c r="AH316" s="46" t="b">
        <v>1</v>
      </c>
      <c r="AI316" s="46">
        <v>-1</v>
      </c>
      <c r="AJ316" s="46" t="s">
        <v>680</v>
      </c>
      <c r="AK316" s="46">
        <v>0</v>
      </c>
      <c r="AL316" s="46" t="b">
        <v>0</v>
      </c>
      <c r="AM316" s="46">
        <v>5018.4170000000004</v>
      </c>
      <c r="AN316" s="46" t="b">
        <v>1</v>
      </c>
      <c r="AO316" s="46">
        <v>0</v>
      </c>
      <c r="AP316" s="46" t="b">
        <v>0</v>
      </c>
      <c r="AQ316" s="46">
        <v>32053.535</v>
      </c>
      <c r="AS316" s="46">
        <v>32053.535</v>
      </c>
      <c r="AT316" s="46">
        <v>6</v>
      </c>
      <c r="AU316" s="46" t="b">
        <v>1</v>
      </c>
      <c r="AV316" s="46" t="b">
        <v>0</v>
      </c>
    </row>
    <row r="317" spans="2:48">
      <c r="B317" s="46" t="s">
        <v>665</v>
      </c>
      <c r="C317" s="46" t="s">
        <v>666</v>
      </c>
      <c r="D317" s="46">
        <v>20240601</v>
      </c>
      <c r="E317" s="46">
        <v>2024</v>
      </c>
      <c r="F317" s="46">
        <v>6</v>
      </c>
      <c r="G317" s="46" t="s">
        <v>700</v>
      </c>
      <c r="H317" s="46">
        <v>818</v>
      </c>
      <c r="I317" s="46" t="s">
        <v>668</v>
      </c>
      <c r="J317" s="46" t="s">
        <v>57</v>
      </c>
      <c r="K317" s="46" t="s">
        <v>666</v>
      </c>
      <c r="L317" s="46" t="s">
        <v>669</v>
      </c>
      <c r="M317" s="46">
        <v>422</v>
      </c>
      <c r="N317" s="46" t="s">
        <v>697</v>
      </c>
      <c r="O317" s="46" t="s">
        <v>225</v>
      </c>
      <c r="P317" s="46">
        <v>0</v>
      </c>
      <c r="Q317" s="46" t="s">
        <v>670</v>
      </c>
      <c r="R317" s="46" t="s">
        <v>23</v>
      </c>
      <c r="S317" s="46" t="s">
        <v>671</v>
      </c>
      <c r="T317" s="46" t="s">
        <v>672</v>
      </c>
      <c r="U317" s="46" t="b">
        <v>1</v>
      </c>
      <c r="V317" s="46" t="s">
        <v>1028</v>
      </c>
      <c r="W317" s="46" t="s">
        <v>1027</v>
      </c>
      <c r="X317" s="46">
        <v>6</v>
      </c>
      <c r="Y317" s="46" t="b">
        <v>1</v>
      </c>
      <c r="Z317" s="46" t="s">
        <v>675</v>
      </c>
      <c r="AA317" s="46" t="s">
        <v>676</v>
      </c>
      <c r="AB317" s="46" t="s">
        <v>677</v>
      </c>
      <c r="AC317" s="46">
        <v>0</v>
      </c>
      <c r="AD317" s="46" t="s">
        <v>678</v>
      </c>
      <c r="AE317" s="46">
        <v>8</v>
      </c>
      <c r="AF317" s="46" t="s">
        <v>679</v>
      </c>
      <c r="AG317" s="46">
        <v>1455.492</v>
      </c>
      <c r="AH317" s="46" t="b">
        <v>1</v>
      </c>
      <c r="AI317" s="46">
        <v>-1</v>
      </c>
      <c r="AJ317" s="46" t="s">
        <v>680</v>
      </c>
      <c r="AK317" s="46">
        <v>0</v>
      </c>
      <c r="AL317" s="46" t="b">
        <v>0</v>
      </c>
      <c r="AM317" s="46">
        <v>1455.492</v>
      </c>
      <c r="AN317" s="46" t="b">
        <v>1</v>
      </c>
      <c r="AO317" s="46">
        <v>0</v>
      </c>
      <c r="AP317" s="46" t="b">
        <v>0</v>
      </c>
      <c r="AQ317" s="46">
        <v>9296.4930000000004</v>
      </c>
      <c r="AS317" s="46">
        <v>9296.4930000000004</v>
      </c>
      <c r="AT317" s="46">
        <v>6</v>
      </c>
      <c r="AU317" s="46" t="b">
        <v>1</v>
      </c>
      <c r="AV317" s="46" t="b">
        <v>0</v>
      </c>
    </row>
    <row r="318" spans="2:48">
      <c r="B318" s="46" t="s">
        <v>665</v>
      </c>
      <c r="C318" s="46" t="s">
        <v>666</v>
      </c>
      <c r="D318" s="46">
        <v>20240601</v>
      </c>
      <c r="E318" s="46">
        <v>2024</v>
      </c>
      <c r="F318" s="46">
        <v>6</v>
      </c>
      <c r="G318" s="46" t="s">
        <v>700</v>
      </c>
      <c r="H318" s="46">
        <v>818</v>
      </c>
      <c r="I318" s="46" t="s">
        <v>668</v>
      </c>
      <c r="J318" s="46" t="s">
        <v>57</v>
      </c>
      <c r="K318" s="46" t="s">
        <v>666</v>
      </c>
      <c r="L318" s="46" t="s">
        <v>669</v>
      </c>
      <c r="M318" s="46">
        <v>344</v>
      </c>
      <c r="N318" s="46" t="s">
        <v>989</v>
      </c>
      <c r="O318" s="46" t="s">
        <v>990</v>
      </c>
      <c r="P318" s="46">
        <v>0</v>
      </c>
      <c r="Q318" s="46" t="s">
        <v>670</v>
      </c>
      <c r="R318" s="46" t="s">
        <v>23</v>
      </c>
      <c r="S318" s="46" t="s">
        <v>671</v>
      </c>
      <c r="T318" s="46" t="s">
        <v>672</v>
      </c>
      <c r="U318" s="46" t="b">
        <v>1</v>
      </c>
      <c r="V318" s="46" t="s">
        <v>1028</v>
      </c>
      <c r="W318" s="46" t="s">
        <v>1027</v>
      </c>
      <c r="X318" s="46">
        <v>6</v>
      </c>
      <c r="Y318" s="46" t="b">
        <v>1</v>
      </c>
      <c r="Z318" s="46" t="s">
        <v>675</v>
      </c>
      <c r="AA318" s="46" t="s">
        <v>676</v>
      </c>
      <c r="AB318" s="46" t="s">
        <v>677</v>
      </c>
      <c r="AC318" s="46">
        <v>0</v>
      </c>
      <c r="AD318" s="46" t="s">
        <v>678</v>
      </c>
      <c r="AE318" s="46">
        <v>8</v>
      </c>
      <c r="AF318" s="46" t="s">
        <v>679</v>
      </c>
      <c r="AG318" s="46">
        <v>270.15199999999999</v>
      </c>
      <c r="AH318" s="46" t="b">
        <v>1</v>
      </c>
      <c r="AI318" s="46">
        <v>-1</v>
      </c>
      <c r="AJ318" s="46" t="s">
        <v>680</v>
      </c>
      <c r="AK318" s="46">
        <v>0</v>
      </c>
      <c r="AL318" s="46" t="b">
        <v>0</v>
      </c>
      <c r="AM318" s="46">
        <v>270.15199999999999</v>
      </c>
      <c r="AN318" s="46" t="b">
        <v>1</v>
      </c>
      <c r="AO318" s="46">
        <v>0</v>
      </c>
      <c r="AP318" s="46" t="b">
        <v>0</v>
      </c>
      <c r="AQ318" s="46">
        <v>1725.5070000000001</v>
      </c>
      <c r="AS318" s="46">
        <v>1725.5070000000001</v>
      </c>
      <c r="AT318" s="46">
        <v>6</v>
      </c>
      <c r="AU318" s="46" t="b">
        <v>1</v>
      </c>
      <c r="AV318" s="46" t="b">
        <v>0</v>
      </c>
    </row>
    <row r="319" spans="2:48">
      <c r="B319" s="46" t="s">
        <v>665</v>
      </c>
      <c r="C319" s="46" t="s">
        <v>666</v>
      </c>
      <c r="D319" s="46">
        <v>20240601</v>
      </c>
      <c r="E319" s="46">
        <v>2024</v>
      </c>
      <c r="F319" s="46">
        <v>6</v>
      </c>
      <c r="G319" s="46" t="s">
        <v>700</v>
      </c>
      <c r="H319" s="46">
        <v>818</v>
      </c>
      <c r="I319" s="46" t="s">
        <v>668</v>
      </c>
      <c r="J319" s="46" t="s">
        <v>57</v>
      </c>
      <c r="K319" s="46" t="s">
        <v>666</v>
      </c>
      <c r="L319" s="46" t="s">
        <v>669</v>
      </c>
      <c r="M319" s="46">
        <v>251</v>
      </c>
      <c r="N319" s="46" t="s">
        <v>688</v>
      </c>
      <c r="O319" s="46" t="s">
        <v>69</v>
      </c>
      <c r="P319" s="46">
        <v>0</v>
      </c>
      <c r="Q319" s="46" t="s">
        <v>670</v>
      </c>
      <c r="R319" s="46" t="s">
        <v>23</v>
      </c>
      <c r="S319" s="46" t="s">
        <v>671</v>
      </c>
      <c r="T319" s="46" t="s">
        <v>672</v>
      </c>
      <c r="U319" s="46" t="b">
        <v>1</v>
      </c>
      <c r="V319" s="46" t="s">
        <v>1028</v>
      </c>
      <c r="W319" s="46" t="s">
        <v>1027</v>
      </c>
      <c r="X319" s="46">
        <v>6</v>
      </c>
      <c r="Y319" s="46" t="b">
        <v>1</v>
      </c>
      <c r="Z319" s="46" t="s">
        <v>675</v>
      </c>
      <c r="AA319" s="46" t="s">
        <v>676</v>
      </c>
      <c r="AB319" s="46" t="s">
        <v>677</v>
      </c>
      <c r="AC319" s="46">
        <v>0</v>
      </c>
      <c r="AD319" s="46" t="s">
        <v>678</v>
      </c>
      <c r="AE319" s="46">
        <v>8</v>
      </c>
      <c r="AF319" s="46" t="s">
        <v>679</v>
      </c>
      <c r="AG319" s="46">
        <v>444.339</v>
      </c>
      <c r="AH319" s="46" t="b">
        <v>1</v>
      </c>
      <c r="AI319" s="46">
        <v>-1</v>
      </c>
      <c r="AJ319" s="46" t="s">
        <v>680</v>
      </c>
      <c r="AK319" s="46">
        <v>0</v>
      </c>
      <c r="AL319" s="46" t="b">
        <v>0</v>
      </c>
      <c r="AM319" s="46">
        <v>444.339</v>
      </c>
      <c r="AN319" s="46" t="b">
        <v>1</v>
      </c>
      <c r="AO319" s="46">
        <v>0</v>
      </c>
      <c r="AP319" s="46" t="b">
        <v>0</v>
      </c>
      <c r="AQ319" s="46">
        <v>2838.0740000000001</v>
      </c>
      <c r="AS319" s="46">
        <v>2838.0740000000001</v>
      </c>
      <c r="AT319" s="46">
        <v>6</v>
      </c>
      <c r="AU319" s="46" t="b">
        <v>1</v>
      </c>
      <c r="AV319" s="46" t="b">
        <v>0</v>
      </c>
    </row>
    <row r="320" spans="2:48">
      <c r="B320" s="46" t="s">
        <v>665</v>
      </c>
      <c r="C320" s="46" t="s">
        <v>666</v>
      </c>
      <c r="D320" s="46">
        <v>20240601</v>
      </c>
      <c r="E320" s="46">
        <v>2024</v>
      </c>
      <c r="F320" s="46">
        <v>6</v>
      </c>
      <c r="G320" s="46" t="s">
        <v>700</v>
      </c>
      <c r="H320" s="46">
        <v>818</v>
      </c>
      <c r="I320" s="46" t="s">
        <v>668</v>
      </c>
      <c r="J320" s="46" t="s">
        <v>57</v>
      </c>
      <c r="K320" s="46" t="s">
        <v>666</v>
      </c>
      <c r="L320" s="46" t="s">
        <v>669</v>
      </c>
      <c r="M320" s="46">
        <v>203</v>
      </c>
      <c r="N320" s="46" t="s">
        <v>752</v>
      </c>
      <c r="O320" s="46" t="s">
        <v>753</v>
      </c>
      <c r="P320" s="46">
        <v>0</v>
      </c>
      <c r="Q320" s="46" t="s">
        <v>670</v>
      </c>
      <c r="R320" s="46" t="s">
        <v>23</v>
      </c>
      <c r="S320" s="46" t="s">
        <v>671</v>
      </c>
      <c r="T320" s="46" t="s">
        <v>672</v>
      </c>
      <c r="U320" s="46" t="b">
        <v>1</v>
      </c>
      <c r="V320" s="46" t="s">
        <v>1028</v>
      </c>
      <c r="W320" s="46" t="s">
        <v>1027</v>
      </c>
      <c r="X320" s="46">
        <v>6</v>
      </c>
      <c r="Y320" s="46" t="b">
        <v>1</v>
      </c>
      <c r="Z320" s="46" t="s">
        <v>675</v>
      </c>
      <c r="AA320" s="46" t="s">
        <v>676</v>
      </c>
      <c r="AB320" s="46" t="s">
        <v>677</v>
      </c>
      <c r="AC320" s="46">
        <v>0</v>
      </c>
      <c r="AD320" s="46" t="s">
        <v>678</v>
      </c>
      <c r="AE320" s="46">
        <v>8</v>
      </c>
      <c r="AF320" s="46" t="s">
        <v>679</v>
      </c>
      <c r="AG320" s="46">
        <v>6224.8320000000003</v>
      </c>
      <c r="AH320" s="46" t="b">
        <v>1</v>
      </c>
      <c r="AI320" s="46">
        <v>-1</v>
      </c>
      <c r="AJ320" s="46" t="s">
        <v>680</v>
      </c>
      <c r="AK320" s="46">
        <v>0</v>
      </c>
      <c r="AL320" s="46" t="b">
        <v>0</v>
      </c>
      <c r="AM320" s="46">
        <v>6224.8320000000003</v>
      </c>
      <c r="AN320" s="46" t="b">
        <v>1</v>
      </c>
      <c r="AO320" s="46">
        <v>0</v>
      </c>
      <c r="AP320" s="46" t="b">
        <v>0</v>
      </c>
      <c r="AQ320" s="46">
        <v>39759.125</v>
      </c>
      <c r="AS320" s="46">
        <v>39759.125</v>
      </c>
      <c r="AT320" s="46">
        <v>6</v>
      </c>
      <c r="AU320" s="46" t="b">
        <v>1</v>
      </c>
      <c r="AV320" s="46" t="b">
        <v>0</v>
      </c>
    </row>
    <row r="321" spans="2:48">
      <c r="B321" s="46" t="s">
        <v>665</v>
      </c>
      <c r="C321" s="46" t="s">
        <v>666</v>
      </c>
      <c r="D321" s="46">
        <v>20240601</v>
      </c>
      <c r="E321" s="46">
        <v>2024</v>
      </c>
      <c r="F321" s="46">
        <v>6</v>
      </c>
      <c r="G321" s="46" t="s">
        <v>700</v>
      </c>
      <c r="H321" s="46">
        <v>818</v>
      </c>
      <c r="I321" s="46" t="s">
        <v>668</v>
      </c>
      <c r="J321" s="46" t="s">
        <v>57</v>
      </c>
      <c r="K321" s="46" t="s">
        <v>666</v>
      </c>
      <c r="L321" s="46" t="s">
        <v>669</v>
      </c>
      <c r="M321" s="46">
        <v>40</v>
      </c>
      <c r="N321" s="46" t="s">
        <v>750</v>
      </c>
      <c r="O321" s="46" t="s">
        <v>43</v>
      </c>
      <c r="P321" s="46">
        <v>0</v>
      </c>
      <c r="Q321" s="46" t="s">
        <v>670</v>
      </c>
      <c r="R321" s="46" t="s">
        <v>23</v>
      </c>
      <c r="S321" s="46" t="s">
        <v>671</v>
      </c>
      <c r="T321" s="46" t="s">
        <v>672</v>
      </c>
      <c r="U321" s="46" t="b">
        <v>1</v>
      </c>
      <c r="V321" s="46" t="s">
        <v>1028</v>
      </c>
      <c r="W321" s="46" t="s">
        <v>1027</v>
      </c>
      <c r="X321" s="46">
        <v>6</v>
      </c>
      <c r="Y321" s="46" t="b">
        <v>1</v>
      </c>
      <c r="Z321" s="46" t="s">
        <v>675</v>
      </c>
      <c r="AA321" s="46" t="s">
        <v>676</v>
      </c>
      <c r="AB321" s="46" t="s">
        <v>677</v>
      </c>
      <c r="AC321" s="46">
        <v>0</v>
      </c>
      <c r="AD321" s="46" t="s">
        <v>678</v>
      </c>
      <c r="AE321" s="46">
        <v>8</v>
      </c>
      <c r="AF321" s="46" t="s">
        <v>679</v>
      </c>
      <c r="AG321" s="46">
        <v>11204.387000000001</v>
      </c>
      <c r="AH321" s="46" t="b">
        <v>1</v>
      </c>
      <c r="AI321" s="46">
        <v>-1</v>
      </c>
      <c r="AJ321" s="46" t="s">
        <v>680</v>
      </c>
      <c r="AK321" s="46">
        <v>0</v>
      </c>
      <c r="AL321" s="46" t="b">
        <v>0</v>
      </c>
      <c r="AM321" s="46">
        <v>11204.387000000001</v>
      </c>
      <c r="AN321" s="46" t="b">
        <v>1</v>
      </c>
      <c r="AO321" s="46">
        <v>0</v>
      </c>
      <c r="AP321" s="46" t="b">
        <v>0</v>
      </c>
      <c r="AQ321" s="46">
        <v>71564.445000000007</v>
      </c>
      <c r="AS321" s="46">
        <v>71564.445000000007</v>
      </c>
      <c r="AT321" s="46">
        <v>6</v>
      </c>
      <c r="AU321" s="46" t="b">
        <v>1</v>
      </c>
      <c r="AV321" s="46" t="b">
        <v>0</v>
      </c>
    </row>
    <row r="322" spans="2:48">
      <c r="B322" s="46" t="s">
        <v>665</v>
      </c>
      <c r="C322" s="46" t="s">
        <v>666</v>
      </c>
      <c r="D322" s="46">
        <v>20240601</v>
      </c>
      <c r="E322" s="46">
        <v>2024</v>
      </c>
      <c r="F322" s="46">
        <v>6</v>
      </c>
      <c r="G322" s="46" t="s">
        <v>700</v>
      </c>
      <c r="H322" s="46">
        <v>818</v>
      </c>
      <c r="I322" s="46" t="s">
        <v>668</v>
      </c>
      <c r="J322" s="46" t="s">
        <v>57</v>
      </c>
      <c r="K322" s="46" t="s">
        <v>666</v>
      </c>
      <c r="L322" s="46" t="s">
        <v>669</v>
      </c>
      <c r="M322" s="46">
        <v>144</v>
      </c>
      <c r="N322" s="46" t="s">
        <v>1029</v>
      </c>
      <c r="O322" s="46" t="s">
        <v>94</v>
      </c>
      <c r="P322" s="46">
        <v>0</v>
      </c>
      <c r="Q322" s="46" t="s">
        <v>670</v>
      </c>
      <c r="R322" s="46" t="s">
        <v>23</v>
      </c>
      <c r="S322" s="46" t="s">
        <v>671</v>
      </c>
      <c r="T322" s="46" t="s">
        <v>672</v>
      </c>
      <c r="U322" s="46" t="b">
        <v>1</v>
      </c>
      <c r="V322" s="46" t="s">
        <v>1028</v>
      </c>
      <c r="W322" s="46" t="s">
        <v>1027</v>
      </c>
      <c r="X322" s="46">
        <v>6</v>
      </c>
      <c r="Y322" s="46" t="b">
        <v>1</v>
      </c>
      <c r="Z322" s="46" t="s">
        <v>675</v>
      </c>
      <c r="AA322" s="46" t="s">
        <v>676</v>
      </c>
      <c r="AB322" s="46" t="s">
        <v>677</v>
      </c>
      <c r="AC322" s="46">
        <v>0</v>
      </c>
      <c r="AD322" s="46" t="s">
        <v>678</v>
      </c>
      <c r="AE322" s="46">
        <v>8</v>
      </c>
      <c r="AF322" s="46" t="s">
        <v>679</v>
      </c>
      <c r="AG322" s="46">
        <v>758.61900000000003</v>
      </c>
      <c r="AH322" s="46" t="b">
        <v>1</v>
      </c>
      <c r="AI322" s="46">
        <v>-1</v>
      </c>
      <c r="AJ322" s="46" t="s">
        <v>680</v>
      </c>
      <c r="AK322" s="46">
        <v>0</v>
      </c>
      <c r="AL322" s="46" t="b">
        <v>0</v>
      </c>
      <c r="AM322" s="46">
        <v>758.61900000000003</v>
      </c>
      <c r="AN322" s="46" t="b">
        <v>1</v>
      </c>
      <c r="AO322" s="46">
        <v>0</v>
      </c>
      <c r="AP322" s="46" t="b">
        <v>0</v>
      </c>
      <c r="AQ322" s="46">
        <v>4845.4350000000004</v>
      </c>
      <c r="AS322" s="46">
        <v>4845.4350000000004</v>
      </c>
      <c r="AT322" s="46">
        <v>6</v>
      </c>
      <c r="AU322" s="46" t="b">
        <v>1</v>
      </c>
      <c r="AV322" s="46" t="b">
        <v>0</v>
      </c>
    </row>
    <row r="323" spans="2:48">
      <c r="B323" s="46" t="s">
        <v>665</v>
      </c>
      <c r="C323" s="46" t="s">
        <v>666</v>
      </c>
      <c r="D323" s="46">
        <v>20240601</v>
      </c>
      <c r="E323" s="46">
        <v>2024</v>
      </c>
      <c r="F323" s="46">
        <v>6</v>
      </c>
      <c r="G323" s="46" t="s">
        <v>700</v>
      </c>
      <c r="H323" s="46">
        <v>818</v>
      </c>
      <c r="I323" s="46" t="s">
        <v>668</v>
      </c>
      <c r="J323" s="46" t="s">
        <v>57</v>
      </c>
      <c r="K323" s="46" t="s">
        <v>666</v>
      </c>
      <c r="L323" s="46" t="s">
        <v>669</v>
      </c>
      <c r="M323" s="46">
        <v>156</v>
      </c>
      <c r="N323" s="46" t="s">
        <v>711</v>
      </c>
      <c r="O323" s="46" t="s">
        <v>29</v>
      </c>
      <c r="P323" s="46">
        <v>0</v>
      </c>
      <c r="Q323" s="46" t="s">
        <v>670</v>
      </c>
      <c r="R323" s="46" t="s">
        <v>23</v>
      </c>
      <c r="S323" s="46" t="s">
        <v>671</v>
      </c>
      <c r="T323" s="46" t="s">
        <v>672</v>
      </c>
      <c r="U323" s="46" t="b">
        <v>1</v>
      </c>
      <c r="V323" s="46" t="s">
        <v>1028</v>
      </c>
      <c r="W323" s="46" t="s">
        <v>1027</v>
      </c>
      <c r="X323" s="46">
        <v>6</v>
      </c>
      <c r="Y323" s="46" t="b">
        <v>1</v>
      </c>
      <c r="Z323" s="46" t="s">
        <v>675</v>
      </c>
      <c r="AA323" s="46" t="s">
        <v>676</v>
      </c>
      <c r="AB323" s="46" t="s">
        <v>677</v>
      </c>
      <c r="AC323" s="46">
        <v>0</v>
      </c>
      <c r="AD323" s="46" t="s">
        <v>678</v>
      </c>
      <c r="AE323" s="46">
        <v>8</v>
      </c>
      <c r="AF323" s="46" t="s">
        <v>679</v>
      </c>
      <c r="AG323" s="46">
        <v>30651.200000000001</v>
      </c>
      <c r="AH323" s="46" t="b">
        <v>1</v>
      </c>
      <c r="AI323" s="46">
        <v>-1</v>
      </c>
      <c r="AJ323" s="46" t="s">
        <v>680</v>
      </c>
      <c r="AK323" s="46">
        <v>0</v>
      </c>
      <c r="AL323" s="46" t="b">
        <v>0</v>
      </c>
      <c r="AM323" s="46">
        <v>30651.200000000001</v>
      </c>
      <c r="AN323" s="46" t="b">
        <v>1</v>
      </c>
      <c r="AO323" s="46">
        <v>0</v>
      </c>
      <c r="AP323" s="46" t="b">
        <v>0</v>
      </c>
      <c r="AQ323" s="46">
        <v>195774.753</v>
      </c>
      <c r="AS323" s="46">
        <v>195774.753</v>
      </c>
      <c r="AT323" s="46">
        <v>6</v>
      </c>
      <c r="AU323" s="46" t="b">
        <v>1</v>
      </c>
      <c r="AV323" s="46" t="b">
        <v>0</v>
      </c>
    </row>
    <row r="324" spans="2:48">
      <c r="B324" s="46" t="s">
        <v>665</v>
      </c>
      <c r="C324" s="46" t="s">
        <v>666</v>
      </c>
      <c r="D324" s="46">
        <v>20240601</v>
      </c>
      <c r="E324" s="46">
        <v>2024</v>
      </c>
      <c r="F324" s="46">
        <v>6</v>
      </c>
      <c r="G324" s="46" t="s">
        <v>700</v>
      </c>
      <c r="H324" s="46">
        <v>818</v>
      </c>
      <c r="I324" s="46" t="s">
        <v>668</v>
      </c>
      <c r="J324" s="46" t="s">
        <v>57</v>
      </c>
      <c r="K324" s="46" t="s">
        <v>666</v>
      </c>
      <c r="L324" s="46" t="s">
        <v>669</v>
      </c>
      <c r="M324" s="46">
        <v>0</v>
      </c>
      <c r="N324" s="46" t="s">
        <v>670</v>
      </c>
      <c r="O324" s="46" t="s">
        <v>23</v>
      </c>
      <c r="P324" s="46">
        <v>0</v>
      </c>
      <c r="Q324" s="46" t="s">
        <v>670</v>
      </c>
      <c r="R324" s="46" t="s">
        <v>23</v>
      </c>
      <c r="S324" s="46" t="s">
        <v>671</v>
      </c>
      <c r="T324" s="46" t="s">
        <v>672</v>
      </c>
      <c r="U324" s="46" t="b">
        <v>1</v>
      </c>
      <c r="V324" s="46" t="s">
        <v>1028</v>
      </c>
      <c r="W324" s="46" t="s">
        <v>1027</v>
      </c>
      <c r="X324" s="46">
        <v>6</v>
      </c>
      <c r="Y324" s="46" t="b">
        <v>1</v>
      </c>
      <c r="Z324" s="46" t="s">
        <v>675</v>
      </c>
      <c r="AA324" s="46" t="s">
        <v>676</v>
      </c>
      <c r="AB324" s="46" t="s">
        <v>677</v>
      </c>
      <c r="AC324" s="46">
        <v>0</v>
      </c>
      <c r="AD324" s="46" t="s">
        <v>678</v>
      </c>
      <c r="AE324" s="46">
        <v>8</v>
      </c>
      <c r="AF324" s="46" t="s">
        <v>679</v>
      </c>
      <c r="AG324" s="46">
        <v>192678.23800000001</v>
      </c>
      <c r="AH324" s="46" t="b">
        <v>1</v>
      </c>
      <c r="AI324" s="46">
        <v>-1</v>
      </c>
      <c r="AJ324" s="46" t="s">
        <v>680</v>
      </c>
      <c r="AK324" s="46">
        <v>0</v>
      </c>
      <c r="AL324" s="46" t="b">
        <v>0</v>
      </c>
      <c r="AM324" s="46">
        <v>192678.23800000001</v>
      </c>
      <c r="AN324" s="46" t="b">
        <v>1</v>
      </c>
      <c r="AO324" s="46">
        <v>0</v>
      </c>
      <c r="AP324" s="46" t="b">
        <v>0</v>
      </c>
      <c r="AQ324" s="46">
        <v>1230670.7220000001</v>
      </c>
      <c r="AS324" s="46">
        <v>1230670.7220000001</v>
      </c>
      <c r="AT324" s="46">
        <v>6</v>
      </c>
      <c r="AU324" s="46" t="b">
        <v>0</v>
      </c>
      <c r="AV324" s="46" t="b">
        <v>1</v>
      </c>
    </row>
  </sheetData>
  <mergeCells count="8">
    <mergeCell ref="C11:H11"/>
    <mergeCell ref="I11:N11"/>
    <mergeCell ref="P11:P12"/>
    <mergeCell ref="Q11:Q12"/>
    <mergeCell ref="C61:H61"/>
    <mergeCell ref="I61:N61"/>
    <mergeCell ref="P61:P62"/>
    <mergeCell ref="Q61:Q62"/>
  </mergeCells>
  <hyperlinks>
    <hyperlink ref="A3" r:id="rId3" display="http://comtrade.un.org/" xr:uid="{95513518-11B7-4588-9F2F-213073DF9B2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CC4E-99F9-4B15-A8FC-7061C70DF301}">
  <dimension ref="A1:AF40"/>
  <sheetViews>
    <sheetView zoomScale="115" zoomScaleNormal="115" workbookViewId="0">
      <pane xSplit="6" ySplit="7" topLeftCell="V8" activePane="bottomRight" state="frozen"/>
      <selection pane="topRight"/>
      <selection pane="bottomLeft"/>
      <selection pane="bottomRight" activeCell="AG2" sqref="AG2"/>
    </sheetView>
  </sheetViews>
  <sheetFormatPr defaultColWidth="10.140625" defaultRowHeight="12.75"/>
  <cols>
    <col min="1" max="1" width="3.28515625" style="138" customWidth="1"/>
    <col min="2" max="2" width="41.140625" style="138" customWidth="1"/>
    <col min="3" max="3" width="26.42578125" style="138" customWidth="1"/>
    <col min="4" max="4" width="10.42578125" style="138" bestFit="1" customWidth="1"/>
    <col min="5" max="5" width="11.140625" style="138" customWidth="1"/>
    <col min="6" max="12" width="9.7109375" style="138" customWidth="1"/>
    <col min="13" max="13" width="7.5703125" style="138" customWidth="1"/>
    <col min="14" max="16384" width="10.140625" style="138"/>
  </cols>
  <sheetData>
    <row r="1" spans="1:13" ht="15.75">
      <c r="A1" s="137"/>
      <c r="B1" s="175" t="s">
        <v>778</v>
      </c>
      <c r="D1" s="165" t="s">
        <v>738</v>
      </c>
      <c r="E1" s="52" t="s">
        <v>812</v>
      </c>
      <c r="F1" s="162"/>
      <c r="G1" s="162"/>
      <c r="H1" s="162"/>
      <c r="I1" s="162"/>
      <c r="J1" s="162"/>
      <c r="K1" s="137"/>
      <c r="L1" s="137"/>
      <c r="M1" s="137"/>
    </row>
    <row r="2" spans="1:13" ht="15">
      <c r="A2" s="137"/>
      <c r="B2" s="163" t="s">
        <v>779</v>
      </c>
      <c r="C2" s="163"/>
      <c r="D2" s="163"/>
      <c r="E2" s="137"/>
      <c r="F2" s="137"/>
      <c r="G2" s="137"/>
      <c r="H2" s="137"/>
      <c r="I2" s="137"/>
      <c r="J2" s="137"/>
      <c r="K2" s="137"/>
      <c r="L2" s="137"/>
      <c r="M2" s="137"/>
    </row>
    <row r="3" spans="1:13">
      <c r="A3" s="137"/>
      <c r="B3" s="164"/>
      <c r="C3" s="164"/>
      <c r="D3" s="164"/>
      <c r="E3" s="137"/>
      <c r="F3" s="137"/>
      <c r="G3" s="137"/>
      <c r="H3" s="137"/>
      <c r="I3" s="137"/>
      <c r="J3" s="137"/>
      <c r="K3" s="137"/>
      <c r="L3" s="137"/>
      <c r="M3" s="137"/>
    </row>
    <row r="4" spans="1:13">
      <c r="A4" s="137"/>
      <c r="B4" s="139" t="s">
        <v>780</v>
      </c>
      <c r="C4" s="139"/>
      <c r="D4" s="139"/>
      <c r="E4" s="139"/>
      <c r="F4" s="137"/>
      <c r="G4" s="137"/>
      <c r="H4" s="137"/>
      <c r="I4" s="137"/>
      <c r="J4" s="137"/>
      <c r="K4" s="137"/>
      <c r="L4" s="137"/>
      <c r="M4" s="137"/>
    </row>
    <row r="5" spans="1:13">
      <c r="A5" s="137"/>
      <c r="B5" s="139" t="s">
        <v>781</v>
      </c>
      <c r="C5" s="139"/>
      <c r="D5" s="139"/>
      <c r="E5" s="137"/>
      <c r="F5" s="137"/>
      <c r="G5" s="137"/>
      <c r="H5" s="137"/>
      <c r="I5" s="137"/>
      <c r="J5" s="137"/>
      <c r="K5" s="137"/>
      <c r="L5" s="137"/>
      <c r="M5" s="137"/>
    </row>
    <row r="6" spans="1:13">
      <c r="A6" s="137"/>
      <c r="B6" s="137"/>
      <c r="C6" s="137"/>
      <c r="D6" s="137"/>
      <c r="E6" s="137"/>
      <c r="F6" s="137"/>
      <c r="G6" s="137"/>
      <c r="H6" s="137"/>
      <c r="I6" s="137"/>
      <c r="J6" s="137"/>
      <c r="K6" s="137"/>
      <c r="L6" s="137"/>
      <c r="M6" s="137"/>
    </row>
    <row r="7" spans="1:13">
      <c r="A7" s="137"/>
      <c r="B7" s="284" t="s">
        <v>782</v>
      </c>
      <c r="C7" s="140"/>
      <c r="D7" s="140"/>
      <c r="E7" s="140" t="s">
        <v>783</v>
      </c>
      <c r="F7" s="141" t="s">
        <v>784</v>
      </c>
      <c r="G7" s="142" t="s">
        <v>785</v>
      </c>
      <c r="H7" s="143" t="s">
        <v>786</v>
      </c>
      <c r="I7" s="143" t="s">
        <v>787</v>
      </c>
      <c r="J7" s="143" t="s">
        <v>788</v>
      </c>
      <c r="K7" s="143" t="s">
        <v>789</v>
      </c>
      <c r="L7" s="143" t="s">
        <v>790</v>
      </c>
      <c r="M7" s="144" t="s">
        <v>791</v>
      </c>
    </row>
    <row r="8" spans="1:13">
      <c r="A8" s="137"/>
      <c r="B8" s="145" t="s">
        <v>792</v>
      </c>
      <c r="C8" s="146" t="s">
        <v>793</v>
      </c>
      <c r="D8" s="146" t="s">
        <v>793</v>
      </c>
      <c r="E8" s="147" t="s">
        <v>793</v>
      </c>
      <c r="F8" s="148" t="s">
        <v>793</v>
      </c>
      <c r="G8" s="149" t="s">
        <v>567</v>
      </c>
      <c r="H8" s="149" t="s">
        <v>567</v>
      </c>
      <c r="I8" s="149" t="s">
        <v>567</v>
      </c>
      <c r="J8" s="149" t="s">
        <v>567</v>
      </c>
      <c r="K8" s="149" t="s">
        <v>567</v>
      </c>
      <c r="L8" s="149" t="s">
        <v>567</v>
      </c>
      <c r="M8" s="149" t="s">
        <v>567</v>
      </c>
    </row>
    <row r="9" spans="1:13">
      <c r="A9" s="137"/>
      <c r="B9" s="166" t="s">
        <v>150</v>
      </c>
      <c r="C9" s="167" t="s">
        <v>794</v>
      </c>
      <c r="D9" s="167" t="s">
        <v>795</v>
      </c>
      <c r="E9" s="168" t="s">
        <v>796</v>
      </c>
      <c r="F9" s="169" t="s">
        <v>797</v>
      </c>
      <c r="G9" s="170">
        <v>231.09411542790099</v>
      </c>
      <c r="H9" s="170">
        <v>264.37505538255903</v>
      </c>
      <c r="I9" s="170">
        <v>288.572774376263</v>
      </c>
      <c r="J9" s="170">
        <v>303.13107718170801</v>
      </c>
      <c r="K9" s="170">
        <v>318.93648130826602</v>
      </c>
      <c r="L9" s="170">
        <v>363.25481348448699</v>
      </c>
      <c r="M9" s="170">
        <v>486.34289447466102</v>
      </c>
    </row>
    <row r="10" spans="1:13">
      <c r="A10" s="137"/>
      <c r="B10" s="155" t="s">
        <v>798</v>
      </c>
      <c r="C10" s="156" t="s">
        <v>793</v>
      </c>
      <c r="D10" s="156" t="s">
        <v>793</v>
      </c>
      <c r="E10" s="152" t="s">
        <v>793</v>
      </c>
      <c r="F10" s="153" t="s">
        <v>793</v>
      </c>
      <c r="G10" s="149" t="s">
        <v>567</v>
      </c>
      <c r="H10" s="149" t="s">
        <v>567</v>
      </c>
      <c r="I10" s="149" t="s">
        <v>567</v>
      </c>
      <c r="J10" s="149" t="s">
        <v>567</v>
      </c>
      <c r="K10" s="149" t="s">
        <v>567</v>
      </c>
      <c r="L10" s="149" t="s">
        <v>567</v>
      </c>
      <c r="M10" s="149" t="s">
        <v>567</v>
      </c>
    </row>
    <row r="11" spans="1:13">
      <c r="A11" s="137"/>
      <c r="B11" s="150" t="s">
        <v>799</v>
      </c>
      <c r="C11" s="151" t="s">
        <v>794</v>
      </c>
      <c r="D11" s="151" t="s">
        <v>800</v>
      </c>
      <c r="E11" s="152" t="s">
        <v>796</v>
      </c>
      <c r="F11" s="153" t="s">
        <v>797</v>
      </c>
      <c r="G11" s="154">
        <v>102.996482272951</v>
      </c>
      <c r="H11" s="154" t="s">
        <v>567</v>
      </c>
      <c r="I11" s="154" t="s">
        <v>567</v>
      </c>
      <c r="J11" s="154" t="s">
        <v>567</v>
      </c>
      <c r="K11" s="154" t="s">
        <v>567</v>
      </c>
      <c r="L11" s="154" t="s">
        <v>567</v>
      </c>
      <c r="M11" s="154" t="s">
        <v>567</v>
      </c>
    </row>
    <row r="12" spans="1:13">
      <c r="A12" s="137"/>
      <c r="B12" s="155" t="s">
        <v>139</v>
      </c>
      <c r="C12" s="156" t="s">
        <v>793</v>
      </c>
      <c r="D12" s="156" t="s">
        <v>793</v>
      </c>
      <c r="E12" s="152" t="s">
        <v>793</v>
      </c>
      <c r="F12" s="153" t="s">
        <v>793</v>
      </c>
      <c r="G12" s="149" t="s">
        <v>567</v>
      </c>
      <c r="H12" s="149" t="s">
        <v>567</v>
      </c>
      <c r="I12" s="149" t="s">
        <v>567</v>
      </c>
      <c r="J12" s="149" t="s">
        <v>567</v>
      </c>
      <c r="K12" s="149" t="s">
        <v>567</v>
      </c>
      <c r="L12" s="149" t="s">
        <v>567</v>
      </c>
      <c r="M12" s="149" t="s">
        <v>567</v>
      </c>
    </row>
    <row r="13" spans="1:13" ht="22.5">
      <c r="A13" s="137"/>
      <c r="B13" s="150" t="s">
        <v>801</v>
      </c>
      <c r="C13" s="151" t="s">
        <v>802</v>
      </c>
      <c r="D13" s="151" t="s">
        <v>803</v>
      </c>
      <c r="E13" s="152" t="s">
        <v>804</v>
      </c>
      <c r="F13" s="153" t="s">
        <v>793</v>
      </c>
      <c r="G13" s="154">
        <v>29474.396499999999</v>
      </c>
      <c r="H13" s="154">
        <v>28865.850750000001</v>
      </c>
      <c r="I13" s="154">
        <v>28348.239000000001</v>
      </c>
      <c r="J13" s="154">
        <v>28512.569749999999</v>
      </c>
      <c r="K13" s="154">
        <v>29430.920999999998</v>
      </c>
      <c r="L13" s="154">
        <v>30193.961500000001</v>
      </c>
      <c r="M13" s="154" t="s">
        <v>567</v>
      </c>
    </row>
    <row r="14" spans="1:13" ht="22.5">
      <c r="A14" s="137"/>
      <c r="B14" s="150" t="s">
        <v>805</v>
      </c>
      <c r="C14" s="151" t="s">
        <v>802</v>
      </c>
      <c r="D14" s="151" t="s">
        <v>806</v>
      </c>
      <c r="E14" s="152" t="s">
        <v>804</v>
      </c>
      <c r="F14" s="153" t="s">
        <v>793</v>
      </c>
      <c r="G14" s="149">
        <v>26006.180499999999</v>
      </c>
      <c r="H14" s="149">
        <v>26021.022250000002</v>
      </c>
      <c r="I14" s="149">
        <v>26122.60975</v>
      </c>
      <c r="J14" s="149">
        <v>26238.9575</v>
      </c>
      <c r="K14" s="149">
        <v>27240.998500000002</v>
      </c>
      <c r="L14" s="149">
        <v>27976.389749999998</v>
      </c>
      <c r="M14" s="149" t="s">
        <v>567</v>
      </c>
    </row>
    <row r="15" spans="1:13" ht="22.5">
      <c r="A15" s="137"/>
      <c r="B15" s="150" t="s">
        <v>807</v>
      </c>
      <c r="C15" s="151" t="s">
        <v>802</v>
      </c>
      <c r="D15" s="151" t="s">
        <v>808</v>
      </c>
      <c r="E15" s="152" t="s">
        <v>804</v>
      </c>
      <c r="F15" s="153" t="s">
        <v>793</v>
      </c>
      <c r="G15" s="154">
        <v>3468.2159999999999</v>
      </c>
      <c r="H15" s="154">
        <v>2844.8290000000002</v>
      </c>
      <c r="I15" s="154">
        <v>2225.62925</v>
      </c>
      <c r="J15" s="154">
        <v>2273.6120000000001</v>
      </c>
      <c r="K15" s="154">
        <v>2189.9225000000001</v>
      </c>
      <c r="L15" s="154">
        <v>2217.5717500000001</v>
      </c>
      <c r="M15" s="154" t="s">
        <v>567</v>
      </c>
    </row>
    <row r="16" spans="1:13">
      <c r="A16" s="137"/>
      <c r="B16" s="157" t="s">
        <v>809</v>
      </c>
      <c r="C16" s="158" t="s">
        <v>810</v>
      </c>
      <c r="D16" s="158" t="s">
        <v>811</v>
      </c>
      <c r="E16" s="159" t="s">
        <v>796</v>
      </c>
      <c r="F16" s="160" t="s">
        <v>793</v>
      </c>
      <c r="G16" s="149">
        <v>11.7735</v>
      </c>
      <c r="H16" s="149">
        <v>9.8460000000000001</v>
      </c>
      <c r="I16" s="149">
        <v>7.85025</v>
      </c>
      <c r="J16" s="149">
        <v>8.0097500000000004</v>
      </c>
      <c r="K16" s="149">
        <v>7.4405000000000001</v>
      </c>
      <c r="L16" s="149">
        <v>7.3442499999999997</v>
      </c>
      <c r="M16" s="149" t="s">
        <v>567</v>
      </c>
    </row>
    <row r="17" spans="1:32">
      <c r="A17" s="137"/>
      <c r="B17" s="137"/>
      <c r="C17" s="137"/>
      <c r="D17" s="137"/>
      <c r="E17" s="137"/>
      <c r="F17" s="137"/>
      <c r="G17" s="137"/>
      <c r="H17" s="137"/>
      <c r="I17" s="137"/>
      <c r="J17" s="137"/>
      <c r="K17" s="137"/>
      <c r="L17" s="137"/>
      <c r="M17" s="137"/>
    </row>
    <row r="18" spans="1:32">
      <c r="A18" s="137"/>
      <c r="B18" s="326" t="s">
        <v>782</v>
      </c>
      <c r="C18" s="326"/>
      <c r="D18" s="326"/>
      <c r="E18" s="176" t="s">
        <v>783</v>
      </c>
      <c r="F18" s="177" t="s">
        <v>784</v>
      </c>
      <c r="G18" s="178" t="s">
        <v>813</v>
      </c>
      <c r="H18" s="179" t="s">
        <v>814</v>
      </c>
      <c r="I18" s="179" t="s">
        <v>815</v>
      </c>
      <c r="J18" s="179" t="s">
        <v>816</v>
      </c>
      <c r="K18" s="179" t="s">
        <v>817</v>
      </c>
      <c r="L18" s="179" t="s">
        <v>818</v>
      </c>
      <c r="M18" s="179" t="s">
        <v>819</v>
      </c>
      <c r="N18" s="179" t="s">
        <v>820</v>
      </c>
      <c r="O18" s="179" t="s">
        <v>821</v>
      </c>
      <c r="P18" s="179" t="s">
        <v>822</v>
      </c>
      <c r="Q18" s="179" t="s">
        <v>823</v>
      </c>
      <c r="R18" s="179" t="s">
        <v>824</v>
      </c>
      <c r="S18" s="179" t="s">
        <v>825</v>
      </c>
      <c r="T18" s="179" t="s">
        <v>826</v>
      </c>
      <c r="U18" s="179" t="s">
        <v>827</v>
      </c>
      <c r="V18" s="179" t="s">
        <v>828</v>
      </c>
      <c r="W18" s="179" t="s">
        <v>829</v>
      </c>
      <c r="X18" s="179" t="s">
        <v>830</v>
      </c>
      <c r="Y18" s="179" t="s">
        <v>831</v>
      </c>
      <c r="Z18" s="179" t="s">
        <v>832</v>
      </c>
      <c r="AA18" s="179" t="s">
        <v>833</v>
      </c>
      <c r="AB18" s="179" t="s">
        <v>834</v>
      </c>
      <c r="AC18" s="179" t="s">
        <v>835</v>
      </c>
      <c r="AD18" s="179" t="s">
        <v>836</v>
      </c>
      <c r="AE18" s="179" t="s">
        <v>837</v>
      </c>
      <c r="AF18" s="180" t="s">
        <v>838</v>
      </c>
    </row>
    <row r="19" spans="1:32">
      <c r="A19" s="137"/>
      <c r="B19" s="181" t="s">
        <v>792</v>
      </c>
      <c r="C19" s="182" t="s">
        <v>793</v>
      </c>
      <c r="D19" s="182" t="s">
        <v>793</v>
      </c>
      <c r="E19" s="183" t="s">
        <v>793</v>
      </c>
      <c r="F19" s="184" t="s">
        <v>793</v>
      </c>
      <c r="G19" s="185" t="s">
        <v>567</v>
      </c>
      <c r="H19" s="185" t="s">
        <v>567</v>
      </c>
      <c r="I19" s="185" t="s">
        <v>567</v>
      </c>
      <c r="J19" s="185" t="s">
        <v>567</v>
      </c>
      <c r="K19" s="185" t="s">
        <v>567</v>
      </c>
      <c r="L19" s="185" t="s">
        <v>567</v>
      </c>
      <c r="M19" s="185" t="s">
        <v>567</v>
      </c>
      <c r="N19" s="185" t="s">
        <v>567</v>
      </c>
      <c r="O19" s="185" t="s">
        <v>567</v>
      </c>
      <c r="P19" s="185" t="s">
        <v>567</v>
      </c>
      <c r="Q19" s="185" t="s">
        <v>567</v>
      </c>
      <c r="R19" s="185" t="s">
        <v>567</v>
      </c>
      <c r="S19" s="185" t="s">
        <v>567</v>
      </c>
      <c r="T19" s="185" t="s">
        <v>567</v>
      </c>
      <c r="U19" s="185" t="s">
        <v>567</v>
      </c>
      <c r="V19" s="185" t="s">
        <v>567</v>
      </c>
      <c r="W19" s="185" t="s">
        <v>567</v>
      </c>
      <c r="X19" s="185" t="s">
        <v>567</v>
      </c>
      <c r="Y19" s="185" t="s">
        <v>567</v>
      </c>
      <c r="Z19" s="185" t="s">
        <v>567</v>
      </c>
      <c r="AA19" s="185" t="s">
        <v>567</v>
      </c>
      <c r="AB19" s="185" t="s">
        <v>567</v>
      </c>
      <c r="AC19" s="185" t="s">
        <v>567</v>
      </c>
      <c r="AD19" s="185" t="s">
        <v>567</v>
      </c>
      <c r="AE19" s="185" t="s">
        <v>567</v>
      </c>
      <c r="AF19" s="185" t="s">
        <v>567</v>
      </c>
    </row>
    <row r="20" spans="1:32">
      <c r="A20" s="137"/>
      <c r="B20" s="285" t="s">
        <v>150</v>
      </c>
      <c r="C20" s="286" t="s">
        <v>794</v>
      </c>
      <c r="D20" s="286" t="s">
        <v>795</v>
      </c>
      <c r="E20" s="287" t="s">
        <v>796</v>
      </c>
      <c r="F20" s="288" t="s">
        <v>797</v>
      </c>
      <c r="G20" s="289">
        <v>246.644765434525</v>
      </c>
      <c r="H20" s="289">
        <v>255.48536748177901</v>
      </c>
      <c r="I20" s="289">
        <v>273.30817441483401</v>
      </c>
      <c r="J20" s="289">
        <v>282.06191419909698</v>
      </c>
      <c r="K20" s="289">
        <v>280.54445436985998</v>
      </c>
      <c r="L20" s="289">
        <v>286.46917425183301</v>
      </c>
      <c r="M20" s="289">
        <v>292.26133447835599</v>
      </c>
      <c r="N20" s="289">
        <v>295.01613440500199</v>
      </c>
      <c r="O20" s="289">
        <v>296.95694559999498</v>
      </c>
      <c r="P20" s="289">
        <v>301.93919752875797</v>
      </c>
      <c r="Q20" s="289">
        <v>303.230304131239</v>
      </c>
      <c r="R20" s="289">
        <v>310.39786146684003</v>
      </c>
      <c r="S20" s="289">
        <v>310.02826852824802</v>
      </c>
      <c r="T20" s="289">
        <v>315.95101640182799</v>
      </c>
      <c r="U20" s="289">
        <v>321.09527510582399</v>
      </c>
      <c r="V20" s="289">
        <v>328.67136519716502</v>
      </c>
      <c r="W20" s="289">
        <v>337.46337098217703</v>
      </c>
      <c r="X20" s="289">
        <v>357.75980986885497</v>
      </c>
      <c r="Y20" s="289">
        <v>367.39360344179403</v>
      </c>
      <c r="Z20" s="289">
        <v>390.40246964512397</v>
      </c>
      <c r="AA20" s="289">
        <v>439.41322529774698</v>
      </c>
      <c r="AB20" s="289">
        <v>475.89069610790398</v>
      </c>
      <c r="AC20" s="289">
        <v>504.32441694454002</v>
      </c>
      <c r="AD20" s="289">
        <v>525.74323954845295</v>
      </c>
      <c r="AE20" s="289" t="s">
        <v>567</v>
      </c>
      <c r="AF20" s="289">
        <v>584.481320750451</v>
      </c>
    </row>
    <row r="21" spans="1:32">
      <c r="A21" s="137"/>
      <c r="B21" s="191" t="s">
        <v>798</v>
      </c>
      <c r="C21" s="192" t="s">
        <v>793</v>
      </c>
      <c r="D21" s="192" t="s">
        <v>793</v>
      </c>
      <c r="E21" s="188" t="s">
        <v>793</v>
      </c>
      <c r="F21" s="189" t="s">
        <v>793</v>
      </c>
      <c r="G21" s="185" t="s">
        <v>567</v>
      </c>
      <c r="H21" s="185" t="s">
        <v>567</v>
      </c>
      <c r="I21" s="185" t="s">
        <v>567</v>
      </c>
      <c r="J21" s="185" t="s">
        <v>567</v>
      </c>
      <c r="K21" s="185" t="s">
        <v>567</v>
      </c>
      <c r="L21" s="185" t="s">
        <v>567</v>
      </c>
      <c r="M21" s="185" t="s">
        <v>567</v>
      </c>
      <c r="N21" s="185" t="s">
        <v>567</v>
      </c>
      <c r="O21" s="185" t="s">
        <v>567</v>
      </c>
      <c r="P21" s="185" t="s">
        <v>567</v>
      </c>
      <c r="Q21" s="185" t="s">
        <v>567</v>
      </c>
      <c r="R21" s="185" t="s">
        <v>567</v>
      </c>
      <c r="S21" s="185" t="s">
        <v>567</v>
      </c>
      <c r="T21" s="185" t="s">
        <v>567</v>
      </c>
      <c r="U21" s="185" t="s">
        <v>567</v>
      </c>
      <c r="V21" s="185" t="s">
        <v>567</v>
      </c>
      <c r="W21" s="185" t="s">
        <v>567</v>
      </c>
      <c r="X21" s="185" t="s">
        <v>567</v>
      </c>
      <c r="Y21" s="185" t="s">
        <v>567</v>
      </c>
      <c r="Z21" s="185" t="s">
        <v>567</v>
      </c>
      <c r="AA21" s="185" t="s">
        <v>567</v>
      </c>
      <c r="AB21" s="185" t="s">
        <v>567</v>
      </c>
      <c r="AC21" s="185" t="s">
        <v>567</v>
      </c>
      <c r="AD21" s="185" t="s">
        <v>567</v>
      </c>
      <c r="AE21" s="185" t="s">
        <v>567</v>
      </c>
      <c r="AF21" s="185" t="s">
        <v>567</v>
      </c>
    </row>
    <row r="22" spans="1:32">
      <c r="A22" s="137"/>
      <c r="B22" s="186" t="s">
        <v>799</v>
      </c>
      <c r="C22" s="187" t="s">
        <v>794</v>
      </c>
      <c r="D22" s="187" t="s">
        <v>800</v>
      </c>
      <c r="E22" s="188" t="s">
        <v>796</v>
      </c>
      <c r="F22" s="189" t="s">
        <v>797</v>
      </c>
      <c r="G22" s="190">
        <v>101.85068902887799</v>
      </c>
      <c r="H22" s="190" t="s">
        <v>567</v>
      </c>
      <c r="I22" s="190" t="s">
        <v>567</v>
      </c>
      <c r="J22" s="190" t="s">
        <v>567</v>
      </c>
      <c r="K22" s="190" t="s">
        <v>567</v>
      </c>
      <c r="L22" s="190" t="s">
        <v>567</v>
      </c>
      <c r="M22" s="190" t="s">
        <v>567</v>
      </c>
      <c r="N22" s="190" t="s">
        <v>567</v>
      </c>
      <c r="O22" s="190" t="s">
        <v>567</v>
      </c>
      <c r="P22" s="190" t="s">
        <v>567</v>
      </c>
      <c r="Q22" s="190" t="s">
        <v>567</v>
      </c>
      <c r="R22" s="190" t="s">
        <v>567</v>
      </c>
      <c r="S22" s="190" t="s">
        <v>567</v>
      </c>
      <c r="T22" s="190" t="s">
        <v>567</v>
      </c>
      <c r="U22" s="190" t="s">
        <v>567</v>
      </c>
      <c r="V22" s="190" t="s">
        <v>567</v>
      </c>
      <c r="W22" s="190" t="s">
        <v>567</v>
      </c>
      <c r="X22" s="190" t="s">
        <v>567</v>
      </c>
      <c r="Y22" s="190" t="s">
        <v>567</v>
      </c>
      <c r="Z22" s="190" t="s">
        <v>567</v>
      </c>
      <c r="AA22" s="190" t="s">
        <v>567</v>
      </c>
      <c r="AB22" s="190" t="s">
        <v>567</v>
      </c>
      <c r="AC22" s="190" t="s">
        <v>567</v>
      </c>
      <c r="AD22" s="190" t="s">
        <v>567</v>
      </c>
      <c r="AE22" s="190" t="s">
        <v>567</v>
      </c>
      <c r="AF22" s="190" t="s">
        <v>567</v>
      </c>
    </row>
    <row r="23" spans="1:32">
      <c r="A23" s="137"/>
      <c r="B23" s="191" t="s">
        <v>139</v>
      </c>
      <c r="C23" s="192" t="s">
        <v>793</v>
      </c>
      <c r="D23" s="192" t="s">
        <v>793</v>
      </c>
      <c r="E23" s="188" t="s">
        <v>793</v>
      </c>
      <c r="F23" s="189" t="s">
        <v>793</v>
      </c>
      <c r="G23" s="185" t="s">
        <v>567</v>
      </c>
      <c r="H23" s="185" t="s">
        <v>567</v>
      </c>
      <c r="I23" s="185" t="s">
        <v>567</v>
      </c>
      <c r="J23" s="185" t="s">
        <v>567</v>
      </c>
      <c r="K23" s="185" t="s">
        <v>567</v>
      </c>
      <c r="L23" s="185" t="s">
        <v>567</v>
      </c>
      <c r="M23" s="185" t="s">
        <v>567</v>
      </c>
      <c r="N23" s="185" t="s">
        <v>567</v>
      </c>
      <c r="O23" s="185" t="s">
        <v>567</v>
      </c>
      <c r="P23" s="185" t="s">
        <v>567</v>
      </c>
      <c r="Q23" s="185" t="s">
        <v>567</v>
      </c>
      <c r="R23" s="185" t="s">
        <v>567</v>
      </c>
      <c r="S23" s="185" t="s">
        <v>567</v>
      </c>
      <c r="T23" s="185" t="s">
        <v>567</v>
      </c>
      <c r="U23" s="185" t="s">
        <v>567</v>
      </c>
      <c r="V23" s="185" t="s">
        <v>567</v>
      </c>
      <c r="W23" s="185" t="s">
        <v>567</v>
      </c>
      <c r="X23" s="185" t="s">
        <v>567</v>
      </c>
      <c r="Y23" s="185" t="s">
        <v>567</v>
      </c>
      <c r="Z23" s="185" t="s">
        <v>567</v>
      </c>
      <c r="AA23" s="185" t="s">
        <v>567</v>
      </c>
      <c r="AB23" s="185" t="s">
        <v>567</v>
      </c>
      <c r="AC23" s="185" t="s">
        <v>567</v>
      </c>
      <c r="AD23" s="185" t="s">
        <v>567</v>
      </c>
      <c r="AE23" s="185" t="s">
        <v>567</v>
      </c>
      <c r="AF23" s="185" t="s">
        <v>567</v>
      </c>
    </row>
    <row r="24" spans="1:32" ht="22.5">
      <c r="A24" s="137"/>
      <c r="B24" s="186" t="s">
        <v>801</v>
      </c>
      <c r="C24" s="187" t="s">
        <v>802</v>
      </c>
      <c r="D24" s="187" t="s">
        <v>803</v>
      </c>
      <c r="E24" s="188" t="s">
        <v>804</v>
      </c>
      <c r="F24" s="189" t="s">
        <v>793</v>
      </c>
      <c r="G24" s="190">
        <v>29185.767</v>
      </c>
      <c r="H24" s="190">
        <v>29035.8</v>
      </c>
      <c r="I24" s="190">
        <v>29215.024000000001</v>
      </c>
      <c r="J24" s="190">
        <v>28026.812000000002</v>
      </c>
      <c r="K24" s="190">
        <v>27967.878000000001</v>
      </c>
      <c r="L24" s="190">
        <v>28068.952000000001</v>
      </c>
      <c r="M24" s="190">
        <v>28405.594000000001</v>
      </c>
      <c r="N24" s="190">
        <v>28950.531999999999</v>
      </c>
      <c r="O24" s="190">
        <v>29098.581999999999</v>
      </c>
      <c r="P24" s="190">
        <v>26722.618999999999</v>
      </c>
      <c r="Q24" s="190">
        <v>28208.952000000001</v>
      </c>
      <c r="R24" s="190">
        <v>30020.126</v>
      </c>
      <c r="S24" s="190">
        <v>29342.655999999999</v>
      </c>
      <c r="T24" s="190">
        <v>29168.027999999998</v>
      </c>
      <c r="U24" s="190">
        <v>29453.464</v>
      </c>
      <c r="V24" s="190">
        <v>29759.536</v>
      </c>
      <c r="W24" s="190">
        <v>30001.593000000001</v>
      </c>
      <c r="X24" s="190">
        <v>30046.317999999999</v>
      </c>
      <c r="Y24" s="190">
        <v>30321.359</v>
      </c>
      <c r="Z24" s="190">
        <v>30406.576000000001</v>
      </c>
      <c r="AA24" s="190" t="s">
        <v>567</v>
      </c>
      <c r="AB24" s="190" t="s">
        <v>567</v>
      </c>
      <c r="AC24" s="190" t="s">
        <v>567</v>
      </c>
      <c r="AD24" s="190" t="s">
        <v>567</v>
      </c>
      <c r="AE24" s="190" t="s">
        <v>567</v>
      </c>
      <c r="AF24" s="190" t="s">
        <v>567</v>
      </c>
    </row>
    <row r="25" spans="1:32" ht="22.5">
      <c r="A25" s="137"/>
      <c r="B25" s="186" t="s">
        <v>805</v>
      </c>
      <c r="C25" s="187" t="s">
        <v>802</v>
      </c>
      <c r="D25" s="187" t="s">
        <v>806</v>
      </c>
      <c r="E25" s="188" t="s">
        <v>804</v>
      </c>
      <c r="F25" s="189" t="s">
        <v>793</v>
      </c>
      <c r="G25" s="185">
        <v>26092.217000000001</v>
      </c>
      <c r="H25" s="185">
        <v>26161.300999999999</v>
      </c>
      <c r="I25" s="185">
        <v>26294.949000000001</v>
      </c>
      <c r="J25" s="185">
        <v>25535.621999999999</v>
      </c>
      <c r="K25" s="185">
        <v>25700.893</v>
      </c>
      <c r="L25" s="185">
        <v>25974.598999999998</v>
      </c>
      <c r="M25" s="185">
        <v>26193.620999999999</v>
      </c>
      <c r="N25" s="185">
        <v>26621.326000000001</v>
      </c>
      <c r="O25" s="185">
        <v>26839.871999999999</v>
      </c>
      <c r="P25" s="185">
        <v>24137.896000000001</v>
      </c>
      <c r="Q25" s="185">
        <v>26134.006000000001</v>
      </c>
      <c r="R25" s="185">
        <v>27844.056</v>
      </c>
      <c r="S25" s="185">
        <v>27173.917000000001</v>
      </c>
      <c r="T25" s="185">
        <v>27037.455000000002</v>
      </c>
      <c r="U25" s="185">
        <v>27224.917000000001</v>
      </c>
      <c r="V25" s="185">
        <v>27527.705000000002</v>
      </c>
      <c r="W25" s="185">
        <v>27819.915000000001</v>
      </c>
      <c r="X25" s="185">
        <v>27845.627</v>
      </c>
      <c r="Y25" s="185">
        <v>28045.391</v>
      </c>
      <c r="Z25" s="185">
        <v>28194.626</v>
      </c>
      <c r="AA25" s="185" t="s">
        <v>567</v>
      </c>
      <c r="AB25" s="185" t="s">
        <v>567</v>
      </c>
      <c r="AC25" s="185" t="s">
        <v>567</v>
      </c>
      <c r="AD25" s="185" t="s">
        <v>567</v>
      </c>
      <c r="AE25" s="185" t="s">
        <v>567</v>
      </c>
      <c r="AF25" s="185" t="s">
        <v>567</v>
      </c>
    </row>
    <row r="26" spans="1:32" ht="22.5">
      <c r="A26" s="137"/>
      <c r="B26" s="186" t="s">
        <v>807</v>
      </c>
      <c r="C26" s="187" t="s">
        <v>802</v>
      </c>
      <c r="D26" s="187" t="s">
        <v>808</v>
      </c>
      <c r="E26" s="188" t="s">
        <v>804</v>
      </c>
      <c r="F26" s="189" t="s">
        <v>793</v>
      </c>
      <c r="G26" s="190">
        <v>3093.55</v>
      </c>
      <c r="H26" s="190">
        <v>2874.4989999999998</v>
      </c>
      <c r="I26" s="190">
        <v>2920.076</v>
      </c>
      <c r="J26" s="190">
        <v>2491.1909999999998</v>
      </c>
      <c r="K26" s="190">
        <v>2266.9850000000001</v>
      </c>
      <c r="L26" s="190">
        <v>2094.3530000000001</v>
      </c>
      <c r="M26" s="190">
        <v>2211.973</v>
      </c>
      <c r="N26" s="190">
        <v>2329.2060000000001</v>
      </c>
      <c r="O26" s="190">
        <v>2258.71</v>
      </c>
      <c r="P26" s="190">
        <v>2584.723</v>
      </c>
      <c r="Q26" s="190">
        <v>2074.9450000000002</v>
      </c>
      <c r="R26" s="190">
        <v>2176.0700000000002</v>
      </c>
      <c r="S26" s="190">
        <v>2168.739</v>
      </c>
      <c r="T26" s="190">
        <v>2130.5729999999999</v>
      </c>
      <c r="U26" s="190">
        <v>2228.547</v>
      </c>
      <c r="V26" s="190">
        <v>2231.8310000000001</v>
      </c>
      <c r="W26" s="190">
        <v>2181.6779999999999</v>
      </c>
      <c r="X26" s="190">
        <v>2200.6909999999998</v>
      </c>
      <c r="Y26" s="190">
        <v>2275.9679999999998</v>
      </c>
      <c r="Z26" s="190">
        <v>2211.9499999999998</v>
      </c>
      <c r="AA26" s="190" t="s">
        <v>567</v>
      </c>
      <c r="AB26" s="190" t="s">
        <v>567</v>
      </c>
      <c r="AC26" s="190" t="s">
        <v>567</v>
      </c>
      <c r="AD26" s="190" t="s">
        <v>567</v>
      </c>
      <c r="AE26" s="190" t="s">
        <v>567</v>
      </c>
      <c r="AF26" s="190" t="s">
        <v>567</v>
      </c>
    </row>
    <row r="27" spans="1:32">
      <c r="A27" s="137"/>
      <c r="B27" s="193" t="s">
        <v>809</v>
      </c>
      <c r="C27" s="194" t="s">
        <v>810</v>
      </c>
      <c r="D27" s="194" t="s">
        <v>811</v>
      </c>
      <c r="E27" s="195" t="s">
        <v>796</v>
      </c>
      <c r="F27" s="196" t="s">
        <v>793</v>
      </c>
      <c r="G27" s="185">
        <v>10.6</v>
      </c>
      <c r="H27" s="185">
        <v>9.9</v>
      </c>
      <c r="I27" s="185">
        <v>9.9949999999999992</v>
      </c>
      <c r="J27" s="185">
        <v>8.8889999999999993</v>
      </c>
      <c r="K27" s="185">
        <v>8.1059999999999999</v>
      </c>
      <c r="L27" s="185">
        <v>7.4619999999999997</v>
      </c>
      <c r="M27" s="185">
        <v>7.7869999999999999</v>
      </c>
      <c r="N27" s="185">
        <v>8.0459999999999994</v>
      </c>
      <c r="O27" s="185">
        <v>7.7619999999999996</v>
      </c>
      <c r="P27" s="185">
        <v>9.6720000000000006</v>
      </c>
      <c r="Q27" s="185">
        <v>7.3559999999999999</v>
      </c>
      <c r="R27" s="185">
        <v>7.2489999999999997</v>
      </c>
      <c r="S27" s="185">
        <v>7.391</v>
      </c>
      <c r="T27" s="185">
        <v>7.3049999999999997</v>
      </c>
      <c r="U27" s="185">
        <v>7.5659999999999998</v>
      </c>
      <c r="V27" s="185">
        <v>7.5</v>
      </c>
      <c r="W27" s="185">
        <v>7.2720000000000002</v>
      </c>
      <c r="X27" s="185">
        <v>7.3239999999999998</v>
      </c>
      <c r="Y27" s="185">
        <v>7.5060000000000002</v>
      </c>
      <c r="Z27" s="185">
        <v>7.2750000000000004</v>
      </c>
      <c r="AA27" s="185" t="s">
        <v>567</v>
      </c>
      <c r="AB27" s="185" t="s">
        <v>567</v>
      </c>
      <c r="AC27" s="185" t="s">
        <v>567</v>
      </c>
      <c r="AD27" s="185" t="s">
        <v>567</v>
      </c>
      <c r="AE27" s="185" t="s">
        <v>567</v>
      </c>
      <c r="AF27" s="185" t="s">
        <v>567</v>
      </c>
    </row>
    <row r="28" spans="1:32">
      <c r="A28" s="137"/>
      <c r="B28" s="137"/>
      <c r="C28" s="137"/>
      <c r="D28" s="137"/>
      <c r="E28" s="137"/>
      <c r="F28" s="137"/>
      <c r="G28" s="137"/>
      <c r="H28" s="137"/>
      <c r="I28" s="137"/>
      <c r="J28" s="137"/>
      <c r="K28" s="137"/>
      <c r="L28" s="137"/>
      <c r="M28" s="137"/>
    </row>
    <row r="29" spans="1:32">
      <c r="A29" s="137"/>
      <c r="B29" s="137"/>
      <c r="C29" s="137"/>
      <c r="D29" s="137"/>
      <c r="E29" s="137"/>
      <c r="F29" s="137"/>
      <c r="G29" s="137"/>
      <c r="H29" s="137"/>
      <c r="I29" s="137"/>
      <c r="J29" s="137"/>
      <c r="K29" s="137"/>
      <c r="L29" s="137"/>
      <c r="M29" s="137"/>
    </row>
    <row r="30" spans="1:32">
      <c r="A30" s="137"/>
      <c r="B30" s="137"/>
      <c r="C30" s="137"/>
      <c r="D30" s="137"/>
      <c r="E30" s="137"/>
      <c r="F30" s="137"/>
      <c r="G30" s="137"/>
      <c r="H30" s="137"/>
      <c r="I30" s="137"/>
      <c r="J30" s="137"/>
      <c r="K30" s="137"/>
      <c r="L30" s="137"/>
      <c r="M30" s="137"/>
    </row>
    <row r="31" spans="1:32">
      <c r="A31" s="137"/>
      <c r="B31" s="325" t="s">
        <v>151</v>
      </c>
      <c r="C31" s="325"/>
      <c r="D31" s="325"/>
      <c r="E31" s="137"/>
      <c r="F31" s="137"/>
      <c r="G31" s="137"/>
      <c r="H31" s="137"/>
      <c r="I31" s="137"/>
      <c r="J31" s="137"/>
      <c r="K31" s="137"/>
      <c r="L31" s="137"/>
      <c r="M31" s="137"/>
    </row>
    <row r="32" spans="1:32" ht="22.5">
      <c r="A32" s="137"/>
      <c r="B32" s="172" t="s">
        <v>141</v>
      </c>
      <c r="C32" s="283" t="s">
        <v>150</v>
      </c>
      <c r="D32" s="172" t="s">
        <v>8</v>
      </c>
      <c r="E32" s="161"/>
      <c r="F32" s="161"/>
      <c r="G32" s="161"/>
      <c r="H32" s="137"/>
      <c r="I32" s="161"/>
      <c r="J32" s="161"/>
      <c r="K32" s="137"/>
      <c r="L32" s="137"/>
      <c r="M32" s="137"/>
    </row>
    <row r="33" spans="2:4">
      <c r="B33" s="173">
        <v>2019</v>
      </c>
      <c r="C33" s="174">
        <f>I9</f>
        <v>288.572774376263</v>
      </c>
      <c r="D33" s="174">
        <f>$C$38/C33</f>
        <v>2.025420873517195</v>
      </c>
    </row>
    <row r="34" spans="2:4">
      <c r="B34" s="173">
        <v>2020</v>
      </c>
      <c r="C34" s="174">
        <f>J9</f>
        <v>303.13107718170801</v>
      </c>
      <c r="D34" s="174">
        <f>$C$38/C34</f>
        <v>1.9281471440821332</v>
      </c>
    </row>
    <row r="35" spans="2:4">
      <c r="B35" s="173">
        <v>2021</v>
      </c>
      <c r="C35" s="174">
        <f>K9</f>
        <v>318.93648130826602</v>
      </c>
      <c r="D35" s="174">
        <f>$C$38/C35</f>
        <v>1.8325947484995431</v>
      </c>
    </row>
    <row r="36" spans="2:4">
      <c r="B36" s="173">
        <v>2022</v>
      </c>
      <c r="C36" s="174">
        <f>L9</f>
        <v>363.25481348448699</v>
      </c>
      <c r="D36" s="174">
        <f t="shared" ref="D36:D38" si="0">$C$38/C36</f>
        <v>1.609011908593502</v>
      </c>
    </row>
    <row r="37" spans="2:4">
      <c r="B37" s="173">
        <v>2023</v>
      </c>
      <c r="C37" s="174">
        <f>M9</f>
        <v>486.34289447466102</v>
      </c>
      <c r="D37" s="174">
        <f t="shared" si="0"/>
        <v>1.2017885475263237</v>
      </c>
    </row>
    <row r="38" spans="2:4">
      <c r="B38" s="173" t="s">
        <v>839</v>
      </c>
      <c r="C38" s="174">
        <f>AF20</f>
        <v>584.481320750451</v>
      </c>
      <c r="D38" s="174">
        <f t="shared" si="0"/>
        <v>1</v>
      </c>
    </row>
    <row r="39" spans="2:4">
      <c r="B39" s="171"/>
      <c r="C39" s="171"/>
      <c r="D39" s="171"/>
    </row>
    <row r="40" spans="2:4">
      <c r="B40" s="171"/>
      <c r="C40" s="171"/>
      <c r="D40" s="171"/>
    </row>
  </sheetData>
  <mergeCells count="2">
    <mergeCell ref="B31:D31"/>
    <mergeCell ref="B18:D18"/>
  </mergeCells>
  <hyperlinks>
    <hyperlink ref="D1" r:id="rId1" display="https://data.imf.org/regular.aspx?key=61545849" xr:uid="{6225C86E-3437-4415-B67F-96A686183E92}"/>
    <hyperlink ref="E1" r:id="rId2" display="https://data.imf.org/regular.aspx?key=61545849" xr:uid="{32E21AC1-C248-41B6-89D3-F627D9AA588E}"/>
  </hyperlinks>
  <pageMargins left="0.7" right="0.7" top="0.75" bottom="0.75" header="0.39" footer="0.39"/>
  <pageSetup paperSize="9" fitToWidth="0"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AAEA-FAD3-437E-BCA7-1E6926E27CAC}">
  <sheetPr>
    <pageSetUpPr fitToPage="1"/>
  </sheetPr>
  <dimension ref="A1:M21"/>
  <sheetViews>
    <sheetView zoomScaleNormal="100" workbookViewId="0">
      <selection activeCell="E18" sqref="E18"/>
    </sheetView>
  </sheetViews>
  <sheetFormatPr defaultColWidth="9.140625" defaultRowHeight="15"/>
  <cols>
    <col min="1" max="1" width="14.42578125" style="2" bestFit="1" customWidth="1"/>
    <col min="2" max="2" width="32.5703125" style="2" bestFit="1" customWidth="1"/>
    <col min="3" max="3" width="52.7109375" style="2" customWidth="1"/>
    <col min="4" max="4" width="9.85546875" style="2" bestFit="1" customWidth="1"/>
    <col min="5" max="5" width="69.85546875" style="2" bestFit="1" customWidth="1"/>
    <col min="6" max="6" width="5.5703125" style="2" bestFit="1" customWidth="1"/>
    <col min="7" max="7" width="10.85546875" style="2" bestFit="1" customWidth="1"/>
    <col min="8" max="8" width="19.5703125" style="2" bestFit="1" customWidth="1"/>
    <col min="9" max="9" width="18.42578125" style="2" bestFit="1" customWidth="1"/>
    <col min="10" max="10" width="17.42578125" style="2" bestFit="1" customWidth="1"/>
    <col min="11" max="11" width="36.28515625" style="2" bestFit="1" customWidth="1"/>
    <col min="12" max="12" width="49.140625" style="2" bestFit="1" customWidth="1"/>
    <col min="13" max="13" width="14" style="2" bestFit="1" customWidth="1"/>
    <col min="14" max="16384" width="9.140625" style="2"/>
  </cols>
  <sheetData>
    <row r="1" spans="1:13">
      <c r="A1" s="1" t="s">
        <v>736</v>
      </c>
      <c r="D1" s="52" t="s">
        <v>840</v>
      </c>
    </row>
    <row r="2" spans="1:13">
      <c r="A2" s="1" t="s">
        <v>138</v>
      </c>
    </row>
    <row r="3" spans="1:13">
      <c r="A3" s="1"/>
      <c r="H3" s="52" t="s">
        <v>876</v>
      </c>
    </row>
    <row r="4" spans="1:13">
      <c r="H4" s="2" t="s">
        <v>871</v>
      </c>
      <c r="I4" s="2" t="s">
        <v>872</v>
      </c>
      <c r="J4" s="2" t="s">
        <v>874</v>
      </c>
    </row>
    <row r="5" spans="1:13">
      <c r="A5" s="3" t="s">
        <v>139</v>
      </c>
      <c r="H5" s="2">
        <v>1</v>
      </c>
      <c r="I5" s="201">
        <v>19.231999999999999</v>
      </c>
      <c r="J5" s="202">
        <f>H5/I5</f>
        <v>5.1996672212978372E-2</v>
      </c>
    </row>
    <row r="6" spans="1:13">
      <c r="H6" s="200">
        <v>44926</v>
      </c>
    </row>
    <row r="7" spans="1:13" s="1" customFormat="1">
      <c r="A7" s="30" t="s">
        <v>841</v>
      </c>
      <c r="B7" s="30" t="s">
        <v>842</v>
      </c>
      <c r="C7" s="30" t="s">
        <v>843</v>
      </c>
      <c r="D7" s="30" t="s">
        <v>844</v>
      </c>
      <c r="E7" s="30" t="s">
        <v>845</v>
      </c>
      <c r="F7" s="30" t="s">
        <v>846</v>
      </c>
      <c r="G7" s="30" t="s">
        <v>847</v>
      </c>
      <c r="H7" s="198" t="s">
        <v>873</v>
      </c>
      <c r="I7" s="198" t="s">
        <v>875</v>
      </c>
      <c r="J7" s="30" t="s">
        <v>848</v>
      </c>
      <c r="K7" s="30" t="s">
        <v>849</v>
      </c>
      <c r="L7" s="30" t="s">
        <v>850</v>
      </c>
      <c r="M7" s="30" t="s">
        <v>851</v>
      </c>
    </row>
    <row r="8" spans="1:13">
      <c r="A8" s="2" t="s">
        <v>57</v>
      </c>
      <c r="B8" s="2" t="s">
        <v>853</v>
      </c>
      <c r="C8" s="2" t="s">
        <v>854</v>
      </c>
      <c r="D8" s="2" t="s">
        <v>852</v>
      </c>
      <c r="E8" s="2" t="s">
        <v>855</v>
      </c>
      <c r="F8" s="2">
        <v>2022</v>
      </c>
      <c r="G8" s="2">
        <v>18.690000000000001</v>
      </c>
      <c r="H8" s="202">
        <f>$J$5</f>
        <v>5.1996672212978372E-2</v>
      </c>
      <c r="I8" s="202">
        <f>H8*G8</f>
        <v>0.9718178036605658</v>
      </c>
      <c r="K8" s="2" t="s">
        <v>856</v>
      </c>
      <c r="L8" s="2" t="s">
        <v>857</v>
      </c>
    </row>
    <row r="9" spans="1:13">
      <c r="A9" s="2" t="s">
        <v>57</v>
      </c>
      <c r="B9" s="2" t="s">
        <v>853</v>
      </c>
      <c r="C9" s="2" t="s">
        <v>854</v>
      </c>
      <c r="D9" s="2" t="s">
        <v>852</v>
      </c>
      <c r="E9" s="2" t="s">
        <v>858</v>
      </c>
      <c r="F9" s="2">
        <v>2022</v>
      </c>
      <c r="G9" s="2">
        <v>21.28</v>
      </c>
      <c r="H9" s="202">
        <f t="shared" ref="H9:H21" si="0">$J$5</f>
        <v>5.1996672212978372E-2</v>
      </c>
      <c r="I9" s="202">
        <f t="shared" ref="I9:I21" si="1">H9*G9</f>
        <v>1.1064891846921798</v>
      </c>
      <c r="K9" s="2" t="s">
        <v>856</v>
      </c>
      <c r="L9" s="2" t="s">
        <v>857</v>
      </c>
    </row>
    <row r="10" spans="1:13">
      <c r="A10" s="2" t="s">
        <v>57</v>
      </c>
      <c r="B10" s="2" t="s">
        <v>853</v>
      </c>
      <c r="C10" s="2" t="s">
        <v>854</v>
      </c>
      <c r="D10" s="2" t="s">
        <v>852</v>
      </c>
      <c r="E10" s="2" t="s">
        <v>859</v>
      </c>
      <c r="F10" s="2">
        <v>2022</v>
      </c>
      <c r="G10" s="2">
        <v>17.47</v>
      </c>
      <c r="H10" s="202">
        <f t="shared" si="0"/>
        <v>5.1996672212978372E-2</v>
      </c>
      <c r="I10" s="202">
        <f t="shared" si="1"/>
        <v>0.90838186356073214</v>
      </c>
      <c r="K10" s="2" t="s">
        <v>856</v>
      </c>
      <c r="L10" s="2" t="s">
        <v>857</v>
      </c>
    </row>
    <row r="11" spans="1:13">
      <c r="A11" s="2" t="s">
        <v>57</v>
      </c>
      <c r="B11" s="2" t="s">
        <v>853</v>
      </c>
      <c r="C11" s="2" t="s">
        <v>854</v>
      </c>
      <c r="D11" s="2" t="s">
        <v>852</v>
      </c>
      <c r="E11" s="2" t="s">
        <v>860</v>
      </c>
      <c r="F11" s="2">
        <v>2022</v>
      </c>
      <c r="G11" s="2">
        <v>16.03</v>
      </c>
      <c r="H11" s="202">
        <f t="shared" si="0"/>
        <v>5.1996672212978372E-2</v>
      </c>
      <c r="I11" s="202">
        <f t="shared" si="1"/>
        <v>0.83350665557404335</v>
      </c>
      <c r="K11" s="2" t="s">
        <v>856</v>
      </c>
      <c r="L11" s="2" t="s">
        <v>857</v>
      </c>
    </row>
    <row r="12" spans="1:13">
      <c r="A12" s="2" t="s">
        <v>57</v>
      </c>
      <c r="B12" s="2" t="s">
        <v>853</v>
      </c>
      <c r="C12" s="2" t="s">
        <v>854</v>
      </c>
      <c r="D12" s="2" t="s">
        <v>852</v>
      </c>
      <c r="E12" s="2" t="s">
        <v>861</v>
      </c>
      <c r="F12" s="2">
        <v>2022</v>
      </c>
      <c r="G12" s="2">
        <v>18.690000000000001</v>
      </c>
      <c r="H12" s="202">
        <f t="shared" si="0"/>
        <v>5.1996672212978372E-2</v>
      </c>
      <c r="I12" s="202">
        <f t="shared" si="1"/>
        <v>0.9718178036605658</v>
      </c>
      <c r="K12" s="2" t="s">
        <v>856</v>
      </c>
      <c r="L12" s="2" t="s">
        <v>857</v>
      </c>
    </row>
    <row r="13" spans="1:13">
      <c r="A13" s="2" t="s">
        <v>57</v>
      </c>
      <c r="B13" s="2" t="s">
        <v>853</v>
      </c>
      <c r="C13" s="2" t="s">
        <v>854</v>
      </c>
      <c r="D13" s="2" t="s">
        <v>852</v>
      </c>
      <c r="E13" s="2" t="s">
        <v>862</v>
      </c>
      <c r="F13" s="2">
        <v>2022</v>
      </c>
      <c r="G13" s="2">
        <v>25.13</v>
      </c>
      <c r="H13" s="202">
        <f t="shared" si="0"/>
        <v>5.1996672212978372E-2</v>
      </c>
      <c r="I13" s="202">
        <f t="shared" si="1"/>
        <v>1.3066763727121464</v>
      </c>
      <c r="K13" s="2" t="s">
        <v>856</v>
      </c>
      <c r="L13" s="2" t="s">
        <v>857</v>
      </c>
    </row>
    <row r="14" spans="1:13">
      <c r="A14" s="2" t="s">
        <v>57</v>
      </c>
      <c r="B14" s="2" t="s">
        <v>853</v>
      </c>
      <c r="C14" s="2" t="s">
        <v>854</v>
      </c>
      <c r="D14" s="2" t="s">
        <v>852</v>
      </c>
      <c r="E14" s="2" t="s">
        <v>863</v>
      </c>
      <c r="F14" s="2">
        <v>2022</v>
      </c>
      <c r="G14" s="2">
        <v>21.23</v>
      </c>
      <c r="H14" s="202">
        <f t="shared" si="0"/>
        <v>5.1996672212978372E-2</v>
      </c>
      <c r="I14" s="202">
        <f t="shared" si="1"/>
        <v>1.1038893510815309</v>
      </c>
      <c r="K14" s="2" t="s">
        <v>856</v>
      </c>
      <c r="L14" s="2" t="s">
        <v>857</v>
      </c>
    </row>
    <row r="15" spans="1:13">
      <c r="A15" s="2" t="s">
        <v>57</v>
      </c>
      <c r="B15" s="2" t="s">
        <v>853</v>
      </c>
      <c r="C15" s="2" t="s">
        <v>854</v>
      </c>
      <c r="D15" s="2" t="s">
        <v>852</v>
      </c>
      <c r="E15" s="2" t="s">
        <v>864</v>
      </c>
      <c r="F15" s="2">
        <v>2022</v>
      </c>
      <c r="G15" s="2">
        <v>20.09</v>
      </c>
      <c r="H15" s="202">
        <f t="shared" si="0"/>
        <v>5.1996672212978372E-2</v>
      </c>
      <c r="I15" s="202">
        <f t="shared" si="1"/>
        <v>1.0446131447587355</v>
      </c>
      <c r="K15" s="2" t="s">
        <v>856</v>
      </c>
      <c r="L15" s="2" t="s">
        <v>857</v>
      </c>
    </row>
    <row r="16" spans="1:13">
      <c r="A16" s="2" t="s">
        <v>57</v>
      </c>
      <c r="B16" s="2" t="s">
        <v>853</v>
      </c>
      <c r="C16" s="2" t="s">
        <v>854</v>
      </c>
      <c r="D16" s="2" t="s">
        <v>852</v>
      </c>
      <c r="E16" s="2" t="s">
        <v>865</v>
      </c>
      <c r="F16" s="2">
        <v>2022</v>
      </c>
      <c r="G16" s="2">
        <v>20.239999999999998</v>
      </c>
      <c r="H16" s="202">
        <f t="shared" si="0"/>
        <v>5.1996672212978372E-2</v>
      </c>
      <c r="I16" s="202">
        <f t="shared" si="1"/>
        <v>1.0524126455906821</v>
      </c>
      <c r="K16" s="2" t="s">
        <v>856</v>
      </c>
      <c r="L16" s="2" t="s">
        <v>857</v>
      </c>
    </row>
    <row r="17" spans="1:12">
      <c r="A17" s="2" t="s">
        <v>57</v>
      </c>
      <c r="B17" s="2" t="s">
        <v>853</v>
      </c>
      <c r="C17" s="2" t="s">
        <v>854</v>
      </c>
      <c r="D17" s="2" t="s">
        <v>852</v>
      </c>
      <c r="E17" s="2" t="s">
        <v>866</v>
      </c>
      <c r="F17" s="2">
        <v>2022</v>
      </c>
      <c r="G17" s="2">
        <v>14.83</v>
      </c>
      <c r="H17" s="202">
        <f t="shared" si="0"/>
        <v>5.1996672212978372E-2</v>
      </c>
      <c r="I17" s="202">
        <f t="shared" si="1"/>
        <v>0.77111064891846925</v>
      </c>
      <c r="K17" s="2" t="s">
        <v>856</v>
      </c>
      <c r="L17" s="2" t="s">
        <v>857</v>
      </c>
    </row>
    <row r="18" spans="1:12">
      <c r="A18" s="2" t="s">
        <v>57</v>
      </c>
      <c r="B18" s="2" t="s">
        <v>853</v>
      </c>
      <c r="C18" s="2" t="s">
        <v>854</v>
      </c>
      <c r="D18" s="2" t="s">
        <v>852</v>
      </c>
      <c r="E18" s="2" t="s">
        <v>867</v>
      </c>
      <c r="F18" s="2">
        <v>2022</v>
      </c>
      <c r="G18" s="2">
        <v>18.46</v>
      </c>
      <c r="H18" s="202">
        <f t="shared" si="0"/>
        <v>5.1996672212978372E-2</v>
      </c>
      <c r="I18" s="202">
        <f t="shared" si="1"/>
        <v>0.95985856905158073</v>
      </c>
      <c r="K18" s="2" t="s">
        <v>856</v>
      </c>
      <c r="L18" s="2" t="s">
        <v>857</v>
      </c>
    </row>
    <row r="19" spans="1:12">
      <c r="A19" s="2" t="s">
        <v>57</v>
      </c>
      <c r="B19" s="2" t="s">
        <v>853</v>
      </c>
      <c r="C19" s="2" t="s">
        <v>854</v>
      </c>
      <c r="D19" s="2" t="s">
        <v>852</v>
      </c>
      <c r="E19" s="2" t="s">
        <v>868</v>
      </c>
      <c r="F19" s="2">
        <v>2022</v>
      </c>
      <c r="G19" s="2">
        <v>18.649999999999999</v>
      </c>
      <c r="H19" s="202">
        <f t="shared" si="0"/>
        <v>5.1996672212978372E-2</v>
      </c>
      <c r="I19" s="202">
        <f t="shared" si="1"/>
        <v>0.96973793677204656</v>
      </c>
      <c r="K19" s="2" t="s">
        <v>856</v>
      </c>
      <c r="L19" s="2" t="s">
        <v>857</v>
      </c>
    </row>
    <row r="20" spans="1:12" s="199" customFormat="1">
      <c r="A20" s="199" t="s">
        <v>57</v>
      </c>
      <c r="B20" s="199" t="s">
        <v>853</v>
      </c>
      <c r="C20" s="199" t="s">
        <v>854</v>
      </c>
      <c r="D20" s="199" t="s">
        <v>852</v>
      </c>
      <c r="E20" s="199" t="s">
        <v>869</v>
      </c>
      <c r="F20" s="199">
        <v>2022</v>
      </c>
      <c r="G20" s="199">
        <v>18.05</v>
      </c>
      <c r="H20" s="203">
        <f t="shared" si="0"/>
        <v>5.1996672212978372E-2</v>
      </c>
      <c r="I20" s="203">
        <f t="shared" si="1"/>
        <v>0.93853993344425968</v>
      </c>
      <c r="K20" s="199" t="s">
        <v>856</v>
      </c>
      <c r="L20" s="199" t="s">
        <v>857</v>
      </c>
    </row>
    <row r="21" spans="1:12">
      <c r="A21" s="2" t="s">
        <v>57</v>
      </c>
      <c r="B21" s="2" t="s">
        <v>853</v>
      </c>
      <c r="C21" s="2" t="s">
        <v>854</v>
      </c>
      <c r="D21" s="2" t="s">
        <v>852</v>
      </c>
      <c r="E21" s="2" t="s">
        <v>870</v>
      </c>
      <c r="F21" s="2">
        <v>2022</v>
      </c>
      <c r="G21" s="2">
        <v>16.03</v>
      </c>
      <c r="H21" s="202">
        <f t="shared" si="0"/>
        <v>5.1996672212978372E-2</v>
      </c>
      <c r="I21" s="202">
        <f t="shared" si="1"/>
        <v>0.83350665557404335</v>
      </c>
      <c r="K21" s="2" t="s">
        <v>856</v>
      </c>
      <c r="L21" s="2" t="s">
        <v>857</v>
      </c>
    </row>
  </sheetData>
  <hyperlinks>
    <hyperlink ref="D1" r:id="rId1" display="https://rshiny.ilo.org/dataexplorer54/?lang=en&amp;id=IDN_A" xr:uid="{B4BBC907-DB78-4D1A-A6CA-598A3011845B}"/>
    <hyperlink ref="H3" r:id="rId2" display="https://www.exchange-rates.org/exchange-rate-history/usd-egp-2023" xr:uid="{9D3EBAE4-073E-4617-B0A6-63F93030B3E6}"/>
  </hyperlinks>
  <pageMargins left="0.7" right="0.7" top="0.75" bottom="0.75" header="0.3" footer="0.3"/>
  <pageSetup paperSize="9" fitToHeight="0"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AEB7-1AC1-45D2-880D-50768E6500FD}">
  <sheetPr>
    <pageSetUpPr fitToPage="1"/>
  </sheetPr>
  <dimension ref="A1:C11"/>
  <sheetViews>
    <sheetView zoomScaleNormal="100" workbookViewId="0">
      <selection activeCell="A11" sqref="A11"/>
    </sheetView>
  </sheetViews>
  <sheetFormatPr defaultColWidth="9.140625" defaultRowHeight="15"/>
  <cols>
    <col min="1" max="1" width="14.28515625" style="2" customWidth="1"/>
    <col min="2" max="2" width="31.7109375" style="2" bestFit="1" customWidth="1"/>
    <col min="3" max="3" width="21.85546875" style="2" customWidth="1"/>
    <col min="4" max="4" width="35.5703125" style="2" customWidth="1"/>
    <col min="5" max="5" width="22.85546875" style="2" bestFit="1" customWidth="1"/>
    <col min="6" max="6" width="6.7109375" style="2" customWidth="1"/>
    <col min="7" max="7" width="10.5703125" style="2" customWidth="1"/>
    <col min="8" max="16384" width="9.140625" style="2"/>
  </cols>
  <sheetData>
    <row r="1" spans="1:3">
      <c r="A1" s="1" t="s">
        <v>736</v>
      </c>
    </row>
    <row r="2" spans="1:3">
      <c r="A2" s="1" t="s">
        <v>138</v>
      </c>
    </row>
    <row r="3" spans="1:3">
      <c r="A3" s="1"/>
    </row>
    <row r="5" spans="1:3">
      <c r="A5" s="3" t="s">
        <v>15</v>
      </c>
    </row>
    <row r="7" spans="1:3">
      <c r="A7" s="2" t="s">
        <v>877</v>
      </c>
    </row>
    <row r="8" spans="1:3">
      <c r="A8" s="2" t="s">
        <v>879</v>
      </c>
    </row>
    <row r="11" spans="1:3">
      <c r="A11" s="200">
        <v>45291</v>
      </c>
      <c r="B11" s="2">
        <v>2.4E-2</v>
      </c>
      <c r="C11" s="2" t="s">
        <v>871</v>
      </c>
    </row>
  </sheetData>
  <pageMargins left="0.7" right="0.7" top="0.75" bottom="0.75" header="0.3" footer="0.3"/>
  <pageSetup paperSize="9"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7D01-CA11-4C3A-833F-ADC1BA2DB798}">
  <sheetPr>
    <pageSetUpPr fitToPage="1"/>
  </sheetPr>
  <dimension ref="A1:D9"/>
  <sheetViews>
    <sheetView zoomScaleNormal="100" workbookViewId="0">
      <selection activeCell="C19" sqref="A1:XFD1048576"/>
    </sheetView>
  </sheetViews>
  <sheetFormatPr defaultColWidth="9.140625" defaultRowHeight="15"/>
  <cols>
    <col min="1" max="1" width="55" style="2" bestFit="1" customWidth="1"/>
    <col min="2" max="2" width="26" style="2" customWidth="1"/>
    <col min="3" max="3" width="26.140625" style="2" customWidth="1"/>
    <col min="4" max="4" width="21.85546875" style="2" customWidth="1"/>
    <col min="5" max="16384" width="9.140625" style="2"/>
  </cols>
  <sheetData>
    <row r="1" spans="1:4">
      <c r="A1" s="1" t="s">
        <v>138</v>
      </c>
    </row>
    <row r="2" spans="1:4">
      <c r="A2" s="1" t="s">
        <v>945</v>
      </c>
    </row>
    <row r="4" spans="1:4">
      <c r="A4" s="3" t="s">
        <v>152</v>
      </c>
    </row>
    <row r="6" spans="1:4">
      <c r="A6" s="327" t="s">
        <v>947</v>
      </c>
      <c r="B6" s="328"/>
      <c r="C6" s="328"/>
      <c r="D6" s="328"/>
    </row>
    <row r="7" spans="1:4">
      <c r="A7" s="30" t="s">
        <v>153</v>
      </c>
      <c r="B7" s="94" t="s">
        <v>17</v>
      </c>
      <c r="C7" s="94" t="s">
        <v>19</v>
      </c>
      <c r="D7" s="94" t="s">
        <v>21</v>
      </c>
    </row>
    <row r="8" spans="1:4">
      <c r="A8" s="31" t="s">
        <v>946</v>
      </c>
      <c r="B8" s="32">
        <f>'EX-10C1 Rubex'!H42</f>
        <v>5.478640305985024E-2</v>
      </c>
      <c r="C8" s="32">
        <f>'EX-10C1 Rubex'!I44</f>
        <v>0.24739530132788559</v>
      </c>
      <c r="D8" s="32">
        <f>'EX-10C1 Rubex'!J46</f>
        <v>1.5189977071732724E-2</v>
      </c>
    </row>
    <row r="9" spans="1:4" s="1" customFormat="1">
      <c r="A9" s="209" t="s">
        <v>131</v>
      </c>
      <c r="B9" s="210">
        <f>AVERAGE(B8:B8)</f>
        <v>5.478640305985024E-2</v>
      </c>
      <c r="C9" s="210">
        <f>AVERAGE(C8:C8)</f>
        <v>0.24739530132788559</v>
      </c>
      <c r="D9" s="210">
        <f>AVERAGE(D8:D8)</f>
        <v>1.5189977071732724E-2</v>
      </c>
    </row>
  </sheetData>
  <mergeCells count="1">
    <mergeCell ref="A6:D6"/>
  </mergeCells>
  <pageMargins left="0.7" right="0.7" top="0.75" bottom="0.75" header="0.3" footer="0.3"/>
  <pageSetup paperSize="9" scale="71" fitToHeight="0"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C0DB-7F45-45A6-8A6C-554881BF4DC8}">
  <sheetPr>
    <pageSetUpPr fitToPage="1"/>
  </sheetPr>
  <dimension ref="A1:J347"/>
  <sheetViews>
    <sheetView zoomScaleNormal="100" zoomScaleSheetLayoutView="70" workbookViewId="0">
      <selection activeCell="C11" sqref="C11"/>
    </sheetView>
  </sheetViews>
  <sheetFormatPr defaultColWidth="9.140625" defaultRowHeight="15"/>
  <cols>
    <col min="1" max="1" width="51.140625" style="2" bestFit="1" customWidth="1"/>
    <col min="2" max="2" width="21.5703125" style="2" customWidth="1"/>
    <col min="3" max="3" width="24.28515625" style="2" bestFit="1" customWidth="1"/>
    <col min="4" max="4" width="24.42578125" style="2" bestFit="1" customWidth="1"/>
    <col min="5" max="5" width="21.42578125" style="2" bestFit="1" customWidth="1"/>
    <col min="6" max="6" width="23.85546875" style="2" bestFit="1" customWidth="1"/>
    <col min="7" max="7" width="24.42578125" style="2" customWidth="1"/>
    <col min="8" max="8" width="28.5703125" style="2" customWidth="1"/>
    <col min="9" max="9" width="20.42578125" style="2" bestFit="1" customWidth="1"/>
    <col min="10" max="10" width="13.140625" style="2" bestFit="1" customWidth="1"/>
    <col min="11" max="11" width="11" style="2" bestFit="1" customWidth="1"/>
    <col min="12" max="16384" width="9.140625" style="2"/>
  </cols>
  <sheetData>
    <row r="1" spans="1:10">
      <c r="A1" s="263" t="s">
        <v>154</v>
      </c>
      <c r="B1" s="33"/>
      <c r="C1" s="33"/>
      <c r="D1" s="33"/>
      <c r="E1" s="33"/>
      <c r="F1" s="33"/>
      <c r="G1" s="33"/>
      <c r="H1" s="33"/>
    </row>
    <row r="2" spans="1:10">
      <c r="A2" s="52" t="s">
        <v>941</v>
      </c>
      <c r="B2" s="33"/>
      <c r="C2" s="33"/>
      <c r="D2" s="33"/>
      <c r="E2" s="33"/>
      <c r="F2" s="33"/>
      <c r="G2" s="33"/>
      <c r="H2" s="33"/>
    </row>
    <row r="3" spans="1:10">
      <c r="A3" s="33"/>
      <c r="B3" s="33"/>
      <c r="C3" s="33"/>
      <c r="D3" s="33"/>
      <c r="E3" s="33"/>
      <c r="F3" s="33"/>
      <c r="G3" s="33"/>
      <c r="H3" s="33"/>
    </row>
    <row r="4" spans="1:10" ht="16.5">
      <c r="A4" s="279" t="s">
        <v>946</v>
      </c>
    </row>
    <row r="5" spans="1:10" ht="16.5">
      <c r="A5" s="265"/>
    </row>
    <row r="6" spans="1:10" ht="16.5">
      <c r="A6" s="267" t="s">
        <v>940</v>
      </c>
      <c r="B6" s="268">
        <v>2024</v>
      </c>
      <c r="C6" s="268">
        <v>2024</v>
      </c>
      <c r="D6" s="268">
        <v>2023</v>
      </c>
      <c r="E6" s="268">
        <v>2023</v>
      </c>
      <c r="F6" s="269"/>
      <c r="G6" s="270" t="s">
        <v>944</v>
      </c>
      <c r="H6" s="38"/>
      <c r="I6" s="38"/>
      <c r="J6" s="38"/>
    </row>
    <row r="7" spans="1:10" ht="30">
      <c r="A7" s="271" t="s">
        <v>942</v>
      </c>
      <c r="B7" s="268" t="s">
        <v>904</v>
      </c>
      <c r="C7" s="268" t="s">
        <v>905</v>
      </c>
      <c r="D7" s="268" t="s">
        <v>906</v>
      </c>
      <c r="E7" s="268" t="s">
        <v>907</v>
      </c>
      <c r="F7" s="272" t="s">
        <v>903</v>
      </c>
      <c r="G7" s="36" t="s">
        <v>943</v>
      </c>
      <c r="H7" s="36" t="s">
        <v>156</v>
      </c>
      <c r="I7" s="36" t="s">
        <v>157</v>
      </c>
      <c r="J7" s="37" t="s">
        <v>21</v>
      </c>
    </row>
    <row r="8" spans="1:10" ht="16.5">
      <c r="A8" s="271" t="s">
        <v>908</v>
      </c>
      <c r="B8" s="273">
        <v>0</v>
      </c>
      <c r="C8" s="273">
        <v>57.57</v>
      </c>
      <c r="D8" s="273">
        <v>62.36</v>
      </c>
      <c r="E8" s="273">
        <v>44.94</v>
      </c>
      <c r="F8" s="274">
        <f>SUM(B8:E8)</f>
        <v>164.87</v>
      </c>
      <c r="G8" s="38"/>
      <c r="H8" s="38"/>
      <c r="I8" s="38"/>
      <c r="J8" s="38"/>
    </row>
    <row r="9" spans="1:10" ht="16.5">
      <c r="A9" s="275" t="s">
        <v>909</v>
      </c>
      <c r="B9" s="276">
        <v>0</v>
      </c>
      <c r="C9" s="276">
        <v>57.57</v>
      </c>
      <c r="D9" s="276">
        <v>62.36</v>
      </c>
      <c r="E9" s="276">
        <v>44.94</v>
      </c>
      <c r="F9" s="274">
        <f t="shared" ref="F9:F39" si="0">SUM(B9:E9)</f>
        <v>164.87</v>
      </c>
      <c r="G9" s="38"/>
      <c r="H9" s="38"/>
      <c r="I9" s="38"/>
      <c r="J9" s="38"/>
    </row>
    <row r="10" spans="1:10" ht="16.5">
      <c r="A10" s="275" t="s">
        <v>910</v>
      </c>
      <c r="B10" s="276">
        <v>52.03</v>
      </c>
      <c r="C10" s="276">
        <v>43.08</v>
      </c>
      <c r="D10" s="276">
        <v>54.72</v>
      </c>
      <c r="E10" s="276">
        <v>35.799999999999997</v>
      </c>
      <c r="F10" s="274">
        <f>SUM(B10:E10)</f>
        <v>185.63</v>
      </c>
      <c r="G10" s="277">
        <f>F10*1000000</f>
        <v>185630000</v>
      </c>
      <c r="H10" s="38"/>
      <c r="I10" s="38"/>
      <c r="J10" s="38"/>
    </row>
    <row r="11" spans="1:10" s="1" customFormat="1">
      <c r="A11" s="34" t="s">
        <v>911</v>
      </c>
      <c r="B11" s="273">
        <v>23.49</v>
      </c>
      <c r="C11" s="273">
        <v>14.49</v>
      </c>
      <c r="D11" s="273">
        <v>7.64</v>
      </c>
      <c r="E11" s="273">
        <v>9.1300000000000008</v>
      </c>
      <c r="F11" s="274">
        <f t="shared" si="0"/>
        <v>54.75</v>
      </c>
      <c r="G11" s="34"/>
      <c r="H11" s="34"/>
      <c r="I11" s="34"/>
      <c r="J11" s="34"/>
    </row>
    <row r="12" spans="1:10">
      <c r="A12" s="38" t="s">
        <v>912</v>
      </c>
      <c r="B12" s="276">
        <v>61.41</v>
      </c>
      <c r="C12" s="276">
        <v>51.99</v>
      </c>
      <c r="D12" s="276">
        <v>62.94</v>
      </c>
      <c r="E12" s="276">
        <v>45.18</v>
      </c>
      <c r="F12" s="274">
        <f t="shared" si="0"/>
        <v>221.52</v>
      </c>
      <c r="G12" s="38"/>
      <c r="H12" s="38"/>
      <c r="I12" s="38"/>
      <c r="J12" s="38"/>
    </row>
    <row r="13" spans="1:10">
      <c r="A13" s="38" t="s">
        <v>913</v>
      </c>
      <c r="B13" s="276">
        <v>10.39</v>
      </c>
      <c r="C13" s="276">
        <v>9.3699999999999992</v>
      </c>
      <c r="D13" s="276">
        <v>9.39</v>
      </c>
      <c r="E13" s="276">
        <v>10.16</v>
      </c>
      <c r="F13" s="274">
        <f t="shared" si="0"/>
        <v>39.31</v>
      </c>
      <c r="G13" s="38"/>
      <c r="H13" s="38"/>
      <c r="I13" s="277">
        <f>F13*1000000</f>
        <v>39310000</v>
      </c>
      <c r="J13" s="38"/>
    </row>
    <row r="14" spans="1:10">
      <c r="A14" s="38" t="s">
        <v>914</v>
      </c>
      <c r="B14" s="276">
        <v>0</v>
      </c>
      <c r="C14" s="276">
        <v>0</v>
      </c>
      <c r="D14" s="276">
        <v>0</v>
      </c>
      <c r="E14" s="276">
        <v>0</v>
      </c>
      <c r="F14" s="274">
        <f t="shared" si="0"/>
        <v>0</v>
      </c>
      <c r="G14" s="38"/>
      <c r="H14" s="38"/>
      <c r="I14" s="38"/>
      <c r="J14" s="38"/>
    </row>
    <row r="15" spans="1:10">
      <c r="A15" s="38" t="s">
        <v>915</v>
      </c>
      <c r="B15" s="276">
        <v>0</v>
      </c>
      <c r="C15" s="276">
        <v>0</v>
      </c>
      <c r="D15" s="276">
        <v>10.17</v>
      </c>
      <c r="E15" s="276">
        <v>0</v>
      </c>
      <c r="F15" s="274">
        <f t="shared" si="0"/>
        <v>10.17</v>
      </c>
      <c r="G15" s="38"/>
      <c r="H15" s="277">
        <f>F15*1000000</f>
        <v>10170000</v>
      </c>
      <c r="I15" s="38"/>
      <c r="J15" s="38"/>
    </row>
    <row r="16" spans="1:10">
      <c r="A16" s="38" t="s">
        <v>916</v>
      </c>
      <c r="B16" s="276">
        <v>-2.95</v>
      </c>
      <c r="C16" s="276">
        <v>-2.73</v>
      </c>
      <c r="D16" s="276">
        <v>-3.04</v>
      </c>
      <c r="E16" s="276">
        <v>-3.86</v>
      </c>
      <c r="F16" s="274">
        <f t="shared" si="0"/>
        <v>-12.579999999999998</v>
      </c>
      <c r="G16" s="38"/>
      <c r="H16" s="38"/>
      <c r="I16" s="38"/>
      <c r="J16" s="38"/>
    </row>
    <row r="17" spans="1:10">
      <c r="A17" s="38" t="s">
        <v>917</v>
      </c>
      <c r="B17" s="276">
        <v>0</v>
      </c>
      <c r="C17" s="276">
        <v>0</v>
      </c>
      <c r="D17" s="276">
        <v>0</v>
      </c>
      <c r="E17" s="276">
        <v>0</v>
      </c>
      <c r="F17" s="274">
        <f t="shared" si="0"/>
        <v>0</v>
      </c>
      <c r="G17" s="38"/>
      <c r="H17" s="38"/>
      <c r="I17" s="38"/>
      <c r="J17" s="38"/>
    </row>
    <row r="18" spans="1:10">
      <c r="A18" s="38" t="s">
        <v>918</v>
      </c>
      <c r="B18" s="276">
        <v>1.94</v>
      </c>
      <c r="C18" s="276">
        <v>2.2599999999999998</v>
      </c>
      <c r="D18" s="276">
        <v>1.86</v>
      </c>
      <c r="E18" s="276">
        <v>3.07</v>
      </c>
      <c r="F18" s="274">
        <f t="shared" si="0"/>
        <v>9.129999999999999</v>
      </c>
      <c r="G18" s="38"/>
      <c r="H18" s="38"/>
      <c r="I18" s="277">
        <f>F18*1000000</f>
        <v>9129999.9999999981</v>
      </c>
      <c r="J18" s="38"/>
    </row>
    <row r="19" spans="1:10">
      <c r="A19" s="38" t="s">
        <v>919</v>
      </c>
      <c r="B19" s="276">
        <v>14.11</v>
      </c>
      <c r="C19" s="276">
        <v>5.58</v>
      </c>
      <c r="D19" s="276">
        <v>-0.57699999999999996</v>
      </c>
      <c r="E19" s="276">
        <v>-0.24199999999999999</v>
      </c>
      <c r="F19" s="274">
        <f t="shared" si="0"/>
        <v>18.870999999999999</v>
      </c>
      <c r="G19" s="38"/>
      <c r="H19" s="38"/>
      <c r="I19" s="38"/>
      <c r="J19" s="38"/>
    </row>
    <row r="20" spans="1:10">
      <c r="A20" s="38" t="s">
        <v>920</v>
      </c>
      <c r="B20" s="276">
        <v>0</v>
      </c>
      <c r="C20" s="276">
        <v>0</v>
      </c>
      <c r="D20" s="276">
        <v>0</v>
      </c>
      <c r="E20" s="276">
        <v>0</v>
      </c>
      <c r="F20" s="274">
        <f t="shared" si="0"/>
        <v>0</v>
      </c>
      <c r="G20" s="38"/>
      <c r="H20" s="38"/>
      <c r="I20" s="38"/>
      <c r="J20" s="38"/>
    </row>
    <row r="21" spans="1:10">
      <c r="A21" s="38" t="s">
        <v>921</v>
      </c>
      <c r="B21" s="276">
        <v>4.0000000000000001E-3</v>
      </c>
      <c r="C21" s="276">
        <v>0</v>
      </c>
      <c r="D21" s="276">
        <v>0</v>
      </c>
      <c r="E21" s="276">
        <v>0</v>
      </c>
      <c r="F21" s="274">
        <f t="shared" si="0"/>
        <v>4.0000000000000001E-3</v>
      </c>
      <c r="G21" s="38"/>
      <c r="H21" s="38"/>
      <c r="I21" s="38"/>
      <c r="J21" s="38"/>
    </row>
    <row r="22" spans="1:10">
      <c r="A22" s="38" t="s">
        <v>922</v>
      </c>
      <c r="B22" s="276">
        <v>3.1</v>
      </c>
      <c r="C22" s="276">
        <v>2.73</v>
      </c>
      <c r="D22" s="276">
        <v>2.96</v>
      </c>
      <c r="E22" s="276">
        <v>3.63</v>
      </c>
      <c r="F22" s="274">
        <f t="shared" si="0"/>
        <v>12.419999999999998</v>
      </c>
      <c r="G22" s="38"/>
      <c r="H22" s="38"/>
      <c r="I22" s="38"/>
      <c r="J22" s="38"/>
    </row>
    <row r="23" spans="1:10" s="1" customFormat="1">
      <c r="A23" s="34" t="s">
        <v>923</v>
      </c>
      <c r="B23" s="273">
        <v>11.01</v>
      </c>
      <c r="C23" s="273">
        <v>2.85</v>
      </c>
      <c r="D23" s="273">
        <v>-3.54</v>
      </c>
      <c r="E23" s="273">
        <v>-3.93</v>
      </c>
      <c r="F23" s="274">
        <f t="shared" si="0"/>
        <v>6.3900000000000006</v>
      </c>
      <c r="G23" s="34"/>
      <c r="H23" s="34"/>
      <c r="I23" s="34"/>
      <c r="J23" s="34"/>
    </row>
    <row r="24" spans="1:10">
      <c r="A24" s="38" t="s">
        <v>924</v>
      </c>
      <c r="B24" s="276">
        <v>2.63</v>
      </c>
      <c r="C24" s="276">
        <v>-6.4000000000000001E-2</v>
      </c>
      <c r="D24" s="276">
        <v>0.57699999999999996</v>
      </c>
      <c r="E24" s="276">
        <v>-0.45400000000000001</v>
      </c>
      <c r="F24" s="274">
        <f t="shared" si="0"/>
        <v>2.6889999999999996</v>
      </c>
      <c r="G24" s="38"/>
      <c r="H24" s="38"/>
      <c r="I24" s="38"/>
      <c r="J24" s="38"/>
    </row>
    <row r="25" spans="1:10">
      <c r="A25" s="38" t="s">
        <v>925</v>
      </c>
      <c r="B25" s="276">
        <v>8.3800000000000008</v>
      </c>
      <c r="C25" s="276">
        <v>2.92</v>
      </c>
      <c r="D25" s="276">
        <v>-4.1100000000000003</v>
      </c>
      <c r="E25" s="276">
        <v>-3.48</v>
      </c>
      <c r="F25" s="274">
        <f t="shared" si="0"/>
        <v>3.7100000000000004</v>
      </c>
      <c r="G25" s="38"/>
      <c r="H25" s="38"/>
      <c r="I25" s="38"/>
      <c r="J25" s="38"/>
    </row>
    <row r="26" spans="1:10">
      <c r="A26" s="38" t="s">
        <v>926</v>
      </c>
      <c r="B26" s="276">
        <v>0</v>
      </c>
      <c r="C26" s="276">
        <v>0</v>
      </c>
      <c r="D26" s="276">
        <v>0</v>
      </c>
      <c r="E26" s="276">
        <v>0</v>
      </c>
      <c r="F26" s="274">
        <f t="shared" si="0"/>
        <v>0</v>
      </c>
      <c r="G26" s="38"/>
      <c r="H26" s="38"/>
      <c r="I26" s="38"/>
      <c r="J26" s="38"/>
    </row>
    <row r="27" spans="1:10">
      <c r="A27" s="38" t="s">
        <v>927</v>
      </c>
      <c r="B27" s="276">
        <v>0</v>
      </c>
      <c r="C27" s="276">
        <v>0</v>
      </c>
      <c r="D27" s="276">
        <v>0</v>
      </c>
      <c r="E27" s="276">
        <v>0</v>
      </c>
      <c r="F27" s="274">
        <f t="shared" si="0"/>
        <v>0</v>
      </c>
      <c r="G27" s="38"/>
      <c r="H27" s="38"/>
      <c r="I27" s="38"/>
      <c r="J27" s="38"/>
    </row>
    <row r="28" spans="1:10">
      <c r="A28" s="38" t="s">
        <v>928</v>
      </c>
      <c r="B28" s="276">
        <v>0</v>
      </c>
      <c r="C28" s="276">
        <v>0</v>
      </c>
      <c r="D28" s="276">
        <v>0</v>
      </c>
      <c r="E28" s="276">
        <v>0</v>
      </c>
      <c r="F28" s="274">
        <f t="shared" si="0"/>
        <v>0</v>
      </c>
      <c r="G28" s="38"/>
      <c r="H28" s="38"/>
      <c r="I28" s="38"/>
      <c r="J28" s="38"/>
    </row>
    <row r="29" spans="1:10">
      <c r="A29" s="38" t="s">
        <v>929</v>
      </c>
      <c r="B29" s="276">
        <v>8.3800000000000008</v>
      </c>
      <c r="C29" s="276">
        <v>2.92</v>
      </c>
      <c r="D29" s="276">
        <v>-4.1100000000000003</v>
      </c>
      <c r="E29" s="276">
        <v>-3.48</v>
      </c>
      <c r="F29" s="274">
        <f t="shared" si="0"/>
        <v>3.7100000000000004</v>
      </c>
      <c r="G29" s="38"/>
      <c r="H29" s="38"/>
      <c r="I29" s="38"/>
      <c r="J29" s="38"/>
    </row>
    <row r="30" spans="1:10">
      <c r="A30" s="38" t="s">
        <v>930</v>
      </c>
      <c r="B30" s="276">
        <v>0</v>
      </c>
      <c r="C30" s="276">
        <v>0</v>
      </c>
      <c r="D30" s="276">
        <v>0</v>
      </c>
      <c r="E30" s="276">
        <v>0</v>
      </c>
      <c r="F30" s="274">
        <f t="shared" si="0"/>
        <v>0</v>
      </c>
      <c r="G30" s="38"/>
      <c r="H30" s="38"/>
      <c r="I30" s="38"/>
      <c r="J30" s="38"/>
    </row>
    <row r="31" spans="1:10" s="1" customFormat="1">
      <c r="A31" s="34" t="s">
        <v>931</v>
      </c>
      <c r="B31" s="273">
        <v>8.3800000000000008</v>
      </c>
      <c r="C31" s="273">
        <v>2.92</v>
      </c>
      <c r="D31" s="273">
        <v>-4.1100000000000003</v>
      </c>
      <c r="E31" s="273">
        <v>-3.48</v>
      </c>
      <c r="F31" s="274">
        <f t="shared" si="0"/>
        <v>3.7100000000000004</v>
      </c>
      <c r="G31" s="34"/>
      <c r="H31" s="34"/>
      <c r="I31" s="34"/>
      <c r="J31" s="274">
        <f>F31*1000000</f>
        <v>3710000.0000000005</v>
      </c>
    </row>
    <row r="32" spans="1:10">
      <c r="A32" s="38" t="s">
        <v>932</v>
      </c>
      <c r="B32" s="276">
        <v>0</v>
      </c>
      <c r="C32" s="276">
        <v>0</v>
      </c>
      <c r="D32" s="276">
        <v>0</v>
      </c>
      <c r="E32" s="276">
        <v>0</v>
      </c>
      <c r="F32" s="274">
        <f t="shared" si="0"/>
        <v>0</v>
      </c>
      <c r="G32" s="38"/>
      <c r="H32" s="38"/>
      <c r="I32" s="38"/>
      <c r="J32" s="38"/>
    </row>
    <row r="33" spans="1:10">
      <c r="A33" s="38" t="s">
        <v>933</v>
      </c>
      <c r="B33" s="276">
        <v>8.3800000000000008</v>
      </c>
      <c r="C33" s="276">
        <v>2.92</v>
      </c>
      <c r="D33" s="276">
        <v>-4.1100000000000003</v>
      </c>
      <c r="E33" s="276">
        <v>-3.48</v>
      </c>
      <c r="F33" s="274">
        <f t="shared" si="0"/>
        <v>3.7100000000000004</v>
      </c>
      <c r="G33" s="38"/>
      <c r="H33" s="38"/>
      <c r="I33" s="38"/>
      <c r="J33" s="38"/>
    </row>
    <row r="34" spans="1:10">
      <c r="A34" s="38" t="s">
        <v>934</v>
      </c>
      <c r="B34" s="276">
        <v>0</v>
      </c>
      <c r="C34" s="276">
        <v>0</v>
      </c>
      <c r="D34" s="276">
        <v>0</v>
      </c>
      <c r="E34" s="276">
        <v>0</v>
      </c>
      <c r="F34" s="274">
        <f t="shared" si="0"/>
        <v>0</v>
      </c>
      <c r="G34" s="38"/>
      <c r="H34" s="38"/>
      <c r="I34" s="38"/>
      <c r="J34" s="38"/>
    </row>
    <row r="35" spans="1:10">
      <c r="A35" s="38" t="s">
        <v>935</v>
      </c>
      <c r="B35" s="276">
        <v>8.3800000000000008</v>
      </c>
      <c r="C35" s="276">
        <v>2.92</v>
      </c>
      <c r="D35" s="276">
        <v>-4.1100000000000003</v>
      </c>
      <c r="E35" s="276">
        <v>-3.48</v>
      </c>
      <c r="F35" s="274">
        <f t="shared" si="0"/>
        <v>3.7100000000000004</v>
      </c>
      <c r="G35" s="38"/>
      <c r="H35" s="38"/>
      <c r="I35" s="38"/>
      <c r="J35" s="38"/>
    </row>
    <row r="36" spans="1:10">
      <c r="A36" s="38" t="s">
        <v>936</v>
      </c>
      <c r="B36" s="276">
        <v>0</v>
      </c>
      <c r="C36" s="276">
        <v>57.58</v>
      </c>
      <c r="D36" s="276">
        <v>57.58</v>
      </c>
      <c r="E36" s="276">
        <v>57.96</v>
      </c>
      <c r="F36" s="274">
        <f t="shared" si="0"/>
        <v>173.12</v>
      </c>
      <c r="G36" s="38"/>
      <c r="H36" s="38"/>
      <c r="I36" s="38"/>
      <c r="J36" s="38"/>
    </row>
    <row r="37" spans="1:10">
      <c r="A37" s="38" t="s">
        <v>937</v>
      </c>
      <c r="B37" s="276">
        <v>0</v>
      </c>
      <c r="C37" s="276">
        <v>5.0999999999999997E-2</v>
      </c>
      <c r="D37" s="276">
        <v>-7.0999999999999994E-2</v>
      </c>
      <c r="E37" s="276">
        <v>-0.06</v>
      </c>
      <c r="F37" s="274">
        <f t="shared" si="0"/>
        <v>-7.9999999999999988E-2</v>
      </c>
      <c r="G37" s="38"/>
      <c r="H37" s="38"/>
      <c r="I37" s="38"/>
      <c r="J37" s="38"/>
    </row>
    <row r="38" spans="1:10">
      <c r="A38" s="38" t="s">
        <v>938</v>
      </c>
      <c r="B38" s="276">
        <v>0</v>
      </c>
      <c r="C38" s="276">
        <v>0</v>
      </c>
      <c r="D38" s="276">
        <v>0</v>
      </c>
      <c r="E38" s="276">
        <v>0</v>
      </c>
      <c r="F38" s="274">
        <f t="shared" si="0"/>
        <v>0</v>
      </c>
      <c r="G38" s="38"/>
      <c r="H38" s="38"/>
      <c r="I38" s="38"/>
      <c r="J38" s="38"/>
    </row>
    <row r="39" spans="1:10">
      <c r="A39" s="38" t="s">
        <v>939</v>
      </c>
      <c r="B39" s="276">
        <v>0.123</v>
      </c>
      <c r="C39" s="276">
        <v>3.1E-2</v>
      </c>
      <c r="D39" s="276">
        <v>-3.7999999999999999E-2</v>
      </c>
      <c r="E39" s="276">
        <v>-4.2999999999999997E-2</v>
      </c>
      <c r="F39" s="274">
        <f t="shared" si="0"/>
        <v>7.2999999999999995E-2</v>
      </c>
      <c r="G39" s="38"/>
      <c r="H39" s="38"/>
      <c r="I39" s="38"/>
      <c r="J39" s="38"/>
    </row>
    <row r="41" spans="1:10">
      <c r="A41" s="40" t="s">
        <v>183</v>
      </c>
      <c r="B41" s="35"/>
      <c r="C41" s="38"/>
      <c r="D41" s="38"/>
      <c r="E41" s="38"/>
      <c r="F41" s="38"/>
      <c r="G41" s="41">
        <f>G10</f>
        <v>185630000</v>
      </c>
      <c r="H41" s="38"/>
      <c r="I41" s="38"/>
      <c r="J41" s="38"/>
    </row>
    <row r="42" spans="1:10">
      <c r="A42" s="39" t="s">
        <v>184</v>
      </c>
      <c r="B42" s="35"/>
      <c r="C42" s="38"/>
      <c r="D42" s="38"/>
      <c r="E42" s="38"/>
      <c r="F42" s="38"/>
      <c r="G42" s="42"/>
      <c r="H42" s="266">
        <f>H15/G41</f>
        <v>5.478640305985024E-2</v>
      </c>
      <c r="I42" s="38"/>
      <c r="J42" s="38"/>
    </row>
    <row r="43" spans="1:10">
      <c r="A43" s="40" t="s">
        <v>185</v>
      </c>
      <c r="B43" s="35"/>
      <c r="C43" s="38"/>
      <c r="D43" s="38"/>
      <c r="E43" s="38"/>
      <c r="F43" s="38"/>
      <c r="G43" s="38"/>
      <c r="H43" s="41">
        <f>H15+G10</f>
        <v>195800000</v>
      </c>
      <c r="I43" s="38"/>
      <c r="J43" s="38"/>
    </row>
    <row r="44" spans="1:10">
      <c r="A44" s="39" t="s">
        <v>186</v>
      </c>
      <c r="B44" s="35"/>
      <c r="C44" s="38"/>
      <c r="D44" s="38"/>
      <c r="E44" s="38"/>
      <c r="F44" s="38"/>
      <c r="G44" s="38"/>
      <c r="H44" s="42"/>
      <c r="I44" s="266">
        <f>SUM(I13:I18)/H43</f>
        <v>0.24739530132788559</v>
      </c>
      <c r="J44" s="38"/>
    </row>
    <row r="45" spans="1:10">
      <c r="A45" s="40" t="s">
        <v>187</v>
      </c>
      <c r="B45" s="35"/>
      <c r="C45" s="38"/>
      <c r="D45" s="38"/>
      <c r="E45" s="38"/>
      <c r="F45" s="38"/>
      <c r="G45" s="38"/>
      <c r="H45" s="38"/>
      <c r="I45" s="41">
        <f>SUM(G10:I18)</f>
        <v>244240000</v>
      </c>
      <c r="J45" s="38"/>
    </row>
    <row r="46" spans="1:10">
      <c r="A46" s="39" t="s">
        <v>188</v>
      </c>
      <c r="B46" s="35"/>
      <c r="C46" s="38"/>
      <c r="D46" s="38"/>
      <c r="E46" s="38"/>
      <c r="F46" s="38"/>
      <c r="G46" s="38"/>
      <c r="H46" s="38"/>
      <c r="I46" s="43"/>
      <c r="J46" s="278">
        <f>J31/I45</f>
        <v>1.5189977071732724E-2</v>
      </c>
    </row>
    <row r="61" spans="4:4">
      <c r="D61" s="264"/>
    </row>
    <row r="65" spans="4:4">
      <c r="D65" s="264"/>
    </row>
    <row r="234" spans="4:4">
      <c r="D234" s="264"/>
    </row>
    <row r="278" spans="4:4">
      <c r="D278" s="264"/>
    </row>
    <row r="295" spans="4:4">
      <c r="D295" s="264"/>
    </row>
    <row r="326" spans="4:4">
      <c r="D326" s="264"/>
    </row>
    <row r="330" spans="4:4">
      <c r="D330" s="264"/>
    </row>
    <row r="332" spans="4:4">
      <c r="D332" s="264"/>
    </row>
    <row r="336" spans="4:4">
      <c r="D336" s="264"/>
    </row>
    <row r="343" spans="4:4">
      <c r="D343" s="264"/>
    </row>
    <row r="347" spans="4:4">
      <c r="D347" s="264"/>
    </row>
  </sheetData>
  <autoFilter ref="A7:K39" xr:uid="{4867C0DB-7F45-45A6-8A6C-554881BF4DC8}"/>
  <hyperlinks>
    <hyperlink ref="A2" r:id="rId1" display="https://www.investing.com/equities/rubex-plastic-income-statement" xr:uid="{15BD276C-B138-479F-8FCA-811BB773C90F}"/>
  </hyperlinks>
  <printOptions horizontalCentered="1"/>
  <pageMargins left="0.25" right="0.25" top="0.75" bottom="0.75" header="0.3" footer="0.3"/>
  <pageSetup paperSize="9" scale="69"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f27ff04-d8be-47a7-827b-d66418bb9b42">
      <Terms xmlns="http://schemas.microsoft.com/office/infopath/2007/PartnerControls"/>
    </lcf76f155ced4ddcb4097134ff3c332f>
    <TaxCatchAll xmlns="4d7fa8e4-289c-4ee6-b0a2-7096240dd4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83696821B8E64185FE57C413A47F2E" ma:contentTypeVersion="18" ma:contentTypeDescription="Create a new document." ma:contentTypeScope="" ma:versionID="c9b4b0848bc35491d594f7315ccfea1d">
  <xsd:schema xmlns:xsd="http://www.w3.org/2001/XMLSchema" xmlns:xs="http://www.w3.org/2001/XMLSchema" xmlns:p="http://schemas.microsoft.com/office/2006/metadata/properties" xmlns:ns2="9f27ff04-d8be-47a7-827b-d66418bb9b42" xmlns:ns3="4d7fa8e4-289c-4ee6-b0a2-7096240dd412" targetNamespace="http://schemas.microsoft.com/office/2006/metadata/properties" ma:root="true" ma:fieldsID="bea24125ddd5b76debf436532e25fde8" ns2:_="" ns3:_="">
    <xsd:import namespace="9f27ff04-d8be-47a7-827b-d66418bb9b42"/>
    <xsd:import namespace="4d7fa8e4-289c-4ee6-b0a2-7096240dd4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27ff04-d8be-47a7-827b-d66418bb9b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47010e8-39f4-420f-9d2a-9fede9ee8cd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7fa8e4-289c-4ee6-b0a2-7096240dd4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c9b3205-5664-4863-893d-ccc8b5cb19d6}" ma:internalName="TaxCatchAll" ma:showField="CatchAllData" ma:web="4d7fa8e4-289c-4ee6-b0a2-7096240dd4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E353AF-5F7F-4F0A-89F5-C336DF51BBAC}">
  <ds:schemaRefs>
    <ds:schemaRef ds:uri="http://schemas.microsoft.com/office/2006/metadata/properties"/>
    <ds:schemaRef ds:uri="http://schemas.microsoft.com/office/infopath/2007/PartnerControls"/>
    <ds:schemaRef ds:uri="9f27ff04-d8be-47a7-827b-d66418bb9b42"/>
    <ds:schemaRef ds:uri="4d7fa8e4-289c-4ee6-b0a2-7096240dd412"/>
  </ds:schemaRefs>
</ds:datastoreItem>
</file>

<file path=customXml/itemProps2.xml><?xml version="1.0" encoding="utf-8"?>
<ds:datastoreItem xmlns:ds="http://schemas.openxmlformats.org/officeDocument/2006/customXml" ds:itemID="{C5984F92-C810-4DC1-AFB2-510BE955F6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27ff04-d8be-47a7-827b-d66418bb9b42"/>
    <ds:schemaRef ds:uri="4d7fa8e4-289c-4ee6-b0a2-7096240dd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F0E016-D99E-45D2-B331-07D6C2091D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SC CONSIDERATION</vt:lpstr>
      <vt:lpstr>EX-1A SV Summary</vt:lpstr>
      <vt:lpstr>Movement</vt:lpstr>
      <vt:lpstr>Water</vt:lpstr>
      <vt:lpstr>NME list</vt:lpstr>
      <vt:lpstr>Export Data</vt:lpstr>
      <vt:lpstr>Imports Data</vt:lpstr>
      <vt:lpstr>Costing flow</vt:lpstr>
      <vt:lpstr>EX-1B Data source</vt:lpstr>
      <vt:lpstr>EX-2.1 Chai &amp; vảy</vt:lpstr>
      <vt:lpstr>EX-2.4 Phụ gia khác</vt:lpstr>
      <vt:lpstr>EX-2.5 Phụ gia RHC</vt:lpstr>
      <vt:lpstr>EX-2.3 Phụ gia 409</vt:lpstr>
      <vt:lpstr>EX-2.6 Phá bọt</vt:lpstr>
      <vt:lpstr>EX-2.7- Thủy tinh lỏng</vt:lpstr>
      <vt:lpstr>EX-2.8 Sodium 281511</vt:lpstr>
      <vt:lpstr>EX-2.9 Sodium 281512</vt:lpstr>
      <vt:lpstr>EX-2.10 Pallet gỗ</vt:lpstr>
      <vt:lpstr>EX-2.11 Bao bì</vt:lpstr>
      <vt:lpstr>EX-3 CPI</vt:lpstr>
      <vt:lpstr>EX-5A LABOR</vt:lpstr>
      <vt:lpstr>EX-6A ELEC</vt:lpstr>
      <vt:lpstr>EX-10A FINRATIO</vt:lpstr>
      <vt:lpstr>EX-10C1 Rubex</vt:lpstr>
      <vt:lpstr>'EX-10C1 Rubex'!Print_Area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Thanh Toan</dc:creator>
  <cp:lastModifiedBy>Nguyen Ngoc Mai</cp:lastModifiedBy>
  <cp:lastPrinted>2024-04-11T10:55:22Z</cp:lastPrinted>
  <dcterms:created xsi:type="dcterms:W3CDTF">2024-04-08T07:36:08Z</dcterms:created>
  <dcterms:modified xsi:type="dcterms:W3CDTF">2024-10-21T04:21:15Z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0x0101008583696821B8E64185FE57C413A47F2E</vt:lpwstr>
  </property>
  <property fmtid="{D5CDD505-2E9C-101B-9397-08002B2CF9AE}" pid="3" name="MediaServiceImageTags">
    <vt:lpwstr/>
  </property>
</Properties>
</file>