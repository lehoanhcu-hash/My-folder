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Báo cáo Consolidate\Hợp nhất sau điều chỉnh\"/>
    </mc:Choice>
  </mc:AlternateContent>
  <xr:revisionPtr revIDLastSave="0" documentId="13_ncr:1_{2D098C43-F5AD-4156-B7EF-B47BC5617E61}" xr6:coauthVersionLast="47" xr6:coauthVersionMax="47" xr10:uidLastSave="{00000000-0000-0000-0000-000000000000}"/>
  <bookViews>
    <workbookView xWindow="-110" yWindow="-110" windowWidth="19420" windowHeight="10300" xr2:uid="{BAC881CB-EDF5-45C3-82F8-E4D63B73870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1" i="1"/>
  <c r="J10" i="1"/>
  <c r="J9" i="1"/>
  <c r="J8" i="1"/>
  <c r="J7" i="1"/>
  <c r="J6" i="1"/>
  <c r="J5" i="1"/>
  <c r="J4" i="1"/>
  <c r="I12" i="1"/>
  <c r="I11" i="1"/>
  <c r="I10" i="1"/>
  <c r="I9" i="1"/>
  <c r="I8" i="1"/>
  <c r="I7" i="1"/>
  <c r="I6" i="1"/>
  <c r="I5" i="1"/>
  <c r="I4" i="1"/>
  <c r="H12" i="1"/>
  <c r="H11" i="1"/>
  <c r="H10" i="1"/>
  <c r="H9" i="1"/>
  <c r="H8" i="1"/>
  <c r="H7" i="1"/>
  <c r="H6" i="1"/>
  <c r="H5" i="1"/>
  <c r="H4" i="1"/>
  <c r="B11" i="1"/>
  <c r="B10" i="1"/>
  <c r="B9" i="1"/>
  <c r="B8" i="1"/>
  <c r="B7" i="1"/>
  <c r="B6" i="1"/>
  <c r="B5" i="1"/>
  <c r="B4" i="1"/>
  <c r="B12" i="1" s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D4" i="1"/>
  <c r="E5" i="1" l="1"/>
  <c r="E4" i="1"/>
</calcChain>
</file>

<file path=xl/sharedStrings.xml><?xml version="1.0" encoding="utf-8"?>
<sst xmlns="http://schemas.openxmlformats.org/spreadsheetml/2006/main" count="18" uniqueCount="16">
  <si>
    <t>6220</t>
  </si>
  <si>
    <t>6271</t>
  </si>
  <si>
    <t>6272</t>
  </si>
  <si>
    <t>6273</t>
  </si>
  <si>
    <t>6274</t>
  </si>
  <si>
    <t>6275</t>
  </si>
  <si>
    <t>6277</t>
  </si>
  <si>
    <t>6278</t>
  </si>
  <si>
    <t>Tài khoản</t>
  </si>
  <si>
    <t>NS1.2026</t>
  </si>
  <si>
    <t>1. TỔNG CHI PHÍ CHƯA BAO GỒM CÁC CHI PHÍ PHÂN LOẠI CHI TIẾT CHO CHUYỀN</t>
  </si>
  <si>
    <t>4. PHÂN BỔ CHI PHÍ</t>
  </si>
  <si>
    <t>4.1. PET</t>
  </si>
  <si>
    <t>1 x Tỷ lệ PET</t>
  </si>
  <si>
    <t>SX-KT chuyền</t>
  </si>
  <si>
    <t>Phân bổ 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</si>
</sst>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0000FF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2" borderId="0" xfId="0" applyFont="1" applyFill="1"/>
    <xf numFmtId="165" fontId="3" fillId="2" borderId="0" xfId="1" applyNumberFormat="1" applyFont="1" applyFill="1"/>
    <xf numFmtId="165" fontId="0" fillId="0" borderId="0" xfId="0" applyNumberFormat="1"/>
    <xf numFmtId="165" fontId="4" fillId="3" borderId="0" xfId="0" applyNumberFormat="1" applyFont="1" applyFill="1"/>
    <xf numFmtId="0" fontId="5" fillId="2" borderId="0" xfId="0" applyFont="1" applyFill="1"/>
    <xf numFmtId="165" fontId="2" fillId="0" borderId="0" xfId="0" applyNumberFormat="1" applyFont="1"/>
    <xf numFmtId="165" fontId="6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B&#225;o%20c&#225;o%20Di&#7877;m%20Share%20_NS\N&#259;m%202026\01.%20Budget%202026-New\03.%20Production%20Planning\NS%202026%20-%20Chi%20ph&#237;%20621%20V1.xlsx" TargetMode="External"/><Relationship Id="rId1" Type="http://schemas.openxmlformats.org/officeDocument/2006/relationships/externalLinkPath" Target="/Data/G&#272;%20T&#224;i%20ch&#237;nh/B&#225;o%20c&#225;o%20Di&#7877;m%20Share%20_NS/N&#259;m%202026/01.%20Budget%202026-New/03.%20Production%20Planning/NS%202026%20-%20Chi%20ph&#237;%20621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L"/>
      <sheetName val="PS"/>
      <sheetName val="1. Chi phí 621 - SX"/>
      <sheetName val="1. Chi phí 621 - PS"/>
      <sheetName val="1. Chi phí 621-34.5 ngàn"/>
      <sheetName val="|"/>
      <sheetName val="Giá thành 2026"/>
      <sheetName val="Giá thành theo mã"/>
      <sheetName val="&gt;&gt;&gt; Chi phí"/>
      <sheetName val="4. Đơn giá mua NVL"/>
      <sheetName val="5. Tỷ lệ NVL, phó sản"/>
      <sheetName val="1. Chi phí 621"/>
      <sheetName val="2.1. OH "/>
      <sheetName val="2. Chi phí 622-642"/>
      <sheetName val="2.2 Tổng hợp SX-KT"/>
      <sheetName val="2.2.1 Chi tiết kỹ thuật"/>
      <sheetName val="2.2.2 Chi tiết sản xuất"/>
      <sheetName val="2.3. Khấu hao"/>
      <sheetName val="2.3.1. 211-213_Nhâm 2026"/>
      <sheetName val="3. Tỷ lệ phân bổ chi phí"/>
      <sheetName val="2. Đơn giá mua NVL-Original"/>
      <sheetName val="&gt;&gt;&gt; Giá thành"/>
      <sheetName val="WSS01G-iSS01"/>
      <sheetName val="ISS01084G"/>
      <sheetName val="Hạt WSS01"/>
      <sheetName val="WSS03G"/>
      <sheetName val="Vảy PET"/>
      <sheetName val="WSS05SB  WSS05SB-2"/>
      <sheetName val="Rửa vảy B6_chai"/>
      <sheetName val="Rửa vảy B6"/>
      <sheetName val="Rửa vảy B7"/>
      <sheetName val="Rửa vảy B2.2"/>
      <sheetName val="Rửa vảy B5"/>
      <sheetName val="11. Hạt PCF01"/>
      <sheetName val="11. Hạt HDB03N01 (MBF01)"/>
      <sheetName val="14. Hạt HDB03N02"/>
      <sheetName val="12. Hạt HDPE Thổi màu"/>
      <sheetName val="15. Hạt HDB04B01"/>
      <sheetName val="HD ÉP HDI3R01 HDI3Y01 HDI3W01"/>
      <sheetName val="16. Hạt HDI3G01"/>
      <sheetName val="16. Hạt HDI4L01"/>
      <sheetName val="16. Hạt HDI7DL02"/>
      <sheetName val="31. Vảy HD ÉP"/>
      <sheetName val="17. Vảy dương pallet"/>
      <sheetName val="17. Vảy két kiên giang"/>
      <sheetName val="17. Vảy dương đậm tiger"/>
      <sheetName val="13. Hạt HDPE trắng sữa"/>
      <sheetName val="52. Hạt PP PPB20B01"/>
      <sheetName val="53. Hạt PP Trắng PP20W02"/>
      <sheetName val="53. Hạt PP Đỏ PP20R02"/>
      <sheetName val="54. Hạt PP20Gy01"/>
      <sheetName val="54. Hạt PP20L05"/>
      <sheetName val="72. Vảy PP Trắng"/>
      <sheetName val="73. Vảy PP Dương"/>
      <sheetName val="74. Vảy PP Đỏ"/>
      <sheetName val="72. Vảy PP Trong 16x"/>
      <sheetName val="72. Vảy PP Dương"/>
      <sheetName val="72. Vảy PP Đỏ"/>
      <sheetName val="Sheet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C4">
            <v>3897246826.1153846</v>
          </cell>
        </row>
        <row r="5">
          <cell r="C5">
            <v>5643170588.250001</v>
          </cell>
        </row>
        <row r="6">
          <cell r="C6">
            <v>698762909.1312151</v>
          </cell>
        </row>
        <row r="7">
          <cell r="C7">
            <v>305735022.78317237</v>
          </cell>
        </row>
        <row r="8">
          <cell r="C8">
            <v>5221424407.5821352</v>
          </cell>
        </row>
        <row r="9">
          <cell r="C9">
            <v>198222544.43999958</v>
          </cell>
        </row>
        <row r="10">
          <cell r="C10">
            <v>6681247062.0080509</v>
          </cell>
        </row>
        <row r="11">
          <cell r="C11">
            <v>40516666.666666664</v>
          </cell>
        </row>
        <row r="67">
          <cell r="C67">
            <v>3897246826.1153846</v>
          </cell>
        </row>
        <row r="68">
          <cell r="C68">
            <v>5643789701.3553066</v>
          </cell>
        </row>
        <row r="69">
          <cell r="C69">
            <v>1491451058.0353403</v>
          </cell>
        </row>
        <row r="70">
          <cell r="C70">
            <v>1012736681.7448429</v>
          </cell>
        </row>
        <row r="71">
          <cell r="C71">
            <v>5238165688.0139914</v>
          </cell>
        </row>
        <row r="72">
          <cell r="C72">
            <v>4656905947.7883654</v>
          </cell>
        </row>
        <row r="73">
          <cell r="C73">
            <v>6929346923.7374105</v>
          </cell>
        </row>
        <row r="74">
          <cell r="C74">
            <v>176955820.63567585</v>
          </cell>
        </row>
        <row r="79">
          <cell r="Q79">
            <v>3448890996.5622873</v>
          </cell>
          <cell r="AE79">
            <v>0</v>
          </cell>
        </row>
        <row r="80">
          <cell r="Q80">
            <v>4993956272.787612</v>
          </cell>
          <cell r="AE80">
            <v>0</v>
          </cell>
        </row>
        <row r="81">
          <cell r="Q81">
            <v>618374255.86833203</v>
          </cell>
          <cell r="AE81">
            <v>618997364.42361927</v>
          </cell>
        </row>
        <row r="82">
          <cell r="Q82">
            <v>270561967.06475431</v>
          </cell>
          <cell r="AE82">
            <v>680763530.46564567</v>
          </cell>
        </row>
        <row r="83">
          <cell r="Q83">
            <v>4620729564.2319784</v>
          </cell>
          <cell r="AE83">
            <v>0</v>
          </cell>
        </row>
        <row r="84">
          <cell r="Q84">
            <v>175418180.92035362</v>
          </cell>
          <cell r="AE84">
            <v>3040603956.3470092</v>
          </cell>
        </row>
        <row r="85">
          <cell r="Q85">
            <v>5912608019.4761515</v>
          </cell>
          <cell r="AE85">
            <v>233129514.21632707</v>
          </cell>
        </row>
        <row r="86">
          <cell r="Q86">
            <v>35855457.227138646</v>
          </cell>
          <cell r="AE86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F784-48BA-4C0E-A3EA-EBC28987B14E}">
  <dimension ref="A1:J12"/>
  <sheetViews>
    <sheetView tabSelected="1" workbookViewId="0">
      <selection activeCell="H4" sqref="H4"/>
    </sheetView>
  </sheetViews>
  <sheetFormatPr defaultRowHeight="14.5" x14ac:dyDescent="0.35"/>
  <cols>
    <col min="1" max="1" width="8.7265625" customWidth="1"/>
    <col min="2" max="2" width="18.81640625" customWidth="1"/>
    <col min="4" max="4" width="15.81640625" bestFit="1" customWidth="1"/>
    <col min="5" max="5" width="13.81640625" bestFit="1" customWidth="1"/>
    <col min="8" max="8" width="20.26953125" bestFit="1" customWidth="1"/>
    <col min="9" max="9" width="14.7265625" bestFit="1" customWidth="1"/>
    <col min="10" max="10" width="14.81640625" bestFit="1" customWidth="1"/>
  </cols>
  <sheetData>
    <row r="1" spans="1:10" x14ac:dyDescent="0.35">
      <c r="A1" s="5" t="s">
        <v>10</v>
      </c>
      <c r="H1" s="5" t="s">
        <v>11</v>
      </c>
    </row>
    <row r="2" spans="1:10" x14ac:dyDescent="0.35">
      <c r="A2" s="5"/>
      <c r="C2" s="5" t="s">
        <v>12</v>
      </c>
      <c r="H2" t="s">
        <v>13</v>
      </c>
      <c r="I2" t="s">
        <v>14</v>
      </c>
      <c r="J2" t="s">
        <v>15</v>
      </c>
    </row>
    <row r="3" spans="1:10" x14ac:dyDescent="0.35">
      <c r="A3" t="s">
        <v>8</v>
      </c>
      <c r="B3" t="s">
        <v>9</v>
      </c>
      <c r="C3" t="s">
        <v>8</v>
      </c>
      <c r="D3" t="s">
        <v>9</v>
      </c>
    </row>
    <row r="4" spans="1:10" x14ac:dyDescent="0.35">
      <c r="A4" s="1" t="s">
        <v>0</v>
      </c>
      <c r="B4" s="2">
        <f>'[1]2. Chi phí 622-642'!C4</f>
        <v>3897246826.1153846</v>
      </c>
      <c r="C4" s="1">
        <v>6220</v>
      </c>
      <c r="D4" s="2">
        <f>'[1]2. Chi phí 622-642'!C67</f>
        <v>3897246826.1153846</v>
      </c>
      <c r="E4" s="3">
        <f t="shared" ref="E4:E11" si="0">D4-B4</f>
        <v>0</v>
      </c>
      <c r="H4" s="2">
        <f>'[1]2. Chi phí 622-642'!Q79</f>
        <v>3448890996.5622873</v>
      </c>
      <c r="I4" s="2">
        <f>'[1]2. Chi phí 622-642'!AE79</f>
        <v>0</v>
      </c>
      <c r="J4" s="3">
        <f>I4+H4</f>
        <v>3448890996.5622873</v>
      </c>
    </row>
    <row r="5" spans="1:10" x14ac:dyDescent="0.35">
      <c r="A5" s="1" t="s">
        <v>1</v>
      </c>
      <c r="B5" s="2">
        <f>'[1]2. Chi phí 622-642'!C5</f>
        <v>5643170588.250001</v>
      </c>
      <c r="C5" s="1">
        <v>6271</v>
      </c>
      <c r="D5" s="2">
        <f>'[1]2. Chi phí 622-642'!C68</f>
        <v>5643789701.3553066</v>
      </c>
      <c r="E5" s="3">
        <f t="shared" si="0"/>
        <v>619113.10530567169</v>
      </c>
      <c r="H5" s="2">
        <f>'[1]2. Chi phí 622-642'!Q80</f>
        <v>4993956272.787612</v>
      </c>
      <c r="I5" s="2">
        <f>'[1]2. Chi phí 622-642'!AE80</f>
        <v>0</v>
      </c>
      <c r="J5" s="3">
        <f t="shared" ref="J5:J11" si="1">I5+H5</f>
        <v>4993956272.787612</v>
      </c>
    </row>
    <row r="6" spans="1:10" x14ac:dyDescent="0.35">
      <c r="A6" s="1" t="s">
        <v>2</v>
      </c>
      <c r="B6" s="2">
        <f>'[1]2. Chi phí 622-642'!C6</f>
        <v>698762909.1312151</v>
      </c>
      <c r="C6" s="1">
        <v>6272</v>
      </c>
      <c r="D6" s="2">
        <f>'[1]2. Chi phí 622-642'!C69</f>
        <v>1491451058.0353403</v>
      </c>
      <c r="E6" s="3">
        <f t="shared" si="0"/>
        <v>792688148.90412521</v>
      </c>
      <c r="H6" s="2">
        <f>'[1]2. Chi phí 622-642'!Q81</f>
        <v>618374255.86833203</v>
      </c>
      <c r="I6" s="2">
        <f>'[1]2. Chi phí 622-642'!AE81</f>
        <v>618997364.42361927</v>
      </c>
      <c r="J6" s="3">
        <f t="shared" si="1"/>
        <v>1237371620.2919512</v>
      </c>
    </row>
    <row r="7" spans="1:10" x14ac:dyDescent="0.35">
      <c r="A7" s="1" t="s">
        <v>3</v>
      </c>
      <c r="B7" s="2">
        <f>'[1]2. Chi phí 622-642'!C7</f>
        <v>305735022.78317237</v>
      </c>
      <c r="C7" s="1">
        <v>6273</v>
      </c>
      <c r="D7" s="2">
        <f>'[1]2. Chi phí 622-642'!C70</f>
        <v>1012736681.7448429</v>
      </c>
      <c r="E7" s="3">
        <f t="shared" si="0"/>
        <v>707001658.96167052</v>
      </c>
      <c r="H7" s="2">
        <f>'[1]2. Chi phí 622-642'!Q82</f>
        <v>270561967.06475431</v>
      </c>
      <c r="I7" s="2">
        <f>'[1]2. Chi phí 622-642'!AE82</f>
        <v>680763530.46564567</v>
      </c>
      <c r="J7" s="3">
        <f t="shared" si="1"/>
        <v>951325497.53040004</v>
      </c>
    </row>
    <row r="8" spans="1:10" x14ac:dyDescent="0.35">
      <c r="A8" s="1" t="s">
        <v>4</v>
      </c>
      <c r="B8" s="2">
        <f>'[1]2. Chi phí 622-642'!C8</f>
        <v>5221424407.5821352</v>
      </c>
      <c r="C8" s="1">
        <v>6274</v>
      </c>
      <c r="D8" s="2">
        <f>'[1]2. Chi phí 622-642'!C71</f>
        <v>5238165688.0139914</v>
      </c>
      <c r="E8" s="3">
        <f t="shared" si="0"/>
        <v>16741280.431856155</v>
      </c>
      <c r="H8" s="2">
        <f>'[1]2. Chi phí 622-642'!Q83</f>
        <v>4620729564.2319784</v>
      </c>
      <c r="I8" s="2">
        <f>'[1]2. Chi phí 622-642'!AE83</f>
        <v>0</v>
      </c>
      <c r="J8" s="3">
        <f t="shared" si="1"/>
        <v>4620729564.2319784</v>
      </c>
    </row>
    <row r="9" spans="1:10" x14ac:dyDescent="0.35">
      <c r="A9" s="1" t="s">
        <v>5</v>
      </c>
      <c r="B9" s="2">
        <f>'[1]2. Chi phí 622-642'!C9</f>
        <v>198222544.43999958</v>
      </c>
      <c r="C9" s="1">
        <v>6275</v>
      </c>
      <c r="D9" s="2">
        <f>'[1]2. Chi phí 622-642'!C72</f>
        <v>4656905947.7883654</v>
      </c>
      <c r="E9" s="3">
        <f t="shared" si="0"/>
        <v>4458683403.3483658</v>
      </c>
      <c r="H9" s="2">
        <f>'[1]2. Chi phí 622-642'!Q84</f>
        <v>175418180.92035362</v>
      </c>
      <c r="I9" s="2">
        <f>'[1]2. Chi phí 622-642'!AE84</f>
        <v>3040603956.3470092</v>
      </c>
      <c r="J9" s="3">
        <f t="shared" si="1"/>
        <v>3216022137.2673626</v>
      </c>
    </row>
    <row r="10" spans="1:10" x14ac:dyDescent="0.35">
      <c r="A10" s="1" t="s">
        <v>6</v>
      </c>
      <c r="B10" s="2">
        <f>'[1]2. Chi phí 622-642'!C10</f>
        <v>6681247062.0080509</v>
      </c>
      <c r="C10" s="1">
        <v>6277</v>
      </c>
      <c r="D10" s="2">
        <f>'[1]2. Chi phí 622-642'!C73</f>
        <v>6929346923.7374105</v>
      </c>
      <c r="E10" s="3">
        <f t="shared" si="0"/>
        <v>248099861.72935963</v>
      </c>
      <c r="H10" s="2">
        <f>'[1]2. Chi phí 622-642'!Q85</f>
        <v>5912608019.4761515</v>
      </c>
      <c r="I10" s="2">
        <f>'[1]2. Chi phí 622-642'!AE85</f>
        <v>233129514.21632707</v>
      </c>
      <c r="J10" s="3">
        <f t="shared" si="1"/>
        <v>6145737533.6924782</v>
      </c>
    </row>
    <row r="11" spans="1:10" x14ac:dyDescent="0.35">
      <c r="A11" s="1" t="s">
        <v>7</v>
      </c>
      <c r="B11" s="2">
        <f>'[1]2. Chi phí 622-642'!C11</f>
        <v>40516666.666666664</v>
      </c>
      <c r="C11" s="1">
        <v>6278</v>
      </c>
      <c r="D11" s="2">
        <f>'[1]2. Chi phí 622-642'!C74</f>
        <v>176955820.63567585</v>
      </c>
      <c r="E11" s="3">
        <f t="shared" si="0"/>
        <v>136439153.96900919</v>
      </c>
      <c r="H11" s="2">
        <f>'[1]2. Chi phí 622-642'!Q86</f>
        <v>35855457.227138646</v>
      </c>
      <c r="I11" s="2">
        <f>'[1]2. Chi phí 622-642'!AE86</f>
        <v>0</v>
      </c>
      <c r="J11" s="3">
        <f t="shared" si="1"/>
        <v>35855457.227138646</v>
      </c>
    </row>
    <row r="12" spans="1:10" x14ac:dyDescent="0.35">
      <c r="A12" s="1"/>
      <c r="B12" s="7">
        <f>SUM(B4:B11)</f>
        <v>22686326026.976627</v>
      </c>
      <c r="C12" s="1"/>
      <c r="D12" s="2">
        <v>29046598647.426319</v>
      </c>
      <c r="E12" s="4">
        <f>D12-B12</f>
        <v>6360272620.4496918</v>
      </c>
      <c r="H12" s="6">
        <f>SUM(H4:H11)</f>
        <v>20076394714.138607</v>
      </c>
      <c r="I12" s="6">
        <f>SUM(I4:I11)</f>
        <v>4573494365.4526014</v>
      </c>
      <c r="J12" s="6">
        <f>SUM(J4:J11)</f>
        <v>24649889079.591209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2026-02-05T02:30:37Z</dcterms:created>
  <dcterms:modified xsi:type="dcterms:W3CDTF">2026-02-05T03:38:30Z</dcterms:modified>
</cp:coreProperties>
</file>