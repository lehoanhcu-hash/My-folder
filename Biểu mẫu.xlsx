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13. TIÊU CHUẨN HÓA/GIÁ BÁN/"/>
    </mc:Choice>
  </mc:AlternateContent>
  <xr:revisionPtr revIDLastSave="55" documentId="13_ncr:1_{500A212F-6930-451F-9B9B-84F358116F15}" xr6:coauthVersionLast="47" xr6:coauthVersionMax="47" xr10:uidLastSave="{5C9E15F2-8B98-4C8B-B049-4FFD114BFF3C}"/>
  <bookViews>
    <workbookView xWindow="-110" yWindow="-110" windowWidth="19420" windowHeight="10300" tabRatio="925" firstSheet="1" activeTab="9" xr2:uid="{67F768A9-BCA9-47FF-960E-E407AF766A87}"/>
  </bookViews>
  <sheets>
    <sheet name="Điểm HV" sheetId="18" state="hidden" r:id="rId1"/>
    <sheet name="1. rPET" sheetId="11" r:id="rId2"/>
    <sheet name="2. rPET- nội bộ " sheetId="7" r:id="rId3"/>
    <sheet name="3. rPET USA " sheetId="8" r:id="rId4"/>
    <sheet name="4. rHDPE " sheetId="2" r:id="rId5"/>
    <sheet name="5.Vảy HDPE- Ép" sheetId="9" r:id="rId6"/>
    <sheet name="6. rPP " sheetId="10" r:id="rId7"/>
    <sheet name="7. Vảy PP" sheetId="4" r:id="rId8"/>
    <sheet name="8. Hạt phó sản" sheetId="14" r:id="rId9"/>
    <sheet name="9. Ma trận giá bán" sheetId="23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\T" localSheetId="9">#REF!</definedName>
    <definedName name="\T">#REF!</definedName>
    <definedName name="__dao1" localSheetId="9">'[1]CT Thang Mo'!$B$189:$H$189</definedName>
    <definedName name="__dao1">#REF!</definedName>
    <definedName name="__dao2" localSheetId="9">'[1]CT Thang Mo'!$B$161:$H$161</definedName>
    <definedName name="__dao2">#REF!</definedName>
    <definedName name="__dap2" localSheetId="9">'[1]CT Thang Mo'!$B$162:$H$162</definedName>
    <definedName name="__dap2">#REF!</definedName>
    <definedName name="__day1" localSheetId="9">'[2]Chiet tinh dz22'!#REF!</definedName>
    <definedName name="__day1">#REF!</definedName>
    <definedName name="__day2" localSheetId="9">'[3]Chiet tinh dz35'!$H$3</definedName>
    <definedName name="__day2">#REF!</definedName>
    <definedName name="__dbu1" localSheetId="9">'[1]CT Thang Mo'!#REF!</definedName>
    <definedName name="__dbu1">#REF!</definedName>
    <definedName name="__dbu2" localSheetId="9">'[1]CT Thang Mo'!$B$93:$F$93</definedName>
    <definedName name="__dbu2">#REF!</definedName>
    <definedName name="__doi3" localSheetId="9">'[4]truc tiep'!#REF!</definedName>
    <definedName name="__doi3">#REF!</definedName>
    <definedName name="__E99999" localSheetId="9">#REF!</definedName>
    <definedName name="__E99999">#REF!</definedName>
    <definedName name="__Jan02" localSheetId="9">'[5]FG waste'!#REF!</definedName>
    <definedName name="__Jan02">#REF!</definedName>
    <definedName name="__lap1" localSheetId="9">#REF!</definedName>
    <definedName name="__lap1">#REF!</definedName>
    <definedName name="__lap2" localSheetId="9">#REF!</definedName>
    <definedName name="__lap2">#REF!</definedName>
    <definedName name="__vc1" localSheetId="9">'[1]CT Thang Mo'!$B$34:$H$34</definedName>
    <definedName name="__vc1">#REF!</definedName>
    <definedName name="__vc2" localSheetId="9">'[1]CT Thang Mo'!$B$35:$H$35</definedName>
    <definedName name="__vc2">#REF!</definedName>
    <definedName name="__vc3" localSheetId="9">'[1]CT Thang Mo'!$B$36:$H$36</definedName>
    <definedName name="__vc3">#REF!</definedName>
    <definedName name="_01_01_99" localSheetId="9">#REF!</definedName>
    <definedName name="_01_01_99">#REF!</definedName>
    <definedName name="_01_02_99" localSheetId="9">#REF!</definedName>
    <definedName name="_01_02_99">#REF!</definedName>
    <definedName name="_01_03_99" localSheetId="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 localSheetId="9">[6]MTP!#REF!</definedName>
    <definedName name="_1CAP002">#REF!</definedName>
    <definedName name="_2STREO7" localSheetId="9">[7]MTP!#REF!</definedName>
    <definedName name="_2STREO7">#REF!</definedName>
    <definedName name="_4GOIC01" localSheetId="9">[8]MTP!#REF!</definedName>
    <definedName name="_4GOIC01">#REF!</definedName>
    <definedName name="_4OSLCTT" localSheetId="9">[8]MTP!#REF!</definedName>
    <definedName name="_4OSLCTT">#REF!</definedName>
    <definedName name="_6BNTTTH" localSheetId="9">[7]MTP1!#REF!</definedName>
    <definedName name="_6BNTTTH">#REF!</definedName>
    <definedName name="_6DCTTBO" localSheetId="9">[7]MTP1!#REF!</definedName>
    <definedName name="_6DCTTBO">#REF!</definedName>
    <definedName name="_6DD24TT" localSheetId="9">[7]MTP1!#REF!</definedName>
    <definedName name="_6DD24TT">#REF!</definedName>
    <definedName name="_6FCOTBU" localSheetId="9">[7]MTP1!#REF!</definedName>
    <definedName name="_6FCOTBU">#REF!</definedName>
    <definedName name="_6LATUBU" localSheetId="9">[7]MTP1!#REF!</definedName>
    <definedName name="_6LATUBU">#REF!</definedName>
    <definedName name="_6SDTT24" localSheetId="9">[7]MTP1!#REF!</definedName>
    <definedName name="_6SDTT24">#REF!</definedName>
    <definedName name="_6TBUDTT" localSheetId="9">[7]MTP1!#REF!</definedName>
    <definedName name="_6TBUDTT">#REF!</definedName>
    <definedName name="_6TDDDTT" localSheetId="9">[7]MTP1!#REF!</definedName>
    <definedName name="_6TDDDTT">#REF!</definedName>
    <definedName name="_6TLTTTH" localSheetId="9">[7]MTP1!#REF!</definedName>
    <definedName name="_6TLTTTH">#REF!</definedName>
    <definedName name="_6TUBUTT" localSheetId="9">[7]MTP1!#REF!</definedName>
    <definedName name="_6TUBUTT">#REF!</definedName>
    <definedName name="_6UCLVIS" localSheetId="9">[7]MTP1!#REF!</definedName>
    <definedName name="_6UCLVIS">#REF!</definedName>
    <definedName name="_7DNCABC" localSheetId="9">[7]MTP1!#REF!</definedName>
    <definedName name="_7DNCABC">#REF!</definedName>
    <definedName name="_7HDCTBU" localSheetId="9">[7]MTP1!#REF!</definedName>
    <definedName name="_7HDCTBU">#REF!</definedName>
    <definedName name="_7PKTUBU" localSheetId="9">[7]MTP1!#REF!</definedName>
    <definedName name="_7PKTUBU">#REF!</definedName>
    <definedName name="_7TBHT20" localSheetId="9">[7]MTP1!#REF!</definedName>
    <definedName name="_7TBHT20">#REF!</definedName>
    <definedName name="_7TBHT30" localSheetId="9">[7]MTP1!#REF!</definedName>
    <definedName name="_7TBHT30">#REF!</definedName>
    <definedName name="_7TDCABC" localSheetId="9">[7]MTP1!#REF!</definedName>
    <definedName name="_7TDCABC">#REF!</definedName>
    <definedName name="_dao1" localSheetId="9">'[1]CT Thang Mo'!$B$189:$H$189</definedName>
    <definedName name="_dao1">#REF!</definedName>
    <definedName name="_dao2" localSheetId="9">'[1]CT Thang Mo'!$B$161:$H$161</definedName>
    <definedName name="_dao2">#REF!</definedName>
    <definedName name="_dap2" localSheetId="9">'[1]CT Thang Mo'!$B$162:$H$162</definedName>
    <definedName name="_dap2">#REF!</definedName>
    <definedName name="_day1" localSheetId="9">'[2]Chiet tinh dz22'!#REF!</definedName>
    <definedName name="_day1">#REF!</definedName>
    <definedName name="_day2" localSheetId="9">'[3]Chiet tinh dz35'!$H$3</definedName>
    <definedName name="_day2">#REF!</definedName>
    <definedName name="_dbu1" localSheetId="9">'[1]CT Thang Mo'!#REF!</definedName>
    <definedName name="_dbu1">#REF!</definedName>
    <definedName name="_dbu2" localSheetId="9">'[1]CT Thang Mo'!$B$93:$F$93</definedName>
    <definedName name="_dbu2">#REF!</definedName>
    <definedName name="_doi3" localSheetId="9">'[4]truc tiep'!#REF!</definedName>
    <definedName name="_doi3">#REF!</definedName>
    <definedName name="_E99999" localSheetId="9">#REF!</definedName>
    <definedName name="_E99999">#REF!</definedName>
    <definedName name="_Fill" localSheetId="9" hidden="1">#REF!</definedName>
    <definedName name="_Fill" hidden="1">#REF!</definedName>
    <definedName name="_Jan02" localSheetId="9">'[5]FG waste'!#REF!</definedName>
    <definedName name="_Jan02">#REF!</definedName>
    <definedName name="_lap1" localSheetId="9">#REF!</definedName>
    <definedName name="_lap1">#REF!</definedName>
    <definedName name="_lap2" localSheetId="9">#REF!</definedName>
    <definedName name="_lap2">#REF!</definedName>
    <definedName name="_Order1" hidden="1">255</definedName>
    <definedName name="_Order2" hidden="1">255</definedName>
    <definedName name="_Sort" localSheetId="9" hidden="1">[9]Sheet1!#REF!</definedName>
    <definedName name="_Sort" hidden="1">#REF!</definedName>
    <definedName name="_tram" localSheetId="9" hidden="1">[9]Sheet1!#REF!</definedName>
    <definedName name="_tram" hidden="1">#REF!</definedName>
    <definedName name="_vc1" localSheetId="9">'[1]CT Thang Mo'!$B$34:$H$34</definedName>
    <definedName name="_vc1">#REF!</definedName>
    <definedName name="_vc2" localSheetId="9">'[1]CT Thang Mo'!$B$35:$H$35</definedName>
    <definedName name="_vc2">#REF!</definedName>
    <definedName name="_vc3" localSheetId="9">'[1]CT Thang Mo'!$B$36:$H$36</definedName>
    <definedName name="_vc3">#REF!</definedName>
    <definedName name="A" localSheetId="9">#REF!</definedName>
    <definedName name="A">#REF!</definedName>
    <definedName name="AAA" localSheetId="9">'[10]MTL$-INTER'!#REF!</definedName>
    <definedName name="AAA">#REF!</definedName>
    <definedName name="Account" localSheetId="9">[11]Ref!$B$3:$B$36</definedName>
    <definedName name="Account">#REF!</definedName>
    <definedName name="All_list" localSheetId="9">#REF!</definedName>
    <definedName name="All_list">#REF!</definedName>
    <definedName name="anscount" hidden="1">2</definedName>
    <definedName name="AOP" localSheetId="9">[12]Capex!$H$45:$Y$72</definedName>
    <definedName name="AOP">#REF!</definedName>
    <definedName name="AOPP" localSheetId="9">[12]Capex!$H$45:$Y$72</definedName>
    <definedName name="AOPP">#REF!</definedName>
    <definedName name="Apr" localSheetId="9">#REF!</definedName>
    <definedName name="Apr">#REF!</definedName>
    <definedName name="Asset" localSheetId="9">[12]Capex!$G$6:$I$13</definedName>
    <definedName name="Asset">#REF!</definedName>
    <definedName name="aù0" localSheetId="9">'[13]bang tien luong'!#REF!</definedName>
    <definedName name="aù0">#REF!</definedName>
    <definedName name="Aug" localSheetId="9">#REF!</definedName>
    <definedName name="Aug">#REF!</definedName>
    <definedName name="B" localSheetId="9">#REF!</definedName>
    <definedName name="B">#REF!</definedName>
    <definedName name="BarData" localSheetId="9">#REF!</definedName>
    <definedName name="BarData">#REF!</definedName>
    <definedName name="BLOCK1">#REF!</definedName>
    <definedName name="BLOCK2">#REF!</definedName>
    <definedName name="BLOCK3">#REF!</definedName>
    <definedName name="BOY" localSheetId="9">[12]Capex!$B$17:$Y$41</definedName>
    <definedName name="BOY">#REF!</definedName>
    <definedName name="Brand_Label" localSheetId="9">[14]FLT!#REF!</definedName>
    <definedName name="Brand_Label">#REF!</definedName>
    <definedName name="BREAKDOWN" localSheetId="9">#REF!</definedName>
    <definedName name="BREAKDOWN">#REF!</definedName>
    <definedName name="C_" localSheetId="9">#REF!</definedName>
    <definedName name="C_">#REF!</definedName>
    <definedName name="cap" localSheetId="9">#REF!</definedName>
    <definedName name="cap">#REF!</definedName>
    <definedName name="cap0.7">#REF!</definedName>
    <definedName name="CCNK" localSheetId="9">[15]QMCT!#REF!</definedName>
    <definedName name="CCNK">#REF!</definedName>
    <definedName name="CL" localSheetId="9">#REF!</definedName>
    <definedName name="CL">#REF!</definedName>
    <definedName name="CLTMP" localSheetId="9">[15]QMCT!#REF!</definedName>
    <definedName name="CLTMP">#REF!</definedName>
    <definedName name="CLVC" localSheetId="9">[16]CHITIET!$D$3</definedName>
    <definedName name="CLVC">#REF!</definedName>
    <definedName name="Contingency" localSheetId="9">[17]Summary!$AR$1</definedName>
    <definedName name="Contingency">#REF!</definedName>
    <definedName name="cong_bq" localSheetId="9">'[4]truc tiep'!#REF!</definedName>
    <definedName name="cong_bq">#REF!</definedName>
    <definedName name="cong_bv" localSheetId="9">'[4]truc tiep'!#REF!</definedName>
    <definedName name="cong_bv">#REF!</definedName>
    <definedName name="cong_ck" localSheetId="9">'[4]truc tiep'!#REF!</definedName>
    <definedName name="cong_ck">#REF!</definedName>
    <definedName name="cong_d1" localSheetId="9">'[4]truc tiep'!#REF!</definedName>
    <definedName name="cong_d1">#REF!</definedName>
    <definedName name="cong_d2" localSheetId="9">'[4]truc tiep'!#REF!</definedName>
    <definedName name="cong_d2">#REF!</definedName>
    <definedName name="cong_d3" localSheetId="9">'[4]truc tiep'!#REF!</definedName>
    <definedName name="cong_d3">#REF!</definedName>
    <definedName name="cong_dl" localSheetId="9">'[4]truc tiep'!#REF!</definedName>
    <definedName name="cong_dl">#REF!</definedName>
    <definedName name="cong_kcs" localSheetId="9">'[4]truc tiep'!#REF!</definedName>
    <definedName name="cong_kcs">#REF!</definedName>
    <definedName name="cong_nb" localSheetId="9">'[4]truc tiep'!#REF!</definedName>
    <definedName name="cong_nb">#REF!</definedName>
    <definedName name="cong_nv" localSheetId="9">'[4]truc tiep'!#REF!</definedName>
    <definedName name="cong_nv">#REF!</definedName>
    <definedName name="cong_ngio" localSheetId="9">'[4]truc tiep'!#REF!</definedName>
    <definedName name="cong_ngio">#REF!</definedName>
    <definedName name="cong_t3" localSheetId="9">'[4]truc tiep'!#REF!</definedName>
    <definedName name="cong_t3">#REF!</definedName>
    <definedName name="cong_t4" localSheetId="9">'[4]truc tiep'!#REF!</definedName>
    <definedName name="cong_t4">#REF!</definedName>
    <definedName name="cong_t5" localSheetId="9">'[4]truc tiep'!#REF!</definedName>
    <definedName name="cong_t5">#REF!</definedName>
    <definedName name="cong_t6" localSheetId="9">'[4]truc tiep'!#REF!</definedName>
    <definedName name="cong_t6">#REF!</definedName>
    <definedName name="cong_tc" localSheetId="9">'[4]truc tiep'!#REF!</definedName>
    <definedName name="cong_tc">#REF!</definedName>
    <definedName name="cong_tm" localSheetId="9">'[4]truc tiep'!#REF!</definedName>
    <definedName name="cong_tm">#REF!</definedName>
    <definedName name="cong_vs" localSheetId="9">'[4]truc tiep'!#REF!</definedName>
    <definedName name="cong_vs">#REF!</definedName>
    <definedName name="cong_xh" localSheetId="9">'[4]truc tiep'!#REF!</definedName>
    <definedName name="cong_xh">#REF!</definedName>
    <definedName name="COPY" localSheetId="9">#REF!</definedName>
    <definedName name="COPY">#REF!</definedName>
    <definedName name="COST" localSheetId="9">#REF!</definedName>
    <definedName name="COST">#REF!</definedName>
    <definedName name="Cost_Allocation_wage" localSheetId="9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>#REF!</definedName>
    <definedName name="D">#REF!</definedName>
    <definedName name="Dandoc">#REF!</definedName>
    <definedName name="daotd" localSheetId="9">'[1]CT Thang Mo'!$B$323:$H$323</definedName>
    <definedName name="daotd">#REF!</definedName>
    <definedName name="dap" localSheetId="9">'[1]CT Thang Mo'!$B$39:$H$39</definedName>
    <definedName name="dap">#REF!</definedName>
    <definedName name="daptd" localSheetId="9">'[1]CT Thang Mo'!$B$324:$H$324</definedName>
    <definedName name="daptd">#REF!</definedName>
    <definedName name="Data" localSheetId="9">#REF!</definedName>
    <definedName name="Data">#REF!</definedName>
    <definedName name="DATA_DATA2_List" localSheetId="9">#REF!</definedName>
    <definedName name="DATA_DATA2_List">#REF!</definedName>
    <definedName name="Data11" localSheetId="9">#REF!</definedName>
    <definedName name="Data11">#REF!</definedName>
    <definedName name="Data41">#REF!</definedName>
    <definedName name="_xlnm.Database">#REF!</definedName>
    <definedName name="DDAY">#REF!</definedName>
    <definedName name="ddtt1pnc" localSheetId="9">[16]CHITIET!$G$530</definedName>
    <definedName name="ddtt1pnc">#REF!</definedName>
    <definedName name="ddtt1pvl" localSheetId="9">[16]CHITIET!$G$526</definedName>
    <definedName name="ddtt1pvl">#REF!</definedName>
    <definedName name="ddtt3pnc" localSheetId="9">[16]CHITIET!$G$522</definedName>
    <definedName name="ddtt3pnc">#REF!</definedName>
    <definedName name="ddtt3pvl" localSheetId="9">[16]CHITIET!$G$518</definedName>
    <definedName name="ddtt3pvl">#REF!</definedName>
    <definedName name="Dec" localSheetId="9">#REF!</definedName>
    <definedName name="Dec">#REF!</definedName>
    <definedName name="DL50SEC" localSheetId="9">#REF!</definedName>
    <definedName name="DL50SEC">#REF!</definedName>
    <definedName name="DLSCM15" localSheetId="9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9">{"Book1"}</definedName>
    <definedName name="Document_array">{"Book1"}</definedName>
    <definedName name="DocumentYear" localSheetId="9">[18]P3!#REF!</definedName>
    <definedName name="DocumentYear">#REF!</definedName>
    <definedName name="domestic" localSheetId="9">#REF!</definedName>
    <definedName name="domestic">#REF!</definedName>
    <definedName name="domesticcost" localSheetId="9">[19]Domestic!#REF!</definedName>
    <definedName name="domesticcost">#REF!</definedName>
    <definedName name="domesticcostt" localSheetId="9">[20]Domestic!#REF!</definedName>
    <definedName name="domesticcostt">#REF!</definedName>
    <definedName name="domesticostts" localSheetId="9">[20]Domestic!#REF!</definedName>
    <definedName name="domesticostts">#REF!</definedName>
    <definedName name="domestics" localSheetId="9">[20]Domestic!#REF!</definedName>
    <definedName name="domestics">#REF!</definedName>
    <definedName name="DONVI" localSheetId="9">OFFSET([21]DONVIBAN!$A$1,1,0,COUNTA([21]DONVIBAN!$A:$A)-1,5)</definedName>
    <definedName name="DONVI">OFFSET(#REF!,1,0,COUNTA(#REF!)-1,5)</definedName>
    <definedName name="DONVIDG" localSheetId="9">OFFSET([21]NGUON!$D:$D,COUNTIF([21]NGUON!$D:$D,"&lt;&gt;0")-1,0,1)</definedName>
    <definedName name="DONVIDG">OFFSET(#REF!,COUNTIF(#REF!,"&lt;&gt;0")-1,0,1)</definedName>
    <definedName name="DT">[22]Sheet3!$C$2:$C$26</definedName>
    <definedName name="E" localSheetId="9">#REF!</definedName>
    <definedName name="E">#REF!</definedName>
    <definedName name="Equipmentsupplies" localSheetId="9">#REF!</definedName>
    <definedName name="Equipmentsupplies">#REF!</definedName>
    <definedName name="Eur">13240</definedName>
    <definedName name="F" localSheetId="9">#REF!</definedName>
    <definedName name="F">#REF!</definedName>
    <definedName name="feb">#REF!</definedName>
    <definedName name="forex">17054</definedName>
    <definedName name="Full" localSheetId="9">[15]QMCT!#REF!</definedName>
    <definedName name="Full">#REF!</definedName>
    <definedName name="G" localSheetId="9">#REF!</definedName>
    <definedName name="G">#REF!</definedName>
    <definedName name="G23_" localSheetId="9">#REF!</definedName>
    <definedName name="G23_">#REF!</definedName>
    <definedName name="Gas" localSheetId="9">#REF!</definedName>
    <definedName name="Gas">#REF!</definedName>
    <definedName name="Graph_Contract" localSheetId="9">OFFSET([11]ByAcct!$A$4,[11]ByMth!$R$2,COLUMN([11]ByAcct!$AR$1)-COLUMN([11]ByAcct!$A$1),1,2)</definedName>
    <definedName name="Graph_Contract">OFFSET(#REF!,#REF!,COLUMN(#REF!)-COLUMN(#REF!),1,2)</definedName>
    <definedName name="Graph_DA" localSheetId="9">OFFSET([11]ByAcct!$A$4,[11]ByMth!$R$2,COLUMN([11]ByAcct!$AV$1)-COLUMN([11]ByAcct!$A$1),1,2)</definedName>
    <definedName name="Graph_DA">OFFSET(#REF!,#REF!,COLUMN(#REF!)-COLUMN(#REF!),1,2)</definedName>
    <definedName name="Graph_Discret" localSheetId="9">OFFSET([11]ByAcct!$A$4,[11]ByMth!$R$2,COLUMN([11]ByAcct!$AT$1)-COLUMN([11]ByAcct!$A$1),1,2)</definedName>
    <definedName name="Graph_Discret">OFFSET(#REF!,#REF!,COLUMN(#REF!)-COLUMN(#REF!),1,2)</definedName>
    <definedName name="Graph_growth" localSheetId="9">OFFSET([11]ByAcct!$A$4,[11]ByAcct!$AN$85,COLUMN([11]ByAcct!$E$1)-COLUMN([11]ByAcct!$A$1),1,2)</definedName>
    <definedName name="Graph_growth">OFFSET(#REF!,#REF!,COLUMN(#REF!)-COLUMN(#REF!),1,2)</definedName>
    <definedName name="Graph_growth2" localSheetId="9">OFFSET([11]ByAcct!$A$4,[11]ByMth!$R$2,COLUMN([11]ByAcct!$E$1)-COLUMN([11]ByAcct!$A$1),1,2)</definedName>
    <definedName name="Graph_growth2">OFFSET(#REF!,#REF!,COLUMN(#REF!)-COLUMN(#REF!),1,2)</definedName>
    <definedName name="Graph_NDisc" localSheetId="9">OFFSET([11]ByAcct!$A$4,[11]ByMth!$R$2,COLUMN([11]ByAcct!$AN$1)-COLUMN([11]ByAcct!$A$1),1,2)</definedName>
    <definedName name="Graph_NDisc">OFFSET(#REF!,#REF!,COLUMN(#REF!)-COLUMN(#REF!),1,2)</definedName>
    <definedName name="Graph_Stale" localSheetId="9">OFFSET([11]ByAcct!$A$4,[11]ByMth!$R$2,COLUMN([11]ByAcct!$AP$1)-COLUMN([11]ByAcct!$A$1),1,2)</definedName>
    <definedName name="Graph_Stale">OFFSET(#REF!,#REF!,COLUMN(#REF!)-COLUMN(#REF!),1,2)</definedName>
    <definedName name="Graph_volume" localSheetId="9">OFFSET([11]ByAcct!$A$4,[11]ByAcct!$AN$85,COLUMN([11]ByAcct!$C$1)-COLUMN([11]ByAcct!$A$1),1,2)</definedName>
    <definedName name="Graph_volume">OFFSET(#REF!,#REF!,COLUMN(#REF!)-COLUMN(#REF!),1,2)</definedName>
    <definedName name="Graph_volume2" localSheetId="9">OFFSET([11]ByAcct!$A$4,[11]ByMth!$R$2,COLUMN([11]ByAcct!$C$1)-COLUMN([11]ByAcct!$A$1),1,2)</definedName>
    <definedName name="Graph_volume2">OFFSET(#REF!,#REF!,COLUMN(#REF!)-COLUMN(#REF!),1,2)</definedName>
    <definedName name="giaca" localSheetId="9">'[23]dg-VTu'!$C$6:$F$55</definedName>
    <definedName name="giaca">#REF!</definedName>
    <definedName name="gica_bq" localSheetId="9">'[4]truc tiep'!#REF!</definedName>
    <definedName name="gica_bq">#REF!</definedName>
    <definedName name="gica_bv" localSheetId="9">'[4]truc tiep'!#REF!</definedName>
    <definedName name="gica_bv">#REF!</definedName>
    <definedName name="gica_ck" localSheetId="9">'[4]truc tiep'!#REF!</definedName>
    <definedName name="gica_ck">#REF!</definedName>
    <definedName name="gica_d1" localSheetId="9">'[4]truc tiep'!#REF!</definedName>
    <definedName name="gica_d1">#REF!</definedName>
    <definedName name="gica_d2" localSheetId="9">'[4]truc tiep'!#REF!</definedName>
    <definedName name="gica_d2">#REF!</definedName>
    <definedName name="gica_d3" localSheetId="9">'[4]truc tiep'!#REF!</definedName>
    <definedName name="gica_d3">#REF!</definedName>
    <definedName name="gica_dl" localSheetId="9">'[4]truc tiep'!#REF!</definedName>
    <definedName name="gica_dl">#REF!</definedName>
    <definedName name="gica_kcs" localSheetId="9">'[4]truc tiep'!#REF!</definedName>
    <definedName name="gica_kcs">#REF!</definedName>
    <definedName name="gica_nb" localSheetId="9">'[4]truc tiep'!#REF!</definedName>
    <definedName name="gica_nb">#REF!</definedName>
    <definedName name="gica_nv" localSheetId="9">'[4]truc tiep'!#REF!</definedName>
    <definedName name="gica_nv">#REF!</definedName>
    <definedName name="gica_ngio" localSheetId="9">'[4]truc tiep'!#REF!</definedName>
    <definedName name="gica_ngio">#REF!</definedName>
    <definedName name="gica_t3" localSheetId="9">'[4]truc tiep'!#REF!</definedName>
    <definedName name="gica_t3">#REF!</definedName>
    <definedName name="gica_t4" localSheetId="9">'[4]truc tiep'!#REF!</definedName>
    <definedName name="gica_t4">#REF!</definedName>
    <definedName name="gica_t5" localSheetId="9">'[4]truc tiep'!#REF!</definedName>
    <definedName name="gica_t5">#REF!</definedName>
    <definedName name="gica_t6" localSheetId="9">'[4]truc tiep'!#REF!</definedName>
    <definedName name="gica_t6">#REF!</definedName>
    <definedName name="gica_tc" localSheetId="9">'[4]truc tiep'!#REF!</definedName>
    <definedName name="gica_tc">#REF!</definedName>
    <definedName name="gica_tm" localSheetId="9">'[4]truc tiep'!#REF!</definedName>
    <definedName name="gica_tm">#REF!</definedName>
    <definedName name="gica_vs" localSheetId="9">'[4]truc tiep'!#REF!</definedName>
    <definedName name="gica_vs">#REF!</definedName>
    <definedName name="gica_xh" localSheetId="9">'[4]truc tiep'!#REF!</definedName>
    <definedName name="gica_xh">#REF!</definedName>
    <definedName name="gio_bq" localSheetId="9">'[4]truc tiep'!#REF!</definedName>
    <definedName name="gio_bq">#REF!</definedName>
    <definedName name="gio_d1" localSheetId="9">'[4]truc tiep'!#REF!</definedName>
    <definedName name="gio_d1">#REF!</definedName>
    <definedName name="gio_d2" localSheetId="9">'[4]truc tiep'!#REF!</definedName>
    <definedName name="gio_d2">#REF!</definedName>
    <definedName name="gio_d3" localSheetId="9">'[4]truc tiep'!#REF!</definedName>
    <definedName name="gio_d3">#REF!</definedName>
    <definedName name="gio_dl" localSheetId="9">'[4]truc tiep'!#REF!</definedName>
    <definedName name="gio_dl">#REF!</definedName>
    <definedName name="gio_kcs" localSheetId="9">'[4]truc tiep'!#REF!</definedName>
    <definedName name="gio_kcs">#REF!</definedName>
    <definedName name="gio_ngio" localSheetId="9">'[4]truc tiep'!#REF!</definedName>
    <definedName name="gio_ngio">#REF!</definedName>
    <definedName name="gio_t3" localSheetId="9">'[4]truc tiep'!#REF!</definedName>
    <definedName name="gio_t3">#REF!</definedName>
    <definedName name="gio_t4" localSheetId="9">'[4]truc tiep'!#REF!</definedName>
    <definedName name="gio_t4">#REF!</definedName>
    <definedName name="gio_t5" localSheetId="9">'[4]truc tiep'!#REF!</definedName>
    <definedName name="gio_t5">#REF!</definedName>
    <definedName name="gio_t6" localSheetId="9">'[4]truc tiep'!#REF!</definedName>
    <definedName name="gio_t6">#REF!</definedName>
    <definedName name="gio_vs" localSheetId="9">'[4]truc tiep'!#REF!</definedName>
    <definedName name="gio_vs">#REF!</definedName>
    <definedName name="gio_xh" localSheetId="9">'[4]truc tiep'!#REF!</definedName>
    <definedName name="gio_xh">#REF!</definedName>
    <definedName name="HDCCT" localSheetId="9">[15]QMCT!#REF!</definedName>
    <definedName name="HDCCT">#REF!</definedName>
    <definedName name="HDCD" localSheetId="9">[15]QMCT!#REF!</definedName>
    <definedName name="HDCD">#REF!</definedName>
    <definedName name="HM" localSheetId="9">#REF!</definedName>
    <definedName name="HM">#REF!</definedName>
    <definedName name="HSKK" localSheetId="9">[16]CHITIET!$D$4</definedName>
    <definedName name="HSKK">#REF!</definedName>
    <definedName name="Index">100%</definedName>
    <definedName name="Inflation_WC" localSheetId="9">'[24]SCO&amp;IWC'!$E$21:$I$28</definedName>
    <definedName name="Inflation_WC">#REF!</definedName>
    <definedName name="jan" localSheetId="9">#REF!</definedName>
    <definedName name="jan">#REF!</definedName>
    <definedName name="Jul" localSheetId="9">#REF!</definedName>
    <definedName name="Jul">#REF!</definedName>
    <definedName name="Jun" localSheetId="9">#REF!</definedName>
    <definedName name="Jun">#REF!</definedName>
    <definedName name="Justification" localSheetId="9">[12]Capex!$B$6:$C$9</definedName>
    <definedName name="Justification">#REF!</definedName>
    <definedName name="K" localSheetId="9">#REF!</definedName>
    <definedName name="K">#REF!</definedName>
    <definedName name="K_1" localSheetId="9">[25]!K_1</definedName>
    <definedName name="K_1">#REF!</definedName>
    <definedName name="K_2" localSheetId="9">[25]!K_2</definedName>
    <definedName name="K_2">#REF!</definedName>
    <definedName name="KCSCM" localSheetId="9">#REF!</definedName>
    <definedName name="KCSCM">#REF!</definedName>
    <definedName name="KVC" localSheetId="9">#REF!</definedName>
    <definedName name="KVC">#REF!</definedName>
    <definedName name="KH">[22]Sheet3!$A$2:$A$26</definedName>
    <definedName name="L" localSheetId="9">#REF!</definedName>
    <definedName name="L">#REF!</definedName>
    <definedName name="Lab_supplies_lists" localSheetId="9">'[26]List(Add only)'!#REF!</definedName>
    <definedName name="Lab_supplies_lists">#REF!</definedName>
    <definedName name="Labsupplieslist" localSheetId="9">#REF!</definedName>
    <definedName name="Labsupplieslist">#REF!</definedName>
    <definedName name="lanh_bq" localSheetId="9">'[4]truc tiep'!#REF!</definedName>
    <definedName name="lanh_bq">#REF!</definedName>
    <definedName name="lanh_bv" localSheetId="9">'[4]truc tiep'!#REF!</definedName>
    <definedName name="lanh_bv">#REF!</definedName>
    <definedName name="lanh_ck" localSheetId="9">'[4]truc tiep'!#REF!</definedName>
    <definedName name="lanh_ck">#REF!</definedName>
    <definedName name="lanh_d1" localSheetId="9">'[4]truc tiep'!#REF!</definedName>
    <definedName name="lanh_d1">#REF!</definedName>
    <definedName name="lanh_d2" localSheetId="9">'[4]truc tiep'!#REF!</definedName>
    <definedName name="lanh_d2">#REF!</definedName>
    <definedName name="lanh_d3" localSheetId="9">'[4]truc tiep'!#REF!</definedName>
    <definedName name="lanh_d3">#REF!</definedName>
    <definedName name="lanh_dl" localSheetId="9">'[4]truc tiep'!#REF!</definedName>
    <definedName name="lanh_dl">#REF!</definedName>
    <definedName name="lanh_kcs" localSheetId="9">'[4]truc tiep'!#REF!</definedName>
    <definedName name="lanh_kcs">#REF!</definedName>
    <definedName name="lanh_nb" localSheetId="9">'[4]truc tiep'!#REF!</definedName>
    <definedName name="lanh_nb">#REF!</definedName>
    <definedName name="lanh_nv" localSheetId="9">'[4]truc tiep'!#REF!</definedName>
    <definedName name="lanh_nv">#REF!</definedName>
    <definedName name="lanh_ngio" localSheetId="9">'[4]truc tiep'!#REF!</definedName>
    <definedName name="lanh_ngio">#REF!</definedName>
    <definedName name="lanh_t3" localSheetId="9">'[4]truc tiep'!#REF!</definedName>
    <definedName name="lanh_t3">#REF!</definedName>
    <definedName name="lanh_t4" localSheetId="9">'[4]truc tiep'!#REF!</definedName>
    <definedName name="lanh_t4">#REF!</definedName>
    <definedName name="lanh_t5" localSheetId="9">'[4]truc tiep'!#REF!</definedName>
    <definedName name="lanh_t5">#REF!</definedName>
    <definedName name="lanh_t6" localSheetId="9">'[4]truc tiep'!#REF!</definedName>
    <definedName name="lanh_t6">#REF!</definedName>
    <definedName name="lanh_tc" localSheetId="9">'[4]truc tiep'!#REF!</definedName>
    <definedName name="lanh_tc">#REF!</definedName>
    <definedName name="lanh_tm" localSheetId="9">'[4]truc tiep'!#REF!</definedName>
    <definedName name="lanh_tm">#REF!</definedName>
    <definedName name="lanh_vs" localSheetId="9">'[4]truc tiep'!#REF!</definedName>
    <definedName name="lanh_vs">#REF!</definedName>
    <definedName name="lanh_xh" localSheetId="9">'[4]truc tiep'!#REF!</definedName>
    <definedName name="lanh_xh">#REF!</definedName>
    <definedName name="lapa" localSheetId="9">'[1]CT Thang Mo'!$B$350:$H$350</definedName>
    <definedName name="lapa">#REF!</definedName>
    <definedName name="lapb" localSheetId="9">'[1]CT Thang Mo'!$B$370:$H$370</definedName>
    <definedName name="lapb">#REF!</definedName>
    <definedName name="lapc" localSheetId="9">'[1]CT Thang Mo'!$B$390:$H$390</definedName>
    <definedName name="lapc">#REF!</definedName>
    <definedName name="lcb_bq" localSheetId="9">'[4]truc tiep'!#REF!</definedName>
    <definedName name="lcb_bq">#REF!</definedName>
    <definedName name="lcb_bv" localSheetId="9">'[4]truc tiep'!#REF!</definedName>
    <definedName name="lcb_bv">#REF!</definedName>
    <definedName name="lcb_ck" localSheetId="9">'[4]truc tiep'!#REF!</definedName>
    <definedName name="lcb_ck">#REF!</definedName>
    <definedName name="lcb_d1" localSheetId="9">'[4]truc tiep'!#REF!</definedName>
    <definedName name="lcb_d1">#REF!</definedName>
    <definedName name="lcb_d2" localSheetId="9">'[4]truc tiep'!#REF!</definedName>
    <definedName name="lcb_d2">#REF!</definedName>
    <definedName name="lcb_d3" localSheetId="9">'[4]truc tiep'!#REF!</definedName>
    <definedName name="lcb_d3">#REF!</definedName>
    <definedName name="lcb_dl" localSheetId="9">'[4]truc tiep'!#REF!</definedName>
    <definedName name="lcb_dl">#REF!</definedName>
    <definedName name="lcb_kcs" localSheetId="9">'[4]truc tiep'!#REF!</definedName>
    <definedName name="lcb_kcs">#REF!</definedName>
    <definedName name="lcb_nb" localSheetId="9">'[4]truc tiep'!#REF!</definedName>
    <definedName name="lcb_nb">#REF!</definedName>
    <definedName name="lcb_nv" localSheetId="9">'[4]truc tiep'!#REF!</definedName>
    <definedName name="lcb_nv">#REF!</definedName>
    <definedName name="lcb_ngio" localSheetId="9">'[4]truc tiep'!#REF!</definedName>
    <definedName name="lcb_ngio">#REF!</definedName>
    <definedName name="lcb_t3" localSheetId="9">'[4]truc tiep'!#REF!</definedName>
    <definedName name="lcb_t3">#REF!</definedName>
    <definedName name="lcb_t4" localSheetId="9">'[4]truc tiep'!#REF!</definedName>
    <definedName name="lcb_t4">#REF!</definedName>
    <definedName name="lcb_t5" localSheetId="9">'[4]truc tiep'!#REF!</definedName>
    <definedName name="lcb_t5">#REF!</definedName>
    <definedName name="lcb_t6" localSheetId="9">'[4]truc tiep'!#REF!</definedName>
    <definedName name="lcb_t6">#REF!</definedName>
    <definedName name="lcb_tc" localSheetId="9">'[4]truc tiep'!#REF!</definedName>
    <definedName name="lcb_tc">#REF!</definedName>
    <definedName name="lcb_tm" localSheetId="9">'[4]truc tiep'!#REF!</definedName>
    <definedName name="lcb_tm">#REF!</definedName>
    <definedName name="lcb_vs" localSheetId="9">'[4]truc tiep'!#REF!</definedName>
    <definedName name="lcb_vs">#REF!</definedName>
    <definedName name="lcb_xh" localSheetId="9">'[4]truc tiep'!#REF!</definedName>
    <definedName name="lcb_xh">#REF!</definedName>
    <definedName name="le_bq" localSheetId="9">'[4]truc tiep'!#REF!</definedName>
    <definedName name="le_bq">#REF!</definedName>
    <definedName name="le_bv" localSheetId="9">'[4]truc tiep'!#REF!</definedName>
    <definedName name="le_bv">#REF!</definedName>
    <definedName name="le_ck" localSheetId="9">'[4]truc tiep'!#REF!</definedName>
    <definedName name="le_ck">#REF!</definedName>
    <definedName name="le_d1" localSheetId="9">'[4]truc tiep'!#REF!</definedName>
    <definedName name="le_d1">#REF!</definedName>
    <definedName name="le_d2" localSheetId="9">'[4]truc tiep'!#REF!</definedName>
    <definedName name="le_d2">#REF!</definedName>
    <definedName name="le_d3" localSheetId="9">'[4]truc tiep'!#REF!</definedName>
    <definedName name="le_d3">#REF!</definedName>
    <definedName name="le_dl" localSheetId="9">'[4]truc tiep'!#REF!</definedName>
    <definedName name="le_dl">#REF!</definedName>
    <definedName name="le_kcs" localSheetId="9">'[4]truc tiep'!#REF!</definedName>
    <definedName name="le_kcs">#REF!</definedName>
    <definedName name="le_nb" localSheetId="9">'[4]truc tiep'!#REF!</definedName>
    <definedName name="le_nb">#REF!</definedName>
    <definedName name="le_nv" localSheetId="9">'[4]truc tiep'!#REF!</definedName>
    <definedName name="le_nv">#REF!</definedName>
    <definedName name="le_ngio" localSheetId="9">'[4]truc tiep'!#REF!</definedName>
    <definedName name="le_ngio">#REF!</definedName>
    <definedName name="le_t3" localSheetId="9">'[4]truc tiep'!#REF!</definedName>
    <definedName name="le_t3">#REF!</definedName>
    <definedName name="le_t4" localSheetId="9">'[4]truc tiep'!#REF!</definedName>
    <definedName name="le_t4">#REF!</definedName>
    <definedName name="le_t5" localSheetId="9">'[4]truc tiep'!#REF!</definedName>
    <definedName name="le_t5">#REF!</definedName>
    <definedName name="le_t6" localSheetId="9">'[4]truc tiep'!#REF!</definedName>
    <definedName name="le_t6">#REF!</definedName>
    <definedName name="le_tc" localSheetId="9">'[4]truc tiep'!#REF!</definedName>
    <definedName name="le_tc">#REF!</definedName>
    <definedName name="le_tm" localSheetId="9">'[4]truc tiep'!#REF!</definedName>
    <definedName name="le_tm">#REF!</definedName>
    <definedName name="le_vs" localSheetId="9">'[4]truc tiep'!#REF!</definedName>
    <definedName name="le_vs">#REF!</definedName>
    <definedName name="le_xh" localSheetId="9">'[4]truc tiep'!#REF!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 localSheetId="9">OFFSET([21]NGUON!$C:$C,COUNTA([21]NGUON!$C:$C)-1,0,1)</definedName>
    <definedName name="MADONVI">OFFSET(#REF!,COUNTA(#REF!)-1,0,1)</definedName>
    <definedName name="MajorHeader" localSheetId="9">[18]P3!#REF!</definedName>
    <definedName name="MajorHeader">#REF!</definedName>
    <definedName name="mar" localSheetId="9">#REF!</definedName>
    <definedName name="mar">#REF!</definedName>
    <definedName name="mat" localSheetId="9">[27]Tke!$AD$10:$AR$96</definedName>
    <definedName name="mat">#REF!</definedName>
    <definedName name="may" localSheetId="9">#REF!</definedName>
    <definedName name="may">#REF!</definedName>
    <definedName name="MPETABLE" localSheetId="9">#REF!</definedName>
    <definedName name="MPETABLE">#REF!</definedName>
    <definedName name="N">[22]Sheet3!$B$2:$B$26</definedName>
    <definedName name="NCcap0.7" localSheetId="9">#REF!</definedName>
    <definedName name="NCcap0.7">#REF!</definedName>
    <definedName name="NCcap1" localSheetId="9">#REF!</definedName>
    <definedName name="NCcap1">#REF!</definedName>
    <definedName name="NOIDUNG" localSheetId="9">OFFSET([21]NGUON!$H:$H,COUNTA([21]NGUON!$H:$H)-1,0,1)</definedName>
    <definedName name="NOIDUNG">OFFSET(#REF!,COUNTA(#REF!)-1,0,1)</definedName>
    <definedName name="Nov" localSheetId="9">#REF!</definedName>
    <definedName name="Nov">#REF!</definedName>
    <definedName name="NToS" localSheetId="9">[28]!NToS</definedName>
    <definedName name="NToS">#REF!</definedName>
    <definedName name="NGANHANG" localSheetId="9">OFFSET([21]NGUON!$F:$F,COUNTIF([21]NGUON!$F:$F,"&lt;&gt;0")-1,0,1)</definedName>
    <definedName name="NGANHANG">OFFSET(#REF!,COUNTIF(#REF!,"&lt;&gt;0")-1,0,1)</definedName>
    <definedName name="NGAØY" localSheetId="9">#REF!</definedName>
    <definedName name="NGAØY">#REF!</definedName>
    <definedName name="NGAY" localSheetId="9">OFFSET([21]NGUON!$B:$B,COUNTA([21]NGUON!$B:$B)-1,0,1)</definedName>
    <definedName name="NGAY">OFFSET(#REF!,COUNTA(#REF!)-1,0,1)</definedName>
    <definedName name="nghi_bq" localSheetId="9">'[4]truc tiep'!#REF!</definedName>
    <definedName name="nghi_bq">#REF!</definedName>
    <definedName name="nghi_bv" localSheetId="9">'[4]truc tiep'!#REF!</definedName>
    <definedName name="nghi_bv">#REF!</definedName>
    <definedName name="nghi_ck" localSheetId="9">'[4]truc tiep'!#REF!</definedName>
    <definedName name="nghi_ck">#REF!</definedName>
    <definedName name="nghi_d1" localSheetId="9">'[4]truc tiep'!#REF!</definedName>
    <definedName name="nghi_d1">#REF!</definedName>
    <definedName name="nghi_d2" localSheetId="9">'[4]truc tiep'!#REF!</definedName>
    <definedName name="nghi_d2">#REF!</definedName>
    <definedName name="nghi_d3" localSheetId="9">'[4]truc tiep'!#REF!</definedName>
    <definedName name="nghi_d3">#REF!</definedName>
    <definedName name="nghi_dl" localSheetId="9">'[4]truc tiep'!#REF!</definedName>
    <definedName name="nghi_dl">#REF!</definedName>
    <definedName name="nghi_kcs" localSheetId="9">'[4]truc tiep'!#REF!</definedName>
    <definedName name="nghi_kcs">#REF!</definedName>
    <definedName name="nghi_nb" localSheetId="9">'[4]truc tiep'!#REF!</definedName>
    <definedName name="nghi_nb">#REF!</definedName>
    <definedName name="nghi_nv" localSheetId="9">'[4]truc tiep'!#REF!</definedName>
    <definedName name="nghi_nv">#REF!</definedName>
    <definedName name="nghi_ngio" localSheetId="9">'[4]truc tiep'!#REF!</definedName>
    <definedName name="nghi_ngio">#REF!</definedName>
    <definedName name="nghi_t3" localSheetId="9">'[4]truc tiep'!#REF!</definedName>
    <definedName name="nghi_t3">#REF!</definedName>
    <definedName name="nghi_t4" localSheetId="9">'[4]truc tiep'!#REF!</definedName>
    <definedName name="nghi_t4">#REF!</definedName>
    <definedName name="nghi_t5" localSheetId="9">'[4]truc tiep'!#REF!</definedName>
    <definedName name="nghi_t5">#REF!</definedName>
    <definedName name="nghi_t6" localSheetId="9">'[4]truc tiep'!#REF!</definedName>
    <definedName name="nghi_t6">#REF!</definedName>
    <definedName name="nghi_tc" localSheetId="9">'[4]truc tiep'!#REF!</definedName>
    <definedName name="nghi_tc">#REF!</definedName>
    <definedName name="nghi_tm" localSheetId="9">'[4]truc tiep'!#REF!</definedName>
    <definedName name="nghi_tm">#REF!</definedName>
    <definedName name="nghi_vs" localSheetId="9">'[4]truc tiep'!#REF!</definedName>
    <definedName name="nghi_vs">#REF!</definedName>
    <definedName name="nghi_xh" localSheetId="9">'[4]truc tiep'!#REF!</definedName>
    <definedName name="nghi_xh">#REF!</definedName>
    <definedName name="nhap" localSheetId="9">#REF!</definedName>
    <definedName name="nhap">#REF!</definedName>
    <definedName name="NHAP1" localSheetId="9">#REF!</definedName>
    <definedName name="NHAP1">#REF!</definedName>
    <definedName name="NHAP2" localSheetId="9">#REF!</definedName>
    <definedName name="NHAP2">#REF!</definedName>
    <definedName name="Oct">#REF!</definedName>
    <definedName name="OneTwoThree">#REF!</definedName>
    <definedName name="oo" localSheetId="9">[29]Overseas!$B$20:$L$29</definedName>
    <definedName name="oo">#REF!</definedName>
    <definedName name="ooo" localSheetId="9">[30]Overseas!$B$20:$L$29</definedName>
    <definedName name="ooo">#REF!</definedName>
    <definedName name="Other_Lab_Supplies" localSheetId="9">#REF!</definedName>
    <definedName name="Other_Lab_Supplies">#REF!</definedName>
    <definedName name="oversea" localSheetId="9">#REF!</definedName>
    <definedName name="oversea">#REF!</definedName>
    <definedName name="PackMat" localSheetId="9">[31]PM!$A$2:$F$101</definedName>
    <definedName name="PackMat">#REF!</definedName>
    <definedName name="PC_LB" localSheetId="9">[31]PC_LB!$A$2:$E$12</definedName>
    <definedName name="PC_LB">#REF!</definedName>
    <definedName name="PG_LB" localSheetId="9">[31]PG_LB!$A$1:$E$43</definedName>
    <definedName name="PG_LB">#REF!</definedName>
    <definedName name="_xlnm.Print_Area" localSheetId="1">'1. rPET'!$B:$Q</definedName>
    <definedName name="_xlnm.Print_Area" localSheetId="2">'2. rPET- nội bộ '!$A$1:$Q$42</definedName>
    <definedName name="_xlnm.Print_Area" localSheetId="3">'3. rPET USA '!$A$2:$P$30</definedName>
    <definedName name="_xlnm.Print_Area" localSheetId="4">'4. rHDPE '!$A$1:$Q$33</definedName>
    <definedName name="_xlnm.Print_Area" localSheetId="5">'5.Vảy HDPE- Ép'!$A$1:$Q$23</definedName>
    <definedName name="_xlnm.Print_Area" localSheetId="6">'6. rPP '!$A$1:$Q$21</definedName>
    <definedName name="_xlnm.Print_Area" localSheetId="7">'7. Vảy PP'!$A$1:$Q$21</definedName>
    <definedName name="_xlnm.Print_Area" localSheetId="8">'8. Hạt phó sản'!$A$1:$R$33</definedName>
    <definedName name="_xlnm.Print_Area" localSheetId="9">'9. Ma trận giá bán'!$A$1:$P$20</definedName>
    <definedName name="Print_Area_MI" localSheetId="9">[32]ESTI.!$A$1:$U$52</definedName>
    <definedName name="Print_Area_MI">#REF!</definedName>
    <definedName name="_xlnm.Print_Titles" localSheetId="2">'2. rPET- nội bộ '!$3:$5</definedName>
    <definedName name="_xlnm.Print_Titles">#N/A</definedName>
    <definedName name="PHUONG" localSheetId="9" hidden="1">[9]Sheet1!#REF!</definedName>
    <definedName name="PHUONG" hidden="1">#REF!</definedName>
    <definedName name="QUYLUONG" localSheetId="9">'[4]truc tiep'!#REF!</definedName>
    <definedName name="QUYLUONG">#REF!</definedName>
    <definedName name="RawMat" localSheetId="9">[31]RM!$A$2:$D$65</definedName>
    <definedName name="RawMat">#REF!</definedName>
    <definedName name="re" localSheetId="9">#REF!</definedName>
    <definedName name="re">#REF!</definedName>
    <definedName name="ree" localSheetId="9">#REF!</definedName>
    <definedName name="ree">#REF!</definedName>
    <definedName name="rr" localSheetId="9">[33]Capex!$B$17:$Y$41</definedName>
    <definedName name="rr">#REF!</definedName>
    <definedName name="SALES" localSheetId="9">#REF!</definedName>
    <definedName name="SALES">#REF!</definedName>
    <definedName name="sau" localSheetId="9">'[3]Chiet tinh dz35'!$H$4</definedName>
    <definedName name="sau">#REF!</definedName>
    <definedName name="sdafds" localSheetId="9">[34]Capex!$B$6:$C$9</definedName>
    <definedName name="sdafds">#REF!</definedName>
    <definedName name="SDDL" localSheetId="9">[15]QMCT!#REF!</definedName>
    <definedName name="SDDL">#REF!</definedName>
    <definedName name="sdgt" localSheetId="9" hidden="1">#REF!</definedName>
    <definedName name="sdgt" hidden="1">#REF!</definedName>
    <definedName name="sencount" hidden="1">1</definedName>
    <definedName name="Sep" localSheetId="9">#REF!</definedName>
    <definedName name="Sep">#REF!</definedName>
    <definedName name="Sheet1" localSheetId="9">#REF!</definedName>
    <definedName name="Sheet1">#REF!</definedName>
    <definedName name="shii" localSheetId="9">[35]Overseas!$B$20:$L$29</definedName>
    <definedName name="shii">#REF!</definedName>
    <definedName name="SKU" localSheetId="9">[31]SKU!$A$4:$S$76</definedName>
    <definedName name="SKU">#REF!</definedName>
    <definedName name="SO" localSheetId="9">OFFSET([21]NGUON!$A:$A,COUNTA([21]NGUON!$A:$A)-1,0,1)</definedName>
    <definedName name="SO">OFFSET(#REF!,COUNTA(#REF!)-1,0,1)</definedName>
    <definedName name="Sort" localSheetId="9" hidden="1">[9]Sheet1!#REF!</definedName>
    <definedName name="Sort" hidden="1">#REF!</definedName>
    <definedName name="SORT_AREA" localSheetId="9">'[32]DI-ESTI'!$A$8:$R$489</definedName>
    <definedName name="SORT_AREA">#REF!</definedName>
    <definedName name="SOTIEN" localSheetId="9">OFFSET([21]NGUON!$I:$I,COUNTA([21]NGUON!$I:$I)-1,0,1)</definedName>
    <definedName name="SOTIEN">OFFSET(#REF!,COUNTA(#REF!)-1,0,1)</definedName>
    <definedName name="sp_bq" localSheetId="9">'[4]truc tiep'!#REF!</definedName>
    <definedName name="sp_bq">#REF!</definedName>
    <definedName name="sp_bv" localSheetId="9">'[4]truc tiep'!#REF!</definedName>
    <definedName name="sp_bv">#REF!</definedName>
    <definedName name="sp_ck" localSheetId="9">'[4]truc tiep'!#REF!</definedName>
    <definedName name="sp_ck">#REF!</definedName>
    <definedName name="sp_d1" localSheetId="9">'[4]truc tiep'!#REF!</definedName>
    <definedName name="sp_d1">#REF!</definedName>
    <definedName name="sp_d2" localSheetId="9">'[4]truc tiep'!#REF!</definedName>
    <definedName name="sp_d2">#REF!</definedName>
    <definedName name="sp_d3" localSheetId="9">'[4]truc tiep'!#REF!</definedName>
    <definedName name="sp_d3">#REF!</definedName>
    <definedName name="sp_dl" localSheetId="9">'[4]truc tiep'!#REF!</definedName>
    <definedName name="sp_dl">#REF!</definedName>
    <definedName name="sp_kcs" localSheetId="9">'[4]truc tiep'!#REF!</definedName>
    <definedName name="sp_kcs">#REF!</definedName>
    <definedName name="sp_nb" localSheetId="9">'[4]truc tiep'!#REF!</definedName>
    <definedName name="sp_nb">#REF!</definedName>
    <definedName name="sp_nv" localSheetId="9">'[4]truc tiep'!#REF!</definedName>
    <definedName name="sp_nv">#REF!</definedName>
    <definedName name="sp_ngio" localSheetId="9">'[4]truc tiep'!#REF!</definedName>
    <definedName name="sp_ngio">#REF!</definedName>
    <definedName name="sp_t3" localSheetId="9">'[4]truc tiep'!#REF!</definedName>
    <definedName name="sp_t3">#REF!</definedName>
    <definedName name="sp_t4" localSheetId="9">'[4]truc tiep'!#REF!</definedName>
    <definedName name="sp_t4">#REF!</definedName>
    <definedName name="sp_t5" localSheetId="9">'[4]truc tiep'!#REF!</definedName>
    <definedName name="sp_t5">#REF!</definedName>
    <definedName name="sp_t6" localSheetId="9">'[4]truc tiep'!#REF!</definedName>
    <definedName name="sp_t6">#REF!</definedName>
    <definedName name="sp_tc" localSheetId="9">'[4]truc tiep'!#REF!</definedName>
    <definedName name="sp_tc">#REF!</definedName>
    <definedName name="sp_tm" localSheetId="9">'[4]truc tiep'!#REF!</definedName>
    <definedName name="sp_tm">#REF!</definedName>
    <definedName name="sp_vs" localSheetId="9">'[4]truc tiep'!#REF!</definedName>
    <definedName name="sp_vs">#REF!</definedName>
    <definedName name="sp_xh" localSheetId="9">'[4]truc tiep'!#REF!</definedName>
    <definedName name="sp_xh">#REF!</definedName>
    <definedName name="sss" localSheetId="9">[12]Capex!$G$6:$I$13</definedName>
    <definedName name="sss">#REF!</definedName>
    <definedName name="TAIKHOAN" localSheetId="9">OFFSET([21]NGUON!$E:$E,COUNTIF([21]NGUON!$E:$E,"&lt;&gt;0")-1,0,1)</definedName>
    <definedName name="TAIKHOAN">OFFSET(#REF!,COUNTIF(#REF!,"&lt;&gt;0")-1,0,1)</definedName>
    <definedName name="TAMTINH" localSheetId="9">#REF!</definedName>
    <definedName name="TAMTINH">#REF!</definedName>
    <definedName name="tdtrnc" localSheetId="9">[16]CHITIET!$G$513</definedName>
    <definedName name="tdtrnc">#REF!</definedName>
    <definedName name="tdtrvl" localSheetId="9">[16]CHITIET!$G$507</definedName>
    <definedName name="tdtrvl">#REF!</definedName>
    <definedName name="TG" localSheetId="9">#REF!</definedName>
    <definedName name="TG">#REF!</definedName>
    <definedName name="TGxayduong" localSheetId="9">#REF!</definedName>
    <definedName name="TGxayduong">#REF!</definedName>
    <definedName name="TINHTP" localSheetId="9">OFFSET([21]NGUON!$G:$G,COUNTIF([21]NGUON!$G:$G,"&lt;&gt;0")-1,0,1)</definedName>
    <definedName name="TINHTP">OFFSET(#REF!,COUNTIF(#REF!,"&lt;&gt;0")-1,0,1)</definedName>
    <definedName name="tluong" localSheetId="9">#REF!</definedName>
    <definedName name="tluong">#REF!</definedName>
    <definedName name="tnh_bq" localSheetId="9">'[4]truc tiep'!#REF!</definedName>
    <definedName name="tnh_bq">#REF!</definedName>
    <definedName name="tnh_bv" localSheetId="9">'[4]truc tiep'!#REF!</definedName>
    <definedName name="tnh_bv">#REF!</definedName>
    <definedName name="tnh_ck" localSheetId="9">'[4]truc tiep'!#REF!</definedName>
    <definedName name="tnh_ck">#REF!</definedName>
    <definedName name="tnh_d1" localSheetId="9">'[4]truc tiep'!#REF!</definedName>
    <definedName name="tnh_d1">#REF!</definedName>
    <definedName name="tnh_d2" localSheetId="9">'[4]truc tiep'!#REF!</definedName>
    <definedName name="tnh_d2">#REF!</definedName>
    <definedName name="tnh_d3" localSheetId="9">'[4]truc tiep'!#REF!</definedName>
    <definedName name="tnh_d3">#REF!</definedName>
    <definedName name="tnh_dl" localSheetId="9">'[4]truc tiep'!#REF!</definedName>
    <definedName name="tnh_dl">#REF!</definedName>
    <definedName name="tnh_kcs" localSheetId="9">'[4]truc tiep'!#REF!</definedName>
    <definedName name="tnh_kcs">#REF!</definedName>
    <definedName name="tnh_nb" localSheetId="9">'[4]truc tiep'!#REF!</definedName>
    <definedName name="tnh_nb">#REF!</definedName>
    <definedName name="tnh_nv" localSheetId="9">'[4]truc tiep'!#REF!</definedName>
    <definedName name="tnh_nv">#REF!</definedName>
    <definedName name="tnh_ngio" localSheetId="9">'[4]truc tiep'!#REF!</definedName>
    <definedName name="tnh_ngio">#REF!</definedName>
    <definedName name="tnh_t3" localSheetId="9">'[4]truc tiep'!#REF!</definedName>
    <definedName name="tnh_t3">#REF!</definedName>
    <definedName name="tnh_t4" localSheetId="9">'[4]truc tiep'!#REF!</definedName>
    <definedName name="tnh_t4">#REF!</definedName>
    <definedName name="tnh_t5" localSheetId="9">'[4]truc tiep'!#REF!</definedName>
    <definedName name="tnh_t5">#REF!</definedName>
    <definedName name="tnh_t6" localSheetId="9">'[4]truc tiep'!#REF!</definedName>
    <definedName name="tnh_t6">#REF!</definedName>
    <definedName name="tnh_tc" localSheetId="9">'[4]truc tiep'!#REF!</definedName>
    <definedName name="tnh_tc">#REF!</definedName>
    <definedName name="tnh_tm" localSheetId="9">'[4]truc tiep'!#REF!</definedName>
    <definedName name="tnh_tm">#REF!</definedName>
    <definedName name="tnh_vs" localSheetId="9">'[4]truc tiep'!#REF!</definedName>
    <definedName name="tnh_vs">#REF!</definedName>
    <definedName name="tnh_xh" localSheetId="9">'[4]truc tiep'!#REF!</definedName>
    <definedName name="tnh_xh">#REF!</definedName>
    <definedName name="TON" localSheetId="9">#REF!</definedName>
    <definedName name="TON">#REF!</definedName>
    <definedName name="TOP" localSheetId="9">#REF!</definedName>
    <definedName name="TOP">#REF!</definedName>
    <definedName name="TSSCM" localSheetId="9">#REF!</definedName>
    <definedName name="TSSCM">#REF!</definedName>
    <definedName name="TSSlist">#REF!</definedName>
    <definedName name="ttbt">#REF!</definedName>
    <definedName name="ttt" localSheetId="9">'[1]CT Thang Mo'!$B$309:$M$309</definedName>
    <definedName name="ttt">#REF!</definedName>
    <definedName name="tttb" localSheetId="9">'[1]CT Thang Mo'!$B$431:$I$431</definedName>
    <definedName name="tttb">#REF!</definedName>
    <definedName name="thgian_bq" localSheetId="9">'[4]truc tiep'!#REF!</definedName>
    <definedName name="thgian_bq">#REF!</definedName>
    <definedName name="thgian_bv" localSheetId="9">'[4]truc tiep'!#REF!</definedName>
    <definedName name="thgian_bv">#REF!</definedName>
    <definedName name="thgian_ck" localSheetId="9">'[4]truc tiep'!#REF!</definedName>
    <definedName name="thgian_ck">#REF!</definedName>
    <definedName name="thgian_d1" localSheetId="9">'[4]truc tiep'!#REF!</definedName>
    <definedName name="thgian_d1">#REF!</definedName>
    <definedName name="thgian_d2" localSheetId="9">'[4]truc tiep'!#REF!</definedName>
    <definedName name="thgian_d2">#REF!</definedName>
    <definedName name="thgian_d3" localSheetId="9">'[4]truc tiep'!#REF!</definedName>
    <definedName name="thgian_d3">#REF!</definedName>
    <definedName name="thgian_dl" localSheetId="9">'[4]truc tiep'!#REF!</definedName>
    <definedName name="thgian_dl">#REF!</definedName>
    <definedName name="thgian_kcs" localSheetId="9">'[4]truc tiep'!#REF!</definedName>
    <definedName name="thgian_kcs">#REF!</definedName>
    <definedName name="thgian_nb" localSheetId="9">'[4]truc tiep'!#REF!</definedName>
    <definedName name="thgian_nb">#REF!</definedName>
    <definedName name="thgian_nv" localSheetId="9">'[4]truc tiep'!#REF!</definedName>
    <definedName name="thgian_nv">#REF!</definedName>
    <definedName name="thgian_ngio" localSheetId="9">'[4]truc tiep'!#REF!</definedName>
    <definedName name="thgian_ngio">#REF!</definedName>
    <definedName name="thgian_t3" localSheetId="9">'[4]truc tiep'!#REF!</definedName>
    <definedName name="thgian_t3">#REF!</definedName>
    <definedName name="thgian_t4" localSheetId="9">'[4]truc tiep'!#REF!</definedName>
    <definedName name="thgian_t4">#REF!</definedName>
    <definedName name="thgian_t5" localSheetId="9">'[4]truc tiep'!#REF!</definedName>
    <definedName name="thgian_t5">#REF!</definedName>
    <definedName name="thgian_t6" localSheetId="9">'[4]truc tiep'!#REF!</definedName>
    <definedName name="thgian_t6">#REF!</definedName>
    <definedName name="thgian_tc" localSheetId="9">'[4]truc tiep'!#REF!</definedName>
    <definedName name="thgian_tc">#REF!</definedName>
    <definedName name="thgian_tm" localSheetId="9">'[4]truc tiep'!#REF!</definedName>
    <definedName name="thgian_tm">#REF!</definedName>
    <definedName name="thgian_vs" localSheetId="9">'[4]truc tiep'!#REF!</definedName>
    <definedName name="thgian_vs">#REF!</definedName>
    <definedName name="thgian_xh" localSheetId="9">'[4]truc tiep'!#REF!</definedName>
    <definedName name="thgian_xh">#REF!</definedName>
    <definedName name="thgio_bq" localSheetId="9">'[4]truc tiep'!#REF!</definedName>
    <definedName name="thgio_bq">#REF!</definedName>
    <definedName name="thgio_bv" localSheetId="9">'[4]truc tiep'!#REF!</definedName>
    <definedName name="thgio_bv">#REF!</definedName>
    <definedName name="thgio_ck" localSheetId="9">'[4]truc tiep'!#REF!</definedName>
    <definedName name="thgio_ck">#REF!</definedName>
    <definedName name="thgio_d1" localSheetId="9">'[4]truc tiep'!#REF!</definedName>
    <definedName name="thgio_d1">#REF!</definedName>
    <definedName name="thgio_d2" localSheetId="9">'[4]truc tiep'!#REF!</definedName>
    <definedName name="thgio_d2">#REF!</definedName>
    <definedName name="thgio_d3" localSheetId="9">'[4]truc tiep'!#REF!</definedName>
    <definedName name="thgio_d3">#REF!</definedName>
    <definedName name="thgio_dl" localSheetId="9">'[4]truc tiep'!#REF!</definedName>
    <definedName name="thgio_dl">#REF!</definedName>
    <definedName name="thgio_kcs" localSheetId="9">'[4]truc tiep'!#REF!</definedName>
    <definedName name="thgio_kcs">#REF!</definedName>
    <definedName name="thgio_nb" localSheetId="9">'[4]truc tiep'!#REF!</definedName>
    <definedName name="thgio_nb">#REF!</definedName>
    <definedName name="thgio_nv" localSheetId="9">'[4]truc tiep'!#REF!</definedName>
    <definedName name="thgio_nv">#REF!</definedName>
    <definedName name="thgio_ngio" localSheetId="9">'[4]truc tiep'!#REF!</definedName>
    <definedName name="thgio_ngio">#REF!</definedName>
    <definedName name="thgio_t3" localSheetId="9">'[4]truc tiep'!#REF!</definedName>
    <definedName name="thgio_t3">#REF!</definedName>
    <definedName name="thgio_t4" localSheetId="9">'[4]truc tiep'!#REF!</definedName>
    <definedName name="thgio_t4">#REF!</definedName>
    <definedName name="thgio_t5" localSheetId="9">'[4]truc tiep'!#REF!</definedName>
    <definedName name="thgio_t5">#REF!</definedName>
    <definedName name="thgio_t6" localSheetId="9">'[4]truc tiep'!#REF!</definedName>
    <definedName name="thgio_t6">#REF!</definedName>
    <definedName name="thgio_tc" localSheetId="9">'[4]truc tiep'!#REF!</definedName>
    <definedName name="thgio_tc">#REF!</definedName>
    <definedName name="thgio_tm" localSheetId="9">'[4]truc tiep'!#REF!</definedName>
    <definedName name="thgio_tm">#REF!</definedName>
    <definedName name="thgio_vs" localSheetId="9">'[4]truc tiep'!#REF!</definedName>
    <definedName name="thgio_vs">#REF!</definedName>
    <definedName name="thgio_xh" localSheetId="9">'[4]truc tiep'!#REF!</definedName>
    <definedName name="thgio_xh">#REF!</definedName>
    <definedName name="tram" localSheetId="9" hidden="1">[9]Sheet1!#REF!</definedName>
    <definedName name="tram" hidden="1">#REF!</definedName>
    <definedName name="vc3." localSheetId="9">'[1]CT  PL'!$B$125:$H$125</definedName>
    <definedName name="vc3.">#REF!</definedName>
    <definedName name="vca" localSheetId="9">'[1]CT  PL'!$B$25:$H$25</definedName>
    <definedName name="vca">#REF!</definedName>
    <definedName name="vccot" localSheetId="9">#REF!</definedName>
    <definedName name="vccot">#REF!</definedName>
    <definedName name="vccot." localSheetId="9">'[1]CT  PL'!$B$8:$H$8</definedName>
    <definedName name="vccot.">#REF!</definedName>
    <definedName name="vcdbt" localSheetId="9">'[1]CT Thang Mo'!$B$220:$I$220</definedName>
    <definedName name="vcdbt">#REF!</definedName>
    <definedName name="vcdc." localSheetId="9">'[36]Chi tiet'!#REF!</definedName>
    <definedName name="vcdc.">#REF!</definedName>
    <definedName name="vcdd" localSheetId="9">'[1]CT Thang Mo'!$B$182:$H$182</definedName>
    <definedName name="vcdd">#REF!</definedName>
    <definedName name="vcdt" localSheetId="9">'[1]CT Thang Mo'!$B$406:$I$406</definedName>
    <definedName name="vcdt">#REF!</definedName>
    <definedName name="vcdtb" localSheetId="9">'[1]CT Thang Mo'!$B$432:$I$432</definedName>
    <definedName name="vcdtb">#REF!</definedName>
    <definedName name="vctb" localSheetId="9">#REF!</definedName>
    <definedName name="vctb">#REF!</definedName>
    <definedName name="vctt" localSheetId="9">'[1]CT  PL'!$B$288:$H$288</definedName>
    <definedName name="vctt">#REF!</definedName>
    <definedName name="VDCLY" localSheetId="9">[15]QMCT!#REF!</definedName>
    <definedName name="VDCLY">#REF!</definedName>
    <definedName name="Vlcap0.7" localSheetId="9">#REF!</definedName>
    <definedName name="Vlcap0.7">#REF!</definedName>
    <definedName name="VLcap1" localSheetId="9">#REF!</definedName>
    <definedName name="VLcap1">#REF!</definedName>
    <definedName name="WeekNumbers" localSheetId="9">[18]P3!#REF!</definedName>
    <definedName name="WeekNumbers">#REF!</definedName>
    <definedName name="xfconc" localSheetId="9">[16]CHITIET!$G$173</definedName>
    <definedName name="xfconc">#REF!</definedName>
    <definedName name="xfcovl" localSheetId="9">[16]CHITIET!$G$169</definedName>
    <definedName name="xfcovl">#REF!</definedName>
    <definedName name="xh_bq" localSheetId="9">'[4]truc tiep'!#REF!</definedName>
    <definedName name="xh_bq">#REF!</definedName>
    <definedName name="xh_bv" localSheetId="9">'[4]truc tiep'!#REF!</definedName>
    <definedName name="xh_bv">#REF!</definedName>
    <definedName name="xh_ck" localSheetId="9">'[4]truc tiep'!#REF!</definedName>
    <definedName name="xh_ck">#REF!</definedName>
    <definedName name="xh_d1" localSheetId="9">'[4]truc tiep'!#REF!</definedName>
    <definedName name="xh_d1">#REF!</definedName>
    <definedName name="xh_d2" localSheetId="9">'[4]truc tiep'!#REF!</definedName>
    <definedName name="xh_d2">#REF!</definedName>
    <definedName name="xh_d3" localSheetId="9">'[4]truc tiep'!#REF!</definedName>
    <definedName name="xh_d3">#REF!</definedName>
    <definedName name="xh_dl" localSheetId="9">'[4]truc tiep'!#REF!</definedName>
    <definedName name="xh_dl">#REF!</definedName>
    <definedName name="xh_kcs" localSheetId="9">'[4]truc tiep'!#REF!</definedName>
    <definedName name="xh_kcs">#REF!</definedName>
    <definedName name="xh_nb" localSheetId="9">'[4]truc tiep'!#REF!</definedName>
    <definedName name="xh_nb">#REF!</definedName>
    <definedName name="xh_nv" localSheetId="9">'[4]truc tiep'!#REF!</definedName>
    <definedName name="xh_nv">#REF!</definedName>
    <definedName name="xh_ngio" localSheetId="9">'[4]truc tiep'!#REF!</definedName>
    <definedName name="xh_ngio">#REF!</definedName>
    <definedName name="xh_t3" localSheetId="9">'[4]truc tiep'!#REF!</definedName>
    <definedName name="xh_t3">#REF!</definedName>
    <definedName name="xh_t4" localSheetId="9">'[4]truc tiep'!#REF!</definedName>
    <definedName name="xh_t4">#REF!</definedName>
    <definedName name="xh_t5" localSheetId="9">'[4]truc tiep'!#REF!</definedName>
    <definedName name="xh_t5">#REF!</definedName>
    <definedName name="xh_t6" localSheetId="9">'[4]truc tiep'!#REF!</definedName>
    <definedName name="xh_t6">#REF!</definedName>
    <definedName name="xh_tc" localSheetId="9">'[4]truc tiep'!#REF!</definedName>
    <definedName name="xh_tc">#REF!</definedName>
    <definedName name="xh_tm" localSheetId="9">'[4]truc tiep'!#REF!</definedName>
    <definedName name="xh_tm">#REF!</definedName>
    <definedName name="xh_vs" localSheetId="9">'[4]truc tiep'!#REF!</definedName>
    <definedName name="xh_vs">#REF!</definedName>
    <definedName name="xh_xh" localSheetId="9">'[4]truc tiep'!#REF!</definedName>
    <definedName name="xh_xh">#REF!</definedName>
    <definedName name="Yomost" localSheetId="9">#REF!</definedName>
    <definedName name="Yomost">#REF!</definedName>
    <definedName name="yt_bq" localSheetId="9">'[4]truc tiep'!#REF!</definedName>
    <definedName name="yt_bq">#REF!</definedName>
    <definedName name="yt_bv" localSheetId="9">'[4]truc tiep'!#REF!</definedName>
    <definedName name="yt_bv">#REF!</definedName>
    <definedName name="yt_ck" localSheetId="9">'[4]truc tiep'!#REF!</definedName>
    <definedName name="yt_ck">#REF!</definedName>
    <definedName name="yt_d1" localSheetId="9">'[4]truc tiep'!#REF!</definedName>
    <definedName name="yt_d1">#REF!</definedName>
    <definedName name="yt_d2" localSheetId="9">'[4]truc tiep'!#REF!</definedName>
    <definedName name="yt_d2">#REF!</definedName>
    <definedName name="yt_d3" localSheetId="9">'[4]truc tiep'!#REF!</definedName>
    <definedName name="yt_d3">#REF!</definedName>
    <definedName name="yt_dl" localSheetId="9">'[4]truc tiep'!#REF!</definedName>
    <definedName name="yt_dl">#REF!</definedName>
    <definedName name="yt_kcs" localSheetId="9">'[4]truc tiep'!#REF!</definedName>
    <definedName name="yt_kcs">#REF!</definedName>
    <definedName name="yt_nb" localSheetId="9">'[4]truc tiep'!#REF!</definedName>
    <definedName name="yt_nb">#REF!</definedName>
    <definedName name="yt_nv" localSheetId="9">'[4]truc tiep'!#REF!</definedName>
    <definedName name="yt_nv">#REF!</definedName>
    <definedName name="yt_ngio" localSheetId="9">'[4]truc tiep'!#REF!</definedName>
    <definedName name="yt_ngio">#REF!</definedName>
    <definedName name="yt_t3" localSheetId="9">'[4]truc tiep'!#REF!</definedName>
    <definedName name="yt_t3">#REF!</definedName>
    <definedName name="yt_t4" localSheetId="9">'[4]truc tiep'!#REF!</definedName>
    <definedName name="yt_t4">#REF!</definedName>
    <definedName name="yt_t5" localSheetId="9">'[4]truc tiep'!#REF!</definedName>
    <definedName name="yt_t5">#REF!</definedName>
    <definedName name="yt_t6" localSheetId="9">'[4]truc tiep'!#REF!</definedName>
    <definedName name="yt_t6">#REF!</definedName>
    <definedName name="yt_tc" localSheetId="9">'[4]truc tiep'!#REF!</definedName>
    <definedName name="yt_tc">#REF!</definedName>
    <definedName name="yt_tm" localSheetId="9">'[4]truc tiep'!#REF!</definedName>
    <definedName name="yt_tm">#REF!</definedName>
    <definedName name="yt_vs" localSheetId="9">'[4]truc tiep'!#REF!</definedName>
    <definedName name="yt_vs">#REF!</definedName>
    <definedName name="yt_xh" localSheetId="9">'[4]truc tiep'!#REF!</definedName>
    <definedName name="yt_xh">#REF!</definedName>
    <definedName name="ZYX" localSheetId="9">#REF!</definedName>
    <definedName name="ZYX">#REF!</definedName>
    <definedName name="ZZZ" localSheetId="9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4" i="8" l="1"/>
  <c r="R20" i="14"/>
  <c r="Q15" i="4"/>
  <c r="O15" i="10"/>
  <c r="Q16" i="9"/>
  <c r="O27" i="2"/>
  <c r="O16" i="11"/>
  <c r="D32" i="18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D4" i="18" l="1"/>
  <c r="E4" i="18" s="1"/>
  <c r="F4" i="18" s="1"/>
  <c r="G4" i="18" s="1"/>
  <c r="H4" i="18" s="1"/>
  <c r="I4" i="18" s="1"/>
  <c r="J4" i="18" s="1"/>
  <c r="K4" i="18" l="1"/>
  <c r="L4" i="18" s="1"/>
  <c r="M4" i="18" s="1"/>
  <c r="N4" i="18" s="1"/>
  <c r="N4" i="11" l="1"/>
  <c r="O4" i="14" s="1"/>
  <c r="J4" i="11"/>
  <c r="J4" i="4" s="1"/>
  <c r="F4" i="11"/>
  <c r="F4" i="2" s="1"/>
  <c r="J4" i="2" l="1"/>
  <c r="J4" i="9"/>
  <c r="J4" i="10"/>
  <c r="K4" i="14"/>
  <c r="F4" i="9"/>
  <c r="G4" i="14"/>
  <c r="F4" i="4"/>
  <c r="F4" i="10"/>
  <c r="N4" i="2"/>
  <c r="N4" i="10"/>
  <c r="N4" i="9"/>
  <c r="N4" i="4"/>
  <c r="H8" i="4"/>
  <c r="G8" i="4" s="1"/>
  <c r="H9" i="4"/>
  <c r="G9" i="4" s="1"/>
  <c r="H10" i="4"/>
  <c r="G10" i="4" s="1"/>
  <c r="O19" i="8" l="1"/>
  <c r="J19" i="8"/>
  <c r="E13" i="8"/>
  <c r="B8" i="11" l="1"/>
  <c r="B9" i="11" s="1"/>
  <c r="N8" i="9" l="1"/>
  <c r="O8" i="9"/>
  <c r="N9" i="9"/>
  <c r="O9" i="9"/>
  <c r="N10" i="9"/>
  <c r="O10" i="9"/>
  <c r="N11" i="9"/>
  <c r="O11" i="9"/>
  <c r="H11" i="9"/>
  <c r="G11" i="9" s="1"/>
  <c r="H10" i="9"/>
  <c r="G10" i="9" s="1"/>
  <c r="H9" i="9"/>
  <c r="G9" i="9" s="1"/>
  <c r="H8" i="9"/>
  <c r="G8" i="9" s="1"/>
  <c r="N8" i="4"/>
  <c r="O8" i="4"/>
  <c r="N9" i="4"/>
  <c r="O9" i="4"/>
  <c r="N10" i="4"/>
  <c r="O10" i="4"/>
  <c r="P9" i="4"/>
  <c r="Q9" i="4" s="1"/>
  <c r="L9" i="4"/>
  <c r="K9" i="4" s="1"/>
  <c r="P8" i="4"/>
  <c r="Q8" i="4" s="1"/>
  <c r="L8" i="4"/>
  <c r="K8" i="4" s="1"/>
  <c r="L10" i="4" l="1"/>
  <c r="K10" i="4" s="1"/>
  <c r="P10" i="9"/>
  <c r="Q10" i="9" s="1"/>
  <c r="L10" i="9"/>
  <c r="K10" i="9" s="1"/>
  <c r="P9" i="9"/>
  <c r="Q9" i="9" s="1"/>
  <c r="L9" i="9"/>
  <c r="K9" i="9" s="1"/>
  <c r="P11" i="9" l="1"/>
  <c r="Q11" i="9" s="1"/>
  <c r="L11" i="9"/>
  <c r="K11" i="9" s="1"/>
  <c r="P8" i="9"/>
  <c r="Q8" i="9" s="1"/>
  <c r="L8" i="9"/>
  <c r="K8" i="9" s="1"/>
  <c r="P10" i="4" l="1"/>
  <c r="Q10" i="4" s="1"/>
  <c r="P18" i="2"/>
  <c r="Q18" i="2" s="1"/>
  <c r="P19" i="2"/>
  <c r="Q19" i="2" s="1"/>
  <c r="P15" i="2"/>
  <c r="Q15" i="2" s="1"/>
  <c r="O20" i="8" l="1"/>
  <c r="J20" i="8"/>
  <c r="O15" i="8"/>
  <c r="J15" i="8"/>
  <c r="B17" i="8"/>
  <c r="B18" i="8" s="1"/>
  <c r="B19" i="8" s="1"/>
  <c r="B20" i="8" s="1"/>
  <c r="B21" i="8" s="1"/>
  <c r="B12" i="8"/>
  <c r="I10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J13" i="8" l="1"/>
  <c r="N10" i="8"/>
  <c r="E18" i="8" l="1"/>
  <c r="E12" i="8"/>
  <c r="J18" i="8"/>
  <c r="J7" i="8" s="1"/>
  <c r="J14" i="8"/>
  <c r="J6" i="8" s="1"/>
  <c r="E14" i="8"/>
  <c r="E6" i="8" s="1"/>
  <c r="J12" i="8"/>
  <c r="O13" i="8"/>
  <c r="O12" i="8"/>
  <c r="O14" i="8"/>
  <c r="O18" i="8"/>
  <c r="J17" i="8" l="1"/>
  <c r="J21" i="8" s="1"/>
  <c r="D21" i="8"/>
  <c r="E17" i="8"/>
  <c r="E21" i="8" s="1"/>
  <c r="E7" i="8"/>
  <c r="E8" i="8" s="1"/>
  <c r="I8" i="8"/>
  <c r="D8" i="8"/>
  <c r="J8" i="8"/>
  <c r="K6" i="8" s="1"/>
  <c r="O6" i="8"/>
  <c r="O17" i="8"/>
  <c r="O7" i="8"/>
  <c r="N8" i="8"/>
  <c r="I21" i="8" l="1"/>
  <c r="F6" i="8"/>
  <c r="F17" i="8"/>
  <c r="F7" i="8"/>
  <c r="K17" i="8"/>
  <c r="K21" i="8"/>
  <c r="K7" i="8"/>
  <c r="N21" i="8"/>
  <c r="O21" i="8"/>
  <c r="O8" i="8"/>
  <c r="P6" i="8" s="1"/>
  <c r="F19" i="8"/>
  <c r="F20" i="8"/>
  <c r="F15" i="8"/>
  <c r="F16" i="8"/>
  <c r="F8" i="8"/>
  <c r="F14" i="8"/>
  <c r="F18" i="8"/>
  <c r="F21" i="8"/>
  <c r="K19" i="8"/>
  <c r="K16" i="8"/>
  <c r="K15" i="8"/>
  <c r="K8" i="8"/>
  <c r="K20" i="8"/>
  <c r="K18" i="8"/>
  <c r="K14" i="8"/>
  <c r="P7" i="8" l="1"/>
  <c r="P21" i="8"/>
  <c r="P16" i="8"/>
  <c r="P8" i="8"/>
  <c r="P19" i="8"/>
  <c r="P20" i="8"/>
  <c r="P15" i="8"/>
  <c r="P18" i="8"/>
  <c r="P14" i="8"/>
  <c r="P17" i="8"/>
  <c r="O19" i="2" l="1"/>
  <c r="N19" i="2"/>
  <c r="O18" i="2"/>
  <c r="N18" i="2"/>
  <c r="H19" i="2"/>
  <c r="G19" i="2" s="1"/>
  <c r="H18" i="2"/>
  <c r="G18" i="2" s="1"/>
  <c r="B9" i="2" l="1"/>
  <c r="L19" i="2"/>
  <c r="K19" i="2" s="1"/>
  <c r="L18" i="2"/>
  <c r="K18" i="2" s="1"/>
  <c r="N15" i="2"/>
  <c r="O15" i="2" l="1"/>
  <c r="L15" i="2"/>
  <c r="K15" i="2" s="1"/>
  <c r="H15" i="2"/>
  <c r="G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Nhâm, Hoàng Thị</author>
  </authors>
  <commentList>
    <comment ref="I11" authorId="0" shapeId="0" xr:uid="{316FC5EA-AF66-4810-BE9A-A3C336956A3E}">
      <text>
        <r>
          <rPr>
            <b/>
            <sz val="9"/>
            <color indexed="81"/>
            <rFont val="Tahoma"/>
            <family val="2"/>
          </rPr>
          <t>Nhâm, Hoàng Thị:</t>
        </r>
        <r>
          <rPr>
            <sz val="9"/>
            <color indexed="81"/>
            <rFont val="Tahoma"/>
            <family val="2"/>
          </rPr>
          <t xml:space="preserve">
số cũ 796 do hiệu suất CARN-01 tính 70%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3" authorId="0" shapeId="0" xr:uid="{1CDF25A9-1612-47C1-A73E-4619CE18DF8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T5:940 USD
T6:940 USD
T7: 950 USD
T8: 940 USD</t>
        </r>
      </text>
    </comment>
  </commentList>
</comments>
</file>

<file path=xl/sharedStrings.xml><?xml version="1.0" encoding="utf-8"?>
<sst xmlns="http://schemas.openxmlformats.org/spreadsheetml/2006/main" count="503" uniqueCount="249">
  <si>
    <t>Sản phẩm</t>
  </si>
  <si>
    <t>STT</t>
  </si>
  <si>
    <t>Mức IV</t>
  </si>
  <si>
    <t>Hạt rPET WSS03</t>
  </si>
  <si>
    <t>Hạt rPET WSS02</t>
  </si>
  <si>
    <t>Hạt rPET WSS01</t>
  </si>
  <si>
    <t>Hạt rPET ISS01</t>
  </si>
  <si>
    <t>Hạt rPET phân lập</t>
  </si>
  <si>
    <t>Lưu ý:</t>
  </si>
  <si>
    <t>Hạt rPET ISS084G</t>
  </si>
  <si>
    <t xml:space="preserve"> </t>
  </si>
  <si>
    <t>Hạt rPET ISS01G</t>
  </si>
  <si>
    <t>Mã sản phẩm</t>
  </si>
  <si>
    <t>Hạt rPET WSS01G</t>
  </si>
  <si>
    <t>110000332</t>
  </si>
  <si>
    <t>110000355</t>
  </si>
  <si>
    <t>110000330</t>
  </si>
  <si>
    <t>110000354</t>
  </si>
  <si>
    <t>110000329</t>
  </si>
  <si>
    <t>110000331</t>
  </si>
  <si>
    <t>110000333</t>
  </si>
  <si>
    <t>110000361</t>
  </si>
  <si>
    <t>110000365</t>
  </si>
  <si>
    <t>110000373</t>
  </si>
  <si>
    <t>Chủ Tịch</t>
  </si>
  <si>
    <t>Giám Đốc Tài Chính</t>
  </si>
  <si>
    <t>Kế Toán</t>
  </si>
  <si>
    <t>0.84</t>
  </si>
  <si>
    <t>0.80</t>
  </si>
  <si>
    <t>0.78</t>
  </si>
  <si>
    <t>0.74</t>
  </si>
  <si>
    <t>0.70</t>
  </si>
  <si>
    <t>Giá xuất xưởng DTR (USD/tấn)</t>
  </si>
  <si>
    <t xml:space="preserve">Giám Đốc Điều Hành           </t>
  </si>
  <si>
    <t>Giám Đốc Kinh Doanh</t>
  </si>
  <si>
    <t>Giá Bán
(1)</t>
  </si>
  <si>
    <t>$</t>
  </si>
  <si>
    <t>%</t>
  </si>
  <si>
    <t>Màu dương đậm</t>
  </si>
  <si>
    <t>Màu trắng</t>
  </si>
  <si>
    <t>Màu đỏ</t>
  </si>
  <si>
    <t>Chiết Khấu
(3)</t>
  </si>
  <si>
    <t>Giá bán sau chiết khấu
(4)=(1)-(3)</t>
  </si>
  <si>
    <t>% Chiết khấu 
(2)</t>
  </si>
  <si>
    <t xml:space="preserve">Hạt rHDI4DL01 </t>
  </si>
  <si>
    <t>Hạt rHDI3W01</t>
  </si>
  <si>
    <t>Hạt rHDI3R01</t>
  </si>
  <si>
    <t>Số lượng (tấn/cont)</t>
  </si>
  <si>
    <t>Quy cách đóng hàng (cont 20'fcl</t>
  </si>
  <si>
    <t>Đơn giá USD 
($/tấn)</t>
  </si>
  <si>
    <t>Tổng giá trị USD 
($/cont)</t>
  </si>
  <si>
    <t>Giá FOB HCM</t>
  </si>
  <si>
    <t>Vận chuyển biển</t>
  </si>
  <si>
    <t>Bảo hiểm</t>
  </si>
  <si>
    <t>Giá CIF (LAX)</t>
  </si>
  <si>
    <t>Thuế nhập khẩu</t>
  </si>
  <si>
    <t>Kéo cont đến nhà máy</t>
  </si>
  <si>
    <t>Phí phạt vượt tải trọng</t>
  </si>
  <si>
    <t>Giá DDP CA93033</t>
  </si>
  <si>
    <t>Giá FOB</t>
  </si>
  <si>
    <t>Tổng cộng</t>
  </si>
  <si>
    <r>
      <t>1. Giá FOB = Giá xuất xưởng (EXW) +</t>
    </r>
    <r>
      <rPr>
        <sz val="13"/>
        <color rgb="FFC00000"/>
        <rFont val="Times New Roman"/>
        <family val="1"/>
      </rPr>
      <t xml:space="preserve"> USD 25/tấn</t>
    </r>
  </si>
  <si>
    <r>
      <t>1. Giá FOB = Giá xuất xưởng (EXW) +</t>
    </r>
    <r>
      <rPr>
        <sz val="13"/>
        <color rgb="FFC00000"/>
        <rFont val="Times New Roman"/>
        <family val="1"/>
      </rPr>
      <t xml:space="preserve"> USD 20/tấn</t>
    </r>
  </si>
  <si>
    <t>Giá Ex DTR</t>
  </si>
  <si>
    <t>Kéo cont từ DTR đến cảng HCM</t>
  </si>
  <si>
    <t>1. Bảng giá áp dụng cho việc phát triển khách hàng mới, lưu hành nội bộ</t>
  </si>
  <si>
    <t>Tỷ lệ %</t>
  </si>
  <si>
    <t>Không màu</t>
  </si>
  <si>
    <t>Màu</t>
  </si>
  <si>
    <t>Hạt nhựa rPET iSS01L</t>
  </si>
  <si>
    <t>Giá Exw DTR</t>
  </si>
  <si>
    <t>Giá FOB HCM=(1) + (2)</t>
  </si>
  <si>
    <t>Giá CIF (LAX)=(3)+(4)+(5)</t>
  </si>
  <si>
    <t>Giá DDP CA93033=(6)+(7)+(8)+(9)</t>
  </si>
  <si>
    <t>TÓM TẮT:</t>
  </si>
  <si>
    <t>I</t>
  </si>
  <si>
    <t>II</t>
  </si>
  <si>
    <t>Chi phí vận chuyển từ VN sang USA</t>
  </si>
  <si>
    <t>Đen</t>
  </si>
  <si>
    <t>0.63</t>
  </si>
  <si>
    <t>ISS01G (IV 0.8 ± 0.02)</t>
  </si>
  <si>
    <t>ISS01084G (IV 0.84 ± 0.03)</t>
  </si>
  <si>
    <t>Hạt rPET: WSS01G (IV 0.78 ± 0.02)</t>
  </si>
  <si>
    <t>3. Bảng giá áp dụng cho việc phát triển khách hàng mới, lưu hành nội bộ</t>
  </si>
  <si>
    <t>Vảy HD Ép Trắng</t>
  </si>
  <si>
    <t>Vảy HD Ép Vàng</t>
  </si>
  <si>
    <t>Vảy HD Ép Lá</t>
  </si>
  <si>
    <t>Vảy HD Ép Dương</t>
  </si>
  <si>
    <t>110000421</t>
  </si>
  <si>
    <t>110000422</t>
  </si>
  <si>
    <t>110000423</t>
  </si>
  <si>
    <t>110000424</t>
  </si>
  <si>
    <t>Vảy PP Đỏ Đậm</t>
  </si>
  <si>
    <t>Vảy PP Dương Nhạt</t>
  </si>
  <si>
    <t>Vảy PP Dương Đậm</t>
  </si>
  <si>
    <t>Đỏ, dương</t>
  </si>
  <si>
    <t>Vảy PP màu</t>
  </si>
  <si>
    <t>Đỏ, Trắng, Vàng, Lá, Dương</t>
  </si>
  <si>
    <t>Vảy HD màu</t>
  </si>
  <si>
    <t>Đỏ, dương, trắng, lá, đen</t>
  </si>
  <si>
    <t>Hạt nhựa rPP màu</t>
  </si>
  <si>
    <t>Trắng, lá, vàng</t>
  </si>
  <si>
    <t>Màu trắng, đỏ</t>
  </si>
  <si>
    <t>Hạt rHD ép</t>
  </si>
  <si>
    <t>Hạt rHD ép màu</t>
  </si>
  <si>
    <t>Màu dương đậm, trắng, đỏ</t>
  </si>
  <si>
    <t>Hạt nhựa rHD Thổi màu</t>
  </si>
  <si>
    <t xml:space="preserve">                       Giám Đốc Tài Chính           </t>
  </si>
  <si>
    <t>4. Bảng giá áp dụng cho việc phát triển khách hàng mới, lưu hành nội bộ</t>
  </si>
  <si>
    <t>NHÓM KHÁCH HÀNG PHÁT TRIỂN BỀN VỮNG</t>
  </si>
  <si>
    <t>NHÓM KHÁCH HÀNG NỘI ĐỊA</t>
  </si>
  <si>
    <t xml:space="preserve">2. Ủy quyền cho GĐĐH duyệt theo đơn đặt hàng: biên độ +/-10%  so với giá xuất xưởng DTR </t>
  </si>
  <si>
    <t>1. Giá trên là giá xuất xưởng (EXW), nếu vận chuyển đến khách hàng thì cộng thêm phí vận chuyển</t>
  </si>
  <si>
    <t xml:space="preserve"> Giám Đốc Điều Hành        </t>
  </si>
  <si>
    <t xml:space="preserve">Giám đốc Tài Chính     </t>
  </si>
  <si>
    <t xml:space="preserve">           Giám Đốc Điều Hành      </t>
  </si>
  <si>
    <t>A</t>
  </si>
  <si>
    <t>B</t>
  </si>
  <si>
    <t>I. rHDPE THỔI (PERSONAL CARE)</t>
  </si>
  <si>
    <t>Không màu, Trắng, lá, vàng</t>
  </si>
  <si>
    <t>II. rHDPE THỔI (HOME CARE)</t>
  </si>
  <si>
    <t xml:space="preserve">III. rHDPE ÉP </t>
  </si>
  <si>
    <t>3. Khách hàng nội địa: Long Thành, DTP, Hiệp Thành</t>
  </si>
  <si>
    <t xml:space="preserve">4. Ủy quyền cho GĐĐH duyệt theo đơn đặt hàng: biên độ +/-10%  so với giá xuất xưởng DTR </t>
  </si>
  <si>
    <t>5. Bảng giá áp dụng cho việc phát triển khách hàng mới, lưu hành nội bộ</t>
  </si>
  <si>
    <t>0.55</t>
  </si>
  <si>
    <t>Hạt nhựa rPET WSS03SD, WSS04SD (xơ sợi)</t>
  </si>
  <si>
    <t>Hạt nhựa rPET WSS05SB (xơ sợi)</t>
  </si>
  <si>
    <t>Hạt nhựa rPP20B01</t>
  </si>
  <si>
    <t>Hạt nhựa rHDPE  B03N01</t>
  </si>
  <si>
    <t>Hạt Nhựa rHDPE A03N01</t>
  </si>
  <si>
    <t>Trong</t>
  </si>
  <si>
    <t>Đục</t>
  </si>
  <si>
    <t>Xám</t>
  </si>
  <si>
    <t>IV/MI</t>
  </si>
  <si>
    <t>2. Hạt sơ sợi: giá bán 1.100 usd/tấn, chào khách để bán được hàng là +/- 55usd/tấn</t>
  </si>
  <si>
    <t>Hạt Nhựa rPET WSS06SP-1</t>
  </si>
  <si>
    <t>Hạt Nhựa rPET WSS06SP-2</t>
  </si>
  <si>
    <t>110000358</t>
  </si>
  <si>
    <t>Hạt nhựa rPET WSS02G</t>
  </si>
  <si>
    <t>110000359</t>
  </si>
  <si>
    <t>Hạt nhựa rPET WSS03G</t>
  </si>
  <si>
    <t>110000376</t>
  </si>
  <si>
    <t>110000381</t>
  </si>
  <si>
    <t>110000382</t>
  </si>
  <si>
    <t>110000378</t>
  </si>
  <si>
    <t>Hạt nhựa rPET iSS01G 2</t>
  </si>
  <si>
    <t>110000377</t>
  </si>
  <si>
    <t>Hạt nhựa rPET WSS01G 2</t>
  </si>
  <si>
    <t>110000387</t>
  </si>
  <si>
    <t xml:space="preserve">0.70 </t>
  </si>
  <si>
    <t>Hạt nhựa rPET WSS03SD</t>
  </si>
  <si>
    <t>Hạt nhựa rPET WSS05SB</t>
  </si>
  <si>
    <t>Hạt Nhựa rPET WSS05SB-2</t>
  </si>
  <si>
    <t>Hạt Nhựa rPET WSS05SB-3</t>
  </si>
  <si>
    <t>Hạt nhựa rPET WSS04SD</t>
  </si>
  <si>
    <t>Hạt nhựa rPET WSS04SB</t>
  </si>
  <si>
    <t>Hạt Nhựa rHDI3Gy02</t>
  </si>
  <si>
    <t>Hạt nhựa rHDB04B01</t>
  </si>
  <si>
    <t>Hạt Nhựa rHDB03N03</t>
  </si>
  <si>
    <t>MBF01</t>
  </si>
  <si>
    <t>HDPE Trắng sữa</t>
  </si>
  <si>
    <t>HDPE ép</t>
  </si>
  <si>
    <t>ĐIỂM HÒA VỐN</t>
  </si>
  <si>
    <t>Mã</t>
  </si>
  <si>
    <t>HDPE MÀU</t>
  </si>
  <si>
    <t>Vảy HDPE ép</t>
  </si>
  <si>
    <t>Hạt PP bình quân</t>
  </si>
  <si>
    <t>Vảy PP</t>
  </si>
  <si>
    <t>Hạt PP trắng sữa</t>
  </si>
  <si>
    <t>Từ chai nâng IV 8h</t>
  </si>
  <si>
    <t>Từ chai nâng IV 10h</t>
  </si>
  <si>
    <t>Từ vảy nâng IV 8h</t>
  </si>
  <si>
    <t>Từ vảy nâng IV 10h</t>
  </si>
  <si>
    <t>Hỗn hợp nâng IV 8h</t>
  </si>
  <si>
    <t>Hỗn hợp nâng IV 10h</t>
  </si>
  <si>
    <t>ISS01L</t>
  </si>
  <si>
    <t xml:space="preserve">rPET </t>
  </si>
  <si>
    <t>rHDPE - PP</t>
  </si>
  <si>
    <t>WSS03SD</t>
  </si>
  <si>
    <t>WSS04SD</t>
  </si>
  <si>
    <t>WSS04SB</t>
  </si>
  <si>
    <t>WSS05SB (70%B6+30%bụi)</t>
  </si>
  <si>
    <t>WSS05SB (90%B8+10%B6)</t>
  </si>
  <si>
    <t>WSS05SB-2 (90%B8+10%B7)</t>
  </si>
  <si>
    <t>WSS05SB-2 (82%B8+18%B7)</t>
  </si>
  <si>
    <t>WSS05SB-3 (90%B8+10%B5)</t>
  </si>
  <si>
    <t>WSS05SB-3 (100% Tomra)</t>
  </si>
  <si>
    <t>Xơ sợi</t>
  </si>
  <si>
    <t>WSS05SB (100% B6)</t>
  </si>
  <si>
    <t>HDB03N03</t>
  </si>
  <si>
    <t>HDB04B01</t>
  </si>
  <si>
    <t>HDI3Gy02</t>
  </si>
  <si>
    <t>PP20B01</t>
  </si>
  <si>
    <t xml:space="preserve"> (80% PS hạt HD thổi lẫn màu/kim loại)</t>
  </si>
  <si>
    <t>WSS006SP-1 (vảy zigzag sau lựa)</t>
  </si>
  <si>
    <t>WSS006SP-2 (bụi tank C,D đã gia công)</t>
  </si>
  <si>
    <t>WSS05SB-3 (90%B6+10%B5)</t>
  </si>
  <si>
    <t>WSS006SP-1 (vảy PET tuyển nổi 2)</t>
  </si>
  <si>
    <t>Ghi chú</t>
  </si>
  <si>
    <t>Từ T8 hết nguyên liệu B8</t>
  </si>
  <si>
    <t>Từ T8 dùng nguyên liệu B6</t>
  </si>
  <si>
    <t>Từ T8 hết nguyên liệu Tomra</t>
  </si>
  <si>
    <t>Từ T8 hết nguyên liệu Zigzag</t>
  </si>
  <si>
    <t>Từ T8 dùng nguyên liệu vảy PET tuyển nổi 2</t>
  </si>
  <si>
    <t>WSS05SB-2 (82%B6+18%B7)</t>
  </si>
  <si>
    <t>2. Hạt xơ sợi: giá bán 1.100 usd/tấn, chào khách để bán được hàng là +/- 55usd/tấn</t>
  </si>
  <si>
    <t>ĐVT: USD/ TẤN</t>
  </si>
  <si>
    <t>Stt</t>
  </si>
  <si>
    <t>Mã SP</t>
  </si>
  <si>
    <t>Tên sản phẩm</t>
  </si>
  <si>
    <t>ICIS</t>
  </si>
  <si>
    <t>ICIS - Giá trung bình</t>
  </si>
  <si>
    <t>+/- % Giá WSS01 của DTR vs giá ICIS</t>
  </si>
  <si>
    <t>Giá keo PET chính phẩm</t>
  </si>
  <si>
    <t>+/- % Giá WSS01 của DTR vs giá chính phẩm</t>
  </si>
  <si>
    <t>Người lập</t>
  </si>
  <si>
    <t>TC-TCH-01/ BM01</t>
  </si>
  <si>
    <t>V0 -</t>
  </si>
  <si>
    <t>Tháng …. (đã duyệt)</t>
  </si>
  <si>
    <t>Tháng ….</t>
  </si>
  <si>
    <t>Chênh lệch
 tháng …. vs tháng ….</t>
  </si>
  <si>
    <r>
      <t xml:space="preserve">Chênh lệch Giá tháng …. vs </t>
    </r>
    <r>
      <rPr>
        <b/>
        <sz val="13"/>
        <color rgb="FFFF0000"/>
        <rFont val="Times New Roman"/>
        <family val="1"/>
      </rPr>
      <t>chính phẩm 
(….. $/ tấn)</t>
    </r>
  </si>
  <si>
    <t>Ngày …. tháng ….. năm …....</t>
  </si>
  <si>
    <r>
      <t xml:space="preserve">Chênh lệch Giá tháng …. vs </t>
    </r>
    <r>
      <rPr>
        <b/>
        <sz val="13"/>
        <color rgb="FFFF0000"/>
        <rFont val="Times New Roman"/>
        <family val="1"/>
      </rPr>
      <t>chính phẩm 
(….. $/tấn)</t>
    </r>
  </si>
  <si>
    <r>
      <t xml:space="preserve">GIÁ BÁN HẠT rPET - THÁNG …. NĂM …..
</t>
    </r>
    <r>
      <rPr>
        <b/>
        <sz val="18"/>
        <color theme="4"/>
        <rFont val="Times New Roman"/>
        <family val="1"/>
      </rPr>
      <t>HỖ TRỢ PHÁT TRIỂN KHÁCH HÀNG MỚI</t>
    </r>
  </si>
  <si>
    <r>
      <t xml:space="preserve">GIÁ BÁN HẠT rPET - THÁNG …. NĂM …..
</t>
    </r>
    <r>
      <rPr>
        <b/>
        <sz val="18"/>
        <color rgb="FF0070C0"/>
        <rFont val="Times New Roman"/>
        <family val="1"/>
      </rPr>
      <t>HỖ TRỢ PHÁT TRIỂN KHÁCH HÀNG MỚI</t>
    </r>
  </si>
  <si>
    <t>TC-TCH-01/ BM02</t>
  </si>
  <si>
    <r>
      <t xml:space="preserve">GIÁ BÁN HẠT rHDPE - THÁNG …. NĂM …..
</t>
    </r>
    <r>
      <rPr>
        <b/>
        <sz val="18"/>
        <color theme="4"/>
        <rFont val="Times New Roman"/>
        <family val="1"/>
      </rPr>
      <t>HỖ TRỢ PHÁT TRIỂN KHÁCH HÀNG MỚI</t>
    </r>
  </si>
  <si>
    <t>TC-TCH-01/ BM04</t>
  </si>
  <si>
    <r>
      <t xml:space="preserve">Chênh lệch Giá tháng …. vs </t>
    </r>
    <r>
      <rPr>
        <b/>
        <sz val="13"/>
        <color rgb="FFFF0000"/>
        <rFont val="Times New Roman"/>
        <family val="1"/>
      </rPr>
      <t>chính phẩm (….. $/tấn HD thổi &amp; ….  $/tấn HD ép)</t>
    </r>
  </si>
  <si>
    <r>
      <t xml:space="preserve">GIÁ BÁN VẢY HDPE ÉP- THÁNG …. NĂM …..
</t>
    </r>
    <r>
      <rPr>
        <b/>
        <sz val="18"/>
        <color theme="4"/>
        <rFont val="Times New Roman"/>
        <family val="1"/>
      </rPr>
      <t>HỖ TRỢ PHÁT TRIỂN KHÁCH HÀNG MỚI</t>
    </r>
  </si>
  <si>
    <t>TC-TCH-01/ BM05</t>
  </si>
  <si>
    <r>
      <t xml:space="preserve">Chênh lệch Giá tháng ….. vs </t>
    </r>
    <r>
      <rPr>
        <b/>
        <sz val="13"/>
        <color rgb="FFFF0000"/>
        <rFont val="Times New Roman"/>
        <family val="1"/>
      </rPr>
      <t>chính phẩm (….. $/tấn)</t>
    </r>
  </si>
  <si>
    <r>
      <t xml:space="preserve">GIÁ BÁN HẠT rPP - THÁNG …. NĂM …...
</t>
    </r>
    <r>
      <rPr>
        <b/>
        <sz val="18"/>
        <color theme="4"/>
        <rFont val="Times New Roman"/>
        <family val="1"/>
      </rPr>
      <t>HỖ TRỢ PHÁT TRIỂN KHÁCH HÀNG MỚI</t>
    </r>
  </si>
  <si>
    <t>TC-TCH-01/ BM06</t>
  </si>
  <si>
    <r>
      <t xml:space="preserve">Chênh lệch Giá tháng …. vs </t>
    </r>
    <r>
      <rPr>
        <b/>
        <sz val="13"/>
        <color rgb="FFFF0000"/>
        <rFont val="Times New Roman"/>
        <family val="1"/>
      </rPr>
      <t>chính phẩm 
(…. $/tấn)</t>
    </r>
  </si>
  <si>
    <r>
      <t xml:space="preserve">GIÁ BÁN VẢY PP - THÁNG …. NĂM …...
</t>
    </r>
    <r>
      <rPr>
        <b/>
        <sz val="18"/>
        <color theme="4"/>
        <rFont val="Times New Roman"/>
        <family val="1"/>
      </rPr>
      <t>HỖ TRỢ PHÁT TRIỂN KHÁCH HÀNG MỚI</t>
    </r>
  </si>
  <si>
    <t>TC-TCH-01/ BM07</t>
  </si>
  <si>
    <r>
      <t xml:space="preserve">Chênh lệch Giá tháng ….. vs </t>
    </r>
    <r>
      <rPr>
        <b/>
        <sz val="13"/>
        <color rgb="FFFF0000"/>
        <rFont val="Times New Roman"/>
        <family val="1"/>
      </rPr>
      <t>chính phẩm 
(….. $/tấn)</t>
    </r>
  </si>
  <si>
    <r>
      <t xml:space="preserve">GIÁ BÁN HẠT rPET - THÁNG …. NĂM …... - THỊ TRƯỜNG USA
</t>
    </r>
    <r>
      <rPr>
        <b/>
        <sz val="18"/>
        <color theme="4"/>
        <rFont val="Times New Roman"/>
        <family val="1"/>
      </rPr>
      <t>HỖ TRỢ PHÁT TRIỂN KHÁCH HÀNG MỚI</t>
    </r>
  </si>
  <si>
    <t>TC-TCH-01/ BM03</t>
  </si>
  <si>
    <t>TC-TCH-01/ BM08</t>
  </si>
  <si>
    <r>
      <t xml:space="preserve">GIÁ BÁN HẠT SẢN XUẤT TỪ PHÓ SẢN - THÁNG …. NĂM …...
</t>
    </r>
    <r>
      <rPr>
        <b/>
        <sz val="18"/>
        <color theme="4"/>
        <rFont val="Times New Roman"/>
        <family val="1"/>
      </rPr>
      <t>HỖ TRỢ PHÁT TRIỂN KHÁCH HÀNG MỚI</t>
    </r>
  </si>
  <si>
    <t>TC-TCH-01/ BM09</t>
  </si>
  <si>
    <r>
      <t>MA TRẬN GIÁ BÁN</t>
    </r>
    <r>
      <rPr>
        <b/>
        <sz val="24"/>
        <color rgb="FF0070C0"/>
        <rFont val="Times New Roman"/>
        <family val="1"/>
      </rPr>
      <t xml:space="preserve"> </t>
    </r>
    <r>
      <rPr>
        <b/>
        <sz val="18"/>
        <color rgb="FF0070C0"/>
        <rFont val="Times New Roman"/>
        <family val="1"/>
      </rPr>
      <t>NĂM ….</t>
    </r>
  </si>
  <si>
    <t>Ngày …./...../….....</t>
  </si>
  <si>
    <t xml:space="preserve">3. Ủy quyền cho GĐĐH duyệt theo đơn đặt hàng: biên độ +/-10% so với giá xuất xưởng DTR </t>
  </si>
  <si>
    <t>2. Giá chính phẩm HD thổi là ... usd/tấn, HD Ép là ... usd/tấn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</si>
</sst>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_-;\-* #,##0.0_-;_-* &quot;-&quot;??_-;_-@_-"/>
    <numFmt numFmtId="166" formatCode="_-* #,##0_-;\-* #,##0_-;_-* &quot;-&quot;??_-;_-@_-"/>
    <numFmt numFmtId="167" formatCode="&quot;$&quot;#,##0"/>
    <numFmt numFmtId="168" formatCode="&quot;$&quot;#,##0.0"/>
    <numFmt numFmtId="169" formatCode="_-* #,##0\ [$USD]_-;\-* #,##0\ [$USD]_-;_-* &quot;-&quot;\ [$USD]_-;_-@_-"/>
    <numFmt numFmtId="170" formatCode="_-* #,##0.00\ _₫_-;\-* #,##0.00\ _₫_-;_-* &quot;-&quot;??\ _₫_-;_-@_-"/>
    <numFmt numFmtId="171" formatCode="_ * #,##0.00_)_ ;_ * \(#,##0.00\)_ ;_ * &quot;-&quot;??_)_ ;_ @_ 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2060"/>
      <name val="Times New Roman"/>
      <family val="1"/>
    </font>
    <font>
      <sz val="12"/>
      <color rgb="FF002060"/>
      <name val="Times New Roman"/>
      <family val="1"/>
    </font>
    <font>
      <sz val="11"/>
      <name val="Times New Roman"/>
      <family val="1"/>
    </font>
    <font>
      <sz val="13"/>
      <color rgb="FF002060"/>
      <name val="Times New Roman"/>
      <family val="1"/>
    </font>
    <font>
      <sz val="13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3"/>
      <color rgb="FF002060"/>
      <name val="Times New Roman"/>
      <family val="1"/>
    </font>
    <font>
      <sz val="12"/>
      <color rgb="FFC00000"/>
      <name val="Times New Roman"/>
      <family val="1"/>
    </font>
    <font>
      <b/>
      <sz val="12"/>
      <color rgb="FF002060"/>
      <name val="Times New Roman"/>
      <family val="1"/>
    </font>
    <font>
      <sz val="13"/>
      <color theme="1"/>
      <name val="Times New Roman"/>
      <family val="1"/>
    </font>
    <font>
      <sz val="13"/>
      <color rgb="FFC00000"/>
      <name val="Times New Roman"/>
      <family val="1"/>
    </font>
    <font>
      <sz val="13"/>
      <name val="Times New Roman"/>
      <family val="1"/>
    </font>
    <font>
      <sz val="13"/>
      <color rgb="FF0000FF"/>
      <name val="Times New Roman"/>
      <family val="1"/>
    </font>
    <font>
      <b/>
      <sz val="13"/>
      <color rgb="FF0000FF"/>
      <name val="Times New Roman"/>
      <family val="1"/>
    </font>
    <font>
      <sz val="13"/>
      <color theme="0"/>
      <name val="Times New Roman"/>
      <family val="1"/>
    </font>
    <font>
      <b/>
      <sz val="11"/>
      <color rgb="FF002060"/>
      <name val="Times New Roman"/>
      <family val="1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1"/>
      <color rgb="FF0000FF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0"/>
      <color theme="1"/>
      <name val=".VnArial"/>
      <family val="2"/>
    </font>
    <font>
      <sz val="10"/>
      <name val="Arial"/>
      <family val="2"/>
    </font>
    <font>
      <sz val="10"/>
      <color theme="1"/>
      <name val="Times New Roman"/>
      <family val="2"/>
    </font>
    <font>
      <sz val="11"/>
      <name val="Calibri"/>
      <family val="2"/>
      <charset val="163"/>
      <scheme val="minor"/>
    </font>
    <font>
      <sz val="14"/>
      <color rgb="FFFF33CC"/>
      <name val="Times New Roman"/>
      <family val="1"/>
    </font>
    <font>
      <sz val="11"/>
      <name val="Calibri"/>
      <family val="2"/>
      <scheme val="minor"/>
    </font>
    <font>
      <b/>
      <sz val="16"/>
      <color rgb="FF0070C0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0000FF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22"/>
      <color rgb="FF0070C0"/>
      <name val="Times New Roman"/>
      <family val="1"/>
    </font>
    <font>
      <b/>
      <sz val="22"/>
      <color theme="4"/>
      <name val="Times New Roman"/>
      <family val="1"/>
    </font>
    <font>
      <b/>
      <sz val="18"/>
      <color theme="4"/>
      <name val="Times New Roman"/>
      <family val="1"/>
    </font>
    <font>
      <b/>
      <sz val="18"/>
      <color rgb="FF0070C0"/>
      <name val="Times New Roman"/>
      <family val="1"/>
    </font>
    <font>
      <b/>
      <sz val="24"/>
      <color rgb="FF0070C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37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/>
    <xf numFmtId="0" fontId="38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39" fillId="0" borderId="0"/>
    <xf numFmtId="0" fontId="38" fillId="0" borderId="0"/>
    <xf numFmtId="0" fontId="1" fillId="0" borderId="0"/>
    <xf numFmtId="0" fontId="1" fillId="0" borderId="0"/>
  </cellStyleXfs>
  <cellXfs count="26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167" fontId="10" fillId="2" borderId="1" xfId="1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9" fontId="10" fillId="0" borderId="1" xfId="2" applyFont="1" applyFill="1" applyBorder="1" applyAlignment="1">
      <alignment horizontal="center" vertical="center"/>
    </xf>
    <xf numFmtId="167" fontId="11" fillId="2" borderId="1" xfId="1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167" fontId="11" fillId="0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Continuous" vertical="center" wrapText="1"/>
    </xf>
    <xf numFmtId="0" fontId="10" fillId="2" borderId="1" xfId="0" applyFont="1" applyFill="1" applyBorder="1" applyAlignment="1">
      <alignment vertical="center"/>
    </xf>
    <xf numFmtId="167" fontId="10" fillId="2" borderId="1" xfId="1" applyNumberFormat="1" applyFont="1" applyFill="1" applyBorder="1" applyAlignment="1">
      <alignment horizontal="center" vertical="center"/>
    </xf>
    <xf numFmtId="167" fontId="11" fillId="2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6" fillId="0" borderId="0" xfId="0" applyFont="1"/>
    <xf numFmtId="165" fontId="16" fillId="0" borderId="0" xfId="0" applyNumberFormat="1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167" fontId="10" fillId="2" borderId="4" xfId="1" applyNumberFormat="1" applyFont="1" applyFill="1" applyBorder="1" applyAlignment="1">
      <alignment horizontal="center" vertical="center"/>
    </xf>
    <xf numFmtId="167" fontId="11" fillId="2" borderId="5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2" borderId="4" xfId="0" applyFont="1" applyFill="1" applyBorder="1" applyAlignment="1">
      <alignment vertical="center"/>
    </xf>
    <xf numFmtId="167" fontId="19" fillId="2" borderId="4" xfId="1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left" vertical="center"/>
    </xf>
    <xf numFmtId="167" fontId="10" fillId="2" borderId="3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43" fontId="8" fillId="0" borderId="1" xfId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67" fontId="8" fillId="0" borderId="1" xfId="1" applyNumberFormat="1" applyFont="1" applyFill="1" applyBorder="1" applyAlignment="1">
      <alignment horizontal="right" vertical="center"/>
    </xf>
    <xf numFmtId="9" fontId="8" fillId="0" borderId="1" xfId="2" applyFont="1" applyFill="1" applyBorder="1" applyAlignment="1">
      <alignment horizontal="right" vertical="center"/>
    </xf>
    <xf numFmtId="168" fontId="8" fillId="0" borderId="1" xfId="1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 wrapText="1"/>
    </xf>
    <xf numFmtId="167" fontId="15" fillId="4" borderId="1" xfId="1" applyNumberFormat="1" applyFont="1" applyFill="1" applyBorder="1" applyAlignment="1">
      <alignment horizontal="right" vertical="center"/>
    </xf>
    <xf numFmtId="9" fontId="15" fillId="4" borderId="1" xfId="2" applyFont="1" applyFill="1" applyBorder="1" applyAlignment="1">
      <alignment horizontal="right" vertical="center"/>
    </xf>
    <xf numFmtId="169" fontId="21" fillId="0" borderId="0" xfId="0" applyNumberFormat="1" applyFont="1" applyAlignment="1">
      <alignment horizontal="right"/>
    </xf>
    <xf numFmtId="166" fontId="8" fillId="0" borderId="1" xfId="1" applyNumberFormat="1" applyFont="1" applyFill="1" applyBorder="1" applyAlignment="1">
      <alignment horizontal="right" vertical="center"/>
    </xf>
    <xf numFmtId="167" fontId="14" fillId="0" borderId="1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166" fontId="11" fillId="0" borderId="6" xfId="1" applyNumberFormat="1" applyFont="1" applyFill="1" applyBorder="1" applyAlignment="1">
      <alignment vertic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167" fontId="18" fillId="2" borderId="5" xfId="1" applyNumberFormat="1" applyFont="1" applyFill="1" applyBorder="1" applyAlignment="1">
      <alignment horizontal="center" vertical="center"/>
    </xf>
    <xf numFmtId="167" fontId="18" fillId="2" borderId="1" xfId="1" applyNumberFormat="1" applyFont="1" applyFill="1" applyBorder="1" applyAlignment="1">
      <alignment horizontal="center" vertical="center"/>
    </xf>
    <xf numFmtId="165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167" fontId="24" fillId="0" borderId="1" xfId="1" applyNumberFormat="1" applyFont="1" applyFill="1" applyBorder="1" applyAlignment="1">
      <alignment horizontal="center" vertical="center"/>
    </xf>
    <xf numFmtId="167" fontId="20" fillId="2" borderId="4" xfId="1" applyNumberFormat="1" applyFont="1" applyFill="1" applyBorder="1" applyAlignment="1">
      <alignment horizontal="center" vertical="center"/>
    </xf>
    <xf numFmtId="37" fontId="11" fillId="0" borderId="6" xfId="1" applyNumberFormat="1" applyFont="1" applyFill="1" applyBorder="1" applyAlignment="1">
      <alignment vertical="center"/>
    </xf>
    <xf numFmtId="0" fontId="25" fillId="0" borderId="0" xfId="0" applyFont="1"/>
    <xf numFmtId="167" fontId="26" fillId="4" borderId="1" xfId="1" applyNumberFormat="1" applyFont="1" applyFill="1" applyBorder="1" applyAlignment="1">
      <alignment horizontal="right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left" vertical="center" wrapText="1"/>
    </xf>
    <xf numFmtId="9" fontId="26" fillId="4" borderId="1" xfId="2" applyFont="1" applyFill="1" applyBorder="1" applyAlignment="1">
      <alignment horizontal="right" vertic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5" fillId="0" borderId="0" xfId="0" applyFont="1" applyAlignment="1">
      <alignment horizontal="center" vertical="center"/>
    </xf>
    <xf numFmtId="167" fontId="15" fillId="0" borderId="0" xfId="1" applyNumberFormat="1" applyFont="1" applyFill="1" applyBorder="1" applyAlignment="1">
      <alignment horizontal="right" vertical="center"/>
    </xf>
    <xf numFmtId="9" fontId="15" fillId="0" borderId="0" xfId="2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167" fontId="26" fillId="0" borderId="0" xfId="1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167" fontId="8" fillId="0" borderId="8" xfId="1" applyNumberFormat="1" applyFont="1" applyFill="1" applyBorder="1" applyAlignment="1">
      <alignment horizontal="left" vertical="center"/>
    </xf>
    <xf numFmtId="167" fontId="15" fillId="0" borderId="6" xfId="1" applyNumberFormat="1" applyFont="1" applyFill="1" applyBorder="1" applyAlignment="1">
      <alignment horizontal="right" vertical="center"/>
    </xf>
    <xf numFmtId="167" fontId="8" fillId="0" borderId="6" xfId="1" applyNumberFormat="1" applyFont="1" applyFill="1" applyBorder="1" applyAlignment="1">
      <alignment horizontal="right" vertical="center"/>
    </xf>
    <xf numFmtId="9" fontId="8" fillId="0" borderId="6" xfId="2" applyFont="1" applyFill="1" applyBorder="1" applyAlignment="1">
      <alignment horizontal="right" vertical="center"/>
    </xf>
    <xf numFmtId="167" fontId="8" fillId="0" borderId="8" xfId="1" applyNumberFormat="1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9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9" fontId="29" fillId="0" borderId="0" xfId="2" applyFont="1"/>
    <xf numFmtId="0" fontId="18" fillId="0" borderId="0" xfId="0" applyFont="1" applyAlignment="1">
      <alignment vertical="center"/>
    </xf>
    <xf numFmtId="169" fontId="18" fillId="0" borderId="0" xfId="0" applyNumberFormat="1" applyFont="1" applyAlignment="1">
      <alignment horizontal="right"/>
    </xf>
    <xf numFmtId="0" fontId="20" fillId="0" borderId="0" xfId="0" applyFont="1" applyAlignment="1">
      <alignment vertical="center"/>
    </xf>
    <xf numFmtId="0" fontId="29" fillId="0" borderId="0" xfId="0" applyFont="1"/>
    <xf numFmtId="0" fontId="30" fillId="0" borderId="0" xfId="0" applyFont="1"/>
    <xf numFmtId="166" fontId="29" fillId="0" borderId="0" xfId="1" applyNumberFormat="1" applyFont="1"/>
    <xf numFmtId="37" fontId="11" fillId="0" borderId="1" xfId="1" applyNumberFormat="1" applyFont="1" applyFill="1" applyBorder="1" applyAlignment="1">
      <alignment vertical="center"/>
    </xf>
    <xf numFmtId="0" fontId="20" fillId="5" borderId="3" xfId="0" applyFont="1" applyFill="1" applyBorder="1" applyAlignment="1">
      <alignment vertical="center"/>
    </xf>
    <xf numFmtId="0" fontId="20" fillId="5" borderId="4" xfId="0" applyFont="1" applyFill="1" applyBorder="1" applyAlignment="1">
      <alignment vertical="center"/>
    </xf>
    <xf numFmtId="167" fontId="20" fillId="5" borderId="4" xfId="1" applyNumberFormat="1" applyFont="1" applyFill="1" applyBorder="1" applyAlignment="1">
      <alignment horizontal="center" vertical="center"/>
    </xf>
    <xf numFmtId="167" fontId="20" fillId="5" borderId="9" xfId="1" applyNumberFormat="1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167" fontId="10" fillId="6" borderId="1" xfId="1" applyNumberFormat="1" applyFont="1" applyFill="1" applyBorder="1" applyAlignment="1">
      <alignment horizontal="center" vertical="center"/>
    </xf>
    <xf numFmtId="9" fontId="10" fillId="6" borderId="1" xfId="2" applyFont="1" applyFill="1" applyBorder="1" applyAlignment="1">
      <alignment horizontal="center" vertical="center"/>
    </xf>
    <xf numFmtId="167" fontId="11" fillId="6" borderId="1" xfId="1" applyNumberFormat="1" applyFont="1" applyFill="1" applyBorder="1" applyAlignment="1">
      <alignment horizontal="center" vertical="center"/>
    </xf>
    <xf numFmtId="166" fontId="11" fillId="6" borderId="6" xfId="1" applyNumberFormat="1" applyFont="1" applyFill="1" applyBorder="1" applyAlignment="1">
      <alignment vertical="center"/>
    </xf>
    <xf numFmtId="0" fontId="5" fillId="6" borderId="0" xfId="0" applyFont="1" applyFill="1"/>
    <xf numFmtId="0" fontId="10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67" fontId="16" fillId="0" borderId="0" xfId="0" applyNumberFormat="1" applyFont="1"/>
    <xf numFmtId="166" fontId="5" fillId="0" borderId="0" xfId="0" applyNumberFormat="1" applyFont="1"/>
    <xf numFmtId="0" fontId="24" fillId="0" borderId="1" xfId="0" quotePrefix="1" applyFont="1" applyBorder="1" applyAlignment="1">
      <alignment horizontal="center" vertical="center" wrapText="1"/>
    </xf>
    <xf numFmtId="0" fontId="19" fillId="0" borderId="0" xfId="0" applyFont="1"/>
    <xf numFmtId="166" fontId="16" fillId="0" borderId="0" xfId="0" applyNumberFormat="1" applyFont="1" applyAlignment="1">
      <alignment horizontal="center"/>
    </xf>
    <xf numFmtId="166" fontId="16" fillId="0" borderId="0" xfId="1" applyNumberFormat="1" applyFont="1"/>
    <xf numFmtId="166" fontId="16" fillId="0" borderId="0" xfId="1" applyNumberFormat="1" applyFont="1" applyAlignment="1">
      <alignment horizontal="left"/>
    </xf>
    <xf numFmtId="0" fontId="20" fillId="5" borderId="3" xfId="0" applyFont="1" applyFill="1" applyBorder="1" applyAlignment="1">
      <alignment horizontal="left" vertical="center"/>
    </xf>
    <xf numFmtId="167" fontId="20" fillId="5" borderId="5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23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167" fontId="19" fillId="2" borderId="5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7" fontId="8" fillId="7" borderId="1" xfId="1" applyNumberFormat="1" applyFont="1" applyFill="1" applyBorder="1" applyAlignment="1">
      <alignment horizontal="right" vertical="center"/>
    </xf>
    <xf numFmtId="166" fontId="5" fillId="0" borderId="0" xfId="1" applyNumberFormat="1" applyFont="1"/>
    <xf numFmtId="166" fontId="5" fillId="6" borderId="0" xfId="1" applyNumberFormat="1" applyFont="1" applyFill="1"/>
    <xf numFmtId="0" fontId="10" fillId="0" borderId="0" xfId="0" applyFont="1" applyAlignment="1">
      <alignment horizontal="center" vertical="center"/>
    </xf>
    <xf numFmtId="166" fontId="29" fillId="0" borderId="0" xfId="1" applyNumberFormat="1" applyFont="1" applyFill="1"/>
    <xf numFmtId="0" fontId="17" fillId="0" borderId="0" xfId="0" applyFont="1" applyAlignment="1">
      <alignment horizontal="center" vertical="center"/>
    </xf>
    <xf numFmtId="0" fontId="0" fillId="6" borderId="0" xfId="0" applyFill="1"/>
    <xf numFmtId="0" fontId="0" fillId="6" borderId="11" xfId="0" applyFill="1" applyBorder="1" applyAlignment="1">
      <alignment vertical="center"/>
    </xf>
    <xf numFmtId="166" fontId="0" fillId="6" borderId="11" xfId="1" applyNumberFormat="1" applyFont="1" applyFill="1" applyBorder="1" applyAlignment="1">
      <alignment vertical="center"/>
    </xf>
    <xf numFmtId="0" fontId="36" fillId="6" borderId="0" xfId="0" applyFont="1" applyFill="1"/>
    <xf numFmtId="0" fontId="35" fillId="8" borderId="11" xfId="0" applyFont="1" applyFill="1" applyBorder="1" applyAlignment="1">
      <alignment horizontal="center" vertical="center"/>
    </xf>
    <xf numFmtId="0" fontId="35" fillId="9" borderId="11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vertical="center"/>
    </xf>
    <xf numFmtId="166" fontId="40" fillId="6" borderId="11" xfId="1" applyNumberFormat="1" applyFont="1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166" fontId="0" fillId="5" borderId="11" xfId="1" applyNumberFormat="1" applyFont="1" applyFill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166" fontId="42" fillId="6" borderId="11" xfId="1" applyNumberFormat="1" applyFont="1" applyFill="1" applyBorder="1" applyAlignment="1">
      <alignment vertical="center"/>
    </xf>
    <xf numFmtId="0" fontId="41" fillId="0" borderId="0" xfId="0" applyFont="1"/>
    <xf numFmtId="0" fontId="4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7" fontId="18" fillId="0" borderId="1" xfId="1" applyNumberFormat="1" applyFont="1" applyFill="1" applyBorder="1" applyAlignment="1">
      <alignment horizontal="center" vertical="center"/>
    </xf>
    <xf numFmtId="9" fontId="18" fillId="0" borderId="1" xfId="2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167" fontId="20" fillId="5" borderId="1" xfId="1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4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/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9" fontId="47" fillId="0" borderId="1" xfId="2" applyFont="1" applyBorder="1" applyAlignment="1">
      <alignment horizontal="center" vertical="center"/>
    </xf>
    <xf numFmtId="9" fontId="47" fillId="0" borderId="1" xfId="2" quotePrefix="1" applyFont="1" applyBorder="1" applyAlignment="1">
      <alignment horizontal="left" vertical="center" wrapText="1"/>
    </xf>
    <xf numFmtId="9" fontId="48" fillId="0" borderId="1" xfId="2" applyFont="1" applyBorder="1" applyAlignment="1">
      <alignment vertical="center"/>
    </xf>
    <xf numFmtId="0" fontId="49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/>
    </xf>
    <xf numFmtId="0" fontId="51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1" xfId="0" quotePrefix="1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7" fontId="8" fillId="0" borderId="12" xfId="1" applyNumberFormat="1" applyFont="1" applyFill="1" applyBorder="1" applyAlignment="1">
      <alignment horizontal="left" vertical="center"/>
    </xf>
    <xf numFmtId="167" fontId="15" fillId="0" borderId="2" xfId="1" applyNumberFormat="1" applyFont="1" applyFill="1" applyBorder="1" applyAlignment="1">
      <alignment horizontal="right" vertical="center"/>
    </xf>
    <xf numFmtId="167" fontId="8" fillId="0" borderId="2" xfId="1" applyNumberFormat="1" applyFont="1" applyFill="1" applyBorder="1" applyAlignment="1">
      <alignment horizontal="right" vertical="center"/>
    </xf>
    <xf numFmtId="9" fontId="8" fillId="0" borderId="2" xfId="2" applyFont="1" applyFill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15" fillId="0" borderId="9" xfId="0" applyFont="1" applyBorder="1"/>
    <xf numFmtId="0" fontId="7" fillId="0" borderId="9" xfId="0" applyFont="1" applyBorder="1" applyAlignment="1">
      <alignment horizontal="center"/>
    </xf>
    <xf numFmtId="0" fontId="4" fillId="0" borderId="9" xfId="0" applyFont="1" applyBorder="1"/>
    <xf numFmtId="0" fontId="15" fillId="0" borderId="13" xfId="0" applyFont="1" applyBorder="1"/>
    <xf numFmtId="0" fontId="2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9" fontId="6" fillId="0" borderId="14" xfId="2" applyFont="1" applyBorder="1" applyAlignment="1">
      <alignment vertical="center"/>
    </xf>
    <xf numFmtId="0" fontId="7" fillId="0" borderId="14" xfId="0" applyFont="1" applyBorder="1" applyAlignment="1">
      <alignment horizontal="center"/>
    </xf>
    <xf numFmtId="9" fontId="6" fillId="0" borderId="15" xfId="2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3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4" fillId="0" borderId="13" xfId="0" applyFont="1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44" fillId="0" borderId="14" xfId="0" applyFont="1" applyBorder="1" applyAlignment="1">
      <alignment vertical="center"/>
    </xf>
    <xf numFmtId="0" fontId="45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16" fillId="0" borderId="0" xfId="0" applyFont="1" applyAlignment="1">
      <alignment horizontal="center" vertical="center"/>
    </xf>
    <xf numFmtId="0" fontId="52" fillId="0" borderId="1" xfId="0" applyFont="1" applyBorder="1" applyAlignment="1">
      <alignment horizontal="center" vertical="top" wrapText="1"/>
    </xf>
    <xf numFmtId="0" fontId="5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9" fillId="0" borderId="10" xfId="0" applyFont="1" applyBorder="1" applyAlignment="1">
      <alignment horizontal="left" vertical="top" wrapText="1"/>
    </xf>
    <xf numFmtId="0" fontId="29" fillId="0" borderId="10" xfId="0" applyFont="1" applyBorder="1" applyAlignment="1">
      <alignment horizontal="left" vertical="top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5" fillId="0" borderId="1" xfId="0" applyFont="1" applyBorder="1" applyAlignment="1">
      <alignment horizontal="center" vertical="center"/>
    </xf>
  </cellXfs>
  <cellStyles count="27">
    <cellStyle name="Comma" xfId="1" builtinId="3"/>
    <cellStyle name="Comma 2" xfId="8" xr:uid="{1D4D0BD3-0135-43EF-90B0-A55FA45DADD1}"/>
    <cellStyle name="Comma 2 2" xfId="19" xr:uid="{D0E14C7F-030D-4EEC-91CF-0825FEE4DBA1}"/>
    <cellStyle name="Comma 2 3" xfId="21" xr:uid="{712DD6AE-66A9-41C7-926C-8405C541379D}"/>
    <cellStyle name="Comma 3" xfId="14" xr:uid="{1BAFD3D8-2BA9-4609-9E54-B85A7B58D080}"/>
    <cellStyle name="Comma 4" xfId="3" xr:uid="{C5CA10F9-D1C0-45B3-B721-9884CDB13EEF}"/>
    <cellStyle name="Comma 4 2" xfId="6" xr:uid="{B8D7C8D2-92FF-4DBB-98A2-08406EF212F9}"/>
    <cellStyle name="Currency 2" xfId="10" xr:uid="{D48CDE93-D029-48F8-A2F5-E27503AF4A8A}"/>
    <cellStyle name="Normal" xfId="0" builtinId="0"/>
    <cellStyle name="Normal 10" xfId="12" xr:uid="{07E5CF99-97DC-49AE-BFAF-84A2EF757B2C}"/>
    <cellStyle name="Normal 2" xfId="5" xr:uid="{1038F218-BF0B-4341-878D-65450F0612A6}"/>
    <cellStyle name="Normal 2 2" xfId="4" xr:uid="{A5D3326E-B969-4EF9-B83B-0D6EA0A9499A}"/>
    <cellStyle name="Normal 2 2 2" xfId="22" xr:uid="{383F0192-6AAF-418B-822A-458A473820A4}"/>
    <cellStyle name="Normal 2 2 3" xfId="11" xr:uid="{FCDA1E00-8871-4CE6-9DE6-E1F9FC5D82CA}"/>
    <cellStyle name="Normal 2 3" xfId="13" xr:uid="{8A7651DC-7CFF-4740-8DE7-A4D111702B1D}"/>
    <cellStyle name="Normal 2 3 2" xfId="24" xr:uid="{77A282CD-4127-43C8-9AA3-121C4414590E}"/>
    <cellStyle name="Normal 2 4" xfId="16" xr:uid="{3EDE1C06-8DF2-4033-B688-AD32F11DCC2E}"/>
    <cellStyle name="Normal 2 4 2" xfId="26" xr:uid="{7BD8AE0E-295E-426B-83E5-5FA3523BCA1C}"/>
    <cellStyle name="Normal 2 5" xfId="7" xr:uid="{2B3AF246-C9A9-4994-AE83-9AE5DD210A48}"/>
    <cellStyle name="Normal 2 6" xfId="25" xr:uid="{D7B76172-0A6B-433B-B4AA-F3C104453FCD}"/>
    <cellStyle name="Normal 3" xfId="17" xr:uid="{20FC5B1F-4EDB-4BA9-BCE7-F28057660DFC}"/>
    <cellStyle name="Normal 4" xfId="18" xr:uid="{0FA42F11-DE6A-44D8-ADF3-50004F1236C5}"/>
    <cellStyle name="Normal 6" xfId="23" xr:uid="{C9B3733F-C919-4F64-A2CE-0211D0791102}"/>
    <cellStyle name="Percent" xfId="2" builtinId="5"/>
    <cellStyle name="Percent 2" xfId="9" xr:uid="{9E29885F-E948-410B-9FC4-62B39600EC25}"/>
    <cellStyle name="Percent 2 2" xfId="20" xr:uid="{6BE04692-1F5F-42AB-A141-5F8DFD24D76A}"/>
    <cellStyle name="Percent 3" xfId="15" xr:uid="{74E9EF8A-95D6-49F9-9EAC-2CF5F644520D}"/>
  </cellStyles>
  <dxfs count="0"/>
  <tableStyles count="0" defaultTableStyle="TableStyleMedium2" defaultPivotStyle="PivotStyleLight16"/>
  <colors>
    <mruColors>
      <color rgb="FF0000FF"/>
      <color rgb="FFFF33CC"/>
      <color rgb="FF002060"/>
      <color rgb="FF3333CC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14941</xdr:colOff>
      <xdr:row>0</xdr:row>
      <xdr:rowOff>186764</xdr:rowOff>
    </xdr:from>
    <xdr:to>
      <xdr:col>2</xdr:col>
      <xdr:colOff>988919</xdr:colOff>
      <xdr:row>1</xdr:row>
      <xdr:rowOff>180152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D4841-D4BD-4AC3-A3C7-70E4CA7E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19529" y="186764"/>
          <a:ext cx="1317625" cy="337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74706</xdr:colOff>
      <xdr:row>0</xdr:row>
      <xdr:rowOff>141941</xdr:rowOff>
    </xdr:from>
    <xdr:to>
      <xdr:col>2</xdr:col>
      <xdr:colOff>1048684</xdr:colOff>
      <xdr:row>1</xdr:row>
      <xdr:rowOff>157741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C44AB-E4F3-4782-B03B-6F23D9F9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79294" y="141941"/>
          <a:ext cx="1317625" cy="337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198438</xdr:rowOff>
    </xdr:from>
    <xdr:to>
      <xdr:col>2</xdr:col>
      <xdr:colOff>1270000</xdr:colOff>
      <xdr:row>2</xdr:row>
      <xdr:rowOff>114785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5736E-C2CF-4664-8E10-6EC34F988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6563" y="198438"/>
          <a:ext cx="1317625" cy="337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98778</xdr:colOff>
      <xdr:row>0</xdr:row>
      <xdr:rowOff>232833</xdr:rowOff>
    </xdr:from>
    <xdr:to>
      <xdr:col>2</xdr:col>
      <xdr:colOff>936625</xdr:colOff>
      <xdr:row>1</xdr:row>
      <xdr:rowOff>217090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54BEF3-AD24-425B-A8E6-18BF3F77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76389" y="232833"/>
          <a:ext cx="1317625" cy="3370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239889</xdr:rowOff>
    </xdr:from>
    <xdr:to>
      <xdr:col>2</xdr:col>
      <xdr:colOff>901347</xdr:colOff>
      <xdr:row>1</xdr:row>
      <xdr:rowOff>195924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E43E6-E41A-48BF-9F0B-2404B0B8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41111" y="239889"/>
          <a:ext cx="1317625" cy="3370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134938</xdr:colOff>
      <xdr:row>0</xdr:row>
      <xdr:rowOff>246062</xdr:rowOff>
    </xdr:from>
    <xdr:to>
      <xdr:col>2</xdr:col>
      <xdr:colOff>1087438</xdr:colOff>
      <xdr:row>1</xdr:row>
      <xdr:rowOff>194159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60C95-6ABA-4F90-8644-EA2F4621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46063" y="246062"/>
          <a:ext cx="1317625" cy="3370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523872</xdr:colOff>
      <xdr:row>0</xdr:row>
      <xdr:rowOff>103188</xdr:rowOff>
    </xdr:from>
    <xdr:to>
      <xdr:col>23</xdr:col>
      <xdr:colOff>150813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CDEF4F-BE2C-C040-4BB9-19C87AFEA982}"/>
            </a:ext>
          </a:extLst>
        </xdr:cNvPr>
        <xdr:cNvSpPr txBox="1"/>
      </xdr:nvSpPr>
      <xdr:spPr>
        <a:xfrm>
          <a:off x="13874747" y="103188"/>
          <a:ext cx="2643191" cy="89693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HD Ép</a:t>
          </a:r>
          <a:r>
            <a:rPr lang="en-US" sz="1400" b="1" baseline="0">
              <a:solidFill>
                <a:srgbClr val="FF0000"/>
              </a:solidFill>
            </a:rPr>
            <a:t> và PP (nội địa):</a:t>
          </a:r>
        </a:p>
        <a:p>
          <a:r>
            <a:rPr lang="en-US" sz="1400" baseline="0">
              <a:solidFill>
                <a:srgbClr val="FF0000"/>
              </a:solidFill>
            </a:rPr>
            <a:t>1. Vảy rẻ hơn chính phẩm 10%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Hạt rẻ hơn chính phẩm 5%</a:t>
          </a:r>
          <a:endParaRPr lang="en-US" sz="1400">
            <a:solidFill>
              <a:srgbClr val="FF0000"/>
            </a:solidFill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1</xdr:col>
      <xdr:colOff>112059</xdr:colOff>
      <xdr:row>0</xdr:row>
      <xdr:rowOff>194235</xdr:rowOff>
    </xdr:from>
    <xdr:to>
      <xdr:col>2</xdr:col>
      <xdr:colOff>983783</xdr:colOff>
      <xdr:row>1</xdr:row>
      <xdr:rowOff>172682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0DAE0A-6564-4270-B260-34B6E998E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41941" y="194235"/>
          <a:ext cx="1230313" cy="3370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0</xdr:row>
      <xdr:rowOff>214313</xdr:rowOff>
    </xdr:from>
    <xdr:to>
      <xdr:col>2</xdr:col>
      <xdr:colOff>1000125</xdr:colOff>
      <xdr:row>1</xdr:row>
      <xdr:rowOff>186223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262E5-CE41-410C-8B09-C5FB78470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74624" y="214313"/>
          <a:ext cx="1270001" cy="3370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165100</xdr:rowOff>
    </xdr:from>
    <xdr:to>
      <xdr:col>1</xdr:col>
      <xdr:colOff>793750</xdr:colOff>
      <xdr:row>1</xdr:row>
      <xdr:rowOff>178285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6916C-7009-04E1-731D-9E41C407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9050" y="165100"/>
          <a:ext cx="1136650" cy="3370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Kinh%20Doanh\2009\1%20%20Working%20Data\1.05%20%20Products\Bang%20ke%2012%2009%2020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Pornlada_Data/O%20pornlada/Budget/Actual%202007/Tracking%20Link/AOP%202007/Lab%20budget%202007%20BKK-lin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MOH2004-Center/MOH04-R1-Sep09'03/CCRptp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Planning/AOP2005/CCR/CCR%20Templates/SD/CCRsatm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12.05.09"/>
      <sheetName val="Sheet3"/>
      <sheetName val="B2,3"/>
      <sheetName val="B.4"/>
      <sheetName val="B.5"/>
      <sheetName val="B.7"/>
      <sheetName val="B7"/>
      <sheetName val="B8"/>
      <sheetName val="B10"/>
      <sheetName val="B11"/>
      <sheetName val="B12"/>
      <sheetName val="B13"/>
      <sheetName val="B14"/>
      <sheetName val="B15"/>
      <sheetName val="01"/>
      <sheetName val="BIEU DO PHE"/>
    </sheetNames>
    <sheetDataSet>
      <sheetData sheetId="0"/>
      <sheetData sheetId="1"/>
      <sheetData sheetId="2">
        <row r="2">
          <cell r="A2" t="str">
            <v>Sanofi</v>
          </cell>
          <cell r="B2" t="str">
            <v>HDPE</v>
          </cell>
          <cell r="C2">
            <v>265</v>
          </cell>
        </row>
        <row r="3">
          <cell r="A3" t="str">
            <v>SPM</v>
          </cell>
          <cell r="B3" t="str">
            <v>PP</v>
          </cell>
          <cell r="C3">
            <v>167</v>
          </cell>
        </row>
        <row r="4">
          <cell r="A4" t="str">
            <v>Virbac</v>
          </cell>
          <cell r="B4" t="str">
            <v>PS</v>
          </cell>
          <cell r="C4">
            <v>65</v>
          </cell>
        </row>
        <row r="5">
          <cell r="A5" t="str">
            <v>Greencross</v>
          </cell>
          <cell r="B5" t="str">
            <v>LDPE</v>
          </cell>
          <cell r="C5">
            <v>1000</v>
          </cell>
        </row>
        <row r="6">
          <cell r="A6" t="str">
            <v>Omnicel</v>
          </cell>
          <cell r="C6">
            <v>1750</v>
          </cell>
        </row>
        <row r="7">
          <cell r="A7" t="str">
            <v>Polystar Industries</v>
          </cell>
          <cell r="C7">
            <v>5000</v>
          </cell>
        </row>
        <row r="8">
          <cell r="C8">
            <v>66</v>
          </cell>
        </row>
        <row r="9">
          <cell r="C9">
            <v>172</v>
          </cell>
        </row>
        <row r="10">
          <cell r="C10">
            <v>260</v>
          </cell>
        </row>
        <row r="11">
          <cell r="C11">
            <v>0</v>
          </cell>
        </row>
        <row r="12">
          <cell r="C12">
            <v>45</v>
          </cell>
        </row>
        <row r="13">
          <cell r="C13">
            <v>130</v>
          </cell>
        </row>
        <row r="14">
          <cell r="C14">
            <v>48</v>
          </cell>
        </row>
        <row r="15">
          <cell r="C15">
            <v>40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7A7F-1165-461F-9DC9-E49CBA65286D}">
  <sheetPr>
    <tabColor theme="5" tint="0.39997558519241921"/>
  </sheetPr>
  <dimension ref="A1:O47"/>
  <sheetViews>
    <sheetView workbookViewId="0">
      <pane ySplit="1" topLeftCell="A2" activePane="bottomLeft" state="frozen"/>
      <selection pane="bottomLeft" activeCell="K17" sqref="K17:K28"/>
    </sheetView>
  </sheetViews>
  <sheetFormatPr defaultColWidth="8.81640625" defaultRowHeight="14.5"/>
  <cols>
    <col min="1" max="1" width="8.81640625" style="147"/>
    <col min="2" max="2" width="32" style="147" customWidth="1"/>
    <col min="3" max="14" width="8.81640625" style="147"/>
    <col min="15" max="15" width="37.6328125" style="147" customWidth="1"/>
    <col min="16" max="16384" width="8.81640625" style="147"/>
  </cols>
  <sheetData>
    <row r="1" spans="2:14" ht="21">
      <c r="B1" s="150" t="s">
        <v>163</v>
      </c>
    </row>
    <row r="3" spans="2:14" ht="21">
      <c r="B3" s="150" t="s">
        <v>177</v>
      </c>
    </row>
    <row r="4" spans="2:14">
      <c r="B4" s="151"/>
      <c r="C4" s="151">
        <v>1</v>
      </c>
      <c r="D4" s="151">
        <f>+C4+1</f>
        <v>2</v>
      </c>
      <c r="E4" s="151">
        <f t="shared" ref="E4:N4" si="0">+D4+1</f>
        <v>3</v>
      </c>
      <c r="F4" s="151">
        <f t="shared" si="0"/>
        <v>4</v>
      </c>
      <c r="G4" s="151">
        <f t="shared" si="0"/>
        <v>5</v>
      </c>
      <c r="H4" s="151">
        <f t="shared" si="0"/>
        <v>6</v>
      </c>
      <c r="I4" s="151">
        <f t="shared" si="0"/>
        <v>7</v>
      </c>
      <c r="J4" s="151">
        <f t="shared" si="0"/>
        <v>8</v>
      </c>
      <c r="K4" s="151">
        <f t="shared" si="0"/>
        <v>9</v>
      </c>
      <c r="L4" s="151">
        <f t="shared" si="0"/>
        <v>10</v>
      </c>
      <c r="M4" s="151">
        <f t="shared" si="0"/>
        <v>11</v>
      </c>
      <c r="N4" s="151">
        <f t="shared" si="0"/>
        <v>12</v>
      </c>
    </row>
    <row r="5" spans="2:14">
      <c r="B5" s="148" t="s">
        <v>170</v>
      </c>
      <c r="C5" s="149"/>
      <c r="D5" s="149"/>
      <c r="E5" s="149"/>
      <c r="F5" s="149"/>
      <c r="G5" s="149"/>
      <c r="H5" s="149"/>
      <c r="I5" s="149">
        <v>1203.2322672645196</v>
      </c>
      <c r="J5" s="149">
        <v>1151.9819990689125</v>
      </c>
      <c r="K5" s="149">
        <v>1223.9359113367075</v>
      </c>
      <c r="L5" s="148"/>
      <c r="M5" s="148"/>
      <c r="N5" s="148"/>
    </row>
    <row r="6" spans="2:14">
      <c r="B6" s="148" t="s">
        <v>171</v>
      </c>
      <c r="C6" s="148"/>
      <c r="D6" s="148"/>
      <c r="E6" s="148"/>
      <c r="F6" s="148"/>
      <c r="G6" s="148"/>
      <c r="H6" s="148"/>
      <c r="I6" s="149">
        <v>1239.4846325807182</v>
      </c>
      <c r="J6" s="149">
        <v>1189.7420797999589</v>
      </c>
      <c r="K6" s="149">
        <v>1267.6177819200154</v>
      </c>
      <c r="L6" s="148"/>
      <c r="M6" s="148"/>
      <c r="N6" s="148"/>
    </row>
    <row r="7" spans="2:14">
      <c r="B7" s="148" t="s">
        <v>172</v>
      </c>
      <c r="C7" s="148"/>
      <c r="D7" s="148"/>
      <c r="E7" s="148"/>
      <c r="F7" s="148"/>
      <c r="G7" s="148"/>
      <c r="H7" s="148"/>
      <c r="I7" s="149">
        <v>1162.030651857579</v>
      </c>
      <c r="J7" s="149">
        <v>1122.379561386573</v>
      </c>
      <c r="K7" s="149">
        <v>1163.5414500850598</v>
      </c>
      <c r="L7" s="148"/>
      <c r="M7" s="148"/>
      <c r="N7" s="148"/>
    </row>
    <row r="8" spans="2:14">
      <c r="B8" s="148" t="s">
        <v>173</v>
      </c>
      <c r="C8" s="148"/>
      <c r="D8" s="148"/>
      <c r="E8" s="148"/>
      <c r="F8" s="148"/>
      <c r="G8" s="148"/>
      <c r="H8" s="148"/>
      <c r="I8" s="149">
        <v>1198.283017173778</v>
      </c>
      <c r="J8" s="149">
        <v>1160.1396421176194</v>
      </c>
      <c r="K8" s="149">
        <v>1207.2233206683677</v>
      </c>
      <c r="L8" s="148"/>
      <c r="M8" s="148"/>
      <c r="N8" s="148"/>
    </row>
    <row r="9" spans="2:14">
      <c r="B9" s="155" t="s">
        <v>174</v>
      </c>
      <c r="C9" s="155"/>
      <c r="D9" s="155"/>
      <c r="E9" s="155"/>
      <c r="F9" s="155"/>
      <c r="G9" s="155"/>
      <c r="H9" s="155"/>
      <c r="I9" s="156">
        <v>1174.3911364796611</v>
      </c>
      <c r="J9" s="156">
        <v>1131.2602926912748</v>
      </c>
      <c r="K9" s="156">
        <v>1181.659788460554</v>
      </c>
      <c r="L9" s="155"/>
      <c r="M9" s="155"/>
      <c r="N9" s="155"/>
    </row>
    <row r="10" spans="2:14">
      <c r="B10" s="155" t="s">
        <v>175</v>
      </c>
      <c r="C10" s="155"/>
      <c r="D10" s="155"/>
      <c r="E10" s="155"/>
      <c r="F10" s="155"/>
      <c r="G10" s="155"/>
      <c r="H10" s="155"/>
      <c r="I10" s="156">
        <v>1210.6435017958599</v>
      </c>
      <c r="J10" s="156">
        <v>1169.020373422321</v>
      </c>
      <c r="K10" s="156">
        <v>1225.3416590438619</v>
      </c>
      <c r="L10" s="155"/>
      <c r="M10" s="155"/>
      <c r="N10" s="155"/>
    </row>
    <row r="11" spans="2:14">
      <c r="B11" s="155" t="s">
        <v>176</v>
      </c>
      <c r="C11" s="155"/>
      <c r="D11" s="155"/>
      <c r="E11" s="155"/>
      <c r="F11" s="155"/>
      <c r="G11" s="155"/>
      <c r="H11" s="155"/>
      <c r="I11" s="156">
        <v>841</v>
      </c>
      <c r="J11" s="156">
        <v>841.189769849134</v>
      </c>
      <c r="K11" s="156">
        <v>864.6418913574862</v>
      </c>
      <c r="L11" s="155"/>
      <c r="M11" s="155"/>
      <c r="N11" s="155"/>
    </row>
    <row r="15" spans="2:14" ht="21">
      <c r="B15" s="150" t="s">
        <v>178</v>
      </c>
    </row>
    <row r="16" spans="2:14">
      <c r="B16" s="151" t="s">
        <v>164</v>
      </c>
      <c r="C16" s="151">
        <v>1</v>
      </c>
      <c r="D16" s="151">
        <v>2</v>
      </c>
      <c r="E16" s="151">
        <v>3</v>
      </c>
      <c r="F16" s="151">
        <v>4</v>
      </c>
      <c r="G16" s="151">
        <v>5</v>
      </c>
      <c r="H16" s="151">
        <v>6</v>
      </c>
      <c r="I16" s="151">
        <v>7</v>
      </c>
      <c r="J16" s="151">
        <v>8</v>
      </c>
      <c r="K16" s="151">
        <v>9</v>
      </c>
      <c r="L16" s="151">
        <v>10</v>
      </c>
      <c r="M16" s="151">
        <v>11</v>
      </c>
      <c r="N16" s="151">
        <v>12</v>
      </c>
    </row>
    <row r="17" spans="1:15">
      <c r="B17" s="148" t="s">
        <v>160</v>
      </c>
      <c r="C17" s="149">
        <v>1323</v>
      </c>
      <c r="D17" s="149">
        <v>1323</v>
      </c>
      <c r="E17" s="149">
        <v>1306</v>
      </c>
      <c r="F17" s="149">
        <v>1291</v>
      </c>
      <c r="G17" s="149">
        <v>1282</v>
      </c>
      <c r="H17" s="149">
        <v>1285</v>
      </c>
      <c r="I17" s="149">
        <v>1219</v>
      </c>
      <c r="J17" s="149">
        <v>1250.8123836318978</v>
      </c>
      <c r="K17" s="149">
        <v>1250.9881440800682</v>
      </c>
      <c r="L17" s="149"/>
      <c r="M17" s="149"/>
      <c r="N17" s="149"/>
    </row>
    <row r="18" spans="1:15">
      <c r="B18" s="148" t="s">
        <v>165</v>
      </c>
      <c r="C18" s="149"/>
      <c r="D18" s="149"/>
      <c r="E18" s="149"/>
      <c r="F18" s="149"/>
      <c r="G18" s="149"/>
      <c r="H18" s="149"/>
      <c r="I18" s="149">
        <v>1099</v>
      </c>
      <c r="J18" s="149">
        <v>1129.5585260742025</v>
      </c>
      <c r="K18" s="149">
        <v>1149.3380022261924</v>
      </c>
      <c r="L18" s="149"/>
      <c r="M18" s="149"/>
      <c r="N18" s="149"/>
    </row>
    <row r="19" spans="1:15">
      <c r="B19" s="148" t="s">
        <v>161</v>
      </c>
      <c r="C19" s="149"/>
      <c r="D19" s="149"/>
      <c r="E19" s="149"/>
      <c r="F19" s="149"/>
      <c r="G19" s="149"/>
      <c r="H19" s="149"/>
      <c r="I19" s="149">
        <v>1175</v>
      </c>
      <c r="J19" s="149">
        <v>1207.6119893188763</v>
      </c>
      <c r="K19" s="149">
        <v>1236.1785971379622</v>
      </c>
      <c r="L19" s="149"/>
      <c r="M19" s="149"/>
      <c r="N19" s="149"/>
    </row>
    <row r="20" spans="1:15">
      <c r="B20" s="148" t="s">
        <v>162</v>
      </c>
      <c r="C20" s="149"/>
      <c r="D20" s="149"/>
      <c r="E20" s="149"/>
      <c r="F20" s="149"/>
      <c r="G20" s="149"/>
      <c r="H20" s="149"/>
      <c r="I20" s="149">
        <v>867</v>
      </c>
      <c r="J20" s="158">
        <v>895.79013773931547</v>
      </c>
      <c r="K20" s="149">
        <v>917.19481418593716</v>
      </c>
      <c r="L20" s="149"/>
      <c r="M20" s="149"/>
      <c r="N20" s="149"/>
    </row>
    <row r="21" spans="1:15">
      <c r="B21" s="148" t="s">
        <v>190</v>
      </c>
      <c r="C21" s="149"/>
      <c r="D21" s="149"/>
      <c r="E21" s="149"/>
      <c r="F21" s="149"/>
      <c r="G21" s="149"/>
      <c r="H21" s="149"/>
      <c r="I21" s="149">
        <v>981.27764775279775</v>
      </c>
      <c r="J21" s="158">
        <v>1003.409150992299</v>
      </c>
      <c r="K21" s="149">
        <v>993.90864789491525</v>
      </c>
      <c r="L21" s="149"/>
      <c r="M21" s="149"/>
      <c r="N21" s="149"/>
    </row>
    <row r="22" spans="1:15">
      <c r="A22" s="147" t="s">
        <v>194</v>
      </c>
      <c r="B22" s="148" t="s">
        <v>191</v>
      </c>
      <c r="C22" s="149"/>
      <c r="D22" s="149"/>
      <c r="E22" s="149"/>
      <c r="F22" s="149"/>
      <c r="G22" s="149"/>
      <c r="H22" s="149"/>
      <c r="I22" s="149">
        <v>841</v>
      </c>
      <c r="J22" s="158">
        <v>849.89874687353631</v>
      </c>
      <c r="K22" s="149">
        <v>853.99116487784715</v>
      </c>
      <c r="L22" s="149"/>
      <c r="M22" s="149"/>
      <c r="N22" s="149"/>
    </row>
    <row r="23" spans="1:15">
      <c r="B23" s="148" t="s">
        <v>192</v>
      </c>
      <c r="C23" s="149"/>
      <c r="D23" s="149"/>
      <c r="E23" s="149"/>
      <c r="F23" s="149"/>
      <c r="G23" s="149"/>
      <c r="H23" s="149"/>
      <c r="I23" s="149"/>
      <c r="J23" s="158">
        <v>619.75066137186343</v>
      </c>
      <c r="K23" s="149">
        <v>629.83100624243866</v>
      </c>
      <c r="L23" s="149"/>
      <c r="M23" s="149"/>
      <c r="N23" s="149"/>
    </row>
    <row r="24" spans="1:15">
      <c r="B24" s="148" t="s">
        <v>166</v>
      </c>
      <c r="C24" s="149"/>
      <c r="D24" s="149"/>
      <c r="E24" s="149"/>
      <c r="F24" s="149"/>
      <c r="G24" s="149"/>
      <c r="H24" s="149"/>
      <c r="I24" s="149">
        <v>656</v>
      </c>
      <c r="J24" s="158">
        <v>661.16026675142552</v>
      </c>
      <c r="K24" s="149">
        <v>664.29736682055943</v>
      </c>
      <c r="L24" s="149"/>
      <c r="M24" s="149"/>
      <c r="N24" s="149"/>
    </row>
    <row r="25" spans="1:15">
      <c r="B25" s="148" t="s">
        <v>167</v>
      </c>
      <c r="C25" s="149"/>
      <c r="D25" s="149"/>
      <c r="E25" s="149"/>
      <c r="F25" s="149"/>
      <c r="G25" s="149"/>
      <c r="H25" s="149"/>
      <c r="I25" s="149">
        <v>794</v>
      </c>
      <c r="J25" s="149">
        <v>836.80121639671654</v>
      </c>
      <c r="K25" s="149">
        <v>856.16419630615974</v>
      </c>
      <c r="L25" s="149"/>
      <c r="M25" s="149"/>
      <c r="N25" s="149"/>
    </row>
    <row r="26" spans="1:15">
      <c r="B26" s="148" t="s">
        <v>193</v>
      </c>
      <c r="C26" s="149"/>
      <c r="D26" s="149"/>
      <c r="E26" s="149"/>
      <c r="F26" s="149"/>
      <c r="G26" s="149"/>
      <c r="H26" s="149"/>
      <c r="I26" s="149"/>
      <c r="J26" s="149">
        <v>539.72606829909091</v>
      </c>
      <c r="K26" s="149">
        <v>553.59194071087381</v>
      </c>
      <c r="L26" s="149"/>
      <c r="M26" s="149"/>
      <c r="N26" s="149"/>
    </row>
    <row r="27" spans="1:15">
      <c r="B27" s="148" t="s">
        <v>168</v>
      </c>
      <c r="C27" s="149"/>
      <c r="D27" s="149"/>
      <c r="E27" s="149"/>
      <c r="F27" s="149"/>
      <c r="G27" s="149"/>
      <c r="H27" s="149"/>
      <c r="I27" s="149">
        <v>738</v>
      </c>
      <c r="J27" s="149">
        <v>780.1665026220935</v>
      </c>
      <c r="K27" s="149">
        <v>790.84736542275789</v>
      </c>
      <c r="L27" s="149"/>
      <c r="M27" s="149"/>
      <c r="N27" s="149"/>
    </row>
    <row r="28" spans="1:15">
      <c r="B28" s="148" t="s">
        <v>169</v>
      </c>
      <c r="C28" s="149"/>
      <c r="D28" s="149"/>
      <c r="E28" s="149"/>
      <c r="F28" s="149"/>
      <c r="G28" s="149"/>
      <c r="H28" s="149"/>
      <c r="I28" s="149">
        <v>888</v>
      </c>
      <c r="J28" s="149">
        <v>934.75986167646829</v>
      </c>
      <c r="K28" s="149">
        <v>951.07154197322802</v>
      </c>
      <c r="L28" s="149"/>
      <c r="M28" s="149"/>
      <c r="N28" s="149"/>
    </row>
    <row r="31" spans="1:15">
      <c r="B31" s="147" t="s">
        <v>188</v>
      </c>
    </row>
    <row r="32" spans="1:15">
      <c r="B32" s="152" t="s">
        <v>164</v>
      </c>
      <c r="C32" s="152">
        <v>1</v>
      </c>
      <c r="D32" s="152">
        <f t="shared" ref="D32:N32" si="1">+C32+1</f>
        <v>2</v>
      </c>
      <c r="E32" s="152">
        <f t="shared" si="1"/>
        <v>3</v>
      </c>
      <c r="F32" s="152">
        <f t="shared" si="1"/>
        <v>4</v>
      </c>
      <c r="G32" s="152">
        <f t="shared" si="1"/>
        <v>5</v>
      </c>
      <c r="H32" s="152">
        <f t="shared" si="1"/>
        <v>6</v>
      </c>
      <c r="I32" s="152">
        <f t="shared" si="1"/>
        <v>7</v>
      </c>
      <c r="J32" s="152">
        <f t="shared" si="1"/>
        <v>8</v>
      </c>
      <c r="K32" s="152">
        <f t="shared" si="1"/>
        <v>9</v>
      </c>
      <c r="L32" s="152">
        <f t="shared" si="1"/>
        <v>10</v>
      </c>
      <c r="M32" s="152">
        <f t="shared" si="1"/>
        <v>11</v>
      </c>
      <c r="N32" s="152">
        <f t="shared" si="1"/>
        <v>12</v>
      </c>
      <c r="O32" s="152" t="s">
        <v>199</v>
      </c>
    </row>
    <row r="33" spans="2:15">
      <c r="B33" s="148" t="s">
        <v>179</v>
      </c>
      <c r="C33" s="149"/>
      <c r="D33" s="149"/>
      <c r="E33" s="149"/>
      <c r="F33" s="149"/>
      <c r="G33" s="149"/>
      <c r="H33" s="149"/>
      <c r="I33" s="149">
        <v>773.26795067175237</v>
      </c>
      <c r="J33" s="149">
        <v>822.82139851628926</v>
      </c>
      <c r="K33" s="149">
        <v>823.20219353579137</v>
      </c>
      <c r="L33" s="149"/>
      <c r="M33" s="149"/>
      <c r="N33" s="149"/>
      <c r="O33" s="149"/>
    </row>
    <row r="34" spans="2:15">
      <c r="B34" s="148" t="s">
        <v>180</v>
      </c>
      <c r="C34" s="149"/>
      <c r="D34" s="149"/>
      <c r="E34" s="149"/>
      <c r="F34" s="149"/>
      <c r="G34" s="149"/>
      <c r="H34" s="149"/>
      <c r="I34" s="149">
        <v>679.34955067175224</v>
      </c>
      <c r="J34" s="149">
        <v>728.90299851628947</v>
      </c>
      <c r="K34" s="149">
        <v>729.28379353579146</v>
      </c>
      <c r="L34" s="149"/>
      <c r="M34" s="149"/>
      <c r="N34" s="149"/>
      <c r="O34" s="149"/>
    </row>
    <row r="35" spans="2:15">
      <c r="B35" s="148" t="s">
        <v>181</v>
      </c>
      <c r="C35" s="149"/>
      <c r="D35" s="149"/>
      <c r="E35" s="149"/>
      <c r="F35" s="149"/>
      <c r="G35" s="149"/>
      <c r="H35" s="149"/>
      <c r="I35" s="149">
        <v>613.70971067175219</v>
      </c>
      <c r="J35" s="149">
        <v>663.26315851628942</v>
      </c>
      <c r="K35" s="149">
        <v>663.6439535357913</v>
      </c>
      <c r="L35" s="149"/>
      <c r="M35" s="149"/>
      <c r="N35" s="149"/>
      <c r="O35" s="149"/>
    </row>
    <row r="36" spans="2:15">
      <c r="B36" s="148" t="s">
        <v>189</v>
      </c>
      <c r="C36" s="149"/>
      <c r="D36" s="149"/>
      <c r="E36" s="149"/>
      <c r="F36" s="149"/>
      <c r="G36" s="149"/>
      <c r="H36" s="149"/>
      <c r="I36" s="149">
        <v>960.02539280166968</v>
      </c>
      <c r="J36" s="149">
        <v>1005.1878218159767</v>
      </c>
      <c r="K36" s="149">
        <v>1008.4542961872764</v>
      </c>
      <c r="L36" s="149"/>
      <c r="M36" s="149"/>
      <c r="N36" s="149"/>
      <c r="O36" s="149"/>
    </row>
    <row r="37" spans="2:15">
      <c r="B37" s="148" t="s">
        <v>182</v>
      </c>
      <c r="C37" s="149"/>
      <c r="D37" s="149"/>
      <c r="E37" s="149"/>
      <c r="F37" s="149"/>
      <c r="G37" s="149"/>
      <c r="H37" s="149"/>
      <c r="I37" s="149">
        <v>790.60543526724973</v>
      </c>
      <c r="J37" s="149">
        <v>840.46208740018426</v>
      </c>
      <c r="K37" s="149">
        <v>842.58345513340873</v>
      </c>
      <c r="L37" s="149"/>
      <c r="M37" s="149"/>
      <c r="N37" s="149"/>
      <c r="O37" s="149"/>
    </row>
    <row r="38" spans="2:15">
      <c r="B38" s="148" t="s">
        <v>183</v>
      </c>
      <c r="C38" s="149"/>
      <c r="D38" s="149"/>
      <c r="E38" s="149"/>
      <c r="F38" s="149"/>
      <c r="G38" s="149"/>
      <c r="H38" s="149"/>
      <c r="I38" s="149">
        <v>731.72317681010497</v>
      </c>
      <c r="J38" s="149">
        <v>775.18849297170948</v>
      </c>
      <c r="K38" s="149">
        <v>779.79970021904592</v>
      </c>
      <c r="L38" s="149"/>
      <c r="M38" s="149"/>
      <c r="N38" s="149"/>
      <c r="O38" s="149"/>
    </row>
    <row r="39" spans="2:15">
      <c r="B39" s="153" t="s">
        <v>184</v>
      </c>
      <c r="C39" s="154"/>
      <c r="D39" s="154"/>
      <c r="E39" s="154"/>
      <c r="F39" s="154"/>
      <c r="G39" s="154"/>
      <c r="H39" s="154"/>
      <c r="I39" s="154">
        <v>696.07926973000929</v>
      </c>
      <c r="J39" s="154">
        <v>738.78127137646152</v>
      </c>
      <c r="K39" s="149">
        <v>744.16977252988499</v>
      </c>
      <c r="L39" s="154"/>
      <c r="M39" s="154"/>
      <c r="N39" s="154"/>
      <c r="O39" s="149" t="s">
        <v>200</v>
      </c>
    </row>
    <row r="40" spans="2:15">
      <c r="B40" s="153" t="s">
        <v>185</v>
      </c>
      <c r="C40" s="154"/>
      <c r="D40" s="154"/>
      <c r="E40" s="154"/>
      <c r="F40" s="154"/>
      <c r="G40" s="154"/>
      <c r="H40" s="154"/>
      <c r="I40" s="154">
        <v>687.85767437629374</v>
      </c>
      <c r="J40" s="154">
        <v>730.09987888642013</v>
      </c>
      <c r="K40" s="149">
        <v>735.99068335351001</v>
      </c>
      <c r="L40" s="154"/>
      <c r="M40" s="154"/>
      <c r="N40" s="154"/>
      <c r="O40" s="149" t="s">
        <v>200</v>
      </c>
    </row>
    <row r="41" spans="2:15">
      <c r="B41" s="153" t="s">
        <v>205</v>
      </c>
      <c r="C41" s="154"/>
      <c r="D41" s="154"/>
      <c r="E41" s="154"/>
      <c r="F41" s="154"/>
      <c r="G41" s="154"/>
      <c r="H41" s="154"/>
      <c r="I41" s="154"/>
      <c r="J41" s="154">
        <v>940</v>
      </c>
      <c r="K41" s="149">
        <v>944.32042634678658</v>
      </c>
      <c r="L41" s="154"/>
      <c r="M41" s="154"/>
      <c r="N41" s="154"/>
      <c r="O41" s="149" t="s">
        <v>201</v>
      </c>
    </row>
    <row r="42" spans="2:15">
      <c r="B42" s="148" t="s">
        <v>186</v>
      </c>
      <c r="C42" s="149"/>
      <c r="D42" s="149"/>
      <c r="E42" s="149"/>
      <c r="F42" s="149"/>
      <c r="G42" s="149"/>
      <c r="H42" s="149"/>
      <c r="I42" s="149">
        <v>719.17936112371967</v>
      </c>
      <c r="J42" s="149">
        <v>761.9233422142479</v>
      </c>
      <c r="K42" s="149">
        <v>761.38778209152099</v>
      </c>
      <c r="L42" s="149"/>
      <c r="M42" s="149"/>
      <c r="N42" s="149"/>
      <c r="O42" s="149" t="s">
        <v>200</v>
      </c>
    </row>
    <row r="43" spans="2:15">
      <c r="B43" s="148" t="s">
        <v>197</v>
      </c>
      <c r="C43" s="149"/>
      <c r="D43" s="149"/>
      <c r="E43" s="149"/>
      <c r="F43" s="149"/>
      <c r="G43" s="149"/>
      <c r="H43" s="149"/>
      <c r="I43" s="149"/>
      <c r="J43" s="149">
        <v>991.92267105851499</v>
      </c>
      <c r="K43" s="149">
        <v>990.04237805975151</v>
      </c>
      <c r="L43" s="149"/>
      <c r="M43" s="149"/>
      <c r="N43" s="149"/>
      <c r="O43" s="149" t="s">
        <v>201</v>
      </c>
    </row>
    <row r="44" spans="2:15">
      <c r="B44" s="148" t="s">
        <v>187</v>
      </c>
      <c r="C44" s="149"/>
      <c r="D44" s="149"/>
      <c r="E44" s="149"/>
      <c r="F44" s="149"/>
      <c r="G44" s="149"/>
      <c r="H44" s="149"/>
      <c r="I44" s="149">
        <v>501.39220102026997</v>
      </c>
      <c r="J44" s="149">
        <v>562.20204043000194</v>
      </c>
      <c r="K44" s="149">
        <v>562.67083728452303</v>
      </c>
      <c r="L44" s="149"/>
      <c r="M44" s="149"/>
      <c r="N44" s="149"/>
      <c r="O44" s="149" t="s">
        <v>202</v>
      </c>
    </row>
    <row r="45" spans="2:15">
      <c r="B45" s="148" t="s">
        <v>195</v>
      </c>
      <c r="C45" s="149"/>
      <c r="D45" s="149"/>
      <c r="E45" s="149"/>
      <c r="F45" s="149"/>
      <c r="G45" s="149"/>
      <c r="H45" s="149"/>
      <c r="I45" s="149">
        <v>395.29220102027011</v>
      </c>
      <c r="J45" s="149">
        <v>456.10204043000192</v>
      </c>
      <c r="K45" s="149">
        <v>455.55149267438435</v>
      </c>
      <c r="L45" s="149"/>
      <c r="M45" s="149"/>
      <c r="N45" s="149"/>
      <c r="O45" s="149" t="s">
        <v>203</v>
      </c>
    </row>
    <row r="46" spans="2:15">
      <c r="B46" s="148" t="s">
        <v>198</v>
      </c>
      <c r="C46" s="149"/>
      <c r="D46" s="149"/>
      <c r="E46" s="149"/>
      <c r="F46" s="149"/>
      <c r="G46" s="149"/>
      <c r="H46" s="149"/>
      <c r="I46" s="149"/>
      <c r="J46" s="149">
        <v>562.20204043000194</v>
      </c>
      <c r="K46" s="149">
        <v>562.67083728452303</v>
      </c>
      <c r="L46" s="149"/>
      <c r="M46" s="149"/>
      <c r="N46" s="149"/>
      <c r="O46" s="149" t="s">
        <v>204</v>
      </c>
    </row>
    <row r="47" spans="2:15">
      <c r="B47" s="148" t="s">
        <v>196</v>
      </c>
      <c r="C47" s="149"/>
      <c r="D47" s="149"/>
      <c r="E47" s="149"/>
      <c r="F47" s="149"/>
      <c r="G47" s="149"/>
      <c r="H47" s="149"/>
      <c r="I47" s="149">
        <v>458.95220102026997</v>
      </c>
      <c r="J47" s="149">
        <v>519.76204043000189</v>
      </c>
      <c r="K47" s="149">
        <v>519.82309944046756</v>
      </c>
      <c r="L47" s="149"/>
      <c r="M47" s="149"/>
      <c r="N47" s="149"/>
      <c r="O47" s="14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1A7B-8E1C-4CF0-9D0E-0769CFE551DC}">
  <sheetPr>
    <tabColor rgb="FF00B050"/>
    <pageSetUpPr fitToPage="1"/>
  </sheetPr>
  <dimension ref="B1:T26"/>
  <sheetViews>
    <sheetView showGridLines="0" zoomScale="85" zoomScaleNormal="85" zoomScaleSheetLayoutView="70" workbookViewId="0">
      <selection activeCell="F7" sqref="F7"/>
    </sheetView>
  </sheetViews>
  <sheetFormatPr defaultColWidth="8.6328125" defaultRowHeight="14"/>
  <cols>
    <col min="1" max="1" width="1.453125" style="1" customWidth="1"/>
    <col min="2" max="2" width="4.90625" style="1" customWidth="1"/>
    <col min="3" max="3" width="14.453125" style="1" customWidth="1"/>
    <col min="4" max="4" width="43.08984375" style="1" customWidth="1"/>
    <col min="5" max="5" width="10" style="1" customWidth="1"/>
    <col min="6" max="6" width="11.6328125" style="1" customWidth="1"/>
    <col min="7" max="7" width="8.90625" style="1" customWidth="1"/>
    <col min="8" max="8" width="9.6328125" style="1" customWidth="1"/>
    <col min="9" max="9" width="12.453125" style="1" customWidth="1"/>
    <col min="10" max="10" width="11.6328125" style="1" customWidth="1"/>
    <col min="11" max="11" width="8.90625" style="1" customWidth="1"/>
    <col min="12" max="12" width="9.6328125" style="1" customWidth="1"/>
    <col min="13" max="13" width="12.453125" style="1" customWidth="1"/>
    <col min="14" max="14" width="10.90625" style="1" customWidth="1"/>
    <col min="15" max="15" width="11.81640625" style="1" customWidth="1"/>
    <col min="16" max="17" width="11.26953125" style="1" customWidth="1"/>
    <col min="18" max="18" width="8.6328125" style="99"/>
    <col min="19" max="19" width="8.6328125" style="1"/>
    <col min="20" max="20" width="34" style="1" customWidth="1"/>
    <col min="21" max="16384" width="8.6328125" style="1"/>
  </cols>
  <sheetData>
    <row r="1" spans="2:20" ht="27" customHeight="1">
      <c r="B1" s="242"/>
      <c r="C1" s="242"/>
      <c r="D1" s="232" t="s">
        <v>226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 t="s">
        <v>217</v>
      </c>
      <c r="P1" s="234"/>
      <c r="Q1" s="234"/>
    </row>
    <row r="2" spans="2:20" ht="27" customHeight="1">
      <c r="B2" s="242"/>
      <c r="C2" s="242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4" t="s">
        <v>218</v>
      </c>
      <c r="P2" s="234"/>
      <c r="Q2" s="234"/>
    </row>
    <row r="3" spans="2:20" s="6" customFormat="1" ht="28.25" customHeight="1">
      <c r="B3" s="237" t="s">
        <v>1</v>
      </c>
      <c r="C3" s="238" t="s">
        <v>12</v>
      </c>
      <c r="D3" s="237" t="s">
        <v>0</v>
      </c>
      <c r="E3" s="238" t="s">
        <v>2</v>
      </c>
      <c r="F3" s="21" t="s">
        <v>32</v>
      </c>
      <c r="G3" s="21"/>
      <c r="H3" s="21"/>
      <c r="I3" s="21"/>
      <c r="J3" s="21"/>
      <c r="K3" s="21"/>
      <c r="L3" s="21"/>
      <c r="M3" s="21"/>
      <c r="N3" s="21"/>
      <c r="O3" s="21"/>
      <c r="P3" s="238" t="s">
        <v>222</v>
      </c>
      <c r="Q3" s="238"/>
      <c r="R3" s="100"/>
    </row>
    <row r="4" spans="2:20" s="6" customFormat="1" ht="48.5" customHeight="1">
      <c r="B4" s="237"/>
      <c r="C4" s="238"/>
      <c r="D4" s="237"/>
      <c r="E4" s="238"/>
      <c r="F4" s="239" t="str">
        <f>'2. rPET- nội bộ '!F4</f>
        <v>Tháng …. (đã duyệt)</v>
      </c>
      <c r="G4" s="240"/>
      <c r="H4" s="240"/>
      <c r="I4" s="241"/>
      <c r="J4" s="239" t="str">
        <f>'2. rPET- nội bộ '!J4</f>
        <v>Tháng ….</v>
      </c>
      <c r="K4" s="240"/>
      <c r="L4" s="240"/>
      <c r="M4" s="241"/>
      <c r="N4" s="239" t="str">
        <f>'2. rPET- nội bộ '!N4</f>
        <v>Chênh lệch
 tháng …. vs tháng ….</v>
      </c>
      <c r="O4" s="241"/>
      <c r="P4" s="238"/>
      <c r="Q4" s="238"/>
      <c r="R4" s="100"/>
    </row>
    <row r="5" spans="2:20" s="8" customFormat="1" ht="70.75" customHeight="1">
      <c r="B5" s="237"/>
      <c r="C5" s="238"/>
      <c r="D5" s="237"/>
      <c r="E5" s="238"/>
      <c r="F5" s="13" t="s">
        <v>35</v>
      </c>
      <c r="G5" s="13" t="s">
        <v>43</v>
      </c>
      <c r="H5" s="13" t="s">
        <v>41</v>
      </c>
      <c r="I5" s="127" t="s">
        <v>42</v>
      </c>
      <c r="J5" s="13" t="s">
        <v>35</v>
      </c>
      <c r="K5" s="13" t="s">
        <v>43</v>
      </c>
      <c r="L5" s="13" t="s">
        <v>41</v>
      </c>
      <c r="M5" s="127" t="s">
        <v>42</v>
      </c>
      <c r="N5" s="19" t="s">
        <v>36</v>
      </c>
      <c r="O5" s="19" t="s">
        <v>37</v>
      </c>
      <c r="P5" s="19" t="s">
        <v>36</v>
      </c>
      <c r="Q5" s="19" t="s">
        <v>37</v>
      </c>
      <c r="R5" s="101"/>
    </row>
    <row r="6" spans="2:20" s="105" customFormat="1" ht="20" customHeight="1">
      <c r="B6" s="110"/>
      <c r="C6" s="111" t="s">
        <v>109</v>
      </c>
      <c r="D6" s="111"/>
      <c r="E6" s="111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3"/>
      <c r="Q6" s="133"/>
    </row>
    <row r="7" spans="2:20" s="2" customFormat="1" ht="24.65" customHeight="1">
      <c r="B7" s="9">
        <v>1</v>
      </c>
      <c r="C7" s="9" t="s">
        <v>17</v>
      </c>
      <c r="D7" s="124" t="s">
        <v>13</v>
      </c>
      <c r="E7" s="9" t="s">
        <v>29</v>
      </c>
      <c r="F7" s="10"/>
      <c r="G7" s="17"/>
      <c r="H7" s="10"/>
      <c r="I7" s="20"/>
      <c r="J7" s="10"/>
      <c r="K7" s="17"/>
      <c r="L7" s="10"/>
      <c r="M7" s="73"/>
      <c r="N7" s="10"/>
      <c r="O7" s="17"/>
      <c r="P7" s="64"/>
      <c r="Q7" s="17"/>
      <c r="R7" s="106"/>
      <c r="S7" s="160"/>
    </row>
    <row r="8" spans="2:20" s="2" customFormat="1" ht="33">
      <c r="B8" s="9">
        <f>B7+1</f>
        <v>2</v>
      </c>
      <c r="C8" s="9">
        <v>110000381</v>
      </c>
      <c r="D8" s="124" t="s">
        <v>126</v>
      </c>
      <c r="E8" s="9" t="s">
        <v>79</v>
      </c>
      <c r="F8" s="10"/>
      <c r="G8" s="17"/>
      <c r="H8" s="10"/>
      <c r="I8" s="20"/>
      <c r="J8" s="10"/>
      <c r="K8" s="17"/>
      <c r="L8" s="10"/>
      <c r="M8" s="73"/>
      <c r="N8" s="10"/>
      <c r="O8" s="17"/>
      <c r="P8" s="64"/>
      <c r="Q8" s="17"/>
      <c r="R8" s="106"/>
      <c r="T8" s="161"/>
    </row>
    <row r="9" spans="2:20" s="2" customFormat="1" ht="24.65" customHeight="1">
      <c r="B9" s="9">
        <f>B8+1</f>
        <v>3</v>
      </c>
      <c r="C9" s="9">
        <v>110000436</v>
      </c>
      <c r="D9" s="124" t="s">
        <v>127</v>
      </c>
      <c r="E9" s="9" t="s">
        <v>125</v>
      </c>
      <c r="F9" s="10"/>
      <c r="G9" s="17"/>
      <c r="H9" s="10"/>
      <c r="I9" s="20"/>
      <c r="J9" s="10"/>
      <c r="K9" s="17"/>
      <c r="L9" s="10"/>
      <c r="M9" s="73"/>
      <c r="N9" s="10"/>
      <c r="O9" s="17"/>
      <c r="P9" s="64"/>
      <c r="Q9" s="17"/>
      <c r="R9" s="106"/>
      <c r="T9" s="161"/>
    </row>
    <row r="10" spans="2:20" s="2" customFormat="1" ht="23.4" customHeight="1">
      <c r="B10" s="11"/>
      <c r="C10" s="11"/>
      <c r="D10" s="11"/>
      <c r="E10" s="11"/>
      <c r="F10" s="11"/>
      <c r="G10" s="12"/>
      <c r="H10" s="12"/>
      <c r="I10" s="12"/>
      <c r="J10" s="11"/>
      <c r="K10" s="12"/>
      <c r="L10" s="12"/>
      <c r="M10" s="18"/>
      <c r="N10" s="18"/>
      <c r="O10" s="18"/>
      <c r="P10" s="18"/>
      <c r="Q10" s="18"/>
      <c r="R10" s="106"/>
      <c r="T10" s="161"/>
    </row>
    <row r="11" spans="2:20" s="34" customFormat="1" ht="22" customHeight="1">
      <c r="B11" s="76" t="s">
        <v>8</v>
      </c>
      <c r="G11" s="31"/>
      <c r="H11" s="31"/>
      <c r="I11" s="31"/>
      <c r="K11" s="31"/>
      <c r="L11" s="31"/>
      <c r="M11" s="31"/>
      <c r="N11" s="31"/>
      <c r="O11" s="31"/>
      <c r="P11" s="31"/>
      <c r="R11" s="70"/>
    </row>
    <row r="12" spans="2:20" s="34" customFormat="1" ht="19.75" customHeight="1">
      <c r="B12" s="34" t="s">
        <v>62</v>
      </c>
      <c r="G12" s="60">
        <v>20</v>
      </c>
      <c r="M12" s="35"/>
      <c r="N12" s="35"/>
      <c r="P12" s="35"/>
      <c r="R12" s="70"/>
    </row>
    <row r="13" spans="2:20" s="34" customFormat="1" ht="19.75" customHeight="1">
      <c r="B13" s="34" t="s">
        <v>135</v>
      </c>
      <c r="Q13" s="36"/>
      <c r="R13" s="70"/>
    </row>
    <row r="14" spans="2:20" s="34" customFormat="1" ht="19.75" customHeight="1">
      <c r="B14" s="34" t="s">
        <v>247</v>
      </c>
      <c r="Q14" s="36"/>
      <c r="R14" s="70"/>
    </row>
    <row r="15" spans="2:20" s="34" customFormat="1" ht="19.75" customHeight="1">
      <c r="B15" s="34" t="s">
        <v>108</v>
      </c>
      <c r="O15" s="231"/>
      <c r="P15" s="231"/>
      <c r="Q15" s="231"/>
      <c r="R15" s="70"/>
    </row>
    <row r="16" spans="2:20" s="34" customFormat="1" ht="22" customHeight="1">
      <c r="O16" s="231" t="str">
        <f>'2. rPET- nội bộ '!O35</f>
        <v>Ngày …. tháng ….. năm …....</v>
      </c>
      <c r="P16" s="231"/>
      <c r="Q16" s="231"/>
      <c r="R16" s="70"/>
    </row>
    <row r="17" spans="2:18" s="29" customFormat="1" ht="16.5">
      <c r="B17" s="236" t="s">
        <v>24</v>
      </c>
      <c r="C17" s="236"/>
      <c r="D17" s="235" t="s">
        <v>25</v>
      </c>
      <c r="E17" s="235"/>
      <c r="F17" s="30"/>
      <c r="G17" s="30" t="s">
        <v>33</v>
      </c>
      <c r="I17" s="30"/>
      <c r="L17" s="30" t="s">
        <v>34</v>
      </c>
      <c r="N17" s="30"/>
      <c r="O17" s="28"/>
      <c r="P17" s="28" t="s">
        <v>26</v>
      </c>
      <c r="R17" s="72"/>
    </row>
    <row r="18" spans="2:18" s="29" customFormat="1" ht="16.5">
      <c r="B18" s="27"/>
      <c r="C18" s="27"/>
      <c r="D18" s="30"/>
      <c r="F18" s="30"/>
      <c r="G18" s="30"/>
      <c r="I18" s="30"/>
      <c r="O18" s="28"/>
      <c r="P18" s="30"/>
      <c r="R18" s="72"/>
    </row>
    <row r="19" spans="2:18" s="29" customFormat="1" ht="16.5">
      <c r="B19" s="32"/>
      <c r="C19" s="32"/>
      <c r="D19" s="33"/>
      <c r="F19" s="33"/>
      <c r="G19" s="33"/>
      <c r="I19" s="33"/>
      <c r="O19" s="28"/>
      <c r="P19" s="30"/>
      <c r="R19" s="72"/>
    </row>
    <row r="20" spans="2:18" s="29" customFormat="1" ht="16.5">
      <c r="B20" s="32"/>
      <c r="C20" s="32"/>
      <c r="D20" s="33"/>
      <c r="F20" s="33"/>
      <c r="G20" s="33"/>
      <c r="I20" s="33"/>
      <c r="O20" s="28"/>
      <c r="P20" s="30"/>
      <c r="Q20" s="29" t="s">
        <v>10</v>
      </c>
      <c r="R20" s="72"/>
    </row>
    <row r="21" spans="2:18" s="29" customFormat="1" ht="16.5">
      <c r="B21" s="27"/>
      <c r="C21" s="27"/>
      <c r="D21" s="30"/>
      <c r="F21" s="30"/>
      <c r="G21" s="30"/>
      <c r="I21" s="30"/>
      <c r="O21" s="28"/>
      <c r="P21" s="30"/>
      <c r="R21" s="72"/>
    </row>
    <row r="22" spans="2:18" s="29" customFormat="1" ht="16.5">
      <c r="B22" s="236"/>
      <c r="C22" s="236"/>
      <c r="D22" s="235"/>
      <c r="E22" s="235"/>
      <c r="F22" s="30"/>
      <c r="G22" s="30"/>
      <c r="I22" s="30"/>
      <c r="L22" s="30"/>
      <c r="N22" s="30"/>
      <c r="O22" s="28"/>
      <c r="P22" s="28"/>
      <c r="R22" s="72"/>
    </row>
    <row r="23" spans="2:18" s="3" customFormat="1" ht="15.5"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R23" s="107"/>
    </row>
    <row r="24" spans="2:18" ht="15.5">
      <c r="D24" s="7"/>
    </row>
    <row r="26" spans="2:18">
      <c r="D26" s="6"/>
      <c r="E26" s="6"/>
      <c r="F26" s="6"/>
      <c r="J26" s="6"/>
    </row>
  </sheetData>
  <mergeCells count="18">
    <mergeCell ref="D22:E22"/>
    <mergeCell ref="B17:C17"/>
    <mergeCell ref="B22:C22"/>
    <mergeCell ref="O2:Q2"/>
    <mergeCell ref="B3:B5"/>
    <mergeCell ref="C3:C5"/>
    <mergeCell ref="D3:D5"/>
    <mergeCell ref="E3:E5"/>
    <mergeCell ref="P3:Q4"/>
    <mergeCell ref="F4:I4"/>
    <mergeCell ref="J4:M4"/>
    <mergeCell ref="N4:O4"/>
    <mergeCell ref="B1:C2"/>
    <mergeCell ref="O15:Q15"/>
    <mergeCell ref="O16:Q16"/>
    <mergeCell ref="D1:N2"/>
    <mergeCell ref="O1:Q1"/>
    <mergeCell ref="D17:E17"/>
  </mergeCells>
  <conditionalFormatting sqref="O7:O9">
    <cfRule type="iconSet" priority="49">
      <iconSet iconSet="3Arrows">
        <cfvo type="percent" val="0"/>
        <cfvo type="num" val="0"/>
        <cfvo type="num" val="0" gte="0"/>
      </iconSet>
    </cfRule>
  </conditionalFormatting>
  <conditionalFormatting sqref="Q7:Q9">
    <cfRule type="iconSet" priority="51">
      <iconSet iconSet="3Arrows">
        <cfvo type="percent" val="0"/>
        <cfvo type="num" val="0"/>
        <cfvo type="num" val="0" gte="0"/>
      </iconSet>
    </cfRule>
  </conditionalFormatting>
  <printOptions horizontalCentered="1"/>
  <pageMargins left="0.2" right="0" top="0" bottom="0" header="0.17" footer="0.19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85AA-E99D-4FAC-BC8F-76C8F7C55FAA}">
  <sheetPr>
    <tabColor rgb="FF00B050"/>
    <pageSetUpPr fitToPage="1"/>
  </sheetPr>
  <dimension ref="B1:S46"/>
  <sheetViews>
    <sheetView showGridLines="0" zoomScale="85" zoomScaleNormal="85" zoomScaleSheetLayoutView="70" workbookViewId="0">
      <selection activeCell="N9" sqref="N9"/>
    </sheetView>
  </sheetViews>
  <sheetFormatPr defaultColWidth="8.6328125" defaultRowHeight="14"/>
  <cols>
    <col min="1" max="1" width="1.453125" style="1" customWidth="1"/>
    <col min="2" max="2" width="4.90625" style="1" customWidth="1"/>
    <col min="3" max="3" width="16.90625" style="1" customWidth="1"/>
    <col min="4" max="4" width="34.08984375" style="1" customWidth="1"/>
    <col min="5" max="5" width="10" style="1" customWidth="1"/>
    <col min="6" max="6" width="11.6328125" style="1" customWidth="1"/>
    <col min="7" max="7" width="8.90625" style="1" customWidth="1"/>
    <col min="8" max="8" width="9.6328125" style="1" customWidth="1"/>
    <col min="9" max="9" width="13.08984375" style="1" customWidth="1"/>
    <col min="10" max="10" width="11.6328125" style="1" customWidth="1"/>
    <col min="11" max="11" width="8.90625" style="1" customWidth="1"/>
    <col min="12" max="12" width="9.6328125" style="1" customWidth="1"/>
    <col min="13" max="13" width="12.453125" style="1" customWidth="1"/>
    <col min="14" max="14" width="10.90625" style="1" customWidth="1"/>
    <col min="15" max="15" width="11.81640625" style="1" customWidth="1"/>
    <col min="16" max="16" width="11.6328125" style="1" customWidth="1"/>
    <col min="17" max="17" width="11.26953125" style="1" customWidth="1"/>
    <col min="18" max="18" width="7.1796875" style="99" customWidth="1"/>
    <col min="19" max="19" width="12.1796875" style="1" bestFit="1" customWidth="1"/>
    <col min="20" max="16384" width="8.6328125" style="1"/>
  </cols>
  <sheetData>
    <row r="1" spans="2:19" ht="25.75" customHeight="1">
      <c r="B1" s="242"/>
      <c r="C1" s="242"/>
      <c r="D1" s="248" t="s">
        <v>225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34" t="s">
        <v>227</v>
      </c>
      <c r="P1" s="234"/>
      <c r="Q1" s="234"/>
    </row>
    <row r="2" spans="2:19" ht="25.75" customHeight="1">
      <c r="B2" s="242"/>
      <c r="C2" s="242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34" t="s">
        <v>218</v>
      </c>
      <c r="P2" s="234"/>
      <c r="Q2" s="234"/>
    </row>
    <row r="3" spans="2:19" s="6" customFormat="1" ht="28.25" customHeight="1">
      <c r="B3" s="237" t="s">
        <v>1</v>
      </c>
      <c r="C3" s="238" t="s">
        <v>12</v>
      </c>
      <c r="D3" s="237" t="s">
        <v>0</v>
      </c>
      <c r="E3" s="238" t="s">
        <v>2</v>
      </c>
      <c r="F3" s="21" t="s">
        <v>32</v>
      </c>
      <c r="G3" s="21"/>
      <c r="H3" s="21"/>
      <c r="I3" s="21"/>
      <c r="J3" s="21"/>
      <c r="K3" s="21"/>
      <c r="L3" s="21"/>
      <c r="M3" s="21"/>
      <c r="N3" s="21"/>
      <c r="O3" s="21"/>
      <c r="P3" s="238" t="s">
        <v>224</v>
      </c>
      <c r="Q3" s="238"/>
      <c r="R3" s="100"/>
    </row>
    <row r="4" spans="2:19" s="6" customFormat="1" ht="44" customHeight="1">
      <c r="B4" s="237"/>
      <c r="C4" s="238"/>
      <c r="D4" s="237"/>
      <c r="E4" s="238"/>
      <c r="F4" s="239" t="s">
        <v>219</v>
      </c>
      <c r="G4" s="240"/>
      <c r="H4" s="240"/>
      <c r="I4" s="241"/>
      <c r="J4" s="239" t="s">
        <v>220</v>
      </c>
      <c r="K4" s="240"/>
      <c r="L4" s="240"/>
      <c r="M4" s="241"/>
      <c r="N4" s="239" t="s">
        <v>221</v>
      </c>
      <c r="O4" s="241"/>
      <c r="P4" s="238"/>
      <c r="Q4" s="238"/>
      <c r="R4" s="100"/>
    </row>
    <row r="5" spans="2:19" s="8" customFormat="1" ht="85.25" customHeight="1">
      <c r="B5" s="237"/>
      <c r="C5" s="238"/>
      <c r="D5" s="237"/>
      <c r="E5" s="238"/>
      <c r="F5" s="13" t="s">
        <v>35</v>
      </c>
      <c r="G5" s="13" t="s">
        <v>43</v>
      </c>
      <c r="H5" s="13" t="s">
        <v>41</v>
      </c>
      <c r="I5" s="127" t="s">
        <v>42</v>
      </c>
      <c r="J5" s="13" t="s">
        <v>35</v>
      </c>
      <c r="K5" s="13" t="s">
        <v>43</v>
      </c>
      <c r="L5" s="13" t="s">
        <v>41</v>
      </c>
      <c r="M5" s="127" t="s">
        <v>42</v>
      </c>
      <c r="N5" s="19" t="s">
        <v>36</v>
      </c>
      <c r="O5" s="19" t="s">
        <v>37</v>
      </c>
      <c r="P5" s="19" t="s">
        <v>36</v>
      </c>
      <c r="Q5" s="19" t="s">
        <v>37</v>
      </c>
      <c r="R5" s="101"/>
      <c r="S5" s="6"/>
    </row>
    <row r="6" spans="2:19" s="2" customFormat="1" ht="22.5" customHeight="1">
      <c r="B6" s="9">
        <v>1</v>
      </c>
      <c r="C6" s="195" t="s">
        <v>14</v>
      </c>
      <c r="D6" s="16" t="s">
        <v>9</v>
      </c>
      <c r="E6" s="9" t="s">
        <v>27</v>
      </c>
      <c r="F6" s="10"/>
      <c r="G6" s="17"/>
      <c r="H6" s="10"/>
      <c r="I6" s="20"/>
      <c r="J6" s="10"/>
      <c r="K6" s="17"/>
      <c r="L6" s="10"/>
      <c r="M6" s="73"/>
      <c r="N6" s="10"/>
      <c r="O6" s="17"/>
      <c r="P6" s="64"/>
      <c r="Q6" s="17"/>
      <c r="R6" s="106"/>
      <c r="S6" s="142"/>
    </row>
    <row r="7" spans="2:19" s="2" customFormat="1" ht="22.5" customHeight="1">
      <c r="B7" s="9">
        <f>+B6+1</f>
        <v>2</v>
      </c>
      <c r="C7" s="195" t="s">
        <v>16</v>
      </c>
      <c r="D7" s="16" t="s">
        <v>6</v>
      </c>
      <c r="E7" s="9" t="s">
        <v>28</v>
      </c>
      <c r="F7" s="10"/>
      <c r="G7" s="17"/>
      <c r="H7" s="10"/>
      <c r="I7" s="20"/>
      <c r="J7" s="10"/>
      <c r="K7" s="17"/>
      <c r="L7" s="10"/>
      <c r="M7" s="73"/>
      <c r="N7" s="10"/>
      <c r="O7" s="17"/>
      <c r="P7" s="64"/>
      <c r="Q7" s="17"/>
      <c r="R7" s="106"/>
      <c r="S7" s="142"/>
    </row>
    <row r="8" spans="2:19" s="2" customFormat="1" ht="22.5" customHeight="1">
      <c r="B8" s="9">
        <f t="shared" ref="B8:B29" si="0">+B7+1</f>
        <v>3</v>
      </c>
      <c r="C8" s="195" t="s">
        <v>15</v>
      </c>
      <c r="D8" s="16" t="s">
        <v>11</v>
      </c>
      <c r="E8" s="9" t="s">
        <v>28</v>
      </c>
      <c r="F8" s="10"/>
      <c r="G8" s="17"/>
      <c r="H8" s="10"/>
      <c r="I8" s="20"/>
      <c r="J8" s="10"/>
      <c r="K8" s="17"/>
      <c r="L8" s="10"/>
      <c r="M8" s="73"/>
      <c r="N8" s="10"/>
      <c r="O8" s="17"/>
      <c r="P8" s="64"/>
      <c r="Q8" s="17"/>
      <c r="R8" s="106"/>
      <c r="S8" s="142"/>
    </row>
    <row r="9" spans="2:19" s="2" customFormat="1" ht="22.5" customHeight="1">
      <c r="B9" s="9">
        <f t="shared" si="0"/>
        <v>4</v>
      </c>
      <c r="C9" s="195" t="s">
        <v>145</v>
      </c>
      <c r="D9" s="16" t="s">
        <v>146</v>
      </c>
      <c r="E9" s="9" t="s">
        <v>28</v>
      </c>
      <c r="F9" s="10"/>
      <c r="G9" s="17"/>
      <c r="H9" s="10"/>
      <c r="I9" s="20"/>
      <c r="J9" s="10"/>
      <c r="K9" s="17"/>
      <c r="L9" s="10"/>
      <c r="M9" s="73"/>
      <c r="N9" s="10"/>
      <c r="O9" s="17"/>
      <c r="P9" s="64"/>
      <c r="Q9" s="17"/>
      <c r="R9" s="106"/>
      <c r="S9" s="142"/>
    </row>
    <row r="10" spans="2:19" s="121" customFormat="1" ht="22.5" customHeight="1">
      <c r="B10" s="9">
        <f t="shared" si="0"/>
        <v>5</v>
      </c>
      <c r="C10" s="196" t="s">
        <v>17</v>
      </c>
      <c r="D10" s="116" t="s">
        <v>13</v>
      </c>
      <c r="E10" s="9" t="s">
        <v>29</v>
      </c>
      <c r="F10" s="10"/>
      <c r="G10" s="17"/>
      <c r="H10" s="10"/>
      <c r="I10" s="20"/>
      <c r="J10" s="117"/>
      <c r="K10" s="118"/>
      <c r="L10" s="117"/>
      <c r="M10" s="73"/>
      <c r="N10" s="117"/>
      <c r="O10" s="118"/>
      <c r="P10" s="120"/>
      <c r="Q10" s="118"/>
      <c r="R10" s="106"/>
      <c r="S10" s="142"/>
    </row>
    <row r="11" spans="2:19" s="121" customFormat="1" ht="22.5" customHeight="1">
      <c r="B11" s="9">
        <f t="shared" si="0"/>
        <v>6</v>
      </c>
      <c r="C11" s="196" t="s">
        <v>147</v>
      </c>
      <c r="D11" s="116" t="s">
        <v>148</v>
      </c>
      <c r="E11" s="9" t="s">
        <v>29</v>
      </c>
      <c r="F11" s="10"/>
      <c r="G11" s="17"/>
      <c r="H11" s="10"/>
      <c r="I11" s="20"/>
      <c r="J11" s="117"/>
      <c r="K11" s="118"/>
      <c r="L11" s="117"/>
      <c r="M11" s="73"/>
      <c r="N11" s="117"/>
      <c r="O11" s="118"/>
      <c r="P11" s="120"/>
      <c r="Q11" s="118"/>
      <c r="R11" s="106"/>
      <c r="S11" s="142"/>
    </row>
    <row r="12" spans="2:19" s="2" customFormat="1" ht="22.5" customHeight="1">
      <c r="B12" s="9">
        <f t="shared" si="0"/>
        <v>7</v>
      </c>
      <c r="C12" s="195" t="s">
        <v>18</v>
      </c>
      <c r="D12" s="16" t="s">
        <v>5</v>
      </c>
      <c r="E12" s="9" t="s">
        <v>29</v>
      </c>
      <c r="F12" s="10"/>
      <c r="G12" s="17"/>
      <c r="H12" s="10"/>
      <c r="I12" s="20"/>
      <c r="J12" s="10"/>
      <c r="K12" s="17"/>
      <c r="L12" s="10"/>
      <c r="M12" s="73"/>
      <c r="N12" s="10"/>
      <c r="O12" s="17"/>
      <c r="P12" s="64"/>
      <c r="Q12" s="17"/>
      <c r="R12" s="106"/>
      <c r="S12" s="142"/>
    </row>
    <row r="13" spans="2:19" s="2" customFormat="1" ht="22.5" customHeight="1">
      <c r="B13" s="9">
        <f t="shared" si="0"/>
        <v>8</v>
      </c>
      <c r="C13" s="195" t="s">
        <v>19</v>
      </c>
      <c r="D13" s="16" t="s">
        <v>4</v>
      </c>
      <c r="E13" s="9" t="s">
        <v>30</v>
      </c>
      <c r="F13" s="10"/>
      <c r="G13" s="17"/>
      <c r="H13" s="10"/>
      <c r="I13" s="20"/>
      <c r="J13" s="10"/>
      <c r="K13" s="17"/>
      <c r="L13" s="10"/>
      <c r="M13" s="73"/>
      <c r="N13" s="10"/>
      <c r="O13" s="17"/>
      <c r="P13" s="64"/>
      <c r="Q13" s="17"/>
      <c r="R13" s="106"/>
      <c r="S13" s="142"/>
    </row>
    <row r="14" spans="2:19" s="2" customFormat="1" ht="22.5" customHeight="1">
      <c r="B14" s="9">
        <f t="shared" si="0"/>
        <v>9</v>
      </c>
      <c r="C14" s="195" t="s">
        <v>138</v>
      </c>
      <c r="D14" s="16" t="s">
        <v>139</v>
      </c>
      <c r="E14" s="9" t="s">
        <v>30</v>
      </c>
      <c r="F14" s="10"/>
      <c r="G14" s="17"/>
      <c r="H14" s="10"/>
      <c r="I14" s="20"/>
      <c r="J14" s="10"/>
      <c r="K14" s="17"/>
      <c r="L14" s="10"/>
      <c r="M14" s="73"/>
      <c r="N14" s="10"/>
      <c r="O14" s="17"/>
      <c r="P14" s="64"/>
      <c r="Q14" s="17"/>
      <c r="R14" s="106"/>
      <c r="S14" s="142"/>
    </row>
    <row r="15" spans="2:19" s="2" customFormat="1" ht="22.5" customHeight="1">
      <c r="B15" s="9">
        <f t="shared" si="0"/>
        <v>10</v>
      </c>
      <c r="C15" s="195" t="s">
        <v>20</v>
      </c>
      <c r="D15" s="16" t="s">
        <v>3</v>
      </c>
      <c r="E15" s="9" t="s">
        <v>31</v>
      </c>
      <c r="F15" s="10"/>
      <c r="G15" s="17"/>
      <c r="H15" s="10"/>
      <c r="I15" s="20"/>
      <c r="J15" s="10"/>
      <c r="K15" s="17"/>
      <c r="L15" s="10"/>
      <c r="M15" s="73"/>
      <c r="N15" s="10"/>
      <c r="O15" s="17"/>
      <c r="P15" s="64"/>
      <c r="Q15" s="17"/>
      <c r="R15" s="106"/>
      <c r="S15" s="142"/>
    </row>
    <row r="16" spans="2:19" s="2" customFormat="1" ht="22.5" customHeight="1">
      <c r="B16" s="9">
        <f t="shared" si="0"/>
        <v>11</v>
      </c>
      <c r="C16" s="195" t="s">
        <v>140</v>
      </c>
      <c r="D16" s="16" t="s">
        <v>141</v>
      </c>
      <c r="E16" s="9" t="s">
        <v>31</v>
      </c>
      <c r="F16" s="10"/>
      <c r="G16" s="17"/>
      <c r="H16" s="10"/>
      <c r="I16" s="20"/>
      <c r="J16" s="10"/>
      <c r="K16" s="17"/>
      <c r="L16" s="10"/>
      <c r="M16" s="73"/>
      <c r="N16" s="10"/>
      <c r="O16" s="17"/>
      <c r="P16" s="64"/>
      <c r="Q16" s="17"/>
      <c r="R16" s="106"/>
      <c r="S16" s="142"/>
    </row>
    <row r="17" spans="2:19" s="2" customFormat="1" ht="22.5" customHeight="1">
      <c r="B17" s="9">
        <f t="shared" si="0"/>
        <v>12</v>
      </c>
      <c r="C17" s="195" t="s">
        <v>142</v>
      </c>
      <c r="D17" s="16" t="s">
        <v>69</v>
      </c>
      <c r="E17" s="9" t="s">
        <v>28</v>
      </c>
      <c r="F17" s="10"/>
      <c r="G17" s="17"/>
      <c r="H17" s="10"/>
      <c r="I17" s="20"/>
      <c r="J17" s="10"/>
      <c r="K17" s="17"/>
      <c r="L17" s="10"/>
      <c r="M17" s="73"/>
      <c r="N17" s="10"/>
      <c r="O17" s="17"/>
      <c r="P17" s="64"/>
      <c r="Q17" s="17"/>
      <c r="R17" s="106"/>
      <c r="S17" s="142"/>
    </row>
    <row r="18" spans="2:19" s="2" customFormat="1" ht="22.5" customHeight="1">
      <c r="B18" s="9">
        <f t="shared" si="0"/>
        <v>13</v>
      </c>
      <c r="C18" s="195" t="s">
        <v>149</v>
      </c>
      <c r="D18" s="16" t="s">
        <v>151</v>
      </c>
      <c r="E18" s="10" t="s">
        <v>150</v>
      </c>
      <c r="F18" s="117"/>
      <c r="G18" s="118"/>
      <c r="H18" s="117"/>
      <c r="I18" s="119"/>
      <c r="J18" s="117"/>
      <c r="K18" s="118"/>
      <c r="L18" s="117"/>
      <c r="M18" s="73"/>
      <c r="N18" s="117"/>
      <c r="O18" s="118"/>
      <c r="P18" s="120"/>
      <c r="Q18" s="118"/>
      <c r="R18" s="106"/>
      <c r="S18" s="142"/>
    </row>
    <row r="19" spans="2:19" s="121" customFormat="1" ht="22.5" customHeight="1">
      <c r="B19" s="9">
        <f t="shared" si="0"/>
        <v>14</v>
      </c>
      <c r="C19" s="196" t="s">
        <v>143</v>
      </c>
      <c r="D19" s="116" t="s">
        <v>155</v>
      </c>
      <c r="E19" s="115" t="s">
        <v>79</v>
      </c>
      <c r="F19" s="117"/>
      <c r="G19" s="118"/>
      <c r="H19" s="117"/>
      <c r="I19" s="119"/>
      <c r="J19" s="117"/>
      <c r="K19" s="118"/>
      <c r="L19" s="117"/>
      <c r="M19" s="73"/>
      <c r="N19" s="117"/>
      <c r="O19" s="118"/>
      <c r="P19" s="120"/>
      <c r="Q19" s="118"/>
      <c r="R19" s="106"/>
      <c r="S19" s="143"/>
    </row>
    <row r="20" spans="2:19" s="2" customFormat="1" ht="22.5" customHeight="1">
      <c r="B20" s="9">
        <f t="shared" si="0"/>
        <v>15</v>
      </c>
      <c r="C20" s="195" t="s">
        <v>144</v>
      </c>
      <c r="D20" s="16" t="s">
        <v>156</v>
      </c>
      <c r="E20" s="9" t="s">
        <v>79</v>
      </c>
      <c r="F20" s="10"/>
      <c r="G20" s="17"/>
      <c r="H20" s="10"/>
      <c r="I20" s="20"/>
      <c r="J20" s="117"/>
      <c r="K20" s="17"/>
      <c r="L20" s="10"/>
      <c r="M20" s="73"/>
      <c r="N20" s="10"/>
      <c r="O20" s="17"/>
      <c r="P20" s="64"/>
      <c r="Q20" s="17"/>
      <c r="R20" s="106"/>
      <c r="S20" s="142"/>
    </row>
    <row r="21" spans="2:19" s="2" customFormat="1" ht="22.5" customHeight="1">
      <c r="B21" s="9">
        <f t="shared" si="0"/>
        <v>16</v>
      </c>
      <c r="C21" s="245" t="s">
        <v>7</v>
      </c>
      <c r="D21" s="16" t="s">
        <v>9</v>
      </c>
      <c r="E21" s="9" t="s">
        <v>27</v>
      </c>
      <c r="F21" s="10"/>
      <c r="G21" s="17"/>
      <c r="H21" s="10"/>
      <c r="I21" s="20"/>
      <c r="J21" s="10"/>
      <c r="K21" s="17"/>
      <c r="L21" s="10"/>
      <c r="M21" s="73"/>
      <c r="N21" s="10"/>
      <c r="O21" s="17"/>
      <c r="P21" s="64"/>
      <c r="Q21" s="17"/>
      <c r="R21" s="243"/>
    </row>
    <row r="22" spans="2:19" s="2" customFormat="1" ht="22.5" customHeight="1">
      <c r="B22" s="9">
        <f t="shared" si="0"/>
        <v>17</v>
      </c>
      <c r="C22" s="246"/>
      <c r="D22" s="16" t="s">
        <v>6</v>
      </c>
      <c r="E22" s="9" t="s">
        <v>28</v>
      </c>
      <c r="F22" s="10"/>
      <c r="G22" s="17"/>
      <c r="H22" s="10"/>
      <c r="I22" s="20"/>
      <c r="J22" s="10"/>
      <c r="K22" s="17"/>
      <c r="L22" s="10"/>
      <c r="M22" s="73"/>
      <c r="N22" s="10"/>
      <c r="O22" s="17"/>
      <c r="P22" s="64"/>
      <c r="Q22" s="17"/>
      <c r="R22" s="244"/>
    </row>
    <row r="23" spans="2:19" s="2" customFormat="1" ht="22.5" customHeight="1">
      <c r="B23" s="9">
        <f t="shared" si="0"/>
        <v>18</v>
      </c>
      <c r="C23" s="246"/>
      <c r="D23" s="16" t="s">
        <v>11</v>
      </c>
      <c r="E23" s="9" t="s">
        <v>28</v>
      </c>
      <c r="F23" s="10"/>
      <c r="G23" s="17"/>
      <c r="H23" s="10"/>
      <c r="I23" s="20"/>
      <c r="J23" s="10"/>
      <c r="K23" s="17"/>
      <c r="L23" s="10"/>
      <c r="M23" s="73"/>
      <c r="N23" s="10"/>
      <c r="O23" s="17"/>
      <c r="P23" s="64"/>
      <c r="Q23" s="17"/>
      <c r="R23" s="244"/>
    </row>
    <row r="24" spans="2:19" s="2" customFormat="1" ht="22.5" customHeight="1">
      <c r="B24" s="9">
        <f t="shared" si="0"/>
        <v>19</v>
      </c>
      <c r="C24" s="246"/>
      <c r="D24" s="116" t="s">
        <v>13</v>
      </c>
      <c r="E24" s="9" t="s">
        <v>29</v>
      </c>
      <c r="F24" s="117"/>
      <c r="G24" s="118"/>
      <c r="H24" s="117"/>
      <c r="I24" s="20"/>
      <c r="J24" s="117"/>
      <c r="K24" s="118"/>
      <c r="L24" s="117"/>
      <c r="M24" s="73"/>
      <c r="N24" s="117"/>
      <c r="O24" s="118"/>
      <c r="P24" s="120"/>
      <c r="Q24" s="118"/>
      <c r="R24" s="244"/>
    </row>
    <row r="25" spans="2:19" s="2" customFormat="1" ht="22.5" customHeight="1">
      <c r="B25" s="9">
        <f t="shared" si="0"/>
        <v>20</v>
      </c>
      <c r="C25" s="246"/>
      <c r="D25" s="16" t="s">
        <v>5</v>
      </c>
      <c r="E25" s="9" t="s">
        <v>29</v>
      </c>
      <c r="F25" s="10"/>
      <c r="G25" s="17"/>
      <c r="H25" s="10"/>
      <c r="I25" s="20"/>
      <c r="J25" s="10"/>
      <c r="K25" s="17"/>
      <c r="L25" s="10"/>
      <c r="M25" s="73"/>
      <c r="N25" s="10"/>
      <c r="O25" s="17"/>
      <c r="P25" s="64"/>
      <c r="Q25" s="17"/>
      <c r="R25" s="244"/>
    </row>
    <row r="26" spans="2:19" s="2" customFormat="1" ht="22.5" customHeight="1">
      <c r="B26" s="9">
        <f t="shared" si="0"/>
        <v>21</v>
      </c>
      <c r="C26" s="246"/>
      <c r="D26" s="16" t="s">
        <v>4</v>
      </c>
      <c r="E26" s="9" t="s">
        <v>30</v>
      </c>
      <c r="F26" s="10"/>
      <c r="G26" s="17"/>
      <c r="H26" s="10"/>
      <c r="I26" s="20"/>
      <c r="J26" s="10"/>
      <c r="K26" s="17"/>
      <c r="L26" s="10"/>
      <c r="M26" s="73"/>
      <c r="N26" s="10"/>
      <c r="O26" s="17"/>
      <c r="P26" s="64"/>
      <c r="Q26" s="17"/>
      <c r="R26" s="244"/>
    </row>
    <row r="27" spans="2:19" s="2" customFormat="1" ht="22.5" customHeight="1">
      <c r="B27" s="9">
        <f t="shared" si="0"/>
        <v>22</v>
      </c>
      <c r="C27" s="246"/>
      <c r="D27" s="16" t="s">
        <v>139</v>
      </c>
      <c r="E27" s="9" t="s">
        <v>30</v>
      </c>
      <c r="F27" s="10"/>
      <c r="G27" s="17"/>
      <c r="H27" s="10"/>
      <c r="I27" s="20"/>
      <c r="J27" s="10"/>
      <c r="K27" s="17"/>
      <c r="L27" s="10"/>
      <c r="M27" s="73"/>
      <c r="N27" s="10"/>
      <c r="O27" s="17"/>
      <c r="P27" s="64"/>
      <c r="Q27" s="17"/>
      <c r="R27" s="244"/>
    </row>
    <row r="28" spans="2:19" s="2" customFormat="1" ht="22.5" customHeight="1">
      <c r="B28" s="9">
        <f t="shared" si="0"/>
        <v>23</v>
      </c>
      <c r="C28" s="246"/>
      <c r="D28" s="16" t="s">
        <v>3</v>
      </c>
      <c r="E28" s="9" t="s">
        <v>31</v>
      </c>
      <c r="F28" s="10"/>
      <c r="G28" s="17"/>
      <c r="H28" s="10"/>
      <c r="I28" s="20"/>
      <c r="J28" s="10"/>
      <c r="K28" s="17"/>
      <c r="L28" s="10"/>
      <c r="M28" s="73"/>
      <c r="N28" s="10"/>
      <c r="O28" s="17"/>
      <c r="P28" s="64"/>
      <c r="Q28" s="17"/>
      <c r="R28" s="244"/>
    </row>
    <row r="29" spans="2:19" s="2" customFormat="1" ht="22.5" customHeight="1">
      <c r="B29" s="9">
        <f t="shared" si="0"/>
        <v>24</v>
      </c>
      <c r="C29" s="247"/>
      <c r="D29" s="16" t="s">
        <v>141</v>
      </c>
      <c r="E29" s="9" t="s">
        <v>31</v>
      </c>
      <c r="F29" s="10"/>
      <c r="G29" s="17"/>
      <c r="H29" s="10"/>
      <c r="I29" s="20"/>
      <c r="J29" s="10"/>
      <c r="K29" s="17"/>
      <c r="L29" s="10"/>
      <c r="M29" s="73"/>
      <c r="N29" s="10"/>
      <c r="O29" s="17"/>
      <c r="P29" s="64"/>
      <c r="Q29" s="17"/>
      <c r="R29" s="244"/>
    </row>
    <row r="30" spans="2:19" s="2" customFormat="1" ht="15" customHeight="1">
      <c r="B30" s="11"/>
      <c r="C30" s="11"/>
      <c r="D30" s="11"/>
      <c r="E30" s="11"/>
      <c r="F30" s="11"/>
      <c r="G30" s="12"/>
      <c r="H30" s="12"/>
      <c r="I30" s="12"/>
      <c r="J30" s="11"/>
      <c r="K30" s="12"/>
      <c r="L30" s="12"/>
      <c r="M30" s="12"/>
      <c r="N30" s="18"/>
      <c r="O30" s="18"/>
      <c r="P30" s="18"/>
      <c r="Q30" s="18"/>
      <c r="R30" s="106"/>
    </row>
    <row r="31" spans="2:19" s="34" customFormat="1" ht="18" customHeight="1">
      <c r="B31" s="76" t="s">
        <v>8</v>
      </c>
      <c r="G31" s="31"/>
      <c r="H31" s="31"/>
      <c r="I31" s="31"/>
      <c r="K31" s="31"/>
      <c r="L31" s="31"/>
      <c r="M31" s="31"/>
      <c r="N31" s="31"/>
      <c r="O31" s="31"/>
      <c r="P31" s="31"/>
      <c r="R31" s="70"/>
    </row>
    <row r="32" spans="2:19" s="34" customFormat="1" ht="16.5">
      <c r="B32" s="34" t="s">
        <v>62</v>
      </c>
      <c r="G32" s="60">
        <v>20</v>
      </c>
      <c r="M32" s="35"/>
      <c r="N32" s="35"/>
      <c r="P32" s="35"/>
      <c r="R32" s="70"/>
    </row>
    <row r="33" spans="2:18" s="34" customFormat="1" ht="16.5">
      <c r="B33" s="34" t="s">
        <v>206</v>
      </c>
      <c r="Q33" s="36"/>
      <c r="R33" s="70"/>
    </row>
    <row r="34" spans="2:18" s="34" customFormat="1" ht="16.5">
      <c r="B34" s="34" t="s">
        <v>83</v>
      </c>
      <c r="O34" s="231"/>
      <c r="P34" s="231"/>
      <c r="Q34" s="231"/>
      <c r="R34" s="70"/>
    </row>
    <row r="35" spans="2:18" s="34" customFormat="1" ht="16.5">
      <c r="O35" s="231" t="s">
        <v>223</v>
      </c>
      <c r="P35" s="231"/>
      <c r="Q35" s="231"/>
      <c r="R35" s="70"/>
    </row>
    <row r="36" spans="2:18" s="29" customFormat="1" ht="16.5">
      <c r="B36" s="27"/>
      <c r="C36" s="30" t="s">
        <v>114</v>
      </c>
      <c r="D36" s="28"/>
      <c r="E36" s="29" t="s">
        <v>113</v>
      </c>
      <c r="F36" s="30"/>
      <c r="H36" s="30"/>
      <c r="I36" s="30"/>
      <c r="J36" s="30" t="s">
        <v>34</v>
      </c>
      <c r="L36" s="30"/>
      <c r="N36" s="30"/>
      <c r="O36" s="28"/>
      <c r="P36" s="28" t="s">
        <v>26</v>
      </c>
      <c r="R36" s="72"/>
    </row>
    <row r="37" spans="2:18" s="29" customFormat="1" ht="16.5">
      <c r="B37" s="27"/>
      <c r="C37" s="30"/>
      <c r="D37" s="46"/>
      <c r="F37" s="30"/>
      <c r="I37" s="30"/>
      <c r="O37" s="28"/>
      <c r="P37" s="30"/>
      <c r="R37" s="72"/>
    </row>
    <row r="38" spans="2:18" s="29" customFormat="1" ht="16.5">
      <c r="B38" s="27"/>
      <c r="C38" s="30"/>
      <c r="D38" s="46"/>
      <c r="F38" s="30"/>
      <c r="I38" s="30"/>
      <c r="O38" s="28"/>
      <c r="P38" s="30"/>
      <c r="R38" s="72"/>
    </row>
    <row r="39" spans="2:18" s="29" customFormat="1" ht="16.5">
      <c r="B39" s="32"/>
      <c r="C39" s="33"/>
      <c r="D39" s="47"/>
      <c r="F39" s="33"/>
      <c r="I39" s="33"/>
      <c r="O39" s="28"/>
      <c r="P39" s="30"/>
      <c r="R39" s="72"/>
    </row>
    <row r="40" spans="2:18" s="29" customFormat="1" ht="16.5">
      <c r="B40" s="32"/>
      <c r="C40" s="33"/>
      <c r="D40" s="47"/>
      <c r="F40" s="33"/>
      <c r="I40" s="33"/>
      <c r="O40" s="28"/>
      <c r="P40" s="30"/>
      <c r="Q40" s="29" t="s">
        <v>10</v>
      </c>
      <c r="R40" s="72"/>
    </row>
    <row r="41" spans="2:18" s="29" customFormat="1" ht="16.5">
      <c r="B41" s="27"/>
      <c r="C41" s="30"/>
      <c r="D41" s="46"/>
      <c r="F41" s="30"/>
      <c r="I41" s="30"/>
      <c r="O41" s="28"/>
      <c r="P41" s="30"/>
      <c r="R41" s="72"/>
    </row>
    <row r="42" spans="2:18" s="29" customFormat="1" ht="16.5">
      <c r="B42" s="27"/>
      <c r="C42" s="30"/>
      <c r="D42" s="28"/>
      <c r="F42" s="30"/>
      <c r="H42" s="30"/>
      <c r="I42" s="30"/>
      <c r="J42" s="30"/>
      <c r="L42" s="30"/>
      <c r="N42" s="30"/>
      <c r="O42" s="28"/>
      <c r="P42" s="28"/>
      <c r="R42" s="72"/>
    </row>
    <row r="43" spans="2:18" s="3" customFormat="1" ht="15.5"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R43" s="107"/>
    </row>
    <row r="44" spans="2:18" ht="15.5">
      <c r="D44" s="7"/>
    </row>
    <row r="46" spans="2:18">
      <c r="D46" s="6"/>
      <c r="E46" s="6"/>
      <c r="F46" s="6"/>
      <c r="J46" s="6"/>
    </row>
  </sheetData>
  <mergeCells count="16">
    <mergeCell ref="O34:Q34"/>
    <mergeCell ref="B1:C2"/>
    <mergeCell ref="D1:N2"/>
    <mergeCell ref="O35:Q35"/>
    <mergeCell ref="O1:Q1"/>
    <mergeCell ref="O2:Q2"/>
    <mergeCell ref="R21:R29"/>
    <mergeCell ref="B3:B5"/>
    <mergeCell ref="C3:C5"/>
    <mergeCell ref="D3:D5"/>
    <mergeCell ref="E3:E5"/>
    <mergeCell ref="P3:Q4"/>
    <mergeCell ref="F4:I4"/>
    <mergeCell ref="J4:M4"/>
    <mergeCell ref="C21:C29"/>
    <mergeCell ref="N4:O4"/>
  </mergeCells>
  <conditionalFormatting sqref="O6:O20">
    <cfRule type="iconSet" priority="64">
      <iconSet iconSet="3Arrows">
        <cfvo type="percent" val="0"/>
        <cfvo type="num" val="0"/>
        <cfvo type="num" val="0" gte="0"/>
      </iconSet>
    </cfRule>
  </conditionalFormatting>
  <conditionalFormatting sqref="O21:O27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O28:O29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Q6:Q20">
    <cfRule type="iconSet" priority="66">
      <iconSet iconSet="3Arrows">
        <cfvo type="percent" val="0"/>
        <cfvo type="num" val="0"/>
        <cfvo type="num" val="0" gte="0"/>
      </iconSet>
    </cfRule>
  </conditionalFormatting>
  <conditionalFormatting sqref="Q21:Q27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Q28:Q29">
    <cfRule type="iconSet" priority="1">
      <iconSet iconSet="3Arrows">
        <cfvo type="percent" val="0"/>
        <cfvo type="num" val="0"/>
        <cfvo type="num" val="0" gte="0"/>
      </iconSet>
    </cfRule>
  </conditionalFormatting>
  <printOptions horizontalCentered="1"/>
  <pageMargins left="0.19685039370078741" right="0" top="0" bottom="0" header="0.15748031496062992" footer="0.19685039370078741"/>
  <pageSetup paperSize="9" scale="7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4437-9F73-45BF-BCF4-72055D557E47}">
  <sheetPr>
    <tabColor rgb="FF00B050"/>
    <pageSetUpPr fitToPage="1"/>
  </sheetPr>
  <dimension ref="B2:P34"/>
  <sheetViews>
    <sheetView showGridLines="0" topLeftCell="A13" zoomScale="80" zoomScaleNormal="80" zoomScaleSheetLayoutView="70" workbookViewId="0">
      <selection activeCell="R20" sqref="R20"/>
    </sheetView>
  </sheetViews>
  <sheetFormatPr defaultColWidth="8.6328125" defaultRowHeight="14"/>
  <cols>
    <col min="1" max="1" width="1.453125" style="1" customWidth="1"/>
    <col min="2" max="2" width="5.453125" style="1" customWidth="1"/>
    <col min="3" max="3" width="30.7265625" style="1" customWidth="1"/>
    <col min="4" max="4" width="12.26953125" style="1" customWidth="1"/>
    <col min="5" max="5" width="12.6328125" style="1" hidden="1" customWidth="1"/>
    <col min="6" max="6" width="6.90625" style="1" customWidth="1"/>
    <col min="7" max="7" width="2.36328125" style="1" customWidth="1"/>
    <col min="8" max="8" width="34.36328125" style="1" customWidth="1"/>
    <col min="9" max="9" width="11.54296875" style="1" customWidth="1"/>
    <col min="10" max="10" width="10.36328125" style="1" hidden="1" customWidth="1"/>
    <col min="11" max="11" width="6.90625" style="1" customWidth="1"/>
    <col min="12" max="12" width="5" style="1" customWidth="1"/>
    <col min="13" max="13" width="34.453125" style="1" customWidth="1"/>
    <col min="14" max="14" width="11.1796875" style="1" customWidth="1"/>
    <col min="15" max="15" width="11.26953125" style="1" hidden="1" customWidth="1"/>
    <col min="16" max="16" width="10.36328125" style="1" customWidth="1"/>
    <col min="17" max="16384" width="8.6328125" style="1"/>
  </cols>
  <sheetData>
    <row r="2" spans="2:16" ht="33" customHeight="1">
      <c r="B2" s="242"/>
      <c r="C2" s="242"/>
      <c r="D2" s="248" t="s">
        <v>240</v>
      </c>
      <c r="E2" s="249"/>
      <c r="F2" s="249"/>
      <c r="G2" s="249"/>
      <c r="H2" s="249"/>
      <c r="I2" s="249"/>
      <c r="J2" s="249"/>
      <c r="K2" s="249"/>
      <c r="L2" s="249"/>
      <c r="M2" s="249"/>
      <c r="N2" s="234" t="s">
        <v>241</v>
      </c>
      <c r="O2" s="234"/>
      <c r="P2" s="234"/>
    </row>
    <row r="3" spans="2:16" ht="33" customHeight="1">
      <c r="B3" s="242"/>
      <c r="C3" s="242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34" t="s">
        <v>218</v>
      </c>
      <c r="O3" s="234"/>
      <c r="P3" s="234"/>
    </row>
    <row r="4" spans="2:16" ht="15.65" customHeight="1">
      <c r="B4" s="210"/>
      <c r="C4" s="211" t="s">
        <v>82</v>
      </c>
      <c r="D4" s="211"/>
      <c r="E4" s="211"/>
      <c r="F4" s="211"/>
      <c r="G4" s="212"/>
      <c r="H4" s="211" t="s">
        <v>80</v>
      </c>
      <c r="I4" s="213"/>
      <c r="J4" s="211"/>
      <c r="K4" s="211"/>
      <c r="L4" s="212"/>
      <c r="M4" s="211" t="s">
        <v>81</v>
      </c>
      <c r="N4" s="213"/>
      <c r="O4" s="211"/>
      <c r="P4" s="214"/>
    </row>
    <row r="5" spans="2:16" ht="15.5">
      <c r="B5" s="215" t="s">
        <v>74</v>
      </c>
      <c r="C5" s="216"/>
      <c r="D5" s="216"/>
      <c r="E5" s="216"/>
      <c r="F5" s="217"/>
      <c r="G5" s="218"/>
      <c r="H5" s="216"/>
      <c r="I5" s="216"/>
      <c r="J5" s="216"/>
      <c r="K5" s="217"/>
      <c r="L5" s="218"/>
      <c r="M5" s="216"/>
      <c r="N5" s="216"/>
      <c r="O5" s="216"/>
      <c r="P5" s="219"/>
    </row>
    <row r="6" spans="2:16" ht="24" customHeight="1">
      <c r="B6" s="205" t="s">
        <v>75</v>
      </c>
      <c r="C6" s="206" t="s">
        <v>59</v>
      </c>
      <c r="D6" s="207"/>
      <c r="E6" s="208">
        <f>E14</f>
        <v>0</v>
      </c>
      <c r="F6" s="209">
        <f>+E6/E$8</f>
        <v>0</v>
      </c>
      <c r="G6" s="5"/>
      <c r="H6" s="206" t="s">
        <v>59</v>
      </c>
      <c r="I6" s="207"/>
      <c r="J6" s="208">
        <f>J14</f>
        <v>0</v>
      </c>
      <c r="K6" s="209">
        <f>+J6/J$8</f>
        <v>0</v>
      </c>
      <c r="L6" s="5"/>
      <c r="M6" s="206" t="s">
        <v>59</v>
      </c>
      <c r="N6" s="207"/>
      <c r="O6" s="208">
        <f>O14</f>
        <v>0</v>
      </c>
      <c r="P6" s="209">
        <f>+O6/O$8</f>
        <v>0</v>
      </c>
    </row>
    <row r="7" spans="2:16" ht="21" customHeight="1">
      <c r="B7" s="89" t="s">
        <v>76</v>
      </c>
      <c r="C7" s="90" t="s">
        <v>77</v>
      </c>
      <c r="D7" s="91"/>
      <c r="E7" s="92">
        <f>+E15+E16+E18+E19+E20</f>
        <v>6300</v>
      </c>
      <c r="F7" s="93">
        <f>+E7/E$8</f>
        <v>1</v>
      </c>
      <c r="G7" s="5"/>
      <c r="H7" s="94" t="s">
        <v>77</v>
      </c>
      <c r="I7" s="91"/>
      <c r="J7" s="92">
        <f>+J15+J16+J18+J19+J20</f>
        <v>6300</v>
      </c>
      <c r="K7" s="93">
        <f>+J7/J$8</f>
        <v>1</v>
      </c>
      <c r="L7" s="5"/>
      <c r="M7" s="94" t="s">
        <v>77</v>
      </c>
      <c r="N7" s="91"/>
      <c r="O7" s="92">
        <f>+O15+O16+O18+O19+O20</f>
        <v>6300</v>
      </c>
      <c r="P7" s="93">
        <f>+O7/O$8</f>
        <v>1</v>
      </c>
    </row>
    <row r="8" spans="2:16" ht="18" customHeight="1">
      <c r="B8" s="78"/>
      <c r="C8" s="95" t="s">
        <v>60</v>
      </c>
      <c r="D8" s="77">
        <f>+D7+D6</f>
        <v>0</v>
      </c>
      <c r="E8" s="77">
        <f>+E7+E6</f>
        <v>6300</v>
      </c>
      <c r="F8" s="80">
        <f>+E8/E$8</f>
        <v>1</v>
      </c>
      <c r="G8" s="5"/>
      <c r="H8" s="95" t="s">
        <v>60</v>
      </c>
      <c r="I8" s="77">
        <f>+I7+I6</f>
        <v>0</v>
      </c>
      <c r="J8" s="77">
        <f>+J7+J6</f>
        <v>6300</v>
      </c>
      <c r="K8" s="80">
        <f>+J8/J$8</f>
        <v>1</v>
      </c>
      <c r="L8" s="5"/>
      <c r="M8" s="95" t="s">
        <v>60</v>
      </c>
      <c r="N8" s="77">
        <f>+N7+N6</f>
        <v>0</v>
      </c>
      <c r="O8" s="77">
        <f>+O7+O6</f>
        <v>6300</v>
      </c>
      <c r="P8" s="80">
        <f>+O8/O$8</f>
        <v>1</v>
      </c>
    </row>
    <row r="9" spans="2:16" ht="18" customHeight="1">
      <c r="B9" s="83"/>
      <c r="C9" s="87"/>
      <c r="D9" s="88"/>
      <c r="E9" s="84"/>
      <c r="F9" s="85"/>
      <c r="G9" s="5"/>
      <c r="H9" s="87"/>
      <c r="I9" s="88"/>
      <c r="J9" s="84"/>
      <c r="K9" s="85"/>
      <c r="L9" s="5"/>
      <c r="M9" s="87"/>
      <c r="N9" s="88"/>
      <c r="O9" s="84"/>
      <c r="P9" s="85"/>
    </row>
    <row r="10" spans="2:16" ht="18" customHeight="1">
      <c r="B10" s="25"/>
      <c r="C10" s="26" t="s">
        <v>47</v>
      </c>
      <c r="D10" s="61"/>
      <c r="E10" s="86"/>
      <c r="F10" s="86"/>
      <c r="G10" s="5"/>
      <c r="H10" s="26" t="s">
        <v>47</v>
      </c>
      <c r="I10" s="48">
        <f>D10</f>
        <v>0</v>
      </c>
      <c r="J10" s="86"/>
      <c r="K10" s="86"/>
      <c r="L10" s="5"/>
      <c r="M10" s="26" t="s">
        <v>47</v>
      </c>
      <c r="N10" s="48">
        <f>I10</f>
        <v>0</v>
      </c>
      <c r="O10" s="86"/>
      <c r="P10" s="86"/>
    </row>
    <row r="11" spans="2:16" ht="49.75" customHeight="1">
      <c r="B11" s="49" t="s">
        <v>1</v>
      </c>
      <c r="C11" s="50" t="s">
        <v>48</v>
      </c>
      <c r="D11" s="51" t="s">
        <v>49</v>
      </c>
      <c r="E11" s="51" t="s">
        <v>50</v>
      </c>
      <c r="F11" s="51" t="s">
        <v>66</v>
      </c>
      <c r="G11" s="5"/>
      <c r="H11" s="50" t="s">
        <v>48</v>
      </c>
      <c r="I11" s="51" t="s">
        <v>49</v>
      </c>
      <c r="J11" s="51" t="s">
        <v>50</v>
      </c>
      <c r="K11" s="51" t="s">
        <v>66</v>
      </c>
      <c r="L11" s="5"/>
      <c r="M11" s="50" t="s">
        <v>48</v>
      </c>
      <c r="N11" s="51" t="s">
        <v>49</v>
      </c>
      <c r="O11" s="51" t="s">
        <v>50</v>
      </c>
      <c r="P11" s="51" t="s">
        <v>66</v>
      </c>
    </row>
    <row r="12" spans="2:16" ht="21" customHeight="1">
      <c r="B12" s="25">
        <f>+B10+1</f>
        <v>1</v>
      </c>
      <c r="C12" s="52" t="s">
        <v>70</v>
      </c>
      <c r="D12" s="62"/>
      <c r="E12" s="53">
        <f>+D12*D$10</f>
        <v>0</v>
      </c>
      <c r="F12" s="54"/>
      <c r="G12" s="5"/>
      <c r="H12" s="52" t="s">
        <v>63</v>
      </c>
      <c r="I12" s="62"/>
      <c r="J12" s="53">
        <f>+I12*I$10</f>
        <v>0</v>
      </c>
      <c r="K12" s="54"/>
      <c r="L12" s="5"/>
      <c r="M12" s="52" t="s">
        <v>63</v>
      </c>
      <c r="N12" s="62"/>
      <c r="O12" s="53">
        <f>+N12*N$10</f>
        <v>0</v>
      </c>
      <c r="P12" s="54"/>
    </row>
    <row r="13" spans="2:16" ht="21" customHeight="1">
      <c r="B13" s="25">
        <v>2</v>
      </c>
      <c r="C13" s="52" t="s">
        <v>64</v>
      </c>
      <c r="D13" s="53"/>
      <c r="E13" s="53">
        <f>+D13*D$10</f>
        <v>0</v>
      </c>
      <c r="F13" s="54"/>
      <c r="G13" s="5"/>
      <c r="H13" s="52" t="s">
        <v>64</v>
      </c>
      <c r="I13" s="53"/>
      <c r="J13" s="53">
        <f>+I13*I$10</f>
        <v>0</v>
      </c>
      <c r="K13" s="54"/>
      <c r="L13" s="5"/>
      <c r="M13" s="52" t="s">
        <v>64</v>
      </c>
      <c r="N13" s="53"/>
      <c r="O13" s="53">
        <f>+N13*N$10</f>
        <v>0</v>
      </c>
      <c r="P13" s="54"/>
    </row>
    <row r="14" spans="2:16" s="6" customFormat="1" ht="21" customHeight="1">
      <c r="B14" s="56">
        <v>3</v>
      </c>
      <c r="C14" s="57" t="s">
        <v>71</v>
      </c>
      <c r="D14" s="58"/>
      <c r="E14" s="58">
        <f>+D14*D$10</f>
        <v>0</v>
      </c>
      <c r="F14" s="59">
        <f t="shared" ref="F14:F21" si="0">+E14/E$8</f>
        <v>0</v>
      </c>
      <c r="G14" s="65"/>
      <c r="H14" s="57" t="s">
        <v>51</v>
      </c>
      <c r="I14" s="58"/>
      <c r="J14" s="58">
        <f>+I14*I$10</f>
        <v>0</v>
      </c>
      <c r="K14" s="59">
        <f t="shared" ref="K14:K21" si="1">+J14/J$8</f>
        <v>0</v>
      </c>
      <c r="L14" s="65"/>
      <c r="M14" s="57" t="s">
        <v>51</v>
      </c>
      <c r="N14" s="58"/>
      <c r="O14" s="58">
        <f>+N14*N$10</f>
        <v>0</v>
      </c>
      <c r="P14" s="59">
        <f t="shared" ref="P14:P21" si="2">+O14/O$8</f>
        <v>0</v>
      </c>
    </row>
    <row r="15" spans="2:16" ht="21" customHeight="1">
      <c r="B15" s="25">
        <v>4</v>
      </c>
      <c r="C15" s="52" t="s">
        <v>52</v>
      </c>
      <c r="D15" s="53"/>
      <c r="E15" s="141">
        <v>4550</v>
      </c>
      <c r="F15" s="54">
        <f t="shared" si="0"/>
        <v>0.72222222222222221</v>
      </c>
      <c r="G15" s="5"/>
      <c r="H15" s="52" t="s">
        <v>52</v>
      </c>
      <c r="I15" s="53"/>
      <c r="J15" s="53">
        <f>E15</f>
        <v>4550</v>
      </c>
      <c r="K15" s="54">
        <f t="shared" si="1"/>
        <v>0.72222222222222221</v>
      </c>
      <c r="L15" s="5"/>
      <c r="M15" s="52" t="s">
        <v>52</v>
      </c>
      <c r="N15" s="53"/>
      <c r="O15" s="53">
        <f>E15</f>
        <v>4550</v>
      </c>
      <c r="P15" s="54">
        <f t="shared" si="2"/>
        <v>0.72222222222222221</v>
      </c>
    </row>
    <row r="16" spans="2:16" ht="21" customHeight="1">
      <c r="B16" s="25">
        <v>5</v>
      </c>
      <c r="C16" s="52" t="s">
        <v>53</v>
      </c>
      <c r="D16" s="55"/>
      <c r="E16" s="55">
        <v>0</v>
      </c>
      <c r="F16" s="54">
        <f t="shared" si="0"/>
        <v>0</v>
      </c>
      <c r="G16" s="5"/>
      <c r="H16" s="52" t="s">
        <v>53</v>
      </c>
      <c r="I16" s="55"/>
      <c r="J16" s="55">
        <v>0</v>
      </c>
      <c r="K16" s="54">
        <f t="shared" si="1"/>
        <v>0</v>
      </c>
      <c r="L16" s="5"/>
      <c r="M16" s="52" t="s">
        <v>53</v>
      </c>
      <c r="N16" s="55"/>
      <c r="O16" s="55">
        <v>0</v>
      </c>
      <c r="P16" s="54">
        <f t="shared" si="2"/>
        <v>0</v>
      </c>
    </row>
    <row r="17" spans="2:16" ht="21" customHeight="1">
      <c r="B17" s="56">
        <f t="shared" ref="B17:B21" si="3">+B16+1</f>
        <v>6</v>
      </c>
      <c r="C17" s="57" t="s">
        <v>72</v>
      </c>
      <c r="D17" s="58"/>
      <c r="E17" s="58">
        <f>SUM(E14:E16)</f>
        <v>4550</v>
      </c>
      <c r="F17" s="59">
        <f t="shared" si="0"/>
        <v>0.72222222222222221</v>
      </c>
      <c r="G17" s="5"/>
      <c r="H17" s="57" t="s">
        <v>54</v>
      </c>
      <c r="I17" s="58"/>
      <c r="J17" s="58">
        <f>SUM(J14:J16)</f>
        <v>4550</v>
      </c>
      <c r="K17" s="59">
        <f t="shared" si="1"/>
        <v>0.72222222222222221</v>
      </c>
      <c r="L17" s="5"/>
      <c r="M17" s="57" t="s">
        <v>54</v>
      </c>
      <c r="N17" s="58"/>
      <c r="O17" s="58">
        <f>SUM(O14:O16)</f>
        <v>4550</v>
      </c>
      <c r="P17" s="59">
        <f t="shared" si="2"/>
        <v>0.72222222222222221</v>
      </c>
    </row>
    <row r="18" spans="2:16" ht="21" customHeight="1">
      <c r="B18" s="25">
        <f t="shared" si="3"/>
        <v>7</v>
      </c>
      <c r="C18" s="52" t="s">
        <v>55</v>
      </c>
      <c r="D18" s="53"/>
      <c r="E18" s="53">
        <f>7%*D14*D10</f>
        <v>0</v>
      </c>
      <c r="F18" s="54">
        <f t="shared" si="0"/>
        <v>0</v>
      </c>
      <c r="G18" s="5"/>
      <c r="H18" s="52" t="s">
        <v>55</v>
      </c>
      <c r="I18" s="53"/>
      <c r="J18" s="53">
        <f>7%*I14*I10</f>
        <v>0</v>
      </c>
      <c r="K18" s="54">
        <f t="shared" si="1"/>
        <v>0</v>
      </c>
      <c r="L18" s="5"/>
      <c r="M18" s="52" t="s">
        <v>55</v>
      </c>
      <c r="N18" s="53"/>
      <c r="O18" s="53">
        <f>7%*N14*N10</f>
        <v>0</v>
      </c>
      <c r="P18" s="54">
        <f t="shared" si="2"/>
        <v>0</v>
      </c>
    </row>
    <row r="19" spans="2:16" ht="21" customHeight="1">
      <c r="B19" s="25">
        <f t="shared" si="3"/>
        <v>8</v>
      </c>
      <c r="C19" s="52" t="s">
        <v>56</v>
      </c>
      <c r="D19" s="53"/>
      <c r="E19" s="141">
        <v>1350</v>
      </c>
      <c r="F19" s="54">
        <f t="shared" si="0"/>
        <v>0.21428571428571427</v>
      </c>
      <c r="G19" s="5"/>
      <c r="H19" s="52" t="s">
        <v>56</v>
      </c>
      <c r="I19" s="53"/>
      <c r="J19" s="53">
        <f>E19</f>
        <v>1350</v>
      </c>
      <c r="K19" s="54">
        <f t="shared" si="1"/>
        <v>0.21428571428571427</v>
      </c>
      <c r="L19" s="5"/>
      <c r="M19" s="52" t="s">
        <v>56</v>
      </c>
      <c r="N19" s="53"/>
      <c r="O19" s="53">
        <f>E19</f>
        <v>1350</v>
      </c>
      <c r="P19" s="54">
        <f t="shared" si="2"/>
        <v>0.21428571428571427</v>
      </c>
    </row>
    <row r="20" spans="2:16" ht="21" customHeight="1">
      <c r="B20" s="25">
        <f t="shared" si="3"/>
        <v>9</v>
      </c>
      <c r="C20" s="52" t="s">
        <v>57</v>
      </c>
      <c r="D20" s="53"/>
      <c r="E20" s="141">
        <v>400</v>
      </c>
      <c r="F20" s="54">
        <f t="shared" si="0"/>
        <v>6.3492063492063489E-2</v>
      </c>
      <c r="G20" s="5"/>
      <c r="H20" s="52" t="s">
        <v>57</v>
      </c>
      <c r="I20" s="53"/>
      <c r="J20" s="53">
        <f>E20</f>
        <v>400</v>
      </c>
      <c r="K20" s="54">
        <f t="shared" si="1"/>
        <v>6.3492063492063489E-2</v>
      </c>
      <c r="L20" s="5"/>
      <c r="M20" s="52" t="s">
        <v>57</v>
      </c>
      <c r="N20" s="53"/>
      <c r="O20" s="53">
        <f>E20</f>
        <v>400</v>
      </c>
      <c r="P20" s="54">
        <f t="shared" si="2"/>
        <v>6.3492063492063489E-2</v>
      </c>
    </row>
    <row r="21" spans="2:16" s="82" customFormat="1" ht="30">
      <c r="B21" s="78">
        <f t="shared" si="3"/>
        <v>10</v>
      </c>
      <c r="C21" s="79" t="s">
        <v>73</v>
      </c>
      <c r="D21" s="77">
        <f>+SUM(D17:D20)</f>
        <v>0</v>
      </c>
      <c r="E21" s="77">
        <f>+SUM(E17:E20)</f>
        <v>6300</v>
      </c>
      <c r="F21" s="80">
        <f t="shared" si="0"/>
        <v>1</v>
      </c>
      <c r="G21" s="81"/>
      <c r="H21" s="79" t="s">
        <v>58</v>
      </c>
      <c r="I21" s="77">
        <f>+SUM(I17:I20)</f>
        <v>0</v>
      </c>
      <c r="J21" s="77">
        <f>+SUM(J17:J20)</f>
        <v>6300</v>
      </c>
      <c r="K21" s="80">
        <f t="shared" si="1"/>
        <v>1</v>
      </c>
      <c r="L21" s="81"/>
      <c r="M21" s="79" t="s">
        <v>58</v>
      </c>
      <c r="N21" s="77">
        <f>+SUM(N17:N20)</f>
        <v>0</v>
      </c>
      <c r="O21" s="77">
        <f>+SUM(O17:O20)</f>
        <v>6300</v>
      </c>
      <c r="P21" s="80">
        <f t="shared" si="2"/>
        <v>1</v>
      </c>
    </row>
    <row r="22" spans="2:16" s="34" customFormat="1" ht="15.65" customHeight="1">
      <c r="B22" s="76" t="s">
        <v>8</v>
      </c>
      <c r="D22" s="125"/>
      <c r="G22" s="31"/>
      <c r="H22" s="31"/>
      <c r="J22" s="31"/>
      <c r="K22" s="31"/>
      <c r="L22" s="31"/>
      <c r="M22" s="31"/>
      <c r="O22" s="31"/>
      <c r="P22" s="31"/>
    </row>
    <row r="23" spans="2:16" s="34" customFormat="1" ht="15.65" customHeight="1">
      <c r="B23" s="34" t="s">
        <v>65</v>
      </c>
      <c r="G23" s="31"/>
      <c r="H23" s="31"/>
      <c r="J23" s="31"/>
      <c r="K23" s="31"/>
      <c r="L23" s="31"/>
      <c r="M23" s="31"/>
      <c r="O23" s="31"/>
      <c r="P23" s="31"/>
    </row>
    <row r="24" spans="2:16" s="34" customFormat="1" ht="16.5">
      <c r="P24" s="63" t="str">
        <f>'2. rPET- nội bộ '!O35</f>
        <v>Ngày …. tháng ….. năm …....</v>
      </c>
    </row>
    <row r="25" spans="2:16" s="29" customFormat="1" ht="16.5">
      <c r="B25" s="96" t="s">
        <v>107</v>
      </c>
      <c r="C25" s="46"/>
      <c r="D25" s="122"/>
      <c r="E25" s="122"/>
      <c r="F25" s="250" t="s">
        <v>115</v>
      </c>
      <c r="G25" s="250"/>
      <c r="H25" s="250"/>
      <c r="I25" s="122"/>
      <c r="K25" s="250" t="s">
        <v>34</v>
      </c>
      <c r="L25" s="250"/>
      <c r="M25" s="250"/>
      <c r="N25" s="235" t="s">
        <v>26</v>
      </c>
      <c r="O25" s="235"/>
      <c r="P25" s="235"/>
    </row>
    <row r="26" spans="2:16" s="29" customFormat="1" ht="16.5">
      <c r="B26" s="27"/>
      <c r="C26" s="97"/>
      <c r="D26" s="30"/>
      <c r="I26" s="30"/>
      <c r="O26" s="30"/>
    </row>
    <row r="27" spans="2:16" s="29" customFormat="1" ht="16.5">
      <c r="B27" s="32"/>
      <c r="C27" s="98"/>
      <c r="D27" s="33"/>
      <c r="I27" s="33"/>
      <c r="O27" s="33"/>
    </row>
    <row r="28" spans="2:16" s="29" customFormat="1" ht="16.5">
      <c r="B28" s="32"/>
      <c r="C28" s="98"/>
      <c r="D28" s="33"/>
      <c r="I28" s="33"/>
      <c r="O28" s="33"/>
    </row>
    <row r="29" spans="2:16" s="29" customFormat="1" ht="16.5">
      <c r="B29" s="27"/>
      <c r="C29" s="46"/>
      <c r="D29" s="30"/>
      <c r="I29" s="30"/>
      <c r="O29" s="30"/>
    </row>
    <row r="30" spans="2:16" s="29" customFormat="1" ht="16.5">
      <c r="B30" s="96"/>
      <c r="D30" s="30"/>
      <c r="F30" s="30"/>
      <c r="G30" s="34"/>
      <c r="H30" s="34"/>
      <c r="I30" s="34"/>
      <c r="K30" s="250"/>
      <c r="L30" s="250"/>
      <c r="M30" s="250"/>
      <c r="N30" s="235"/>
      <c r="O30" s="235"/>
      <c r="P30" s="235"/>
    </row>
    <row r="31" spans="2:16" s="3" customFormat="1" ht="15.5"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2:16" ht="15.5">
      <c r="D32" s="7"/>
    </row>
    <row r="34" spans="4:14">
      <c r="D34" s="6"/>
      <c r="E34" s="6"/>
      <c r="F34" s="6"/>
      <c r="I34" s="6"/>
      <c r="N34" s="6"/>
    </row>
  </sheetData>
  <mergeCells count="9">
    <mergeCell ref="K30:M30"/>
    <mergeCell ref="N30:P30"/>
    <mergeCell ref="N25:P25"/>
    <mergeCell ref="B2:C3"/>
    <mergeCell ref="N2:P2"/>
    <mergeCell ref="N3:P3"/>
    <mergeCell ref="D2:M3"/>
    <mergeCell ref="F25:H25"/>
    <mergeCell ref="K25:M25"/>
  </mergeCells>
  <printOptions horizontalCentered="1"/>
  <pageMargins left="0.2" right="0" top="0.2" bottom="0" header="0.17" footer="0.3"/>
  <pageSetup paperSize="9" scale="8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E24C-D71C-4313-B8F9-233D54CD36E7}">
  <sheetPr>
    <tabColor rgb="FF00B0F0"/>
    <pageSetUpPr fitToPage="1"/>
  </sheetPr>
  <dimension ref="B1:R33"/>
  <sheetViews>
    <sheetView showGridLines="0" topLeftCell="A13" zoomScale="90" zoomScaleNormal="90" zoomScaleSheetLayoutView="70" workbookViewId="0">
      <selection activeCell="H27" sqref="H27"/>
    </sheetView>
  </sheetViews>
  <sheetFormatPr defaultColWidth="8.6328125" defaultRowHeight="16.5"/>
  <cols>
    <col min="1" max="1" width="1.08984375" style="34" customWidth="1"/>
    <col min="2" max="2" width="6.90625" style="34" customWidth="1"/>
    <col min="3" max="3" width="15.36328125" style="34" bestFit="1" customWidth="1"/>
    <col min="4" max="4" width="28.81640625" style="34" customWidth="1"/>
    <col min="5" max="5" width="27.1796875" style="34" customWidth="1"/>
    <col min="6" max="8" width="9.453125" style="34" customWidth="1"/>
    <col min="9" max="9" width="11.6328125" style="34" customWidth="1"/>
    <col min="10" max="12" width="9.453125" style="34" customWidth="1"/>
    <col min="13" max="15" width="11.6328125" style="34" customWidth="1"/>
    <col min="16" max="16" width="10.1796875" style="34" customWidth="1"/>
    <col min="17" max="17" width="12.90625" style="70" customWidth="1"/>
    <col min="18" max="16384" width="8.6328125" style="34"/>
  </cols>
  <sheetData>
    <row r="1" spans="2:18" ht="28.25" customHeight="1">
      <c r="B1" s="251"/>
      <c r="C1" s="251"/>
      <c r="D1" s="248" t="s">
        <v>228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3" t="s">
        <v>229</v>
      </c>
      <c r="P1" s="253"/>
      <c r="Q1" s="253"/>
    </row>
    <row r="2" spans="2:18" ht="28.25" customHeight="1">
      <c r="B2" s="251"/>
      <c r="C2" s="251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3" t="s">
        <v>218</v>
      </c>
      <c r="P2" s="253"/>
      <c r="Q2" s="253"/>
    </row>
    <row r="3" spans="2:18" s="6" customFormat="1" ht="23.4" customHeight="1">
      <c r="B3" s="237" t="s">
        <v>1</v>
      </c>
      <c r="C3" s="238" t="s">
        <v>12</v>
      </c>
      <c r="D3" s="237" t="s">
        <v>0</v>
      </c>
      <c r="E3" s="238" t="s">
        <v>68</v>
      </c>
      <c r="F3" s="239" t="s">
        <v>32</v>
      </c>
      <c r="G3" s="240"/>
      <c r="H3" s="240"/>
      <c r="I3" s="240"/>
      <c r="J3" s="240"/>
      <c r="K3" s="240"/>
      <c r="L3" s="240"/>
      <c r="M3" s="240"/>
      <c r="N3" s="240"/>
      <c r="O3" s="241"/>
      <c r="P3" s="238" t="s">
        <v>230</v>
      </c>
      <c r="Q3" s="238"/>
    </row>
    <row r="4" spans="2:18" s="6" customFormat="1" ht="46.75" customHeight="1">
      <c r="B4" s="237"/>
      <c r="C4" s="238"/>
      <c r="D4" s="237"/>
      <c r="E4" s="238"/>
      <c r="F4" s="239" t="str">
        <f>'1. rPET'!F4</f>
        <v>Tháng …. (đã duyệt)</v>
      </c>
      <c r="G4" s="240"/>
      <c r="H4" s="240"/>
      <c r="I4" s="241"/>
      <c r="J4" s="239" t="str">
        <f>'1. rPET'!J4</f>
        <v>Tháng ….</v>
      </c>
      <c r="K4" s="240"/>
      <c r="L4" s="240"/>
      <c r="M4" s="241"/>
      <c r="N4" s="239" t="str">
        <f>'1. rPET'!N4</f>
        <v>Chênh lệch
 tháng …. vs tháng ….</v>
      </c>
      <c r="O4" s="241"/>
      <c r="P4" s="238"/>
      <c r="Q4" s="238"/>
    </row>
    <row r="5" spans="2:18" s="8" customFormat="1" ht="79.25" customHeight="1">
      <c r="B5" s="237"/>
      <c r="C5" s="238"/>
      <c r="D5" s="237"/>
      <c r="E5" s="238"/>
      <c r="F5" s="13" t="s">
        <v>35</v>
      </c>
      <c r="G5" s="13" t="s">
        <v>43</v>
      </c>
      <c r="H5" s="13" t="s">
        <v>41</v>
      </c>
      <c r="I5" s="127" t="s">
        <v>42</v>
      </c>
      <c r="J5" s="13" t="s">
        <v>35</v>
      </c>
      <c r="K5" s="13" t="s">
        <v>43</v>
      </c>
      <c r="L5" s="13" t="s">
        <v>41</v>
      </c>
      <c r="M5" s="127" t="s">
        <v>42</v>
      </c>
      <c r="N5" s="19" t="s">
        <v>36</v>
      </c>
      <c r="O5" s="19" t="s">
        <v>37</v>
      </c>
      <c r="P5" s="19" t="s">
        <v>36</v>
      </c>
      <c r="Q5" s="66" t="s">
        <v>37</v>
      </c>
    </row>
    <row r="6" spans="2:18" s="105" customFormat="1" ht="20.399999999999999" customHeight="1">
      <c r="B6" s="132" t="s">
        <v>116</v>
      </c>
      <c r="C6" s="111" t="s">
        <v>109</v>
      </c>
      <c r="D6" s="111"/>
      <c r="E6" s="111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3"/>
      <c r="Q6" s="133"/>
    </row>
    <row r="7" spans="2:18" s="103" customFormat="1" ht="20.399999999999999" customHeight="1">
      <c r="B7" s="135" t="s">
        <v>118</v>
      </c>
      <c r="C7" s="136"/>
      <c r="D7" s="136"/>
      <c r="E7" s="136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67"/>
    </row>
    <row r="8" spans="2:18" s="2" customFormat="1" ht="22.5" customHeight="1">
      <c r="B8" s="9">
        <v>1</v>
      </c>
      <c r="C8" s="15">
        <v>110000429</v>
      </c>
      <c r="D8" s="16" t="s">
        <v>130</v>
      </c>
      <c r="E8" s="15" t="s">
        <v>67</v>
      </c>
      <c r="F8" s="10"/>
      <c r="G8" s="17"/>
      <c r="H8" s="10"/>
      <c r="I8" s="20"/>
      <c r="J8" s="10"/>
      <c r="K8" s="17"/>
      <c r="L8" s="10"/>
      <c r="M8" s="73"/>
      <c r="N8" s="10"/>
      <c r="O8" s="17"/>
      <c r="P8" s="64"/>
      <c r="Q8" s="17"/>
      <c r="R8" s="159"/>
    </row>
    <row r="9" spans="2:18" s="2" customFormat="1" ht="22.5" customHeight="1">
      <c r="B9" s="9">
        <f>B8+1</f>
        <v>2</v>
      </c>
      <c r="C9" s="15">
        <v>110000337</v>
      </c>
      <c r="D9" s="16" t="s">
        <v>106</v>
      </c>
      <c r="E9" s="15" t="s">
        <v>101</v>
      </c>
      <c r="F9" s="10"/>
      <c r="G9" s="17"/>
      <c r="H9" s="10"/>
      <c r="I9" s="20"/>
      <c r="J9" s="10"/>
      <c r="K9" s="17"/>
      <c r="L9" s="10"/>
      <c r="M9" s="73"/>
      <c r="N9" s="10"/>
      <c r="O9" s="17"/>
      <c r="P9" s="64"/>
      <c r="Q9" s="17"/>
    </row>
    <row r="10" spans="2:18" s="103" customFormat="1" ht="19.25" customHeight="1">
      <c r="B10" s="135" t="s">
        <v>120</v>
      </c>
      <c r="C10" s="136"/>
      <c r="D10" s="136"/>
      <c r="E10" s="136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67"/>
    </row>
    <row r="11" spans="2:18" s="2" customFormat="1" ht="23.4" customHeight="1">
      <c r="B11" s="9">
        <v>1</v>
      </c>
      <c r="C11" s="15">
        <v>110000432</v>
      </c>
      <c r="D11" s="16" t="s">
        <v>129</v>
      </c>
      <c r="E11" s="123" t="s">
        <v>119</v>
      </c>
      <c r="F11" s="10"/>
      <c r="G11" s="17"/>
      <c r="H11" s="10"/>
      <c r="I11" s="73"/>
      <c r="J11" s="10"/>
      <c r="K11" s="17"/>
      <c r="L11" s="10"/>
      <c r="M11" s="73"/>
      <c r="N11" s="10"/>
      <c r="O11" s="17"/>
      <c r="P11" s="64"/>
      <c r="Q11" s="17"/>
    </row>
    <row r="12" spans="2:18" s="103" customFormat="1" ht="19.25" customHeight="1">
      <c r="B12" s="135" t="s">
        <v>121</v>
      </c>
      <c r="C12" s="136"/>
      <c r="D12" s="136"/>
      <c r="E12" s="136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67"/>
    </row>
    <row r="13" spans="2:18" s="2" customFormat="1" ht="22.5" customHeight="1">
      <c r="B13" s="9">
        <v>1</v>
      </c>
      <c r="C13" s="15" t="s">
        <v>23</v>
      </c>
      <c r="D13" s="16" t="s">
        <v>44</v>
      </c>
      <c r="E13" s="15" t="s">
        <v>38</v>
      </c>
      <c r="F13" s="10"/>
      <c r="G13" s="17"/>
      <c r="H13" s="10"/>
      <c r="I13" s="20"/>
      <c r="J13" s="10"/>
      <c r="K13" s="17"/>
      <c r="L13" s="10"/>
      <c r="M13" s="73"/>
      <c r="N13" s="10"/>
      <c r="O13" s="17"/>
      <c r="P13" s="64"/>
      <c r="Q13" s="17"/>
      <c r="R13" s="126"/>
    </row>
    <row r="14" spans="2:18" s="2" customFormat="1" ht="22.5" customHeight="1">
      <c r="B14" s="9">
        <v>2</v>
      </c>
      <c r="C14" s="15" t="s">
        <v>22</v>
      </c>
      <c r="D14" s="16" t="s">
        <v>103</v>
      </c>
      <c r="E14" s="15" t="s">
        <v>102</v>
      </c>
      <c r="F14" s="10"/>
      <c r="G14" s="17"/>
      <c r="H14" s="10"/>
      <c r="I14" s="20"/>
      <c r="J14" s="10"/>
      <c r="K14" s="17"/>
      <c r="L14" s="10"/>
      <c r="M14" s="73"/>
      <c r="N14" s="10"/>
      <c r="O14" s="17"/>
      <c r="P14" s="64"/>
      <c r="Q14" s="17"/>
    </row>
    <row r="15" spans="2:18" s="2" customFormat="1" ht="22.5" hidden="1" customHeight="1">
      <c r="B15" s="9">
        <v>3</v>
      </c>
      <c r="C15" s="15" t="s">
        <v>21</v>
      </c>
      <c r="D15" s="16" t="s">
        <v>46</v>
      </c>
      <c r="E15" s="15" t="s">
        <v>40</v>
      </c>
      <c r="F15" s="10">
        <v>1360</v>
      </c>
      <c r="G15" s="17">
        <f t="shared" ref="G15" si="0">H15/F15</f>
        <v>3.6764705882352942E-2</v>
      </c>
      <c r="H15" s="10">
        <f t="shared" ref="H15" si="1">F15-I15</f>
        <v>50</v>
      </c>
      <c r="I15" s="20">
        <v>1310</v>
      </c>
      <c r="J15" s="10">
        <v>1360</v>
      </c>
      <c r="K15" s="17">
        <f>L15/J15</f>
        <v>3.6764705882352942E-2</v>
      </c>
      <c r="L15" s="10">
        <f>J15-M15</f>
        <v>50</v>
      </c>
      <c r="M15" s="73">
        <v>1310</v>
      </c>
      <c r="N15" s="10">
        <f t="shared" ref="N15" si="2">M15-I15</f>
        <v>0</v>
      </c>
      <c r="O15" s="17">
        <f>1-(I15/M15)</f>
        <v>0</v>
      </c>
      <c r="P15" s="64" t="e">
        <f>M15-#REF!</f>
        <v>#REF!</v>
      </c>
      <c r="Q15" s="17" t="e">
        <f>P15/#REF!</f>
        <v>#REF!</v>
      </c>
    </row>
    <row r="16" spans="2:18" s="105" customFormat="1" ht="19.25" customHeight="1">
      <c r="B16" s="110" t="s">
        <v>117</v>
      </c>
      <c r="C16" s="111" t="s">
        <v>110</v>
      </c>
      <c r="D16" s="111"/>
      <c r="E16" s="114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33"/>
    </row>
    <row r="17" spans="2:17" s="2" customFormat="1" ht="22.25" customHeight="1">
      <c r="B17" s="9">
        <v>1</v>
      </c>
      <c r="C17" s="15" t="s">
        <v>23</v>
      </c>
      <c r="D17" s="16" t="s">
        <v>104</v>
      </c>
      <c r="E17" s="123" t="s">
        <v>105</v>
      </c>
      <c r="F17" s="10"/>
      <c r="G17" s="17"/>
      <c r="H17" s="10"/>
      <c r="I17" s="73"/>
      <c r="J17" s="10"/>
      <c r="K17" s="17"/>
      <c r="L17" s="10"/>
      <c r="M17" s="73"/>
      <c r="N17" s="10"/>
      <c r="O17" s="17"/>
      <c r="P17" s="75"/>
      <c r="Q17" s="17"/>
    </row>
    <row r="18" spans="2:17" s="2" customFormat="1" ht="22.5" hidden="1" customHeight="1">
      <c r="B18" s="9">
        <v>2</v>
      </c>
      <c r="C18" s="15" t="s">
        <v>22</v>
      </c>
      <c r="D18" s="16" t="s">
        <v>45</v>
      </c>
      <c r="E18" s="15" t="s">
        <v>39</v>
      </c>
      <c r="F18" s="10">
        <v>1000</v>
      </c>
      <c r="G18" s="17">
        <f t="shared" ref="G18:G19" si="3">H18/F18</f>
        <v>0.05</v>
      </c>
      <c r="H18" s="10">
        <f t="shared" ref="H18:H19" si="4">F18-I18</f>
        <v>50</v>
      </c>
      <c r="I18" s="20">
        <v>950</v>
      </c>
      <c r="J18" s="10">
        <v>1000</v>
      </c>
      <c r="K18" s="17">
        <f>L18/J18</f>
        <v>0.05</v>
      </c>
      <c r="L18" s="10">
        <f>J18-M18</f>
        <v>50</v>
      </c>
      <c r="M18" s="73">
        <v>950</v>
      </c>
      <c r="N18" s="10">
        <f t="shared" ref="N18:N19" si="5">M18-I18</f>
        <v>0</v>
      </c>
      <c r="O18" s="17">
        <f t="shared" ref="O18:O19" si="6">1-(I18/M18)</f>
        <v>0</v>
      </c>
      <c r="P18" s="75" t="e">
        <f>M18-#REF!</f>
        <v>#REF!</v>
      </c>
      <c r="Q18" s="17" t="e">
        <f>P18/#REF!</f>
        <v>#REF!</v>
      </c>
    </row>
    <row r="19" spans="2:17" s="2" customFormat="1" ht="22.5" hidden="1" customHeight="1">
      <c r="B19" s="9">
        <v>3</v>
      </c>
      <c r="C19" s="15" t="s">
        <v>21</v>
      </c>
      <c r="D19" s="16" t="s">
        <v>46</v>
      </c>
      <c r="E19" s="15" t="s">
        <v>40</v>
      </c>
      <c r="F19" s="10">
        <v>1000</v>
      </c>
      <c r="G19" s="17">
        <f t="shared" si="3"/>
        <v>0.05</v>
      </c>
      <c r="H19" s="10">
        <f t="shared" si="4"/>
        <v>50</v>
      </c>
      <c r="I19" s="20">
        <v>950</v>
      </c>
      <c r="J19" s="10">
        <v>1000</v>
      </c>
      <c r="K19" s="17">
        <f>L19/J19</f>
        <v>0.05</v>
      </c>
      <c r="L19" s="10">
        <f>J19-M19</f>
        <v>50</v>
      </c>
      <c r="M19" s="73">
        <v>950</v>
      </c>
      <c r="N19" s="10">
        <f t="shared" si="5"/>
        <v>0</v>
      </c>
      <c r="O19" s="17">
        <f t="shared" si="6"/>
        <v>0</v>
      </c>
      <c r="P19" s="75" t="e">
        <f>M19-#REF!</f>
        <v>#REF!</v>
      </c>
      <c r="Q19" s="17" t="e">
        <f>P19/#REF!</f>
        <v>#REF!</v>
      </c>
    </row>
    <row r="20" spans="2:17" s="37" customFormat="1" ht="16.75" customHeight="1">
      <c r="B20" s="22"/>
      <c r="C20" s="22"/>
      <c r="D20" s="22"/>
      <c r="E20" s="22"/>
      <c r="F20" s="23"/>
      <c r="G20" s="23"/>
      <c r="H20" s="23"/>
      <c r="I20" s="24"/>
      <c r="J20" s="24"/>
      <c r="K20" s="24"/>
      <c r="L20" s="24"/>
      <c r="M20" s="24"/>
      <c r="N20" s="24"/>
      <c r="O20" s="24"/>
      <c r="P20" s="24"/>
      <c r="Q20" s="68"/>
    </row>
    <row r="21" spans="2:17" ht="13.75" customHeight="1">
      <c r="B21" s="76" t="s">
        <v>8</v>
      </c>
      <c r="G21" s="31"/>
      <c r="H21" s="31"/>
      <c r="I21" s="31"/>
      <c r="K21" s="31"/>
      <c r="L21" s="31"/>
      <c r="M21" s="129"/>
      <c r="N21" s="31"/>
      <c r="O21" s="31"/>
      <c r="P21" s="31"/>
      <c r="Q21" s="38"/>
    </row>
    <row r="22" spans="2:17">
      <c r="B22" s="34" t="s">
        <v>61</v>
      </c>
      <c r="G22" s="60">
        <v>25</v>
      </c>
      <c r="M22" s="35"/>
      <c r="N22" s="35"/>
      <c r="Q22" s="69"/>
    </row>
    <row r="23" spans="2:17">
      <c r="B23" s="128" t="s">
        <v>248</v>
      </c>
      <c r="G23" s="60"/>
      <c r="M23" s="35"/>
      <c r="N23" s="35"/>
      <c r="Q23" s="69"/>
    </row>
    <row r="24" spans="2:17">
      <c r="B24" s="34" t="s">
        <v>122</v>
      </c>
      <c r="O24" s="36"/>
      <c r="P24" s="36"/>
    </row>
    <row r="25" spans="2:17">
      <c r="B25" s="34" t="s">
        <v>123</v>
      </c>
      <c r="Q25" s="36"/>
    </row>
    <row r="26" spans="2:17">
      <c r="B26" s="34" t="s">
        <v>124</v>
      </c>
      <c r="O26" s="36"/>
      <c r="P26" s="36"/>
    </row>
    <row r="27" spans="2:17">
      <c r="O27" s="252" t="str">
        <f>'2. rPET- nội bộ '!O35</f>
        <v>Ngày …. tháng ….. năm …....</v>
      </c>
      <c r="P27" s="252"/>
      <c r="Q27" s="252"/>
    </row>
    <row r="28" spans="2:17" s="29" customFormat="1">
      <c r="B28" s="236" t="s">
        <v>24</v>
      </c>
      <c r="C28" s="236"/>
      <c r="D28" s="235" t="s">
        <v>25</v>
      </c>
      <c r="E28" s="235"/>
      <c r="F28" s="30"/>
      <c r="G28" s="30" t="s">
        <v>33</v>
      </c>
      <c r="I28" s="30"/>
      <c r="L28" s="30" t="s">
        <v>34</v>
      </c>
      <c r="N28" s="30"/>
      <c r="O28" s="28"/>
      <c r="P28" s="235" t="s">
        <v>26</v>
      </c>
      <c r="Q28" s="235"/>
    </row>
    <row r="29" spans="2:17" s="29" customFormat="1">
      <c r="B29" s="27"/>
      <c r="C29" s="27"/>
      <c r="D29" s="30"/>
      <c r="F29" s="30"/>
      <c r="G29" s="30"/>
      <c r="I29" s="30"/>
      <c r="O29" s="28"/>
      <c r="P29" s="30"/>
    </row>
    <row r="30" spans="2:17" s="29" customFormat="1">
      <c r="B30" s="32"/>
      <c r="C30" s="32"/>
      <c r="D30" s="33"/>
      <c r="F30" s="33"/>
      <c r="G30" s="33"/>
      <c r="I30" s="33"/>
      <c r="O30" s="28"/>
      <c r="P30" s="30"/>
    </row>
    <row r="31" spans="2:17" s="29" customFormat="1">
      <c r="B31" s="32"/>
      <c r="C31" s="32"/>
      <c r="D31" s="33"/>
      <c r="F31" s="33"/>
      <c r="G31" s="33"/>
      <c r="I31" s="33"/>
      <c r="O31" s="28"/>
      <c r="P31" s="30"/>
      <c r="Q31" s="29" t="s">
        <v>10</v>
      </c>
    </row>
    <row r="32" spans="2:17" s="29" customFormat="1">
      <c r="B32" s="27"/>
      <c r="C32" s="27"/>
      <c r="D32" s="30"/>
      <c r="F32" s="30"/>
      <c r="G32" s="30"/>
      <c r="I32" s="30"/>
      <c r="O32" s="28"/>
      <c r="P32" s="30"/>
    </row>
    <row r="33" spans="2:17" s="29" customFormat="1">
      <c r="B33" s="236"/>
      <c r="C33" s="236"/>
      <c r="D33" s="235"/>
      <c r="E33" s="235"/>
      <c r="F33" s="30"/>
      <c r="G33" s="30"/>
      <c r="I33" s="30"/>
      <c r="L33" s="30"/>
      <c r="N33" s="30"/>
      <c r="O33" s="28"/>
      <c r="P33" s="235"/>
      <c r="Q33" s="235"/>
    </row>
  </sheetData>
  <mergeCells count="20">
    <mergeCell ref="B1:C2"/>
    <mergeCell ref="D1:N2"/>
    <mergeCell ref="O27:Q27"/>
    <mergeCell ref="B28:C28"/>
    <mergeCell ref="D28:E28"/>
    <mergeCell ref="O1:Q1"/>
    <mergeCell ref="O2:Q2"/>
    <mergeCell ref="B33:C33"/>
    <mergeCell ref="D33:E33"/>
    <mergeCell ref="P28:Q28"/>
    <mergeCell ref="P33:Q33"/>
    <mergeCell ref="B3:B5"/>
    <mergeCell ref="C3:C5"/>
    <mergeCell ref="D3:D5"/>
    <mergeCell ref="E3:E5"/>
    <mergeCell ref="F4:I4"/>
    <mergeCell ref="F3:O3"/>
    <mergeCell ref="J4:M4"/>
    <mergeCell ref="N4:O4"/>
    <mergeCell ref="P3:Q4"/>
  </mergeCells>
  <conditionalFormatting sqref="O8:O9 O11">
    <cfRule type="iconSet" priority="46">
      <iconSet iconSet="3Arrows">
        <cfvo type="percent" val="0"/>
        <cfvo type="num" val="0"/>
        <cfvo type="num" val="0" gte="0"/>
      </iconSet>
    </cfRule>
  </conditionalFormatting>
  <conditionalFormatting sqref="O13:O15 O17:O19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Q8:Q9 Q11">
    <cfRule type="iconSet" priority="48">
      <iconSet iconSet="3Arrows">
        <cfvo type="percent" val="0"/>
        <cfvo type="num" val="0"/>
        <cfvo type="num" val="0" gte="0"/>
      </iconSet>
    </cfRule>
  </conditionalFormatting>
  <conditionalFormatting sqref="Q13:Q15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Q17:Q19">
    <cfRule type="iconSet" priority="1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19" bottom="0.23622047244094491" header="0.11811023622047245" footer="0.23"/>
  <pageSetup paperSize="9" scale="7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99A7-5833-417A-9519-02490789876C}">
  <sheetPr>
    <pageSetUpPr fitToPage="1"/>
  </sheetPr>
  <dimension ref="B1:R23"/>
  <sheetViews>
    <sheetView showGridLines="0" zoomScale="90" zoomScaleNormal="90" zoomScaleSheetLayoutView="70" workbookViewId="0">
      <selection activeCell="B1" sqref="B1:C2"/>
    </sheetView>
  </sheetViews>
  <sheetFormatPr defaultColWidth="8.6328125" defaultRowHeight="16.5"/>
  <cols>
    <col min="1" max="1" width="1.08984375" style="34" customWidth="1"/>
    <col min="2" max="2" width="6.90625" style="34" customWidth="1"/>
    <col min="3" max="3" width="15.36328125" style="34" bestFit="1" customWidth="1"/>
    <col min="4" max="4" width="25.6328125" style="34" customWidth="1"/>
    <col min="5" max="5" width="31.36328125" style="34" customWidth="1"/>
    <col min="6" max="8" width="9.453125" style="34" customWidth="1"/>
    <col min="9" max="9" width="11.6328125" style="34" customWidth="1"/>
    <col min="10" max="12" width="9.453125" style="34" customWidth="1"/>
    <col min="13" max="13" width="11.6328125" style="34" customWidth="1"/>
    <col min="14" max="14" width="11.08984375" style="34" customWidth="1"/>
    <col min="15" max="15" width="11.453125" style="34" customWidth="1"/>
    <col min="16" max="16" width="10.1796875" style="34" customWidth="1"/>
    <col min="17" max="17" width="12.90625" style="70" customWidth="1"/>
    <col min="18" max="18" width="9.6328125" style="70" bestFit="1" customWidth="1"/>
    <col min="19" max="16384" width="8.6328125" style="34"/>
  </cols>
  <sheetData>
    <row r="1" spans="2:18" ht="30" customHeight="1">
      <c r="B1" s="251"/>
      <c r="C1" s="251"/>
      <c r="D1" s="248" t="s">
        <v>231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3" t="s">
        <v>232</v>
      </c>
      <c r="P1" s="253"/>
      <c r="Q1" s="253"/>
    </row>
    <row r="2" spans="2:18" ht="30" customHeight="1">
      <c r="B2" s="251"/>
      <c r="C2" s="251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3" t="s">
        <v>218</v>
      </c>
      <c r="P2" s="253"/>
      <c r="Q2" s="253"/>
    </row>
    <row r="3" spans="2:18" s="6" customFormat="1" ht="17" customHeight="1">
      <c r="B3" s="237" t="s">
        <v>1</v>
      </c>
      <c r="C3" s="238" t="s">
        <v>12</v>
      </c>
      <c r="D3" s="237" t="s">
        <v>0</v>
      </c>
      <c r="E3" s="238" t="s">
        <v>68</v>
      </c>
      <c r="F3" s="239" t="s">
        <v>32</v>
      </c>
      <c r="G3" s="240"/>
      <c r="H3" s="240"/>
      <c r="I3" s="240"/>
      <c r="J3" s="240"/>
      <c r="K3" s="240"/>
      <c r="L3" s="240"/>
      <c r="M3" s="240"/>
      <c r="N3" s="240"/>
      <c r="O3" s="241"/>
      <c r="P3" s="238" t="s">
        <v>233</v>
      </c>
      <c r="Q3" s="238"/>
      <c r="R3" s="100"/>
    </row>
    <row r="4" spans="2:18" s="6" customFormat="1" ht="45.5" customHeight="1">
      <c r="B4" s="237"/>
      <c r="C4" s="238"/>
      <c r="D4" s="237"/>
      <c r="E4" s="238"/>
      <c r="F4" s="239" t="str">
        <f>'1. rPET'!F4</f>
        <v>Tháng …. (đã duyệt)</v>
      </c>
      <c r="G4" s="240"/>
      <c r="H4" s="240"/>
      <c r="I4" s="241"/>
      <c r="J4" s="239" t="str">
        <f>'1. rPET'!J4</f>
        <v>Tháng ….</v>
      </c>
      <c r="K4" s="240"/>
      <c r="L4" s="240"/>
      <c r="M4" s="241"/>
      <c r="N4" s="239" t="str">
        <f>'1. rPET'!N4</f>
        <v>Chênh lệch
 tháng …. vs tháng ….</v>
      </c>
      <c r="O4" s="241"/>
      <c r="P4" s="238"/>
      <c r="Q4" s="238"/>
      <c r="R4" s="100"/>
    </row>
    <row r="5" spans="2:18" s="8" customFormat="1" ht="79.25" customHeight="1">
      <c r="B5" s="237"/>
      <c r="C5" s="238"/>
      <c r="D5" s="237"/>
      <c r="E5" s="238"/>
      <c r="F5" s="13" t="s">
        <v>35</v>
      </c>
      <c r="G5" s="13" t="s">
        <v>43</v>
      </c>
      <c r="H5" s="13" t="s">
        <v>41</v>
      </c>
      <c r="I5" s="14" t="s">
        <v>42</v>
      </c>
      <c r="J5" s="13" t="s">
        <v>35</v>
      </c>
      <c r="K5" s="13" t="s">
        <v>43</v>
      </c>
      <c r="L5" s="13" t="s">
        <v>41</v>
      </c>
      <c r="M5" s="14" t="s">
        <v>42</v>
      </c>
      <c r="N5" s="19" t="s">
        <v>36</v>
      </c>
      <c r="O5" s="19" t="s">
        <v>37</v>
      </c>
      <c r="P5" s="19" t="s">
        <v>36</v>
      </c>
      <c r="Q5" s="66" t="s">
        <v>37</v>
      </c>
      <c r="R5" s="101"/>
    </row>
    <row r="6" spans="2:18" s="41" customFormat="1" ht="19.25" customHeight="1">
      <c r="B6" s="138" t="s">
        <v>110</v>
      </c>
      <c r="C6" s="42"/>
      <c r="D6" s="42"/>
      <c r="E6" s="44"/>
      <c r="F6" s="43"/>
      <c r="G6" s="43"/>
      <c r="H6" s="43"/>
      <c r="I6" s="43"/>
      <c r="J6" s="43"/>
      <c r="K6" s="43"/>
      <c r="L6" s="43"/>
      <c r="M6" s="74"/>
      <c r="N6" s="43"/>
      <c r="O6" s="43"/>
      <c r="P6" s="43"/>
      <c r="Q6" s="139"/>
    </row>
    <row r="7" spans="2:18" s="2" customFormat="1" ht="25.25" customHeight="1">
      <c r="B7" s="9">
        <v>1</v>
      </c>
      <c r="C7" s="9">
        <v>110000407</v>
      </c>
      <c r="D7" s="15" t="s">
        <v>98</v>
      </c>
      <c r="E7" s="123" t="s">
        <v>97</v>
      </c>
      <c r="F7" s="10"/>
      <c r="G7" s="17"/>
      <c r="H7" s="10"/>
      <c r="I7" s="73"/>
      <c r="J7" s="10"/>
      <c r="K7" s="17"/>
      <c r="L7" s="10"/>
      <c r="M7" s="73"/>
      <c r="N7" s="10"/>
      <c r="O7" s="17"/>
      <c r="P7" s="75"/>
      <c r="Q7" s="17"/>
      <c r="R7" s="108"/>
    </row>
    <row r="8" spans="2:18" s="2" customFormat="1" ht="22.5" hidden="1" customHeight="1">
      <c r="B8" s="9">
        <v>2</v>
      </c>
      <c r="C8" s="9">
        <v>110000408</v>
      </c>
      <c r="D8" s="15" t="s">
        <v>84</v>
      </c>
      <c r="E8" s="15"/>
      <c r="F8" s="10">
        <v>850</v>
      </c>
      <c r="G8" s="17">
        <f>H8/F8</f>
        <v>4.7058823529411764E-2</v>
      </c>
      <c r="H8" s="10">
        <f>F8-I8</f>
        <v>40</v>
      </c>
      <c r="I8" s="73">
        <v>810</v>
      </c>
      <c r="J8" s="10">
        <v>850</v>
      </c>
      <c r="K8" s="17">
        <f>L8/J8</f>
        <v>4.7058823529411764E-2</v>
      </c>
      <c r="L8" s="10">
        <f>J8-M8</f>
        <v>40</v>
      </c>
      <c r="M8" s="73">
        <v>810</v>
      </c>
      <c r="N8" s="10">
        <f t="shared" ref="N8:N11" si="0">M8-I8</f>
        <v>0</v>
      </c>
      <c r="O8" s="17">
        <f t="shared" ref="O8:O11" si="1">1-(I8/M8)</f>
        <v>0</v>
      </c>
      <c r="P8" s="75">
        <f t="shared" ref="P8:P11" si="2">M8-$R$1</f>
        <v>810</v>
      </c>
      <c r="Q8" s="17" t="e">
        <f t="shared" ref="Q8:Q11" si="3">P8/$R$1</f>
        <v>#DIV/0!</v>
      </c>
      <c r="R8" s="102"/>
    </row>
    <row r="9" spans="2:18" s="2" customFormat="1" ht="22.5" hidden="1" customHeight="1">
      <c r="B9" s="9">
        <v>3</v>
      </c>
      <c r="C9" s="9">
        <v>110000409</v>
      </c>
      <c r="D9" s="15" t="s">
        <v>85</v>
      </c>
      <c r="E9" s="15"/>
      <c r="F9" s="10">
        <v>850</v>
      </c>
      <c r="G9" s="17">
        <f t="shared" ref="G9:G10" si="4">H9/F9</f>
        <v>4.7058823529411764E-2</v>
      </c>
      <c r="H9" s="10">
        <f t="shared" ref="H9:H10" si="5">F9-I9</f>
        <v>40</v>
      </c>
      <c r="I9" s="73">
        <v>810</v>
      </c>
      <c r="J9" s="10">
        <v>850</v>
      </c>
      <c r="K9" s="17">
        <f t="shared" ref="K9:K10" si="6">L9/J9</f>
        <v>4.7058823529411764E-2</v>
      </c>
      <c r="L9" s="10">
        <f t="shared" ref="L9:L10" si="7">J9-M9</f>
        <v>40</v>
      </c>
      <c r="M9" s="73">
        <v>810</v>
      </c>
      <c r="N9" s="10">
        <f t="shared" si="0"/>
        <v>0</v>
      </c>
      <c r="O9" s="17">
        <f t="shared" si="1"/>
        <v>0</v>
      </c>
      <c r="P9" s="75">
        <f t="shared" ref="P9:P10" si="8">M9-$R$1</f>
        <v>810</v>
      </c>
      <c r="Q9" s="17" t="e">
        <f t="shared" ref="Q9:Q10" si="9">P9/$R$1</f>
        <v>#DIV/0!</v>
      </c>
      <c r="R9" s="102"/>
    </row>
    <row r="10" spans="2:18" s="2" customFormat="1" ht="22.5" hidden="1" customHeight="1">
      <c r="B10" s="9">
        <v>4</v>
      </c>
      <c r="C10" s="9">
        <v>110000410</v>
      </c>
      <c r="D10" s="15" t="s">
        <v>86</v>
      </c>
      <c r="E10" s="15"/>
      <c r="F10" s="10">
        <v>850</v>
      </c>
      <c r="G10" s="17">
        <f t="shared" si="4"/>
        <v>4.7058823529411764E-2</v>
      </c>
      <c r="H10" s="10">
        <f t="shared" si="5"/>
        <v>40</v>
      </c>
      <c r="I10" s="73">
        <v>810</v>
      </c>
      <c r="J10" s="10">
        <v>850</v>
      </c>
      <c r="K10" s="17">
        <f t="shared" si="6"/>
        <v>4.7058823529411764E-2</v>
      </c>
      <c r="L10" s="10">
        <f t="shared" si="7"/>
        <v>40</v>
      </c>
      <c r="M10" s="73">
        <v>810</v>
      </c>
      <c r="N10" s="10">
        <f t="shared" si="0"/>
        <v>0</v>
      </c>
      <c r="O10" s="17">
        <f t="shared" si="1"/>
        <v>0</v>
      </c>
      <c r="P10" s="75">
        <f t="shared" si="8"/>
        <v>810</v>
      </c>
      <c r="Q10" s="17" t="e">
        <f t="shared" si="9"/>
        <v>#DIV/0!</v>
      </c>
      <c r="R10" s="102"/>
    </row>
    <row r="11" spans="2:18" s="2" customFormat="1" ht="22.5" hidden="1" customHeight="1">
      <c r="B11" s="9">
        <v>5</v>
      </c>
      <c r="C11" s="9">
        <v>110000411</v>
      </c>
      <c r="D11" s="15" t="s">
        <v>87</v>
      </c>
      <c r="E11" s="15"/>
      <c r="F11" s="10">
        <v>850</v>
      </c>
      <c r="G11" s="17">
        <f>H11/F11</f>
        <v>4.7058823529411764E-2</v>
      </c>
      <c r="H11" s="10">
        <f>F11-I11</f>
        <v>40</v>
      </c>
      <c r="I11" s="73">
        <v>810</v>
      </c>
      <c r="J11" s="10">
        <v>850</v>
      </c>
      <c r="K11" s="17">
        <f>L11/J11</f>
        <v>4.7058823529411764E-2</v>
      </c>
      <c r="L11" s="10">
        <f>J11-M11</f>
        <v>40</v>
      </c>
      <c r="M11" s="73">
        <v>810</v>
      </c>
      <c r="N11" s="10">
        <f t="shared" si="0"/>
        <v>0</v>
      </c>
      <c r="O11" s="17">
        <f t="shared" si="1"/>
        <v>0</v>
      </c>
      <c r="P11" s="75">
        <f t="shared" si="2"/>
        <v>810</v>
      </c>
      <c r="Q11" s="17" t="e">
        <f t="shared" si="3"/>
        <v>#DIV/0!</v>
      </c>
      <c r="R11" s="102"/>
    </row>
    <row r="12" spans="2:18" s="37" customFormat="1" ht="15" customHeight="1">
      <c r="B12" s="22"/>
      <c r="C12" s="22"/>
      <c r="D12" s="22"/>
      <c r="E12" s="22"/>
      <c r="F12" s="23"/>
      <c r="G12" s="23"/>
      <c r="H12" s="23"/>
      <c r="I12" s="24"/>
      <c r="J12" s="24"/>
      <c r="K12" s="24"/>
      <c r="L12" s="24"/>
      <c r="M12" s="24"/>
      <c r="N12" s="24"/>
      <c r="O12" s="24"/>
      <c r="P12" s="24"/>
      <c r="Q12" s="68"/>
      <c r="R12" s="103"/>
    </row>
    <row r="13" spans="2:18" ht="19.25" customHeight="1">
      <c r="B13" s="34" t="s">
        <v>8</v>
      </c>
      <c r="G13" s="31"/>
      <c r="H13" s="31"/>
      <c r="I13" s="31"/>
      <c r="K13" s="31"/>
      <c r="L13" s="31"/>
      <c r="M13" s="31"/>
      <c r="N13" s="31"/>
      <c r="O13" s="31"/>
      <c r="P13" s="31"/>
      <c r="Q13" s="38"/>
    </row>
    <row r="14" spans="2:18" s="70" customFormat="1">
      <c r="B14" s="70" t="s">
        <v>112</v>
      </c>
      <c r="G14" s="104"/>
      <c r="M14" s="69"/>
      <c r="N14" s="69"/>
      <c r="Q14" s="69"/>
    </row>
    <row r="15" spans="2:18">
      <c r="B15" s="34" t="s">
        <v>111</v>
      </c>
      <c r="Q15" s="36"/>
    </row>
    <row r="16" spans="2:18">
      <c r="Q16" s="71" t="str">
        <f>'2. rPET- nội bộ '!O35</f>
        <v>Ngày …. tháng ….. năm …....</v>
      </c>
    </row>
    <row r="17" spans="2:18" s="29" customFormat="1">
      <c r="B17" s="236" t="s">
        <v>24</v>
      </c>
      <c r="C17" s="236"/>
      <c r="D17" s="235" t="s">
        <v>25</v>
      </c>
      <c r="E17" s="235"/>
      <c r="F17" s="235"/>
      <c r="G17" s="30"/>
      <c r="H17" s="30" t="s">
        <v>33</v>
      </c>
      <c r="I17" s="30"/>
      <c r="L17" s="30" t="s">
        <v>34</v>
      </c>
      <c r="N17" s="30"/>
      <c r="O17" s="28"/>
      <c r="P17" s="235" t="s">
        <v>26</v>
      </c>
      <c r="Q17" s="235"/>
      <c r="R17" s="72"/>
    </row>
    <row r="18" spans="2:18" s="29" customFormat="1">
      <c r="B18" s="27"/>
      <c r="C18" s="27"/>
      <c r="D18" s="30"/>
      <c r="F18" s="30"/>
      <c r="G18" s="30"/>
      <c r="H18" s="30"/>
      <c r="I18" s="30"/>
      <c r="O18" s="28"/>
      <c r="P18" s="30"/>
      <c r="R18" s="72"/>
    </row>
    <row r="19" spans="2:18" s="29" customFormat="1">
      <c r="B19" s="27"/>
      <c r="C19" s="27"/>
      <c r="D19" s="30"/>
      <c r="F19" s="30"/>
      <c r="G19" s="30"/>
      <c r="H19" s="30"/>
      <c r="I19" s="30"/>
      <c r="O19" s="28"/>
      <c r="P19" s="30"/>
      <c r="R19" s="72"/>
    </row>
    <row r="20" spans="2:18" s="29" customFormat="1">
      <c r="B20" s="32"/>
      <c r="C20" s="32"/>
      <c r="D20" s="33"/>
      <c r="F20" s="33"/>
      <c r="G20" s="33"/>
      <c r="H20" s="33"/>
      <c r="I20" s="33"/>
      <c r="O20" s="28"/>
      <c r="P20" s="30"/>
      <c r="R20" s="72"/>
    </row>
    <row r="21" spans="2:18" s="29" customFormat="1">
      <c r="B21" s="32"/>
      <c r="C21" s="32"/>
      <c r="D21" s="33"/>
      <c r="F21" s="33"/>
      <c r="G21" s="33"/>
      <c r="H21" s="33"/>
      <c r="I21" s="33"/>
      <c r="O21" s="28"/>
      <c r="P21" s="30"/>
      <c r="Q21" s="29" t="s">
        <v>10</v>
      </c>
      <c r="R21" s="72"/>
    </row>
    <row r="22" spans="2:18" s="29" customFormat="1">
      <c r="B22" s="27"/>
      <c r="C22" s="27"/>
      <c r="D22" s="30"/>
      <c r="F22" s="30"/>
      <c r="G22" s="30"/>
      <c r="H22" s="30"/>
      <c r="I22" s="30"/>
      <c r="O22" s="28"/>
      <c r="P22" s="30"/>
      <c r="R22" s="72"/>
    </row>
    <row r="23" spans="2:18" s="29" customFormat="1">
      <c r="B23" s="236"/>
      <c r="C23" s="236"/>
      <c r="D23" s="235"/>
      <c r="E23" s="235"/>
      <c r="F23" s="235"/>
      <c r="G23" s="30"/>
      <c r="H23" s="30"/>
      <c r="I23" s="30"/>
      <c r="L23" s="30"/>
      <c r="N23" s="30"/>
      <c r="O23" s="28"/>
      <c r="P23" s="235"/>
      <c r="Q23" s="235"/>
      <c r="R23" s="72"/>
    </row>
  </sheetData>
  <mergeCells count="19">
    <mergeCell ref="B17:C17"/>
    <mergeCell ref="P17:Q17"/>
    <mergeCell ref="B23:C23"/>
    <mergeCell ref="P23:Q23"/>
    <mergeCell ref="D17:F17"/>
    <mergeCell ref="D23:F23"/>
    <mergeCell ref="O1:Q1"/>
    <mergeCell ref="O2:Q2"/>
    <mergeCell ref="P3:Q4"/>
    <mergeCell ref="B3:B5"/>
    <mergeCell ref="C3:C5"/>
    <mergeCell ref="D3:D5"/>
    <mergeCell ref="E3:E5"/>
    <mergeCell ref="F3:O3"/>
    <mergeCell ref="F4:I4"/>
    <mergeCell ref="J4:M4"/>
    <mergeCell ref="N4:O4"/>
    <mergeCell ref="B1:C2"/>
    <mergeCell ref="D1:N2"/>
  </mergeCells>
  <conditionalFormatting sqref="O7:O11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Q7:Q11">
    <cfRule type="iconSet" priority="2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19" bottom="0.23622047244094491" header="0.11811023622047245" footer="0.23"/>
  <pageSetup paperSize="9" scale="7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1628-EC7C-45D3-94E2-E6B6C905D6D0}">
  <sheetPr>
    <tabColor rgb="FF00B0F0"/>
    <pageSetUpPr fitToPage="1"/>
  </sheetPr>
  <dimension ref="B1:R21"/>
  <sheetViews>
    <sheetView showGridLines="0" zoomScale="80" zoomScaleNormal="80" zoomScaleSheetLayoutView="70" workbookViewId="0">
      <selection activeCell="D1" sqref="D1:N2"/>
    </sheetView>
  </sheetViews>
  <sheetFormatPr defaultColWidth="8.6328125" defaultRowHeight="16.5"/>
  <cols>
    <col min="1" max="1" width="1.6328125" style="34" customWidth="1"/>
    <col min="2" max="2" width="5.1796875" style="34" customWidth="1"/>
    <col min="3" max="3" width="17.6328125" style="34" customWidth="1"/>
    <col min="4" max="4" width="19.90625" style="34" customWidth="1"/>
    <col min="5" max="5" width="21.7265625" style="34" customWidth="1"/>
    <col min="6" max="8" width="9.453125" style="34" customWidth="1"/>
    <col min="9" max="9" width="13.36328125" style="34" customWidth="1"/>
    <col min="10" max="12" width="9.453125" style="34" customWidth="1"/>
    <col min="13" max="13" width="13.08984375" style="34" customWidth="1"/>
    <col min="14" max="14" width="11" style="34" customWidth="1"/>
    <col min="15" max="15" width="12.36328125" style="34" customWidth="1"/>
    <col min="16" max="16" width="11.08984375" style="34" customWidth="1"/>
    <col min="17" max="17" width="10.7265625" style="70" customWidth="1"/>
    <col min="18" max="18" width="8.6328125" style="70"/>
    <col min="19" max="16384" width="8.6328125" style="34"/>
  </cols>
  <sheetData>
    <row r="1" spans="2:18" ht="30.65" customHeight="1">
      <c r="B1" s="251"/>
      <c r="C1" s="251"/>
      <c r="D1" s="248" t="s">
        <v>234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3" t="s">
        <v>235</v>
      </c>
      <c r="P1" s="253"/>
      <c r="Q1" s="253"/>
    </row>
    <row r="2" spans="2:18" ht="30.65" customHeight="1">
      <c r="B2" s="251"/>
      <c r="C2" s="251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3" t="s">
        <v>218</v>
      </c>
      <c r="P2" s="253"/>
      <c r="Q2" s="253"/>
    </row>
    <row r="3" spans="2:18" s="6" customFormat="1" ht="26.4" customHeight="1">
      <c r="B3" s="237" t="s">
        <v>1</v>
      </c>
      <c r="C3" s="238" t="s">
        <v>12</v>
      </c>
      <c r="D3" s="237" t="s">
        <v>0</v>
      </c>
      <c r="E3" s="237" t="s">
        <v>68</v>
      </c>
      <c r="F3" s="238" t="s">
        <v>32</v>
      </c>
      <c r="G3" s="238"/>
      <c r="H3" s="238"/>
      <c r="I3" s="238"/>
      <c r="J3" s="238"/>
      <c r="K3" s="238"/>
      <c r="L3" s="238"/>
      <c r="M3" s="238"/>
      <c r="N3" s="238"/>
      <c r="O3" s="238"/>
      <c r="P3" s="238" t="s">
        <v>236</v>
      </c>
      <c r="Q3" s="238"/>
      <c r="R3" s="100"/>
    </row>
    <row r="4" spans="2:18" s="6" customFormat="1" ht="40.75" customHeight="1">
      <c r="B4" s="237"/>
      <c r="C4" s="238"/>
      <c r="D4" s="237"/>
      <c r="E4" s="237"/>
      <c r="F4" s="238" t="str">
        <f>'1. rPET'!F4</f>
        <v>Tháng …. (đã duyệt)</v>
      </c>
      <c r="G4" s="238"/>
      <c r="H4" s="238"/>
      <c r="I4" s="238"/>
      <c r="J4" s="238" t="str">
        <f>'1. rPET'!J4</f>
        <v>Tháng ….</v>
      </c>
      <c r="K4" s="238"/>
      <c r="L4" s="238"/>
      <c r="M4" s="238"/>
      <c r="N4" s="238" t="str">
        <f>'1. rPET'!N4</f>
        <v>Chênh lệch
 tháng …. vs tháng ….</v>
      </c>
      <c r="O4" s="238"/>
      <c r="P4" s="238"/>
      <c r="Q4" s="238"/>
      <c r="R4" s="100"/>
    </row>
    <row r="5" spans="2:18" s="8" customFormat="1" ht="56.4" customHeight="1">
      <c r="B5" s="237"/>
      <c r="C5" s="238"/>
      <c r="D5" s="237"/>
      <c r="E5" s="237"/>
      <c r="F5" s="13" t="s">
        <v>35</v>
      </c>
      <c r="G5" s="13" t="s">
        <v>43</v>
      </c>
      <c r="H5" s="13" t="s">
        <v>41</v>
      </c>
      <c r="I5" s="127" t="s">
        <v>42</v>
      </c>
      <c r="J5" s="13" t="s">
        <v>35</v>
      </c>
      <c r="K5" s="13" t="s">
        <v>43</v>
      </c>
      <c r="L5" s="13" t="s">
        <v>41</v>
      </c>
      <c r="M5" s="127" t="s">
        <v>42</v>
      </c>
      <c r="N5" s="13" t="s">
        <v>36</v>
      </c>
      <c r="O5" s="13" t="s">
        <v>37</v>
      </c>
      <c r="P5" s="13" t="s">
        <v>36</v>
      </c>
      <c r="Q5" s="157" t="s">
        <v>37</v>
      </c>
      <c r="R5" s="101"/>
    </row>
    <row r="6" spans="2:18" s="105" customFormat="1" ht="25.25" customHeight="1">
      <c r="B6" s="164" t="s">
        <v>116</v>
      </c>
      <c r="C6" s="164" t="s">
        <v>109</v>
      </c>
      <c r="D6" s="165"/>
      <c r="E6" s="165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2:18" s="2" customFormat="1" ht="33">
      <c r="B7" s="9">
        <v>1</v>
      </c>
      <c r="C7" s="9">
        <v>110000367</v>
      </c>
      <c r="D7" s="16" t="s">
        <v>100</v>
      </c>
      <c r="E7" s="124" t="s">
        <v>99</v>
      </c>
      <c r="F7" s="162"/>
      <c r="G7" s="163"/>
      <c r="H7" s="162"/>
      <c r="I7" s="20"/>
      <c r="J7" s="162"/>
      <c r="K7" s="163"/>
      <c r="L7" s="162"/>
      <c r="M7" s="73"/>
      <c r="N7" s="162"/>
      <c r="O7" s="163"/>
      <c r="P7" s="109"/>
      <c r="Q7" s="163"/>
      <c r="R7" s="102"/>
    </row>
    <row r="8" spans="2:18" s="134" customFormat="1" ht="25.25" customHeight="1">
      <c r="B8" s="164" t="s">
        <v>117</v>
      </c>
      <c r="C8" s="164" t="s">
        <v>110</v>
      </c>
      <c r="D8" s="164"/>
      <c r="E8" s="164"/>
      <c r="F8" s="167"/>
      <c r="G8" s="167"/>
      <c r="H8" s="167"/>
      <c r="I8" s="168"/>
      <c r="J8" s="167"/>
      <c r="K8" s="167"/>
      <c r="L8" s="167"/>
      <c r="M8" s="168"/>
      <c r="N8" s="167"/>
      <c r="O8" s="167"/>
      <c r="P8" s="168"/>
      <c r="Q8" s="167"/>
    </row>
    <row r="9" spans="2:18" s="2" customFormat="1" ht="33">
      <c r="B9" s="9">
        <v>1</v>
      </c>
      <c r="C9" s="9">
        <v>110000367</v>
      </c>
      <c r="D9" s="16" t="s">
        <v>100</v>
      </c>
      <c r="E9" s="124" t="s">
        <v>99</v>
      </c>
      <c r="F9" s="162"/>
      <c r="G9" s="163"/>
      <c r="H9" s="162"/>
      <c r="I9" s="20"/>
      <c r="J9" s="162"/>
      <c r="K9" s="163"/>
      <c r="L9" s="162"/>
      <c r="M9" s="73"/>
      <c r="N9" s="162"/>
      <c r="O9" s="163"/>
      <c r="P9" s="109"/>
      <c r="Q9" s="163"/>
      <c r="R9" s="102"/>
    </row>
    <row r="10" spans="2:18" s="37" customFormat="1" ht="25.25" customHeight="1">
      <c r="B10" s="22"/>
      <c r="C10" s="22"/>
      <c r="D10" s="22"/>
      <c r="E10" s="22"/>
      <c r="F10" s="23"/>
      <c r="G10" s="23"/>
      <c r="H10" s="23"/>
      <c r="I10" s="24"/>
      <c r="J10" s="24"/>
      <c r="K10" s="24"/>
      <c r="L10" s="24"/>
      <c r="M10" s="24"/>
      <c r="N10" s="24"/>
      <c r="O10" s="24"/>
      <c r="P10" s="24"/>
      <c r="Q10" s="68"/>
      <c r="R10" s="103"/>
    </row>
    <row r="11" spans="2:18" ht="16.25" customHeight="1">
      <c r="B11" s="76" t="s">
        <v>8</v>
      </c>
      <c r="G11" s="31"/>
      <c r="H11" s="31"/>
      <c r="I11" s="31"/>
      <c r="K11" s="31"/>
      <c r="L11" s="31"/>
      <c r="M11" s="31"/>
      <c r="N11" s="31"/>
      <c r="O11" s="31"/>
      <c r="P11" s="31"/>
      <c r="Q11" s="38"/>
    </row>
    <row r="12" spans="2:18">
      <c r="B12" s="34" t="s">
        <v>61</v>
      </c>
      <c r="G12" s="60">
        <v>25</v>
      </c>
      <c r="M12" s="35"/>
      <c r="N12" s="35"/>
      <c r="Q12" s="69"/>
    </row>
    <row r="13" spans="2:18">
      <c r="B13" s="34" t="s">
        <v>111</v>
      </c>
      <c r="Q13" s="36"/>
    </row>
    <row r="14" spans="2:18">
      <c r="B14" s="34" t="s">
        <v>83</v>
      </c>
      <c r="P14" s="36"/>
      <c r="Q14" s="36"/>
    </row>
    <row r="15" spans="2:18">
      <c r="O15" s="231" t="str">
        <f>'2. rPET- nội bộ '!O35</f>
        <v>Ngày …. tháng ….. năm …....</v>
      </c>
      <c r="P15" s="231"/>
      <c r="Q15" s="231"/>
    </row>
    <row r="16" spans="2:18" s="29" customFormat="1">
      <c r="B16" s="236" t="s">
        <v>24</v>
      </c>
      <c r="C16" s="236"/>
      <c r="D16" s="235" t="s">
        <v>25</v>
      </c>
      <c r="E16" s="235"/>
      <c r="F16" s="30"/>
      <c r="G16" s="30" t="s">
        <v>33</v>
      </c>
      <c r="I16" s="30"/>
      <c r="K16" s="30" t="s">
        <v>34</v>
      </c>
      <c r="N16" s="30"/>
      <c r="O16" s="235" t="s">
        <v>26</v>
      </c>
      <c r="P16" s="235"/>
      <c r="Q16" s="235"/>
      <c r="R16" s="72"/>
    </row>
    <row r="17" spans="2:18" s="29" customFormat="1">
      <c r="B17" s="27"/>
      <c r="C17" s="27"/>
      <c r="D17" s="30"/>
      <c r="F17" s="30"/>
      <c r="G17" s="30"/>
      <c r="I17" s="30"/>
      <c r="O17" s="28"/>
      <c r="P17" s="30"/>
      <c r="R17" s="72"/>
    </row>
    <row r="18" spans="2:18" s="29" customFormat="1">
      <c r="B18" s="32"/>
      <c r="C18" s="32"/>
      <c r="D18" s="33"/>
      <c r="F18" s="33"/>
      <c r="G18" s="33"/>
      <c r="I18" s="33"/>
      <c r="O18" s="28"/>
      <c r="P18" s="30"/>
      <c r="R18" s="72"/>
    </row>
    <row r="19" spans="2:18" s="29" customFormat="1">
      <c r="B19" s="32"/>
      <c r="C19" s="32"/>
      <c r="D19" s="33"/>
      <c r="F19" s="33"/>
      <c r="G19" s="33"/>
      <c r="I19" s="33"/>
      <c r="O19" s="28"/>
      <c r="P19" s="30"/>
      <c r="Q19" s="29" t="s">
        <v>10</v>
      </c>
      <c r="R19" s="72"/>
    </row>
    <row r="20" spans="2:18" s="29" customFormat="1">
      <c r="B20" s="27"/>
      <c r="C20" s="27"/>
      <c r="D20" s="30"/>
      <c r="F20" s="30"/>
      <c r="G20" s="30"/>
      <c r="I20" s="30"/>
      <c r="O20" s="28"/>
      <c r="P20" s="30"/>
      <c r="R20" s="72"/>
    </row>
    <row r="21" spans="2:18" s="29" customFormat="1">
      <c r="B21" s="236"/>
      <c r="C21" s="236"/>
      <c r="D21" s="235"/>
      <c r="E21" s="235"/>
      <c r="F21" s="30"/>
      <c r="G21" s="30"/>
      <c r="I21" s="30"/>
      <c r="L21" s="30"/>
      <c r="N21" s="30"/>
      <c r="O21" s="28"/>
      <c r="P21" s="235"/>
      <c r="Q21" s="235"/>
      <c r="R21" s="72"/>
    </row>
  </sheetData>
  <mergeCells count="20">
    <mergeCell ref="O15:Q15"/>
    <mergeCell ref="O16:Q16"/>
    <mergeCell ref="B16:C16"/>
    <mergeCell ref="D16:E16"/>
    <mergeCell ref="B21:C21"/>
    <mergeCell ref="D21:E21"/>
    <mergeCell ref="P21:Q21"/>
    <mergeCell ref="O1:Q1"/>
    <mergeCell ref="O2:Q2"/>
    <mergeCell ref="P3:Q4"/>
    <mergeCell ref="B3:B5"/>
    <mergeCell ref="C3:C5"/>
    <mergeCell ref="D3:D5"/>
    <mergeCell ref="E3:E5"/>
    <mergeCell ref="F3:O3"/>
    <mergeCell ref="F4:I4"/>
    <mergeCell ref="J4:M4"/>
    <mergeCell ref="N4:O4"/>
    <mergeCell ref="B1:C2"/>
    <mergeCell ref="D1:N2"/>
  </mergeCells>
  <conditionalFormatting sqref="O7">
    <cfRule type="iconSet" priority="58">
      <iconSet iconSet="3Arrows">
        <cfvo type="percent" val="0"/>
        <cfvo type="num" val="0"/>
        <cfvo type="num" val="0" gte="0"/>
      </iconSet>
    </cfRule>
  </conditionalFormatting>
  <conditionalFormatting sqref="O9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Q7">
    <cfRule type="iconSet" priority="59">
      <iconSet iconSet="3Arrows">
        <cfvo type="percent" val="0"/>
        <cfvo type="num" val="0"/>
        <cfvo type="num" val="0" gte="0"/>
      </iconSet>
    </cfRule>
  </conditionalFormatting>
  <conditionalFormatting sqref="Q9">
    <cfRule type="iconSet" priority="2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31496062992125984" bottom="0.23622047244094491" header="0.11811023622047245" footer="0.31496062992125984"/>
  <pageSetup paperSize="9" scale="7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3199-0742-495C-8315-098A69D15E9C}">
  <sheetPr>
    <tabColor rgb="FFFFFF00"/>
    <pageSetUpPr fitToPage="1"/>
  </sheetPr>
  <dimension ref="B1:R21"/>
  <sheetViews>
    <sheetView showGridLines="0" zoomScale="85" zoomScaleNormal="85" zoomScaleSheetLayoutView="70" workbookViewId="0">
      <selection activeCell="R5" sqref="R5"/>
    </sheetView>
  </sheetViews>
  <sheetFormatPr defaultColWidth="8.6328125" defaultRowHeight="16.5"/>
  <cols>
    <col min="1" max="1" width="0.453125" style="34" customWidth="1"/>
    <col min="2" max="2" width="5.1796875" style="34" customWidth="1"/>
    <col min="3" max="3" width="17.6328125" style="34" customWidth="1"/>
    <col min="4" max="4" width="23.36328125" style="34" bestFit="1" customWidth="1"/>
    <col min="5" max="5" width="12.1796875" style="34" customWidth="1"/>
    <col min="6" max="8" width="9.453125" style="34" customWidth="1"/>
    <col min="9" max="9" width="11.6328125" style="34" customWidth="1"/>
    <col min="10" max="12" width="9.453125" style="34" customWidth="1"/>
    <col min="13" max="13" width="11.6328125" style="34" customWidth="1"/>
    <col min="14" max="14" width="11" style="34" customWidth="1"/>
    <col min="15" max="15" width="11.36328125" style="34" customWidth="1"/>
    <col min="16" max="16" width="11.6328125" style="34" customWidth="1"/>
    <col min="17" max="17" width="11" style="70" customWidth="1"/>
    <col min="18" max="18" width="8.6328125" style="70"/>
    <col min="19" max="16384" width="8.6328125" style="34"/>
  </cols>
  <sheetData>
    <row r="1" spans="2:18" s="37" customFormat="1" ht="28.75" customHeight="1">
      <c r="B1" s="254"/>
      <c r="C1" s="254"/>
      <c r="D1" s="248" t="s">
        <v>237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3" t="s">
        <v>238</v>
      </c>
      <c r="P1" s="253"/>
      <c r="Q1" s="253"/>
      <c r="R1" s="103"/>
    </row>
    <row r="2" spans="2:18" s="37" customFormat="1" ht="28.75" customHeight="1">
      <c r="B2" s="254"/>
      <c r="C2" s="254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3" t="s">
        <v>218</v>
      </c>
      <c r="P2" s="253"/>
      <c r="Q2" s="253"/>
      <c r="R2" s="103"/>
    </row>
    <row r="3" spans="2:18" s="6" customFormat="1" ht="22.25" customHeight="1">
      <c r="B3" s="237" t="s">
        <v>1</v>
      </c>
      <c r="C3" s="238" t="s">
        <v>12</v>
      </c>
      <c r="D3" s="237" t="s">
        <v>0</v>
      </c>
      <c r="E3" s="255" t="s">
        <v>68</v>
      </c>
      <c r="F3" s="239" t="s">
        <v>32</v>
      </c>
      <c r="G3" s="240"/>
      <c r="H3" s="240"/>
      <c r="I3" s="240"/>
      <c r="J3" s="240"/>
      <c r="K3" s="240"/>
      <c r="L3" s="240"/>
      <c r="M3" s="240"/>
      <c r="N3" s="240"/>
      <c r="O3" s="241"/>
      <c r="P3" s="238" t="s">
        <v>239</v>
      </c>
      <c r="Q3" s="238"/>
      <c r="R3" s="100"/>
    </row>
    <row r="4" spans="2:18" s="6" customFormat="1" ht="46.5" customHeight="1">
      <c r="B4" s="237"/>
      <c r="C4" s="238"/>
      <c r="D4" s="237"/>
      <c r="E4" s="256"/>
      <c r="F4" s="239" t="str">
        <f>'1. rPET'!F4</f>
        <v>Tháng …. (đã duyệt)</v>
      </c>
      <c r="G4" s="240"/>
      <c r="H4" s="240"/>
      <c r="I4" s="241"/>
      <c r="J4" s="239" t="str">
        <f>'1. rPET'!J4</f>
        <v>Tháng ….</v>
      </c>
      <c r="K4" s="240"/>
      <c r="L4" s="240"/>
      <c r="M4" s="241"/>
      <c r="N4" s="239" t="str">
        <f>'1. rPET'!N4</f>
        <v>Chênh lệch
 tháng …. vs tháng ….</v>
      </c>
      <c r="O4" s="241"/>
      <c r="P4" s="238"/>
      <c r="Q4" s="238"/>
      <c r="R4" s="100"/>
    </row>
    <row r="5" spans="2:18" s="8" customFormat="1" ht="79.25" customHeight="1">
      <c r="B5" s="237"/>
      <c r="C5" s="238"/>
      <c r="D5" s="237"/>
      <c r="E5" s="257"/>
      <c r="F5" s="13" t="s">
        <v>35</v>
      </c>
      <c r="G5" s="13" t="s">
        <v>43</v>
      </c>
      <c r="H5" s="13" t="s">
        <v>41</v>
      </c>
      <c r="I5" s="14" t="s">
        <v>42</v>
      </c>
      <c r="J5" s="13" t="s">
        <v>35</v>
      </c>
      <c r="K5" s="13" t="s">
        <v>43</v>
      </c>
      <c r="L5" s="13" t="s">
        <v>41</v>
      </c>
      <c r="M5" s="14" t="s">
        <v>42</v>
      </c>
      <c r="N5" s="19" t="s">
        <v>36</v>
      </c>
      <c r="O5" s="19" t="s">
        <v>37</v>
      </c>
      <c r="P5" s="13" t="s">
        <v>36</v>
      </c>
      <c r="Q5" s="157" t="s">
        <v>37</v>
      </c>
      <c r="R5" s="101"/>
    </row>
    <row r="6" spans="2:18" s="134" customFormat="1" ht="21" customHeight="1">
      <c r="B6" s="197" t="s">
        <v>110</v>
      </c>
      <c r="C6" s="198"/>
      <c r="D6" s="199"/>
      <c r="E6" s="200"/>
      <c r="F6" s="198"/>
      <c r="G6" s="198"/>
      <c r="H6" s="198"/>
      <c r="I6" s="201"/>
      <c r="J6" s="198"/>
      <c r="K6" s="198"/>
      <c r="L6" s="198"/>
      <c r="M6" s="201"/>
      <c r="N6" s="202"/>
      <c r="O6" s="202"/>
      <c r="P6" s="198"/>
      <c r="Q6" s="198"/>
    </row>
    <row r="7" spans="2:18" s="2" customFormat="1" ht="22.5" customHeight="1">
      <c r="B7" s="9">
        <v>1</v>
      </c>
      <c r="C7" s="9" t="s">
        <v>88</v>
      </c>
      <c r="D7" s="16" t="s">
        <v>96</v>
      </c>
      <c r="E7" s="16" t="s">
        <v>95</v>
      </c>
      <c r="F7" s="10"/>
      <c r="G7" s="17"/>
      <c r="H7" s="10"/>
      <c r="I7" s="73"/>
      <c r="J7" s="10"/>
      <c r="K7" s="17"/>
      <c r="L7" s="10"/>
      <c r="M7" s="73"/>
      <c r="N7" s="10"/>
      <c r="O7" s="17"/>
      <c r="P7" s="109"/>
      <c r="Q7" s="17"/>
      <c r="R7" s="102"/>
    </row>
    <row r="8" spans="2:18" s="2" customFormat="1" ht="22.5" hidden="1" customHeight="1">
      <c r="B8" s="9">
        <v>2</v>
      </c>
      <c r="C8" s="9" t="s">
        <v>89</v>
      </c>
      <c r="D8" s="16" t="s">
        <v>92</v>
      </c>
      <c r="E8" s="16"/>
      <c r="F8" s="10">
        <v>850</v>
      </c>
      <c r="G8" s="17">
        <f t="shared" ref="G8:G9" si="0">H8/F8</f>
        <v>4.7058823529411764E-2</v>
      </c>
      <c r="H8" s="10">
        <f t="shared" ref="H8:H9" si="1">F8-I8</f>
        <v>40</v>
      </c>
      <c r="I8" s="73">
        <v>810</v>
      </c>
      <c r="J8" s="10">
        <v>850</v>
      </c>
      <c r="K8" s="17">
        <f t="shared" ref="K8:K9" si="2">L8/J8</f>
        <v>4.7058823529411764E-2</v>
      </c>
      <c r="L8" s="10">
        <f t="shared" ref="L8:L9" si="3">J8-M8</f>
        <v>40</v>
      </c>
      <c r="M8" s="73">
        <v>810</v>
      </c>
      <c r="N8" s="10">
        <f t="shared" ref="N8:N10" si="4">M8-I8</f>
        <v>0</v>
      </c>
      <c r="O8" s="17">
        <f t="shared" ref="O8:O10" si="5">1-(I8/M8)</f>
        <v>0</v>
      </c>
      <c r="P8" s="109">
        <f t="shared" ref="P8:P9" si="6">M8-$R$1</f>
        <v>810</v>
      </c>
      <c r="Q8" s="17" t="e">
        <f t="shared" ref="Q8:Q9" si="7">P8/$R$1</f>
        <v>#DIV/0!</v>
      </c>
      <c r="R8" s="102"/>
    </row>
    <row r="9" spans="2:18" s="2" customFormat="1" ht="22.5" hidden="1" customHeight="1">
      <c r="B9" s="9">
        <v>3</v>
      </c>
      <c r="C9" s="9" t="s">
        <v>90</v>
      </c>
      <c r="D9" s="16" t="s">
        <v>93</v>
      </c>
      <c r="E9" s="16"/>
      <c r="F9" s="10">
        <v>850</v>
      </c>
      <c r="G9" s="17">
        <f t="shared" si="0"/>
        <v>4.7058823529411764E-2</v>
      </c>
      <c r="H9" s="10">
        <f t="shared" si="1"/>
        <v>40</v>
      </c>
      <c r="I9" s="73">
        <v>810</v>
      </c>
      <c r="J9" s="10">
        <v>850</v>
      </c>
      <c r="K9" s="17">
        <f t="shared" si="2"/>
        <v>4.7058823529411764E-2</v>
      </c>
      <c r="L9" s="10">
        <f t="shared" si="3"/>
        <v>40</v>
      </c>
      <c r="M9" s="73">
        <v>810</v>
      </c>
      <c r="N9" s="10">
        <f t="shared" si="4"/>
        <v>0</v>
      </c>
      <c r="O9" s="17">
        <f t="shared" si="5"/>
        <v>0</v>
      </c>
      <c r="P9" s="109">
        <f t="shared" si="6"/>
        <v>810</v>
      </c>
      <c r="Q9" s="17" t="e">
        <f t="shared" si="7"/>
        <v>#DIV/0!</v>
      </c>
      <c r="R9" s="102"/>
    </row>
    <row r="10" spans="2:18" s="2" customFormat="1" ht="22.5" hidden="1" customHeight="1">
      <c r="B10" s="9">
        <v>4</v>
      </c>
      <c r="C10" s="9" t="s">
        <v>91</v>
      </c>
      <c r="D10" s="16" t="s">
        <v>94</v>
      </c>
      <c r="E10" s="16"/>
      <c r="F10" s="10">
        <v>850</v>
      </c>
      <c r="G10" s="17">
        <f>H10/F10</f>
        <v>4.7058823529411764E-2</v>
      </c>
      <c r="H10" s="10">
        <f>F10-I10</f>
        <v>40</v>
      </c>
      <c r="I10" s="73">
        <v>810</v>
      </c>
      <c r="J10" s="10">
        <v>850</v>
      </c>
      <c r="K10" s="17">
        <f>L10/J10</f>
        <v>4.7058823529411764E-2</v>
      </c>
      <c r="L10" s="10">
        <f>J10-M10</f>
        <v>40</v>
      </c>
      <c r="M10" s="73">
        <v>810</v>
      </c>
      <c r="N10" s="10">
        <f t="shared" si="4"/>
        <v>0</v>
      </c>
      <c r="O10" s="17">
        <f t="shared" si="5"/>
        <v>0</v>
      </c>
      <c r="P10" s="109">
        <f t="shared" ref="P10" si="8">M10-$R$1</f>
        <v>810</v>
      </c>
      <c r="Q10" s="17" t="e">
        <f t="shared" ref="Q10" si="9">P10/$R$1</f>
        <v>#DIV/0!</v>
      </c>
      <c r="R10" s="102"/>
    </row>
    <row r="11" spans="2:18" s="37" customFormat="1" ht="15" customHeight="1">
      <c r="B11" s="22"/>
      <c r="C11" s="22"/>
      <c r="D11" s="22"/>
      <c r="E11" s="22"/>
      <c r="F11" s="45"/>
      <c r="G11" s="39"/>
      <c r="H11" s="39"/>
      <c r="I11" s="40"/>
      <c r="J11" s="24"/>
      <c r="K11" s="24"/>
      <c r="L11" s="24"/>
      <c r="M11" s="24"/>
      <c r="N11" s="24"/>
      <c r="O11" s="24"/>
      <c r="P11" s="24"/>
      <c r="Q11" s="68"/>
      <c r="R11" s="103"/>
    </row>
    <row r="12" spans="2:18" ht="17.399999999999999" customHeight="1">
      <c r="B12" s="76" t="s">
        <v>8</v>
      </c>
      <c r="G12" s="31"/>
      <c r="H12" s="31"/>
      <c r="I12" s="31"/>
      <c r="K12" s="31"/>
      <c r="L12" s="31"/>
      <c r="M12" s="31"/>
      <c r="N12" s="31"/>
      <c r="O12" s="31"/>
      <c r="P12" s="31"/>
      <c r="Q12" s="38"/>
    </row>
    <row r="13" spans="2:18">
      <c r="B13" s="70" t="s">
        <v>112</v>
      </c>
      <c r="G13" s="60"/>
      <c r="M13" s="35"/>
      <c r="N13" s="35"/>
      <c r="Q13" s="69"/>
    </row>
    <row r="14" spans="2:18">
      <c r="B14" s="34" t="s">
        <v>111</v>
      </c>
      <c r="Q14" s="36"/>
    </row>
    <row r="15" spans="2:18">
      <c r="Q15" s="36" t="str">
        <f>'2. rPET- nội bộ '!O35</f>
        <v>Ngày …. tháng ….. năm …....</v>
      </c>
    </row>
    <row r="16" spans="2:18" s="29" customFormat="1">
      <c r="B16" s="236" t="s">
        <v>24</v>
      </c>
      <c r="C16" s="236"/>
      <c r="D16" s="235" t="s">
        <v>25</v>
      </c>
      <c r="E16" s="235"/>
      <c r="F16" s="235"/>
      <c r="G16" s="30"/>
      <c r="H16" s="30" t="s">
        <v>33</v>
      </c>
      <c r="I16" s="30"/>
      <c r="L16" s="30" t="s">
        <v>34</v>
      </c>
      <c r="N16" s="30"/>
      <c r="O16" s="28"/>
      <c r="P16" s="235" t="s">
        <v>26</v>
      </c>
      <c r="Q16" s="235"/>
      <c r="R16" s="72"/>
    </row>
    <row r="17" spans="2:18" s="29" customFormat="1">
      <c r="B17" s="27"/>
      <c r="C17" s="27"/>
      <c r="D17" s="30"/>
      <c r="F17" s="30"/>
      <c r="G17" s="30"/>
      <c r="H17" s="30"/>
      <c r="I17" s="30"/>
      <c r="O17" s="28"/>
      <c r="P17" s="30"/>
      <c r="R17" s="72"/>
    </row>
    <row r="18" spans="2:18" s="29" customFormat="1">
      <c r="B18" s="32"/>
      <c r="C18" s="32"/>
      <c r="D18" s="33"/>
      <c r="F18" s="33"/>
      <c r="G18" s="33"/>
      <c r="H18" s="33"/>
      <c r="I18" s="33"/>
      <c r="O18" s="28"/>
      <c r="P18" s="30"/>
      <c r="R18" s="72"/>
    </row>
    <row r="19" spans="2:18" s="29" customFormat="1">
      <c r="B19" s="32"/>
      <c r="C19" s="32"/>
      <c r="D19" s="33"/>
      <c r="F19" s="33"/>
      <c r="G19" s="33"/>
      <c r="H19" s="33"/>
      <c r="I19" s="33"/>
      <c r="O19" s="28"/>
      <c r="P19" s="30"/>
      <c r="Q19" s="29" t="s">
        <v>10</v>
      </c>
      <c r="R19" s="72"/>
    </row>
    <row r="20" spans="2:18" s="29" customFormat="1">
      <c r="B20" s="27"/>
      <c r="C20" s="27"/>
      <c r="D20" s="30"/>
      <c r="F20" s="30"/>
      <c r="G20" s="30"/>
      <c r="H20" s="30"/>
      <c r="I20" s="30"/>
      <c r="O20" s="28"/>
      <c r="P20" s="30"/>
      <c r="R20" s="72"/>
    </row>
    <row r="21" spans="2:18" s="29" customFormat="1">
      <c r="B21" s="236"/>
      <c r="C21" s="236"/>
      <c r="D21" s="235"/>
      <c r="E21" s="235"/>
      <c r="F21" s="235"/>
      <c r="G21" s="30"/>
      <c r="H21" s="30"/>
      <c r="I21" s="30"/>
      <c r="L21" s="30"/>
      <c r="N21" s="30"/>
      <c r="O21" s="28"/>
      <c r="P21" s="235"/>
      <c r="Q21" s="235"/>
      <c r="R21" s="72"/>
    </row>
  </sheetData>
  <mergeCells count="19">
    <mergeCell ref="P16:Q16"/>
    <mergeCell ref="B21:C21"/>
    <mergeCell ref="P21:Q21"/>
    <mergeCell ref="D16:F16"/>
    <mergeCell ref="D21:F21"/>
    <mergeCell ref="B16:C16"/>
    <mergeCell ref="N4:O4"/>
    <mergeCell ref="F4:I4"/>
    <mergeCell ref="J4:M4"/>
    <mergeCell ref="B1:C2"/>
    <mergeCell ref="D1:N2"/>
    <mergeCell ref="B3:B5"/>
    <mergeCell ref="C3:C5"/>
    <mergeCell ref="D3:D5"/>
    <mergeCell ref="E3:E5"/>
    <mergeCell ref="O1:Q1"/>
    <mergeCell ref="O2:Q2"/>
    <mergeCell ref="F3:O3"/>
    <mergeCell ref="P3:Q4"/>
  </mergeCells>
  <conditionalFormatting sqref="O7:O10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Q7:Q10">
    <cfRule type="iconSet" priority="21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31496062992125984" bottom="0.23622047244094491" header="0.11811023622047245" footer="0.31496062992125984"/>
  <pageSetup paperSize="9" scale="7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E203-2378-4FEC-96AD-A749C132D5F5}">
  <sheetPr>
    <pageSetUpPr fitToPage="1"/>
  </sheetPr>
  <dimension ref="B1:S33"/>
  <sheetViews>
    <sheetView showGridLines="0" zoomScale="80" zoomScaleNormal="80" zoomScaleSheetLayoutView="70" workbookViewId="0">
      <selection activeCell="M28" sqref="M28"/>
    </sheetView>
  </sheetViews>
  <sheetFormatPr defaultColWidth="8.6328125" defaultRowHeight="16.5"/>
  <cols>
    <col min="1" max="1" width="1.08984375" style="34" customWidth="1"/>
    <col min="2" max="2" width="5.1796875" style="34" customWidth="1"/>
    <col min="3" max="3" width="15.08984375" style="34" customWidth="1"/>
    <col min="4" max="4" width="34" style="34" customWidth="1"/>
    <col min="5" max="5" width="6.81640625" style="34" bestFit="1" customWidth="1"/>
    <col min="6" max="6" width="14.90625" style="34" bestFit="1" customWidth="1"/>
    <col min="7" max="9" width="9.453125" style="34" customWidth="1"/>
    <col min="10" max="10" width="11.6328125" style="34" customWidth="1"/>
    <col min="11" max="13" width="9.453125" style="34" customWidth="1"/>
    <col min="14" max="14" width="11.6328125" style="34" customWidth="1"/>
    <col min="15" max="15" width="11" style="34" customWidth="1"/>
    <col min="16" max="16" width="13.08984375" style="34" customWidth="1"/>
    <col min="17" max="17" width="10.1796875" style="34" customWidth="1"/>
    <col min="18" max="18" width="11.26953125" style="70" customWidth="1"/>
    <col min="19" max="19" width="8.6328125" style="70" customWidth="1"/>
    <col min="20" max="21" width="8.6328125" style="34" customWidth="1"/>
    <col min="22" max="16384" width="8.6328125" style="34"/>
  </cols>
  <sheetData>
    <row r="1" spans="2:19" s="37" customFormat="1" ht="29.4" customHeight="1">
      <c r="B1" s="254"/>
      <c r="C1" s="254"/>
      <c r="D1" s="248" t="s">
        <v>243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53" t="s">
        <v>242</v>
      </c>
      <c r="Q1" s="253"/>
      <c r="R1" s="253"/>
      <c r="S1" s="103"/>
    </row>
    <row r="2" spans="2:19" s="37" customFormat="1" ht="29.4" customHeight="1">
      <c r="B2" s="254"/>
      <c r="C2" s="254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53" t="s">
        <v>218</v>
      </c>
      <c r="Q2" s="253"/>
      <c r="R2" s="253"/>
      <c r="S2" s="103"/>
    </row>
    <row r="3" spans="2:19" s="6" customFormat="1" ht="28.75" customHeight="1">
      <c r="B3" s="237" t="s">
        <v>1</v>
      </c>
      <c r="C3" s="238" t="s">
        <v>12</v>
      </c>
      <c r="D3" s="237" t="s">
        <v>0</v>
      </c>
      <c r="E3" s="255" t="s">
        <v>68</v>
      </c>
      <c r="F3" s="258" t="s">
        <v>134</v>
      </c>
      <c r="G3" s="239" t="s">
        <v>32</v>
      </c>
      <c r="H3" s="240"/>
      <c r="I3" s="240"/>
      <c r="J3" s="240"/>
      <c r="K3" s="240"/>
      <c r="L3" s="240"/>
      <c r="M3" s="240"/>
      <c r="N3" s="240"/>
      <c r="O3" s="240"/>
      <c r="P3" s="241"/>
      <c r="Q3" s="238" t="s">
        <v>224</v>
      </c>
      <c r="R3" s="238"/>
      <c r="S3" s="100"/>
    </row>
    <row r="4" spans="2:19" s="6" customFormat="1" ht="35.4" customHeight="1">
      <c r="B4" s="237"/>
      <c r="C4" s="238"/>
      <c r="D4" s="237"/>
      <c r="E4" s="256"/>
      <c r="F4" s="259"/>
      <c r="G4" s="239" t="str">
        <f>'1. rPET'!F4</f>
        <v>Tháng …. (đã duyệt)</v>
      </c>
      <c r="H4" s="240"/>
      <c r="I4" s="240"/>
      <c r="J4" s="241"/>
      <c r="K4" s="239" t="str">
        <f>'1. rPET'!J4</f>
        <v>Tháng ….</v>
      </c>
      <c r="L4" s="240"/>
      <c r="M4" s="240"/>
      <c r="N4" s="241"/>
      <c r="O4" s="239" t="str">
        <f>'1. rPET'!N4</f>
        <v>Chênh lệch
 tháng …. vs tháng ….</v>
      </c>
      <c r="P4" s="241"/>
      <c r="Q4" s="238"/>
      <c r="R4" s="238"/>
      <c r="S4" s="100"/>
    </row>
    <row r="5" spans="2:19" s="8" customFormat="1" ht="79.25" customHeight="1">
      <c r="B5" s="237"/>
      <c r="C5" s="238"/>
      <c r="D5" s="237"/>
      <c r="E5" s="257"/>
      <c r="F5" s="260"/>
      <c r="G5" s="13" t="s">
        <v>35</v>
      </c>
      <c r="H5" s="13" t="s">
        <v>43</v>
      </c>
      <c r="I5" s="13" t="s">
        <v>41</v>
      </c>
      <c r="J5" s="14" t="s">
        <v>42</v>
      </c>
      <c r="K5" s="13" t="s">
        <v>35</v>
      </c>
      <c r="L5" s="13" t="s">
        <v>43</v>
      </c>
      <c r="M5" s="13" t="s">
        <v>41</v>
      </c>
      <c r="N5" s="14" t="s">
        <v>42</v>
      </c>
      <c r="O5" s="19" t="s">
        <v>36</v>
      </c>
      <c r="P5" s="19" t="s">
        <v>37</v>
      </c>
      <c r="Q5" s="19" t="s">
        <v>36</v>
      </c>
      <c r="R5" s="66" t="s">
        <v>37</v>
      </c>
      <c r="S5" s="101"/>
    </row>
    <row r="6" spans="2:19" s="134" customFormat="1" ht="25.25" customHeight="1">
      <c r="B6" s="197" t="s">
        <v>110</v>
      </c>
      <c r="C6" s="198"/>
      <c r="D6" s="199"/>
      <c r="E6" s="200"/>
      <c r="F6" s="200"/>
      <c r="G6" s="198"/>
      <c r="H6" s="198"/>
      <c r="I6" s="198"/>
      <c r="J6" s="201"/>
      <c r="K6" s="198"/>
      <c r="L6" s="198"/>
      <c r="M6" s="198"/>
      <c r="N6" s="201"/>
      <c r="O6" s="202"/>
      <c r="P6" s="202"/>
      <c r="Q6" s="204"/>
      <c r="R6" s="202"/>
    </row>
    <row r="7" spans="2:19" s="2" customFormat="1" ht="26.4" customHeight="1">
      <c r="B7" s="9">
        <v>1</v>
      </c>
      <c r="C7" s="9">
        <v>110000464</v>
      </c>
      <c r="D7" s="16" t="s">
        <v>136</v>
      </c>
      <c r="E7" s="9" t="s">
        <v>132</v>
      </c>
      <c r="F7" s="16"/>
      <c r="G7" s="10"/>
      <c r="H7" s="17"/>
      <c r="I7" s="10"/>
      <c r="J7" s="73"/>
      <c r="K7" s="10"/>
      <c r="L7" s="17"/>
      <c r="M7" s="10"/>
      <c r="N7" s="73"/>
      <c r="O7" s="10"/>
      <c r="P7" s="17"/>
      <c r="Q7" s="75"/>
      <c r="R7" s="17"/>
      <c r="S7" s="108"/>
    </row>
    <row r="8" spans="2:19" s="2" customFormat="1" ht="26.4" customHeight="1">
      <c r="B8" s="9">
        <v>2</v>
      </c>
      <c r="C8" s="9">
        <v>110000465</v>
      </c>
      <c r="D8" s="16" t="s">
        <v>137</v>
      </c>
      <c r="E8" s="9" t="s">
        <v>131</v>
      </c>
      <c r="F8" s="16"/>
      <c r="G8" s="10"/>
      <c r="H8" s="17"/>
      <c r="I8" s="10"/>
      <c r="J8" s="73"/>
      <c r="K8" s="10"/>
      <c r="L8" s="17"/>
      <c r="M8" s="10"/>
      <c r="N8" s="73"/>
      <c r="O8" s="10"/>
      <c r="P8" s="17"/>
      <c r="Q8" s="75"/>
      <c r="R8" s="17"/>
      <c r="S8" s="108"/>
    </row>
    <row r="9" spans="2:19" s="2" customFormat="1" ht="26.4" customHeight="1">
      <c r="B9" s="9">
        <v>3</v>
      </c>
      <c r="C9" s="9">
        <v>110000436</v>
      </c>
      <c r="D9" s="16" t="s">
        <v>152</v>
      </c>
      <c r="E9" s="9" t="s">
        <v>131</v>
      </c>
      <c r="F9" s="16"/>
      <c r="G9" s="10"/>
      <c r="H9" s="17"/>
      <c r="I9" s="10"/>
      <c r="J9" s="73"/>
      <c r="K9" s="10"/>
      <c r="L9" s="17"/>
      <c r="M9" s="10"/>
      <c r="N9" s="73"/>
      <c r="O9" s="10"/>
      <c r="P9" s="17"/>
      <c r="Q9" s="75"/>
      <c r="R9" s="17"/>
      <c r="S9" s="108"/>
    </row>
    <row r="10" spans="2:19" s="2" customFormat="1" ht="26.4" customHeight="1">
      <c r="B10" s="9">
        <v>4</v>
      </c>
      <c r="C10" s="9">
        <v>110000466</v>
      </c>
      <c r="D10" s="16" t="s">
        <v>153</v>
      </c>
      <c r="E10" s="9" t="s">
        <v>131</v>
      </c>
      <c r="F10" s="16"/>
      <c r="G10" s="10"/>
      <c r="H10" s="17"/>
      <c r="I10" s="10"/>
      <c r="J10" s="73"/>
      <c r="K10" s="10"/>
      <c r="L10" s="17"/>
      <c r="M10" s="10"/>
      <c r="N10" s="73"/>
      <c r="O10" s="10"/>
      <c r="P10" s="17"/>
      <c r="Q10" s="75"/>
      <c r="R10" s="17"/>
      <c r="S10" s="108"/>
    </row>
    <row r="11" spans="2:19" s="2" customFormat="1" ht="26.4" customHeight="1">
      <c r="B11" s="9">
        <v>5</v>
      </c>
      <c r="C11" s="9">
        <v>110000467</v>
      </c>
      <c r="D11" s="16" t="s">
        <v>154</v>
      </c>
      <c r="E11" s="9" t="s">
        <v>131</v>
      </c>
      <c r="F11" s="16"/>
      <c r="G11" s="10"/>
      <c r="H11" s="17"/>
      <c r="I11" s="10"/>
      <c r="J11" s="73"/>
      <c r="K11" s="10"/>
      <c r="L11" s="17"/>
      <c r="M11" s="10"/>
      <c r="N11" s="73"/>
      <c r="O11" s="10"/>
      <c r="P11" s="17"/>
      <c r="Q11" s="75"/>
      <c r="R11" s="17"/>
      <c r="S11" s="108"/>
    </row>
    <row r="12" spans="2:19" s="2" customFormat="1" ht="26.4" customHeight="1">
      <c r="B12" s="9">
        <v>6</v>
      </c>
      <c r="C12" s="9">
        <v>110000341</v>
      </c>
      <c r="D12" s="16" t="s">
        <v>158</v>
      </c>
      <c r="E12" s="9" t="s">
        <v>78</v>
      </c>
      <c r="F12" s="16"/>
      <c r="G12" s="10"/>
      <c r="H12" s="17"/>
      <c r="I12" s="10"/>
      <c r="J12" s="73"/>
      <c r="K12" s="10"/>
      <c r="L12" s="17"/>
      <c r="M12" s="10"/>
      <c r="N12" s="73"/>
      <c r="O12" s="10"/>
      <c r="P12" s="17"/>
      <c r="Q12" s="75"/>
      <c r="R12" s="17"/>
      <c r="S12" s="145"/>
    </row>
    <row r="13" spans="2:19" s="2" customFormat="1" ht="26.4" customHeight="1">
      <c r="B13" s="9">
        <v>7</v>
      </c>
      <c r="C13" s="9">
        <v>110000433</v>
      </c>
      <c r="D13" s="16" t="s">
        <v>159</v>
      </c>
      <c r="E13" s="9" t="s">
        <v>131</v>
      </c>
      <c r="F13" s="16"/>
      <c r="G13" s="10"/>
      <c r="H13" s="17"/>
      <c r="I13" s="10"/>
      <c r="J13" s="73"/>
      <c r="K13" s="10"/>
      <c r="L13" s="17"/>
      <c r="M13" s="10"/>
      <c r="N13" s="73"/>
      <c r="O13" s="10"/>
      <c r="P13" s="17"/>
      <c r="Q13" s="75"/>
      <c r="R13" s="17"/>
      <c r="S13" s="145"/>
    </row>
    <row r="14" spans="2:19" s="2" customFormat="1" ht="26.4" customHeight="1">
      <c r="B14" s="9">
        <v>8</v>
      </c>
      <c r="C14" s="9">
        <v>110000431</v>
      </c>
      <c r="D14" s="124" t="s">
        <v>157</v>
      </c>
      <c r="E14" s="203" t="s">
        <v>133</v>
      </c>
      <c r="F14" s="16"/>
      <c r="G14" s="10"/>
      <c r="H14" s="17"/>
      <c r="I14" s="10"/>
      <c r="J14" s="73"/>
      <c r="K14" s="10"/>
      <c r="L14" s="17"/>
      <c r="M14" s="10"/>
      <c r="N14" s="73"/>
      <c r="O14" s="10"/>
      <c r="P14" s="17"/>
      <c r="Q14" s="75"/>
      <c r="R14" s="17"/>
      <c r="S14" s="108"/>
    </row>
    <row r="15" spans="2:19" s="2" customFormat="1" ht="26.4" customHeight="1">
      <c r="B15" s="9">
        <v>9</v>
      </c>
      <c r="C15" s="9">
        <v>110000392</v>
      </c>
      <c r="D15" s="16" t="s">
        <v>128</v>
      </c>
      <c r="E15" s="9" t="s">
        <v>78</v>
      </c>
      <c r="F15" s="16"/>
      <c r="G15" s="10"/>
      <c r="H15" s="17"/>
      <c r="I15" s="10"/>
      <c r="J15" s="73"/>
      <c r="K15" s="10"/>
      <c r="L15" s="17"/>
      <c r="M15" s="10"/>
      <c r="N15" s="73"/>
      <c r="O15" s="10"/>
      <c r="P15" s="17"/>
      <c r="Q15" s="75"/>
      <c r="R15" s="17"/>
      <c r="S15" s="108"/>
    </row>
    <row r="16" spans="2:19" s="37" customFormat="1" ht="26.4" customHeight="1">
      <c r="B16" s="22"/>
      <c r="C16" s="22"/>
      <c r="D16" s="22"/>
      <c r="E16" s="22"/>
      <c r="F16" s="22"/>
      <c r="G16" s="45"/>
      <c r="H16" s="39"/>
      <c r="I16" s="39"/>
      <c r="J16" s="40"/>
      <c r="K16" s="24"/>
      <c r="L16" s="24"/>
      <c r="M16" s="24"/>
      <c r="N16" s="24"/>
      <c r="O16" s="24"/>
      <c r="P16" s="24"/>
      <c r="Q16" s="24"/>
      <c r="R16" s="68"/>
      <c r="S16" s="103"/>
    </row>
    <row r="17" spans="2:19" ht="16.75" customHeight="1">
      <c r="B17" s="76" t="s">
        <v>8</v>
      </c>
      <c r="H17" s="31"/>
      <c r="I17" s="31"/>
      <c r="J17" s="31"/>
      <c r="L17" s="31"/>
      <c r="M17" s="31"/>
      <c r="N17" s="31"/>
      <c r="O17" s="31"/>
      <c r="P17" s="31"/>
      <c r="Q17" s="31"/>
      <c r="R17" s="38"/>
    </row>
    <row r="18" spans="2:19">
      <c r="B18" s="70" t="s">
        <v>112</v>
      </c>
      <c r="H18" s="60"/>
      <c r="L18" s="130"/>
      <c r="N18" s="35"/>
      <c r="O18" s="35"/>
      <c r="R18" s="69"/>
    </row>
    <row r="19" spans="2:19">
      <c r="B19" s="34" t="s">
        <v>111</v>
      </c>
      <c r="L19" s="130"/>
      <c r="R19" s="36"/>
    </row>
    <row r="20" spans="2:19">
      <c r="L20" s="130"/>
      <c r="Q20" s="36"/>
      <c r="R20" s="36" t="str">
        <f>'2. rPET- nội bộ '!O35</f>
        <v>Ngày …. tháng ….. năm …....</v>
      </c>
    </row>
    <row r="21" spans="2:19" s="29" customFormat="1">
      <c r="B21" s="236" t="s">
        <v>24</v>
      </c>
      <c r="C21" s="236"/>
      <c r="D21" s="235" t="s">
        <v>25</v>
      </c>
      <c r="E21" s="235"/>
      <c r="F21" s="235"/>
      <c r="G21" s="235"/>
      <c r="H21" s="30"/>
      <c r="I21" s="30" t="s">
        <v>33</v>
      </c>
      <c r="J21" s="30"/>
      <c r="M21" s="30" t="s">
        <v>34</v>
      </c>
      <c r="O21" s="30"/>
      <c r="P21" s="28"/>
      <c r="Q21" s="235" t="s">
        <v>26</v>
      </c>
      <c r="R21" s="235"/>
      <c r="S21" s="72"/>
    </row>
    <row r="22" spans="2:19" s="29" customFormat="1">
      <c r="B22" s="144"/>
      <c r="C22" s="144"/>
      <c r="D22" s="30"/>
      <c r="E22" s="30"/>
      <c r="G22" s="30"/>
      <c r="H22" s="30"/>
      <c r="I22" s="30"/>
      <c r="J22" s="30"/>
      <c r="P22" s="28"/>
      <c r="Q22" s="30"/>
      <c r="S22" s="72"/>
    </row>
    <row r="23" spans="2:19" s="29" customFormat="1">
      <c r="B23" s="146"/>
      <c r="C23" s="146"/>
      <c r="D23" s="33"/>
      <c r="E23" s="33"/>
      <c r="G23" s="33"/>
      <c r="H23" s="33"/>
      <c r="I23" s="33"/>
      <c r="J23" s="33"/>
      <c r="P23" s="28"/>
      <c r="Q23" s="30"/>
      <c r="S23" s="72"/>
    </row>
    <row r="24" spans="2:19" s="29" customFormat="1">
      <c r="B24" s="146"/>
      <c r="C24" s="146"/>
      <c r="D24" s="33"/>
      <c r="E24" s="33"/>
      <c r="G24" s="33"/>
      <c r="H24" s="33"/>
      <c r="I24" s="33"/>
      <c r="J24" s="33"/>
      <c r="P24" s="28"/>
      <c r="Q24" s="30"/>
      <c r="R24" s="29" t="s">
        <v>10</v>
      </c>
      <c r="S24" s="72"/>
    </row>
    <row r="25" spans="2:19" s="29" customFormat="1">
      <c r="B25" s="144"/>
      <c r="C25" s="144"/>
      <c r="D25" s="30"/>
      <c r="E25" s="30"/>
      <c r="G25" s="30"/>
      <c r="H25" s="30"/>
      <c r="I25" s="30"/>
      <c r="J25" s="30"/>
      <c r="P25" s="28"/>
      <c r="Q25" s="30"/>
      <c r="S25" s="72"/>
    </row>
    <row r="26" spans="2:19" s="29" customFormat="1">
      <c r="B26" s="236"/>
      <c r="C26" s="236"/>
      <c r="D26" s="235"/>
      <c r="E26" s="235"/>
      <c r="F26" s="235"/>
      <c r="G26" s="235"/>
      <c r="H26" s="30"/>
      <c r="I26" s="30"/>
      <c r="J26" s="30"/>
      <c r="M26" s="30"/>
      <c r="O26" s="30"/>
      <c r="P26" s="28"/>
      <c r="Q26" s="235"/>
      <c r="R26" s="235"/>
      <c r="S26" s="72"/>
    </row>
    <row r="27" spans="2:19">
      <c r="B27" s="31"/>
      <c r="C27" s="31"/>
      <c r="L27" s="130"/>
    </row>
    <row r="28" spans="2:19" s="29" customFormat="1">
      <c r="B28" s="236"/>
      <c r="C28" s="236"/>
      <c r="D28" s="30"/>
      <c r="E28" s="30"/>
      <c r="F28" s="30"/>
      <c r="G28" s="30"/>
      <c r="H28" s="30"/>
      <c r="I28" s="30"/>
      <c r="J28" s="30"/>
      <c r="L28" s="131"/>
      <c r="M28" s="30"/>
      <c r="O28" s="30"/>
      <c r="P28" s="28"/>
      <c r="Q28" s="122"/>
      <c r="R28" s="122"/>
      <c r="S28" s="72"/>
    </row>
    <row r="29" spans="2:19" s="29" customFormat="1">
      <c r="B29" s="27"/>
      <c r="C29" s="27"/>
      <c r="D29" s="30"/>
      <c r="E29" s="30"/>
      <c r="F29" s="30"/>
      <c r="G29" s="30"/>
      <c r="H29" s="30"/>
      <c r="I29" s="30"/>
      <c r="J29" s="30"/>
      <c r="P29" s="28"/>
      <c r="Q29" s="30"/>
      <c r="S29" s="72"/>
    </row>
    <row r="30" spans="2:19" s="29" customFormat="1">
      <c r="B30" s="32"/>
      <c r="C30" s="32"/>
      <c r="D30" s="33"/>
      <c r="E30" s="33"/>
      <c r="F30" s="33"/>
      <c r="G30" s="33"/>
      <c r="H30" s="33"/>
      <c r="I30" s="33"/>
      <c r="J30" s="33"/>
      <c r="P30" s="28"/>
      <c r="Q30" s="30"/>
      <c r="S30" s="72"/>
    </row>
    <row r="31" spans="2:19" s="29" customFormat="1">
      <c r="B31" s="32"/>
      <c r="C31" s="32"/>
      <c r="D31" s="33"/>
      <c r="E31" s="33"/>
      <c r="F31" s="33"/>
      <c r="G31" s="33"/>
      <c r="H31" s="33"/>
      <c r="I31" s="33"/>
      <c r="J31" s="33"/>
      <c r="P31" s="28"/>
      <c r="Q31" s="30"/>
      <c r="S31" s="72"/>
    </row>
    <row r="32" spans="2:19" s="29" customFormat="1">
      <c r="B32" s="27"/>
      <c r="C32" s="27"/>
      <c r="D32" s="30"/>
      <c r="E32" s="30"/>
      <c r="F32" s="30"/>
      <c r="G32" s="30"/>
      <c r="H32" s="30"/>
      <c r="I32" s="30"/>
      <c r="J32" s="30"/>
      <c r="P32" s="28"/>
      <c r="Q32" s="30"/>
      <c r="S32" s="72"/>
    </row>
    <row r="33" spans="2:19" s="29" customFormat="1">
      <c r="B33" s="236"/>
      <c r="C33" s="236"/>
      <c r="D33" s="30"/>
      <c r="E33" s="30"/>
      <c r="F33" s="30"/>
      <c r="G33" s="30"/>
      <c r="H33" s="30"/>
      <c r="I33" s="30"/>
      <c r="J33" s="30"/>
      <c r="M33" s="30"/>
      <c r="O33" s="30"/>
      <c r="P33" s="28"/>
      <c r="Q33" s="122"/>
      <c r="R33" s="122"/>
      <c r="S33" s="72"/>
    </row>
  </sheetData>
  <mergeCells count="22">
    <mergeCell ref="B1:C2"/>
    <mergeCell ref="D1:O2"/>
    <mergeCell ref="B28:C28"/>
    <mergeCell ref="B33:C33"/>
    <mergeCell ref="P1:R1"/>
    <mergeCell ref="P2:R2"/>
    <mergeCell ref="B3:B5"/>
    <mergeCell ref="C3:C5"/>
    <mergeCell ref="D3:D5"/>
    <mergeCell ref="F3:F5"/>
    <mergeCell ref="G3:P3"/>
    <mergeCell ref="Q3:R4"/>
    <mergeCell ref="G4:J4"/>
    <mergeCell ref="K4:N4"/>
    <mergeCell ref="O4:P4"/>
    <mergeCell ref="B21:C21"/>
    <mergeCell ref="E3:E5"/>
    <mergeCell ref="D21:G21"/>
    <mergeCell ref="Q21:R21"/>
    <mergeCell ref="B26:C26"/>
    <mergeCell ref="D26:G26"/>
    <mergeCell ref="Q26:R26"/>
  </mergeCells>
  <conditionalFormatting sqref="P7:P8 P14:P15">
    <cfRule type="iconSet" priority="62">
      <iconSet iconSet="3Arrows">
        <cfvo type="percent" val="0"/>
        <cfvo type="num" val="0"/>
        <cfvo type="num" val="0" gte="0"/>
      </iconSet>
    </cfRule>
  </conditionalFormatting>
  <conditionalFormatting sqref="P9:P13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R7:R15">
    <cfRule type="iconSet" priority="64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31496062992125984" bottom="0.23622047244094491" header="0.11811023622047245" footer="0.31496062992125984"/>
  <pageSetup paperSize="9" scale="71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EA59-B97A-449E-9C1B-A95DA8302630}">
  <sheetPr>
    <pageSetUpPr fitToPage="1"/>
  </sheetPr>
  <dimension ref="A1:Q31"/>
  <sheetViews>
    <sheetView showGridLines="0" tabSelected="1" zoomScaleNormal="100" zoomScaleSheetLayoutView="100" workbookViewId="0">
      <selection activeCell="L9" sqref="L9"/>
    </sheetView>
  </sheetViews>
  <sheetFormatPr defaultRowHeight="14.5"/>
  <cols>
    <col min="1" max="1" width="5.1796875" style="169" customWidth="1"/>
    <col min="2" max="2" width="12" style="169" customWidth="1"/>
    <col min="3" max="3" width="22.453125" style="169" bestFit="1" customWidth="1"/>
    <col min="4" max="14" width="9" customWidth="1"/>
    <col min="15" max="15" width="9.81640625" customWidth="1"/>
    <col min="16" max="16" width="9.90625" customWidth="1"/>
  </cols>
  <sheetData>
    <row r="1" spans="1:17" ht="25.75" customHeight="1">
      <c r="A1" s="261"/>
      <c r="B1" s="261"/>
      <c r="C1" s="262" t="s">
        <v>245</v>
      </c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53" t="s">
        <v>244</v>
      </c>
      <c r="P1" s="253"/>
      <c r="Q1" s="1"/>
    </row>
    <row r="2" spans="1:17" s="1" customFormat="1" ht="25.75" customHeight="1">
      <c r="A2" s="261"/>
      <c r="B2" s="261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53" t="s">
        <v>218</v>
      </c>
      <c r="P2" s="253"/>
    </row>
    <row r="3" spans="1:17" s="1" customFormat="1" ht="15.65" customHeight="1">
      <c r="A3" s="220"/>
      <c r="B3" s="221"/>
      <c r="C3" s="221"/>
      <c r="D3" s="222"/>
      <c r="E3" s="222"/>
      <c r="F3" s="222"/>
      <c r="G3" s="222"/>
      <c r="H3" s="222"/>
      <c r="I3" s="222"/>
      <c r="J3" s="222"/>
      <c r="K3" s="222"/>
      <c r="L3" s="222"/>
      <c r="M3" s="223"/>
      <c r="N3" s="223"/>
      <c r="O3" s="213"/>
      <c r="P3" s="224"/>
    </row>
    <row r="4" spans="1:17" s="1" customFormat="1" ht="13.75" customHeight="1">
      <c r="A4" s="225"/>
      <c r="B4" s="226"/>
      <c r="C4" s="226"/>
      <c r="D4" s="227" t="s">
        <v>207</v>
      </c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230"/>
    </row>
    <row r="5" spans="1:17" s="1" customFormat="1" ht="20.399999999999999" customHeight="1">
      <c r="A5" s="171" t="s">
        <v>208</v>
      </c>
      <c r="B5" s="172" t="s">
        <v>209</v>
      </c>
      <c r="C5" s="171" t="s">
        <v>210</v>
      </c>
      <c r="D5" s="171" t="s">
        <v>2</v>
      </c>
      <c r="E5" s="173">
        <v>1</v>
      </c>
      <c r="F5" s="173">
        <v>2</v>
      </c>
      <c r="G5" s="173">
        <v>3</v>
      </c>
      <c r="H5" s="173">
        <v>4</v>
      </c>
      <c r="I5" s="173">
        <v>5</v>
      </c>
      <c r="J5" s="173">
        <v>6</v>
      </c>
      <c r="K5" s="173">
        <v>7</v>
      </c>
      <c r="L5" s="173">
        <v>8</v>
      </c>
      <c r="M5" s="173">
        <v>9</v>
      </c>
      <c r="N5" s="173">
        <v>10</v>
      </c>
      <c r="O5" s="173">
        <v>11</v>
      </c>
      <c r="P5" s="173">
        <v>12</v>
      </c>
    </row>
    <row r="6" spans="1:17" s="1" customFormat="1" ht="20.399999999999999" customHeight="1">
      <c r="A6" s="174"/>
      <c r="B6" s="175"/>
      <c r="C6" s="176"/>
      <c r="D6" s="177"/>
      <c r="E6" s="178"/>
      <c r="F6" s="179"/>
      <c r="G6" s="179"/>
      <c r="H6" s="180"/>
      <c r="I6" s="180"/>
      <c r="J6" s="180"/>
      <c r="K6" s="180"/>
      <c r="L6" s="181"/>
      <c r="M6" s="179"/>
      <c r="N6" s="179"/>
      <c r="O6" s="178"/>
      <c r="P6" s="178"/>
    </row>
    <row r="7" spans="1:17" s="1" customFormat="1" ht="20.399999999999999" customHeight="1">
      <c r="A7" s="174"/>
      <c r="B7" s="175"/>
      <c r="C7" s="176"/>
      <c r="D7" s="177"/>
      <c r="E7" s="178"/>
      <c r="F7" s="179"/>
      <c r="G7" s="179"/>
      <c r="H7" s="180"/>
      <c r="I7" s="180"/>
      <c r="J7" s="180"/>
      <c r="K7" s="180"/>
      <c r="L7" s="181"/>
      <c r="M7" s="179"/>
      <c r="N7" s="179"/>
      <c r="O7" s="178"/>
      <c r="P7" s="178"/>
    </row>
    <row r="8" spans="1:17" s="1" customFormat="1" ht="20.399999999999999" customHeight="1">
      <c r="A8" s="174"/>
      <c r="B8" s="175"/>
      <c r="C8" s="176"/>
      <c r="D8" s="177"/>
      <c r="E8" s="178"/>
      <c r="F8" s="179"/>
      <c r="G8" s="179"/>
      <c r="H8" s="180"/>
      <c r="I8" s="180"/>
      <c r="J8" s="180"/>
      <c r="K8" s="180"/>
      <c r="L8" s="181"/>
      <c r="M8" s="179"/>
      <c r="N8" s="179"/>
      <c r="O8" s="178"/>
      <c r="P8" s="178"/>
    </row>
    <row r="9" spans="1:17" s="1" customFormat="1" ht="20.399999999999999" customHeight="1">
      <c r="A9" s="174"/>
      <c r="B9" s="175"/>
      <c r="C9" s="176"/>
      <c r="D9" s="177"/>
      <c r="E9" s="178"/>
      <c r="F9" s="179"/>
      <c r="G9" s="179"/>
      <c r="H9" s="180"/>
      <c r="I9" s="180"/>
      <c r="J9" s="180"/>
      <c r="K9" s="180"/>
      <c r="L9" s="181"/>
      <c r="M9" s="179"/>
      <c r="N9" s="179"/>
      <c r="O9" s="178"/>
      <c r="P9" s="178"/>
    </row>
    <row r="10" spans="1:17" s="1" customFormat="1" ht="20.399999999999999" customHeight="1">
      <c r="A10" s="174"/>
      <c r="B10" s="175"/>
      <c r="C10" s="176"/>
      <c r="D10" s="177"/>
      <c r="E10" s="178"/>
      <c r="F10" s="179"/>
      <c r="G10" s="179"/>
      <c r="H10" s="180"/>
      <c r="I10" s="180"/>
      <c r="J10" s="180"/>
      <c r="K10" s="180"/>
      <c r="L10" s="181"/>
      <c r="M10" s="179"/>
      <c r="N10" s="179"/>
      <c r="O10" s="178"/>
      <c r="P10" s="178"/>
    </row>
    <row r="11" spans="1:17" s="1" customFormat="1" ht="20.399999999999999" customHeight="1">
      <c r="A11" s="174"/>
      <c r="B11" s="175"/>
      <c r="C11" s="176"/>
      <c r="D11" s="177"/>
      <c r="E11" s="178"/>
      <c r="F11" s="179"/>
      <c r="G11" s="179"/>
      <c r="H11" s="180"/>
      <c r="I11" s="180"/>
      <c r="J11" s="180"/>
      <c r="K11" s="180"/>
      <c r="L11" s="181"/>
      <c r="M11" s="179"/>
      <c r="N11" s="179"/>
      <c r="O11" s="178"/>
      <c r="P11" s="178"/>
    </row>
    <row r="12" spans="1:17" s="1" customFormat="1" ht="20.399999999999999" customHeight="1">
      <c r="A12" s="174"/>
      <c r="B12" s="175"/>
      <c r="C12" s="182"/>
      <c r="D12" s="177"/>
      <c r="E12" s="178"/>
      <c r="F12" s="179"/>
      <c r="G12" s="179"/>
      <c r="H12" s="180"/>
      <c r="I12" s="180"/>
      <c r="J12" s="180"/>
      <c r="K12" s="180"/>
      <c r="L12" s="181"/>
      <c r="M12" s="179"/>
      <c r="N12" s="179"/>
      <c r="O12" s="178"/>
      <c r="P12" s="178"/>
    </row>
    <row r="13" spans="1:17" s="1" customFormat="1" ht="18.649999999999999" customHeight="1">
      <c r="A13" s="174"/>
      <c r="B13" s="174" t="s">
        <v>211</v>
      </c>
      <c r="C13" s="183" t="s">
        <v>212</v>
      </c>
      <c r="D13" s="177"/>
      <c r="E13" s="178"/>
      <c r="F13" s="179"/>
      <c r="G13" s="179"/>
      <c r="H13" s="180"/>
      <c r="I13" s="180"/>
      <c r="J13" s="180"/>
      <c r="K13" s="180"/>
      <c r="L13" s="181"/>
      <c r="M13" s="179"/>
      <c r="N13" s="179"/>
      <c r="O13" s="178"/>
      <c r="P13" s="178"/>
    </row>
    <row r="14" spans="1:17" s="1" customFormat="1" ht="28">
      <c r="A14" s="174"/>
      <c r="B14" s="184"/>
      <c r="C14" s="185" t="s">
        <v>213</v>
      </c>
      <c r="D14" s="177"/>
      <c r="E14" s="178"/>
      <c r="F14" s="179"/>
      <c r="G14" s="179"/>
      <c r="H14" s="180"/>
      <c r="I14" s="180"/>
      <c r="J14" s="180"/>
      <c r="K14" s="180"/>
      <c r="L14" s="181"/>
      <c r="M14" s="179"/>
      <c r="N14" s="179"/>
      <c r="O14" s="178"/>
      <c r="P14" s="178"/>
    </row>
    <row r="15" spans="1:17" s="1" customFormat="1" ht="18.649999999999999" customHeight="1">
      <c r="A15" s="174"/>
      <c r="B15" s="174"/>
      <c r="C15" s="183" t="s">
        <v>214</v>
      </c>
      <c r="D15" s="177"/>
      <c r="E15" s="178"/>
      <c r="F15" s="179"/>
      <c r="G15" s="179"/>
      <c r="H15" s="180"/>
      <c r="I15" s="180"/>
      <c r="J15" s="180"/>
      <c r="K15" s="180"/>
      <c r="L15" s="181"/>
      <c r="M15" s="179"/>
      <c r="N15" s="179"/>
      <c r="O15" s="178"/>
      <c r="P15" s="178"/>
    </row>
    <row r="16" spans="1:17" s="1" customFormat="1" ht="28">
      <c r="A16" s="174"/>
      <c r="B16" s="186"/>
      <c r="C16" s="185" t="s">
        <v>215</v>
      </c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4" s="188" customFormat="1" ht="16" customHeight="1">
      <c r="A17" s="187"/>
      <c r="B17" s="170"/>
      <c r="C17" s="170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</row>
    <row r="18" spans="1:14" s="188" customFormat="1" ht="13.75" customHeight="1">
      <c r="A18" s="187"/>
      <c r="B18" s="170"/>
      <c r="C18" s="189" t="s">
        <v>246</v>
      </c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</row>
    <row r="19" spans="1:14" s="191" customFormat="1" ht="13.75" customHeight="1">
      <c r="A19" s="187"/>
      <c r="B19" s="170"/>
      <c r="C19" s="190" t="s">
        <v>216</v>
      </c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</row>
    <row r="20" spans="1:14" s="1" customFormat="1" ht="14">
      <c r="A20" s="140"/>
      <c r="B20" s="140"/>
      <c r="C20" s="140"/>
      <c r="E20" s="192"/>
      <c r="F20" s="193"/>
      <c r="G20" s="193"/>
      <c r="H20" s="193"/>
      <c r="I20" s="193"/>
      <c r="J20" s="193"/>
      <c r="K20" s="193"/>
    </row>
    <row r="21" spans="1:14" s="1" customFormat="1" ht="14">
      <c r="A21" s="140"/>
      <c r="B21" s="140"/>
      <c r="C21" s="140"/>
      <c r="E21" s="192"/>
      <c r="F21" s="193"/>
      <c r="G21" s="193"/>
      <c r="H21" s="193"/>
      <c r="I21" s="193"/>
      <c r="J21" s="193"/>
      <c r="K21" s="193"/>
    </row>
    <row r="22" spans="1:14" s="1" customFormat="1" ht="14">
      <c r="A22" s="140"/>
      <c r="B22" s="140"/>
      <c r="C22" s="140"/>
      <c r="E22" s="192"/>
      <c r="F22" s="193"/>
      <c r="G22" s="193"/>
      <c r="H22" s="193"/>
      <c r="I22" s="193"/>
      <c r="J22" s="193"/>
      <c r="K22" s="193"/>
    </row>
    <row r="23" spans="1:14" s="1" customFormat="1" ht="14">
      <c r="A23" s="140"/>
      <c r="B23" s="140"/>
      <c r="C23" s="140"/>
    </row>
    <row r="24" spans="1:14" s="1" customFormat="1" ht="14">
      <c r="A24" s="140"/>
      <c r="B24" s="140"/>
      <c r="C24" s="194"/>
    </row>
    <row r="25" spans="1:14" s="1" customFormat="1" ht="14">
      <c r="A25" s="140"/>
      <c r="B25" s="140"/>
      <c r="C25" s="140"/>
    </row>
    <row r="26" spans="1:14" s="1" customFormat="1" ht="14">
      <c r="A26" s="140"/>
      <c r="B26" s="140"/>
      <c r="C26" s="140"/>
    </row>
    <row r="27" spans="1:14" s="1" customFormat="1" ht="14">
      <c r="A27" s="140"/>
      <c r="B27" s="140"/>
      <c r="C27" s="140"/>
    </row>
    <row r="28" spans="1:14" s="1" customFormat="1" ht="14">
      <c r="A28" s="140"/>
      <c r="B28" s="140"/>
      <c r="C28" s="140"/>
    </row>
    <row r="29" spans="1:14" s="1" customFormat="1" ht="14">
      <c r="A29" s="140"/>
      <c r="B29" s="140"/>
      <c r="C29" s="140"/>
    </row>
    <row r="30" spans="1:14" s="1" customFormat="1" ht="14">
      <c r="A30" s="140"/>
      <c r="B30" s="140"/>
      <c r="C30" s="140"/>
    </row>
    <row r="31" spans="1:14" s="1" customFormat="1" ht="14">
      <c r="A31" s="140"/>
      <c r="B31" s="140"/>
      <c r="C31" s="140"/>
    </row>
  </sheetData>
  <mergeCells count="4">
    <mergeCell ref="A1:B2"/>
    <mergeCell ref="C1:N2"/>
    <mergeCell ref="O1:P1"/>
    <mergeCell ref="O2:P2"/>
  </mergeCells>
  <printOptions horizontalCentered="1"/>
  <pageMargins left="0" right="0" top="0" bottom="0" header="0.3" footer="0.3"/>
  <pageSetup paperSize="9" scale="9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B7EC96C858E4596FDEA8DB8B384EC" ma:contentTypeVersion="15" ma:contentTypeDescription="Create a new document." ma:contentTypeScope="" ma:versionID="0b1484445a1b9c176ac77de667ef706a">
  <xsd:schema xmlns:xsd="http://www.w3.org/2001/XMLSchema" xmlns:xs="http://www.w3.org/2001/XMLSchema" xmlns:p="http://schemas.microsoft.com/office/2006/metadata/properties" xmlns:ns2="ce8f918e-70ef-4d5b-b57f-0705af1536e2" xmlns:ns3="32f2f5af-ffb0-442b-bb68-0e1242028c1e" targetNamespace="http://schemas.microsoft.com/office/2006/metadata/properties" ma:root="true" ma:fieldsID="1376660a57a99827fe1a5aa895d21b21" ns2:_="" ns3:_="">
    <xsd:import namespace="ce8f918e-70ef-4d5b-b57f-0705af1536e2"/>
    <xsd:import namespace="32f2f5af-ffb0-442b-bb68-0e1242028c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f918e-70ef-4d5b-b57f-0705af153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2f5af-ffb0-442b-bb68-0e1242028c1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C027D2-95ED-43D3-8DD6-8728E17A6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8f918e-70ef-4d5b-b57f-0705af1536e2"/>
    <ds:schemaRef ds:uri="32f2f5af-ffb0-442b-bb68-0e1242028c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EBB9AC-B676-413B-BABB-C037563271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Điểm HV</vt:lpstr>
      <vt:lpstr>1. rPET</vt:lpstr>
      <vt:lpstr>2. rPET- nội bộ </vt:lpstr>
      <vt:lpstr>3. rPET USA </vt:lpstr>
      <vt:lpstr>4. rHDPE </vt:lpstr>
      <vt:lpstr>5.Vảy HDPE- Ép</vt:lpstr>
      <vt:lpstr>6. rPP </vt:lpstr>
      <vt:lpstr>7. Vảy PP</vt:lpstr>
      <vt:lpstr>8. Hạt phó sản</vt:lpstr>
      <vt:lpstr>9. Ma trận giá bán</vt:lpstr>
      <vt:lpstr>'1. rPET'!Print_Area</vt:lpstr>
      <vt:lpstr>'2. rPET- nội bộ '!Print_Area</vt:lpstr>
      <vt:lpstr>'3. rPET USA '!Print_Area</vt:lpstr>
      <vt:lpstr>'4. rHDPE '!Print_Area</vt:lpstr>
      <vt:lpstr>'5.Vảy HDPE- Ép'!Print_Area</vt:lpstr>
      <vt:lpstr>'6. rPP '!Print_Area</vt:lpstr>
      <vt:lpstr>'7. Vảy PP'!Print_Area</vt:lpstr>
      <vt:lpstr>'8. Hạt phó sản'!Print_Area</vt:lpstr>
      <vt:lpstr>'9. Ma trận giá bán'!Print_Area</vt:lpstr>
      <vt:lpstr>'2. rPET- nội bộ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Thao, Duong Tu Uyen</dc:creator>
  <cp:lastModifiedBy>Diễm, Nguyễn Thị Thanh</cp:lastModifiedBy>
  <cp:lastPrinted>2024-10-10T04:39:08Z</cp:lastPrinted>
  <dcterms:created xsi:type="dcterms:W3CDTF">2021-05-11T03:12:36Z</dcterms:created>
  <dcterms:modified xsi:type="dcterms:W3CDTF">2024-10-10T04:39:39Z</dcterms:modified>
</cp:coreProperties>
</file>