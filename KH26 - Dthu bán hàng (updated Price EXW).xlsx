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danhhd_duytanrecycling_com/Documents/Work/Accounting/2025/Ngân sách 2026/Gửi/"/>
    </mc:Choice>
  </mc:AlternateContent>
  <xr:revisionPtr revIDLastSave="0" documentId="8_{5D7E4B6B-E3E8-4016-80B4-03455F4F3FE5}" xr6:coauthVersionLast="47" xr6:coauthVersionMax="47" xr10:uidLastSave="{00000000-0000-0000-0000-000000000000}"/>
  <bookViews>
    <workbookView xWindow="-120" yWindow="-120" windowWidth="29040" windowHeight="15720" xr2:uid="{376D1D8D-A7EB-40F4-814C-12DB0164E247}"/>
  </bookViews>
  <sheets>
    <sheet name="Summary" sheetId="1" r:id="rId1"/>
  </sheets>
  <definedNames>
    <definedName name="EX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45" i="1" l="1"/>
  <c r="CT45" i="1"/>
  <c r="CS45" i="1"/>
  <c r="CR45" i="1"/>
  <c r="CQ45" i="1"/>
  <c r="CP45" i="1"/>
  <c r="CU44" i="1"/>
  <c r="CT44" i="1"/>
  <c r="CS44" i="1"/>
  <c r="CR44" i="1"/>
  <c r="CQ44" i="1"/>
  <c r="CP44" i="1"/>
  <c r="CU41" i="1"/>
  <c r="CT41" i="1"/>
  <c r="CS41" i="1"/>
  <c r="CR41" i="1"/>
  <c r="CQ41" i="1"/>
  <c r="CP41" i="1"/>
  <c r="CU39" i="1"/>
  <c r="CT39" i="1"/>
  <c r="CS39" i="1"/>
  <c r="CR39" i="1"/>
  <c r="CQ39" i="1"/>
  <c r="CP39" i="1"/>
  <c r="CU38" i="1"/>
  <c r="CT38" i="1"/>
  <c r="CS38" i="1"/>
  <c r="CR38" i="1"/>
  <c r="CQ38" i="1"/>
  <c r="CP38" i="1"/>
  <c r="CU37" i="1"/>
  <c r="CT37" i="1"/>
  <c r="CS37" i="1"/>
  <c r="CR37" i="1"/>
  <c r="CQ37" i="1"/>
  <c r="CP37" i="1"/>
  <c r="CU36" i="1"/>
  <c r="CT36" i="1"/>
  <c r="CS36" i="1"/>
  <c r="CR36" i="1"/>
  <c r="CQ36" i="1"/>
  <c r="CP36" i="1"/>
  <c r="CU35" i="1"/>
  <c r="CT35" i="1"/>
  <c r="CS35" i="1"/>
  <c r="CR35" i="1"/>
  <c r="CQ35" i="1"/>
  <c r="CP35" i="1"/>
  <c r="CU31" i="1"/>
  <c r="CT31" i="1"/>
  <c r="CS31" i="1"/>
  <c r="CR31" i="1"/>
  <c r="CQ31" i="1"/>
  <c r="CP31" i="1"/>
  <c r="CU29" i="1"/>
  <c r="CT29" i="1"/>
  <c r="CS29" i="1"/>
  <c r="CR29" i="1"/>
  <c r="CQ29" i="1"/>
  <c r="CP29" i="1"/>
  <c r="CU28" i="1"/>
  <c r="CT28" i="1"/>
  <c r="CS28" i="1"/>
  <c r="CR28" i="1"/>
  <c r="CQ28" i="1"/>
  <c r="CP28" i="1"/>
  <c r="CU27" i="1"/>
  <c r="CT27" i="1"/>
  <c r="CS27" i="1"/>
  <c r="CR27" i="1"/>
  <c r="CQ27" i="1"/>
  <c r="CP27" i="1"/>
  <c r="CU26" i="1"/>
  <c r="CT26" i="1"/>
  <c r="CS26" i="1"/>
  <c r="CR26" i="1"/>
  <c r="CQ26" i="1"/>
  <c r="CP26" i="1"/>
  <c r="CU25" i="1"/>
  <c r="CT25" i="1"/>
  <c r="CS25" i="1"/>
  <c r="CR25" i="1"/>
  <c r="CQ25" i="1"/>
  <c r="CP25" i="1"/>
  <c r="CU24" i="1"/>
  <c r="CT24" i="1"/>
  <c r="CS24" i="1"/>
  <c r="CR24" i="1"/>
  <c r="CQ24" i="1"/>
  <c r="CP24" i="1"/>
  <c r="CU23" i="1"/>
  <c r="CT23" i="1"/>
  <c r="CS23" i="1"/>
  <c r="CR23" i="1"/>
  <c r="CQ23" i="1"/>
  <c r="CP23" i="1"/>
  <c r="CU22" i="1"/>
  <c r="CT22" i="1"/>
  <c r="CS22" i="1"/>
  <c r="CR22" i="1"/>
  <c r="CQ22" i="1"/>
  <c r="CP22" i="1"/>
  <c r="CT21" i="1"/>
  <c r="CU19" i="1"/>
  <c r="CT19" i="1"/>
  <c r="CS19" i="1"/>
  <c r="CR19" i="1"/>
  <c r="CQ19" i="1"/>
  <c r="CP19" i="1"/>
  <c r="CQ18" i="1"/>
  <c r="CP18" i="1"/>
  <c r="CU16" i="1"/>
  <c r="CT16" i="1"/>
  <c r="CS16" i="1"/>
  <c r="CR16" i="1"/>
  <c r="CQ16" i="1"/>
  <c r="CP16" i="1"/>
  <c r="CU14" i="1"/>
  <c r="CT14" i="1"/>
  <c r="CS14" i="1"/>
  <c r="CR14" i="1"/>
  <c r="CQ14" i="1"/>
  <c r="CP14" i="1"/>
  <c r="CU13" i="1"/>
  <c r="CT13" i="1"/>
  <c r="CS13" i="1"/>
  <c r="CR13" i="1"/>
  <c r="CQ13" i="1"/>
  <c r="CP13" i="1"/>
  <c r="CR12" i="1"/>
  <c r="CQ12" i="1"/>
  <c r="CU11" i="1"/>
  <c r="CT11" i="1"/>
  <c r="CS11" i="1"/>
  <c r="CR11" i="1"/>
  <c r="CQ11" i="1"/>
  <c r="CP11" i="1"/>
  <c r="CU9" i="1"/>
  <c r="CT9" i="1"/>
  <c r="CS9" i="1"/>
  <c r="CR9" i="1"/>
  <c r="CQ9" i="1"/>
  <c r="CP9" i="1"/>
  <c r="CO45" i="1"/>
  <c r="CO44" i="1"/>
  <c r="CO41" i="1"/>
  <c r="CO39" i="1"/>
  <c r="CO38" i="1"/>
  <c r="CO37" i="1"/>
  <c r="CO36" i="1"/>
  <c r="CO35" i="1"/>
  <c r="CO31" i="1"/>
  <c r="CO29" i="1"/>
  <c r="CO28" i="1"/>
  <c r="CO27" i="1"/>
  <c r="CO26" i="1"/>
  <c r="CO25" i="1"/>
  <c r="CO24" i="1"/>
  <c r="CO23" i="1"/>
  <c r="CO22" i="1"/>
  <c r="CO19" i="1"/>
  <c r="CO16" i="1"/>
  <c r="CO14" i="1"/>
  <c r="CO13" i="1"/>
  <c r="CO11" i="1"/>
  <c r="CO9" i="1"/>
  <c r="CN45" i="1"/>
  <c r="CN44" i="1"/>
  <c r="CN41" i="1"/>
  <c r="CN39" i="1"/>
  <c r="CN38" i="1"/>
  <c r="CN37" i="1"/>
  <c r="CN36" i="1"/>
  <c r="CN35" i="1"/>
  <c r="CN34" i="1"/>
  <c r="CN31" i="1"/>
  <c r="CN29" i="1"/>
  <c r="CN28" i="1"/>
  <c r="CN27" i="1"/>
  <c r="CN26" i="1"/>
  <c r="CN25" i="1"/>
  <c r="CN24" i="1"/>
  <c r="CN23" i="1"/>
  <c r="CN22" i="1"/>
  <c r="CN19" i="1"/>
  <c r="CN16" i="1"/>
  <c r="CN14" i="1"/>
  <c r="CN13" i="1"/>
  <c r="CN11" i="1"/>
  <c r="CN9" i="1"/>
  <c r="CM45" i="1"/>
  <c r="CM44" i="1"/>
  <c r="CM41" i="1"/>
  <c r="CM39" i="1"/>
  <c r="CM38" i="1"/>
  <c r="CM37" i="1"/>
  <c r="CM36" i="1"/>
  <c r="CM35" i="1"/>
  <c r="CM31" i="1"/>
  <c r="CM29" i="1"/>
  <c r="CM28" i="1"/>
  <c r="CM27" i="1"/>
  <c r="CM26" i="1"/>
  <c r="CM25" i="1"/>
  <c r="CM24" i="1"/>
  <c r="CM23" i="1"/>
  <c r="CM22" i="1"/>
  <c r="CM19" i="1"/>
  <c r="CM16" i="1"/>
  <c r="CM14" i="1"/>
  <c r="CM13" i="1"/>
  <c r="CM11" i="1"/>
  <c r="CM9" i="1"/>
  <c r="CL45" i="1"/>
  <c r="CL44" i="1"/>
  <c r="CL41" i="1"/>
  <c r="CL39" i="1"/>
  <c r="CL38" i="1"/>
  <c r="CL37" i="1"/>
  <c r="CL36" i="1"/>
  <c r="CL35" i="1"/>
  <c r="CL31" i="1"/>
  <c r="CL29" i="1"/>
  <c r="CL28" i="1"/>
  <c r="CL27" i="1"/>
  <c r="CL26" i="1"/>
  <c r="CL25" i="1"/>
  <c r="CL24" i="1"/>
  <c r="CL23" i="1"/>
  <c r="CL22" i="1"/>
  <c r="CL19" i="1"/>
  <c r="CL16" i="1"/>
  <c r="CL14" i="1"/>
  <c r="CL13" i="1"/>
  <c r="CL11" i="1"/>
  <c r="CL9" i="1"/>
  <c r="CK45" i="1"/>
  <c r="CK44" i="1"/>
  <c r="CK41" i="1"/>
  <c r="CK39" i="1"/>
  <c r="CK38" i="1"/>
  <c r="CK37" i="1"/>
  <c r="CK36" i="1"/>
  <c r="CK35" i="1"/>
  <c r="CK31" i="1"/>
  <c r="CK29" i="1"/>
  <c r="CK28" i="1"/>
  <c r="CK27" i="1"/>
  <c r="CK26" i="1"/>
  <c r="CK25" i="1"/>
  <c r="CK24" i="1"/>
  <c r="CK23" i="1"/>
  <c r="CK22" i="1"/>
  <c r="CK19" i="1"/>
  <c r="CK16" i="1"/>
  <c r="CK14" i="1"/>
  <c r="CK13" i="1"/>
  <c r="CK11" i="1"/>
  <c r="CK9" i="1"/>
  <c r="CJ45" i="1"/>
  <c r="CJ44" i="1"/>
  <c r="CJ41" i="1"/>
  <c r="CJ39" i="1"/>
  <c r="CJ38" i="1"/>
  <c r="CJ37" i="1"/>
  <c r="CJ36" i="1"/>
  <c r="CJ35" i="1"/>
  <c r="CJ31" i="1"/>
  <c r="CJ29" i="1"/>
  <c r="CJ28" i="1"/>
  <c r="CJ27" i="1"/>
  <c r="CJ26" i="1"/>
  <c r="CJ25" i="1"/>
  <c r="CJ24" i="1"/>
  <c r="CJ23" i="1"/>
  <c r="CJ22" i="1"/>
  <c r="CJ19" i="1"/>
  <c r="CJ16" i="1"/>
  <c r="CJ14" i="1"/>
  <c r="CJ13" i="1"/>
  <c r="CJ11" i="1"/>
  <c r="CJ9" i="1"/>
  <c r="CI45" i="1"/>
  <c r="CI44" i="1"/>
  <c r="CI41" i="1"/>
  <c r="CI39" i="1"/>
  <c r="CI38" i="1"/>
  <c r="CI37" i="1"/>
  <c r="CI36" i="1"/>
  <c r="CI35" i="1"/>
  <c r="CI31" i="1"/>
  <c r="CI29" i="1"/>
  <c r="CI28" i="1"/>
  <c r="CI27" i="1"/>
  <c r="CI26" i="1"/>
  <c r="CI25" i="1"/>
  <c r="CI24" i="1"/>
  <c r="CI23" i="1"/>
  <c r="CI22" i="1"/>
  <c r="CI19" i="1"/>
  <c r="CI16" i="1"/>
  <c r="CI14" i="1"/>
  <c r="CI13" i="1"/>
  <c r="CI11" i="1"/>
  <c r="CI9" i="1"/>
  <c r="BI45" i="1"/>
  <c r="BI44" i="1"/>
  <c r="CF43" i="1"/>
  <c r="CU43" i="1" s="1"/>
  <c r="CD43" i="1"/>
  <c r="CT43" i="1" s="1"/>
  <c r="CB43" i="1"/>
  <c r="CS43" i="1" s="1"/>
  <c r="BZ43" i="1"/>
  <c r="CR43" i="1" s="1"/>
  <c r="BX43" i="1"/>
  <c r="BV43" i="1"/>
  <c r="BT43" i="1"/>
  <c r="CO43" i="1" s="1"/>
  <c r="BR43" i="1"/>
  <c r="BP43" i="1"/>
  <c r="BN43" i="1"/>
  <c r="BL43" i="1"/>
  <c r="BJ43" i="1"/>
  <c r="BH43" i="1"/>
  <c r="BE43" i="1"/>
  <c r="BC43" i="1"/>
  <c r="BA43" i="1"/>
  <c r="AY43" i="1"/>
  <c r="AW43" i="1"/>
  <c r="AU43" i="1"/>
  <c r="AS43" i="1"/>
  <c r="AQ43" i="1"/>
  <c r="AO43" i="1"/>
  <c r="AM43" i="1"/>
  <c r="AK43" i="1"/>
  <c r="AI43" i="1"/>
  <c r="AG43" i="1"/>
  <c r="AD43" i="1"/>
  <c r="AB43" i="1"/>
  <c r="Z43" i="1"/>
  <c r="X43" i="1"/>
  <c r="V43" i="1"/>
  <c r="T43" i="1"/>
  <c r="R43" i="1"/>
  <c r="P43" i="1"/>
  <c r="N43" i="1"/>
  <c r="L43" i="1"/>
  <c r="J43" i="1"/>
  <c r="H43" i="1"/>
  <c r="F43" i="1"/>
  <c r="BI41" i="1"/>
  <c r="CF40" i="1"/>
  <c r="CD40" i="1"/>
  <c r="CB40" i="1"/>
  <c r="BZ40" i="1"/>
  <c r="BX40" i="1"/>
  <c r="BV40" i="1"/>
  <c r="BT40" i="1"/>
  <c r="BT33" i="1" s="1"/>
  <c r="BR40" i="1"/>
  <c r="BP40" i="1"/>
  <c r="CM40" i="1" s="1"/>
  <c r="BN40" i="1"/>
  <c r="CL40" i="1" s="1"/>
  <c r="BL40" i="1"/>
  <c r="CK40" i="1" s="1"/>
  <c r="BJ40" i="1"/>
  <c r="CJ40" i="1" s="1"/>
  <c r="BH40" i="1"/>
  <c r="BE40" i="1"/>
  <c r="BC40" i="1"/>
  <c r="BA40" i="1"/>
  <c r="AY40" i="1"/>
  <c r="AW40" i="1"/>
  <c r="AU40" i="1"/>
  <c r="AS40" i="1"/>
  <c r="AQ40" i="1"/>
  <c r="AO40" i="1"/>
  <c r="AM40" i="1"/>
  <c r="AM33" i="1" s="1"/>
  <c r="AK40" i="1"/>
  <c r="AI40" i="1"/>
  <c r="AG40" i="1"/>
  <c r="AD40" i="1"/>
  <c r="AB40" i="1"/>
  <c r="Z40" i="1"/>
  <c r="CS40" i="1" s="1"/>
  <c r="X40" i="1"/>
  <c r="V40" i="1"/>
  <c r="T40" i="1"/>
  <c r="R40" i="1"/>
  <c r="P40" i="1"/>
  <c r="N40" i="1"/>
  <c r="L40" i="1"/>
  <c r="J40" i="1"/>
  <c r="H40" i="1"/>
  <c r="F40" i="1"/>
  <c r="F33" i="1" s="1"/>
  <c r="BI39" i="1"/>
  <c r="BI38" i="1"/>
  <c r="BI37" i="1"/>
  <c r="BI36" i="1"/>
  <c r="BI35" i="1"/>
  <c r="CF34" i="1"/>
  <c r="CU34" i="1" s="1"/>
  <c r="CD34" i="1"/>
  <c r="CT34" i="1" s="1"/>
  <c r="CB34" i="1"/>
  <c r="CB33" i="1" s="1"/>
  <c r="BZ34" i="1"/>
  <c r="BX34" i="1"/>
  <c r="BV34" i="1"/>
  <c r="BT34" i="1"/>
  <c r="CO34" i="1" s="1"/>
  <c r="BR34" i="1"/>
  <c r="BP34" i="1"/>
  <c r="CM34" i="1" s="1"/>
  <c r="BN34" i="1"/>
  <c r="BL34" i="1"/>
  <c r="BJ34" i="1"/>
  <c r="BH34" i="1"/>
  <c r="BI34" i="1" s="1"/>
  <c r="BE34" i="1"/>
  <c r="BC34" i="1"/>
  <c r="BA34" i="1"/>
  <c r="AY34" i="1"/>
  <c r="AW34" i="1"/>
  <c r="AU34" i="1"/>
  <c r="AU33" i="1" s="1"/>
  <c r="AS34" i="1"/>
  <c r="AQ34" i="1"/>
  <c r="AO34" i="1"/>
  <c r="AM34" i="1"/>
  <c r="AK34" i="1"/>
  <c r="AI34" i="1"/>
  <c r="AG34" i="1"/>
  <c r="AD34" i="1"/>
  <c r="AB34" i="1"/>
  <c r="Z34" i="1"/>
  <c r="X34" i="1"/>
  <c r="CR34" i="1" s="1"/>
  <c r="V34" i="1"/>
  <c r="T34" i="1"/>
  <c r="R34" i="1"/>
  <c r="P34" i="1"/>
  <c r="N34" i="1"/>
  <c r="N33" i="1" s="1"/>
  <c r="L34" i="1"/>
  <c r="J34" i="1"/>
  <c r="H34" i="1"/>
  <c r="F34" i="1"/>
  <c r="BI29" i="1"/>
  <c r="BI28" i="1"/>
  <c r="BI27" i="1"/>
  <c r="BI26" i="1"/>
  <c r="BI25" i="1"/>
  <c r="BI24" i="1"/>
  <c r="BI23" i="1"/>
  <c r="BI22" i="1"/>
  <c r="CF21" i="1"/>
  <c r="CU21" i="1" s="1"/>
  <c r="CD21" i="1"/>
  <c r="CB21" i="1"/>
  <c r="BZ21" i="1"/>
  <c r="CR21" i="1" s="1"/>
  <c r="BX21" i="1"/>
  <c r="BV21" i="1"/>
  <c r="BT21" i="1"/>
  <c r="BR21" i="1"/>
  <c r="BP21" i="1"/>
  <c r="BN21" i="1"/>
  <c r="CL21" i="1" s="1"/>
  <c r="BL21" i="1"/>
  <c r="CK21" i="1" s="1"/>
  <c r="BJ21" i="1"/>
  <c r="BH21" i="1"/>
  <c r="BE21" i="1"/>
  <c r="BC21" i="1"/>
  <c r="BA21" i="1"/>
  <c r="AY21" i="1"/>
  <c r="AW21" i="1"/>
  <c r="AU21" i="1"/>
  <c r="AS21" i="1"/>
  <c r="AQ21" i="1"/>
  <c r="AO21" i="1"/>
  <c r="AM21" i="1"/>
  <c r="AK21" i="1"/>
  <c r="AI21" i="1"/>
  <c r="AG21" i="1"/>
  <c r="AD21" i="1"/>
  <c r="AB21" i="1"/>
  <c r="Z21" i="1"/>
  <c r="X21" i="1"/>
  <c r="V21" i="1"/>
  <c r="T21" i="1"/>
  <c r="R21" i="1"/>
  <c r="CO21" i="1" s="1"/>
  <c r="P21" i="1"/>
  <c r="CN21" i="1" s="1"/>
  <c r="N21" i="1"/>
  <c r="L21" i="1"/>
  <c r="J21" i="1"/>
  <c r="H21" i="1"/>
  <c r="F21" i="1"/>
  <c r="BI19" i="1"/>
  <c r="CF18" i="1"/>
  <c r="CD18" i="1"/>
  <c r="CB18" i="1"/>
  <c r="CS18" i="1" s="1"/>
  <c r="BZ18" i="1"/>
  <c r="CR18" i="1" s="1"/>
  <c r="BX18" i="1"/>
  <c r="BV18" i="1"/>
  <c r="BT18" i="1"/>
  <c r="CO18" i="1" s="1"/>
  <c r="BR18" i="1"/>
  <c r="CN18" i="1" s="1"/>
  <c r="BP18" i="1"/>
  <c r="CM18" i="1" s="1"/>
  <c r="BN18" i="1"/>
  <c r="BL18" i="1"/>
  <c r="BJ18" i="1"/>
  <c r="CJ18" i="1" s="1"/>
  <c r="BH18" i="1"/>
  <c r="BE18" i="1"/>
  <c r="BC18" i="1"/>
  <c r="BA18" i="1"/>
  <c r="AY18" i="1"/>
  <c r="AW18" i="1"/>
  <c r="AU18" i="1"/>
  <c r="AS18" i="1"/>
  <c r="AQ18" i="1"/>
  <c r="AO18" i="1"/>
  <c r="AM18" i="1"/>
  <c r="AK18" i="1"/>
  <c r="AI18" i="1"/>
  <c r="AG18" i="1"/>
  <c r="AD18" i="1"/>
  <c r="AB18" i="1"/>
  <c r="Z18" i="1"/>
  <c r="X18" i="1"/>
  <c r="V18" i="1"/>
  <c r="T18" i="1"/>
  <c r="R18" i="1"/>
  <c r="P18" i="1"/>
  <c r="N18" i="1"/>
  <c r="L18" i="1"/>
  <c r="J18" i="1"/>
  <c r="H18" i="1"/>
  <c r="F18" i="1"/>
  <c r="BI16" i="1"/>
  <c r="CF15" i="1"/>
  <c r="CU15" i="1" s="1"/>
  <c r="CD15" i="1"/>
  <c r="CB15" i="1"/>
  <c r="BZ15" i="1"/>
  <c r="CR15" i="1" s="1"/>
  <c r="BX15" i="1"/>
  <c r="BV15" i="1"/>
  <c r="BT15" i="1"/>
  <c r="BR15" i="1"/>
  <c r="BP15" i="1"/>
  <c r="CM15" i="1" s="1"/>
  <c r="BN15" i="1"/>
  <c r="CL15" i="1" s="1"/>
  <c r="BL15" i="1"/>
  <c r="CK15" i="1" s="1"/>
  <c r="BJ15" i="1"/>
  <c r="BH15" i="1"/>
  <c r="BE15" i="1"/>
  <c r="BC15" i="1"/>
  <c r="BA15" i="1"/>
  <c r="AY15" i="1"/>
  <c r="AW15" i="1"/>
  <c r="AU15" i="1"/>
  <c r="AS15" i="1"/>
  <c r="AQ15" i="1"/>
  <c r="AO15" i="1"/>
  <c r="AM15" i="1"/>
  <c r="AK15" i="1"/>
  <c r="AI15" i="1"/>
  <c r="AG15" i="1"/>
  <c r="AD15" i="1"/>
  <c r="AB15" i="1"/>
  <c r="Z15" i="1"/>
  <c r="X15" i="1"/>
  <c r="V15" i="1"/>
  <c r="CQ15" i="1" s="1"/>
  <c r="T15" i="1"/>
  <c r="CP15" i="1" s="1"/>
  <c r="R15" i="1"/>
  <c r="CO15" i="1" s="1"/>
  <c r="P15" i="1"/>
  <c r="CN15" i="1" s="1"/>
  <c r="N15" i="1"/>
  <c r="L15" i="1"/>
  <c r="J15" i="1"/>
  <c r="H15" i="1"/>
  <c r="F15" i="1"/>
  <c r="BI14" i="1"/>
  <c r="BI13" i="1"/>
  <c r="CF12" i="1"/>
  <c r="CD12" i="1"/>
  <c r="CT12" i="1" s="1"/>
  <c r="CB12" i="1"/>
  <c r="CS12" i="1" s="1"/>
  <c r="BZ12" i="1"/>
  <c r="BX12" i="1"/>
  <c r="BV12" i="1"/>
  <c r="CP12" i="1" s="1"/>
  <c r="BT12" i="1"/>
  <c r="CO12" i="1" s="1"/>
  <c r="BR12" i="1"/>
  <c r="CN12" i="1" s="1"/>
  <c r="BP12" i="1"/>
  <c r="BN12" i="1"/>
  <c r="BL12" i="1"/>
  <c r="CK12" i="1" s="1"/>
  <c r="BJ12" i="1"/>
  <c r="BH12" i="1"/>
  <c r="BE12" i="1"/>
  <c r="BC12" i="1"/>
  <c r="BA12" i="1"/>
  <c r="AY12" i="1"/>
  <c r="AW12" i="1"/>
  <c r="AU12" i="1"/>
  <c r="AS12" i="1"/>
  <c r="AQ12" i="1"/>
  <c r="AO12" i="1"/>
  <c r="AM12" i="1"/>
  <c r="AK12" i="1"/>
  <c r="AI12" i="1"/>
  <c r="AG12" i="1"/>
  <c r="AD12" i="1"/>
  <c r="AB12" i="1"/>
  <c r="Z12" i="1"/>
  <c r="X12" i="1"/>
  <c r="V12" i="1"/>
  <c r="T12" i="1"/>
  <c r="R12" i="1"/>
  <c r="P12" i="1"/>
  <c r="N12" i="1"/>
  <c r="L12" i="1"/>
  <c r="J12" i="1"/>
  <c r="H12" i="1"/>
  <c r="CJ12" i="1" s="1"/>
  <c r="F12" i="1"/>
  <c r="BI11" i="1"/>
  <c r="CF10" i="1"/>
  <c r="CD10" i="1"/>
  <c r="CB10" i="1"/>
  <c r="CS10" i="1" s="1"/>
  <c r="BZ10" i="1"/>
  <c r="BX10" i="1"/>
  <c r="BV10" i="1"/>
  <c r="BT10" i="1"/>
  <c r="BR10" i="1"/>
  <c r="CN10" i="1" s="1"/>
  <c r="BP10" i="1"/>
  <c r="BN10" i="1"/>
  <c r="CL10" i="1" s="1"/>
  <c r="BL10" i="1"/>
  <c r="CK10" i="1" s="1"/>
  <c r="BJ10" i="1"/>
  <c r="CJ10" i="1" s="1"/>
  <c r="BH10" i="1"/>
  <c r="CI10" i="1" s="1"/>
  <c r="BE10" i="1"/>
  <c r="BC10" i="1"/>
  <c r="BA10" i="1"/>
  <c r="AY10" i="1"/>
  <c r="AW10" i="1"/>
  <c r="AU10" i="1"/>
  <c r="AS10" i="1"/>
  <c r="AQ10" i="1"/>
  <c r="AO10" i="1"/>
  <c r="AM10" i="1"/>
  <c r="AK10" i="1"/>
  <c r="AI10" i="1"/>
  <c r="AG10" i="1"/>
  <c r="AD10" i="1"/>
  <c r="AB10" i="1"/>
  <c r="Z10" i="1"/>
  <c r="X10" i="1"/>
  <c r="CR10" i="1" s="1"/>
  <c r="V10" i="1"/>
  <c r="CQ10" i="1" s="1"/>
  <c r="T10" i="1"/>
  <c r="CP10" i="1" s="1"/>
  <c r="R10" i="1"/>
  <c r="P10" i="1"/>
  <c r="N10" i="1"/>
  <c r="L10" i="1"/>
  <c r="J10" i="1"/>
  <c r="H10" i="1"/>
  <c r="F10" i="1"/>
  <c r="BI9" i="1"/>
  <c r="CF8" i="1"/>
  <c r="CU8" i="1" s="1"/>
  <c r="CD8" i="1"/>
  <c r="CT8" i="1" s="1"/>
  <c r="CB8" i="1"/>
  <c r="CS8" i="1" s="1"/>
  <c r="BZ8" i="1"/>
  <c r="CR8" i="1" s="1"/>
  <c r="BX8" i="1"/>
  <c r="CQ8" i="1" s="1"/>
  <c r="BV8" i="1"/>
  <c r="CP8" i="1" s="1"/>
  <c r="BT8" i="1"/>
  <c r="CO8" i="1" s="1"/>
  <c r="BR8" i="1"/>
  <c r="CN8" i="1" s="1"/>
  <c r="BP8" i="1"/>
  <c r="BN8" i="1"/>
  <c r="BL8" i="1"/>
  <c r="CK8" i="1" s="1"/>
  <c r="BJ8" i="1"/>
  <c r="BH8" i="1"/>
  <c r="BE8" i="1"/>
  <c r="BC8" i="1"/>
  <c r="BA8" i="1"/>
  <c r="AY8" i="1"/>
  <c r="AW8" i="1"/>
  <c r="AU8" i="1"/>
  <c r="AS8" i="1"/>
  <c r="AQ8" i="1"/>
  <c r="AO8" i="1"/>
  <c r="AM8" i="1"/>
  <c r="AK8" i="1"/>
  <c r="AI8" i="1"/>
  <c r="AG8" i="1"/>
  <c r="AD8" i="1"/>
  <c r="AB8" i="1"/>
  <c r="Z8" i="1"/>
  <c r="X8" i="1"/>
  <c r="V8" i="1"/>
  <c r="T8" i="1"/>
  <c r="R8" i="1"/>
  <c r="P8" i="1"/>
  <c r="N8" i="1"/>
  <c r="L8" i="1"/>
  <c r="J8" i="1"/>
  <c r="H8" i="1"/>
  <c r="F8" i="1"/>
  <c r="AI33" i="1" l="1"/>
  <c r="CK43" i="1"/>
  <c r="CS34" i="1"/>
  <c r="CJ34" i="1"/>
  <c r="CP34" i="1"/>
  <c r="CN40" i="1"/>
  <c r="CT40" i="1"/>
  <c r="CL43" i="1"/>
  <c r="CO10" i="1"/>
  <c r="CI12" i="1"/>
  <c r="CP21" i="1"/>
  <c r="CK34" i="1"/>
  <c r="CQ34" i="1"/>
  <c r="CO40" i="1"/>
  <c r="CU40" i="1"/>
  <c r="CM43" i="1"/>
  <c r="CQ21" i="1"/>
  <c r="CL34" i="1"/>
  <c r="BZ33" i="1"/>
  <c r="CR33" i="1" s="1"/>
  <c r="CP40" i="1"/>
  <c r="CN43" i="1"/>
  <c r="CT18" i="1"/>
  <c r="CU12" i="1"/>
  <c r="V33" i="1"/>
  <c r="CI43" i="1"/>
  <c r="CL8" i="1"/>
  <c r="CT10" i="1"/>
  <c r="CL12" i="1"/>
  <c r="CS15" i="1"/>
  <c r="CU18" i="1"/>
  <c r="CK18" i="1"/>
  <c r="CM21" i="1"/>
  <c r="CS21" i="1"/>
  <c r="X33" i="1"/>
  <c r="CP43" i="1"/>
  <c r="CM10" i="1"/>
  <c r="CM8" i="1"/>
  <c r="CU10" i="1"/>
  <c r="CM12" i="1"/>
  <c r="CT15" i="1"/>
  <c r="CL18" i="1"/>
  <c r="CI40" i="1"/>
  <c r="CQ43" i="1"/>
  <c r="BC33" i="1"/>
  <c r="CQ40" i="1"/>
  <c r="AW33" i="1"/>
  <c r="T7" i="1"/>
  <c r="BC7" i="1"/>
  <c r="BC5" i="1" s="1"/>
  <c r="CI34" i="1"/>
  <c r="BE33" i="1"/>
  <c r="R7" i="1"/>
  <c r="S7" i="1" s="1"/>
  <c r="X7" i="1"/>
  <c r="CI15" i="1"/>
  <c r="CI21" i="1"/>
  <c r="J33" i="1"/>
  <c r="CD33" i="1"/>
  <c r="CT33" i="1" s="1"/>
  <c r="CR40" i="1"/>
  <c r="AY7" i="1"/>
  <c r="V7" i="1"/>
  <c r="V5" i="1" s="1"/>
  <c r="W43" i="1" s="1"/>
  <c r="BI8" i="1"/>
  <c r="BX7" i="1"/>
  <c r="CQ7" i="1" s="1"/>
  <c r="CJ15" i="1"/>
  <c r="CJ21" i="1"/>
  <c r="CJ43" i="1"/>
  <c r="P33" i="1"/>
  <c r="AY33" i="1"/>
  <c r="CJ8" i="1"/>
  <c r="CI18" i="1"/>
  <c r="BJ33" i="1"/>
  <c r="AD33" i="1"/>
  <c r="BL33" i="1"/>
  <c r="CK33" i="1" s="1"/>
  <c r="BI40" i="1"/>
  <c r="Z33" i="1"/>
  <c r="CS33" i="1" s="1"/>
  <c r="BN33" i="1"/>
  <c r="BH33" i="1"/>
  <c r="CI33" i="1" s="1"/>
  <c r="AG33" i="1"/>
  <c r="J7" i="1"/>
  <c r="CI8" i="1"/>
  <c r="CF7" i="1"/>
  <c r="AG7" i="1"/>
  <c r="AG5" i="1" s="1"/>
  <c r="L7" i="1"/>
  <c r="AS7" i="1"/>
  <c r="BI15" i="1"/>
  <c r="BI21" i="1"/>
  <c r="AD7" i="1"/>
  <c r="BV33" i="1"/>
  <c r="P7" i="1"/>
  <c r="P5" i="1" s="1"/>
  <c r="Q37" i="1" s="1"/>
  <c r="AW7" i="1"/>
  <c r="CD7" i="1"/>
  <c r="AQ33" i="1"/>
  <c r="R33" i="1"/>
  <c r="CO33" i="1" s="1"/>
  <c r="BZ7" i="1"/>
  <c r="BX5" i="1"/>
  <c r="BY38" i="1" s="1"/>
  <c r="CF33" i="1"/>
  <c r="N7" i="1"/>
  <c r="N5" i="1" s="1"/>
  <c r="BI18" i="1"/>
  <c r="AB33" i="1"/>
  <c r="BN7" i="1"/>
  <c r="CL7" i="1" s="1"/>
  <c r="F7" i="1"/>
  <c r="F5" i="1" s="1"/>
  <c r="G7" i="1" s="1"/>
  <c r="BX33" i="1"/>
  <c r="BT7" i="1"/>
  <c r="BE7" i="1"/>
  <c r="BV7" i="1"/>
  <c r="BI10" i="1"/>
  <c r="Q9" i="1"/>
  <c r="Q38" i="1"/>
  <c r="AY5" i="1"/>
  <c r="AZ21" i="1" s="1"/>
  <c r="AZ7" i="1"/>
  <c r="AS33" i="1"/>
  <c r="BR7" i="1"/>
  <c r="R5" i="1"/>
  <c r="S15" i="1" s="1"/>
  <c r="H7" i="1"/>
  <c r="T33" i="1"/>
  <c r="BP33" i="1"/>
  <c r="CM33" i="1" s="1"/>
  <c r="CB7" i="1"/>
  <c r="BH7" i="1"/>
  <c r="BP7" i="1"/>
  <c r="AK7" i="1"/>
  <c r="AO7" i="1"/>
  <c r="BA7" i="1"/>
  <c r="AM7" i="1"/>
  <c r="AI7" i="1"/>
  <c r="AB7" i="1"/>
  <c r="AQ7" i="1"/>
  <c r="BJ7" i="1"/>
  <c r="CJ7" i="1" s="1"/>
  <c r="AO33" i="1"/>
  <c r="BI43" i="1"/>
  <c r="BI12" i="1"/>
  <c r="AU7" i="1"/>
  <c r="Q34" i="1"/>
  <c r="Z7" i="1"/>
  <c r="BL7" i="1"/>
  <c r="CK7" i="1" s="1"/>
  <c r="BR33" i="1"/>
  <c r="CN33" i="1" s="1"/>
  <c r="BA33" i="1"/>
  <c r="AZ43" i="1"/>
  <c r="H33" i="1"/>
  <c r="L33" i="1"/>
  <c r="AK33" i="1"/>
  <c r="O15" i="1" l="1"/>
  <c r="O33" i="1"/>
  <c r="BD7" i="1"/>
  <c r="AW5" i="1"/>
  <c r="AX34" i="1" s="1"/>
  <c r="T5" i="1"/>
  <c r="U34" i="1" s="1"/>
  <c r="AD5" i="1"/>
  <c r="AE34" i="1" s="1"/>
  <c r="CQ33" i="1"/>
  <c r="AE35" i="1"/>
  <c r="AE19" i="1"/>
  <c r="AE31" i="1"/>
  <c r="AE45" i="1"/>
  <c r="AE33" i="1"/>
  <c r="AE40" i="1"/>
  <c r="AE37" i="1"/>
  <c r="AE43" i="1"/>
  <c r="AE21" i="1"/>
  <c r="AE18" i="1"/>
  <c r="AE27" i="1"/>
  <c r="AE12" i="1"/>
  <c r="AE41" i="1"/>
  <c r="AE5" i="1"/>
  <c r="Q10" i="1"/>
  <c r="Q44" i="1"/>
  <c r="CU7" i="1"/>
  <c r="Q22" i="1"/>
  <c r="Q43" i="1"/>
  <c r="CU33" i="1"/>
  <c r="Q27" i="1"/>
  <c r="Q40" i="1"/>
  <c r="CI7" i="1"/>
  <c r="BV5" i="1"/>
  <c r="BW43" i="1" s="1"/>
  <c r="CP7" i="1"/>
  <c r="CP33" i="1"/>
  <c r="Q11" i="1"/>
  <c r="BY18" i="1"/>
  <c r="CQ5" i="1"/>
  <c r="CR7" i="1"/>
  <c r="Q24" i="1"/>
  <c r="Q5" i="1"/>
  <c r="CF5" i="1"/>
  <c r="CU5" i="1" s="1"/>
  <c r="Q41" i="1"/>
  <c r="X5" i="1"/>
  <c r="Y22" i="1" s="1"/>
  <c r="Q14" i="1"/>
  <c r="Q12" i="1"/>
  <c r="Q29" i="1"/>
  <c r="Q36" i="1"/>
  <c r="Q18" i="1"/>
  <c r="Q15" i="1"/>
  <c r="CM7" i="1"/>
  <c r="CD5" i="1"/>
  <c r="CE37" i="1" s="1"/>
  <c r="Q7" i="1"/>
  <c r="Q28" i="1"/>
  <c r="CO7" i="1"/>
  <c r="CN7" i="1"/>
  <c r="AS5" i="1"/>
  <c r="AT15" i="1" s="1"/>
  <c r="Q19" i="1"/>
  <c r="Q33" i="1"/>
  <c r="Q8" i="1"/>
  <c r="BN5" i="1"/>
  <c r="BO18" i="1" s="1"/>
  <c r="J5" i="1"/>
  <c r="K37" i="1" s="1"/>
  <c r="Q13" i="1"/>
  <c r="W7" i="1"/>
  <c r="CS7" i="1"/>
  <c r="Q35" i="1"/>
  <c r="CT7" i="1"/>
  <c r="CL33" i="1"/>
  <c r="AH40" i="1"/>
  <c r="AH12" i="1"/>
  <c r="AH35" i="1"/>
  <c r="AH28" i="1"/>
  <c r="AH13" i="1"/>
  <c r="AH37" i="1"/>
  <c r="AH36" i="1"/>
  <c r="AH43" i="1"/>
  <c r="AH19" i="1"/>
  <c r="AH18" i="1"/>
  <c r="AH5" i="1"/>
  <c r="AH41" i="1"/>
  <c r="AH15" i="1"/>
  <c r="BY45" i="1"/>
  <c r="BY27" i="1"/>
  <c r="S43" i="1"/>
  <c r="AE26" i="1"/>
  <c r="AX21" i="1"/>
  <c r="AE38" i="1"/>
  <c r="AE9" i="1"/>
  <c r="AE22" i="1"/>
  <c r="AE29" i="1"/>
  <c r="Y21" i="1"/>
  <c r="Y26" i="1"/>
  <c r="BW23" i="1"/>
  <c r="AE25" i="1"/>
  <c r="AE36" i="1"/>
  <c r="Q23" i="1"/>
  <c r="Q45" i="1"/>
  <c r="O10" i="1"/>
  <c r="AZ33" i="1"/>
  <c r="BW7" i="1"/>
  <c r="AE8" i="1"/>
  <c r="Q21" i="1"/>
  <c r="Q16" i="1"/>
  <c r="Q31" i="1"/>
  <c r="BI33" i="1"/>
  <c r="BY44" i="1"/>
  <c r="BY11" i="1"/>
  <c r="BY25" i="1"/>
  <c r="S21" i="1"/>
  <c r="AE24" i="1"/>
  <c r="AE44" i="1"/>
  <c r="AE14" i="1"/>
  <c r="AE39" i="1"/>
  <c r="Q25" i="1"/>
  <c r="Q39" i="1"/>
  <c r="Y44" i="1"/>
  <c r="AE10" i="1"/>
  <c r="Q26" i="1"/>
  <c r="CJ33" i="1"/>
  <c r="G10" i="1"/>
  <c r="BW21" i="1"/>
  <c r="BW27" i="1"/>
  <c r="BW14" i="1"/>
  <c r="BZ5" i="1"/>
  <c r="CA7" i="1"/>
  <c r="AZ18" i="1"/>
  <c r="AZ40" i="1"/>
  <c r="AZ8" i="1"/>
  <c r="AZ10" i="1"/>
  <c r="AZ15" i="1"/>
  <c r="AH11" i="1"/>
  <c r="AH16" i="1"/>
  <c r="AH31" i="1"/>
  <c r="AH21" i="1"/>
  <c r="AH45" i="1"/>
  <c r="AH26" i="1"/>
  <c r="AH23" i="1"/>
  <c r="AH22" i="1"/>
  <c r="AH33" i="1"/>
  <c r="AH29" i="1"/>
  <c r="AH44" i="1"/>
  <c r="AH14" i="1"/>
  <c r="AH34" i="1"/>
  <c r="AH8" i="1"/>
  <c r="AH25" i="1"/>
  <c r="AH39" i="1"/>
  <c r="AH9" i="1"/>
  <c r="AH27" i="1"/>
  <c r="AH7" i="1"/>
  <c r="AH38" i="1"/>
  <c r="BY24" i="1"/>
  <c r="BY36" i="1"/>
  <c r="BY12" i="1"/>
  <c r="BY7" i="1"/>
  <c r="BY14" i="1"/>
  <c r="BY40" i="1"/>
  <c r="BY5" i="1"/>
  <c r="BY10" i="1"/>
  <c r="BY23" i="1"/>
  <c r="BY29" i="1"/>
  <c r="BY8" i="1"/>
  <c r="BY41" i="1"/>
  <c r="BY19" i="1"/>
  <c r="BY9" i="1"/>
  <c r="BY26" i="1"/>
  <c r="BY22" i="1"/>
  <c r="BY31" i="1"/>
  <c r="BY34" i="1"/>
  <c r="BY13" i="1"/>
  <c r="BY21" i="1"/>
  <c r="BY37" i="1"/>
  <c r="BY35" i="1"/>
  <c r="BY39" i="1"/>
  <c r="BD34" i="1"/>
  <c r="BD43" i="1"/>
  <c r="BD12" i="1"/>
  <c r="BE5" i="1"/>
  <c r="BF7" i="1" s="1"/>
  <c r="BY15" i="1"/>
  <c r="AH10" i="1"/>
  <c r="BT5" i="1"/>
  <c r="BY33" i="1"/>
  <c r="BY43" i="1"/>
  <c r="BY16" i="1"/>
  <c r="O43" i="1"/>
  <c r="O34" i="1"/>
  <c r="O12" i="1"/>
  <c r="BY28" i="1"/>
  <c r="K43" i="1"/>
  <c r="K19" i="1"/>
  <c r="K13" i="1"/>
  <c r="U15" i="1"/>
  <c r="U18" i="1"/>
  <c r="AH24" i="1"/>
  <c r="S33" i="1"/>
  <c r="S10" i="1"/>
  <c r="AE13" i="1"/>
  <c r="CE8" i="1"/>
  <c r="S18" i="1"/>
  <c r="AE23" i="1"/>
  <c r="AE11" i="1"/>
  <c r="AE28" i="1"/>
  <c r="AE7" i="1"/>
  <c r="AE16" i="1"/>
  <c r="AQ5" i="1"/>
  <c r="AR7" i="1" s="1"/>
  <c r="BD25" i="1"/>
  <c r="BD11" i="1"/>
  <c r="BD27" i="1"/>
  <c r="BD44" i="1"/>
  <c r="BD22" i="1"/>
  <c r="BD10" i="1"/>
  <c r="BD9" i="1"/>
  <c r="BD38" i="1"/>
  <c r="BD24" i="1"/>
  <c r="BD26" i="1"/>
  <c r="BD41" i="1"/>
  <c r="BD45" i="1"/>
  <c r="BD23" i="1"/>
  <c r="BD39" i="1"/>
  <c r="BD19" i="1"/>
  <c r="BD37" i="1"/>
  <c r="BD40" i="1"/>
  <c r="BD36" i="1"/>
  <c r="BD35" i="1"/>
  <c r="BD18" i="1"/>
  <c r="BD16" i="1"/>
  <c r="BD8" i="1"/>
  <c r="BD14" i="1"/>
  <c r="BD31" i="1"/>
  <c r="BD15" i="1"/>
  <c r="BD29" i="1"/>
  <c r="BD5" i="1"/>
  <c r="BD28" i="1"/>
  <c r="BD13" i="1"/>
  <c r="CB5" i="1"/>
  <c r="CG21" i="1"/>
  <c r="AT40" i="1"/>
  <c r="BL5" i="1"/>
  <c r="AX10" i="1"/>
  <c r="U39" i="1"/>
  <c r="U16" i="1"/>
  <c r="U40" i="1"/>
  <c r="U36" i="1"/>
  <c r="U29" i="1"/>
  <c r="U14" i="1"/>
  <c r="U44" i="1"/>
  <c r="U22" i="1"/>
  <c r="U9" i="1"/>
  <c r="U38" i="1"/>
  <c r="U10" i="1"/>
  <c r="U24" i="1"/>
  <c r="U37" i="1"/>
  <c r="U31" i="1"/>
  <c r="U23" i="1"/>
  <c r="U28" i="1"/>
  <c r="U45" i="1"/>
  <c r="U43" i="1"/>
  <c r="U25" i="1"/>
  <c r="U5" i="1"/>
  <c r="U27" i="1"/>
  <c r="U19" i="1"/>
  <c r="U13" i="1"/>
  <c r="U41" i="1"/>
  <c r="U11" i="1"/>
  <c r="U26" i="1"/>
  <c r="U12" i="1"/>
  <c r="U35" i="1"/>
  <c r="BD21" i="1"/>
  <c r="W25" i="1"/>
  <c r="W11" i="1"/>
  <c r="W27" i="1"/>
  <c r="W44" i="1"/>
  <c r="W22" i="1"/>
  <c r="W10" i="1"/>
  <c r="W9" i="1"/>
  <c r="W38" i="1"/>
  <c r="W24" i="1"/>
  <c r="W26" i="1"/>
  <c r="W41" i="1"/>
  <c r="W45" i="1"/>
  <c r="W23" i="1"/>
  <c r="W31" i="1"/>
  <c r="W18" i="1"/>
  <c r="W16" i="1"/>
  <c r="W28" i="1"/>
  <c r="W29" i="1"/>
  <c r="W15" i="1"/>
  <c r="W14" i="1"/>
  <c r="W19" i="1"/>
  <c r="W8" i="1"/>
  <c r="W39" i="1"/>
  <c r="W13" i="1"/>
  <c r="W37" i="1"/>
  <c r="W36" i="1"/>
  <c r="W5" i="1"/>
  <c r="W40" i="1"/>
  <c r="W35" i="1"/>
  <c r="AX43" i="1"/>
  <c r="G21" i="1"/>
  <c r="U8" i="1"/>
  <c r="U7" i="1"/>
  <c r="AX37" i="1"/>
  <c r="AX31" i="1"/>
  <c r="AX45" i="1"/>
  <c r="AX39" i="1"/>
  <c r="AX40" i="1"/>
  <c r="AX27" i="1"/>
  <c r="AX18" i="1"/>
  <c r="AX36" i="1"/>
  <c r="AX29" i="1"/>
  <c r="AX14" i="1"/>
  <c r="AX44" i="1"/>
  <c r="AX22" i="1"/>
  <c r="AX9" i="1"/>
  <c r="AX38" i="1"/>
  <c r="AX35" i="1"/>
  <c r="AX28" i="1"/>
  <c r="AX13" i="1"/>
  <c r="AX19" i="1"/>
  <c r="AX24" i="1"/>
  <c r="AX16" i="1"/>
  <c r="AX41" i="1"/>
  <c r="AX26" i="1"/>
  <c r="AX33" i="1"/>
  <c r="AX11" i="1"/>
  <c r="AX23" i="1"/>
  <c r="AX25" i="1"/>
  <c r="AX5" i="1"/>
  <c r="AX8" i="1"/>
  <c r="G33" i="1"/>
  <c r="BA5" i="1"/>
  <c r="BB33" i="1" s="1"/>
  <c r="AO5" i="1"/>
  <c r="AP7" i="1" s="1"/>
  <c r="AX15" i="1"/>
  <c r="AI5" i="1"/>
  <c r="AJ7" i="1" s="1"/>
  <c r="BD33" i="1"/>
  <c r="W34" i="1"/>
  <c r="AK5" i="1"/>
  <c r="AL33" i="1" s="1"/>
  <c r="O37" i="1"/>
  <c r="O31" i="1"/>
  <c r="O45" i="1"/>
  <c r="O27" i="1"/>
  <c r="O40" i="1"/>
  <c r="O18" i="1"/>
  <c r="O36" i="1"/>
  <c r="O29" i="1"/>
  <c r="O14" i="1"/>
  <c r="O44" i="1"/>
  <c r="O22" i="1"/>
  <c r="O9" i="1"/>
  <c r="O41" i="1"/>
  <c r="O19" i="1"/>
  <c r="O21" i="1"/>
  <c r="O26" i="1"/>
  <c r="O8" i="1"/>
  <c r="O28" i="1"/>
  <c r="O11" i="1"/>
  <c r="O39" i="1"/>
  <c r="O38" i="1"/>
  <c r="O25" i="1"/>
  <c r="O23" i="1"/>
  <c r="O13" i="1"/>
  <c r="O5" i="1"/>
  <c r="O16" i="1"/>
  <c r="O35" i="1"/>
  <c r="O24" i="1"/>
  <c r="AU5" i="1"/>
  <c r="AB5" i="1"/>
  <c r="H5" i="1"/>
  <c r="I7" i="1" s="1"/>
  <c r="S45" i="1"/>
  <c r="S23" i="1"/>
  <c r="S39" i="1"/>
  <c r="S36" i="1"/>
  <c r="S29" i="1"/>
  <c r="S14" i="1"/>
  <c r="S44" i="1"/>
  <c r="S22" i="1"/>
  <c r="S9" i="1"/>
  <c r="S38" i="1"/>
  <c r="S24" i="1"/>
  <c r="S31" i="1"/>
  <c r="S16" i="1"/>
  <c r="S11" i="1"/>
  <c r="S28" i="1"/>
  <c r="S25" i="1"/>
  <c r="S5" i="1"/>
  <c r="S37" i="1"/>
  <c r="S27" i="1"/>
  <c r="S19" i="1"/>
  <c r="S13" i="1"/>
  <c r="S8" i="1"/>
  <c r="S26" i="1"/>
  <c r="S40" i="1"/>
  <c r="S12" i="1"/>
  <c r="S34" i="1"/>
  <c r="S41" i="1"/>
  <c r="S35" i="1"/>
  <c r="W21" i="1"/>
  <c r="O7" i="1"/>
  <c r="L5" i="1"/>
  <c r="G34" i="1"/>
  <c r="Z5" i="1"/>
  <c r="AA7" i="1" s="1"/>
  <c r="G12" i="1"/>
  <c r="G43" i="1"/>
  <c r="BP5" i="1"/>
  <c r="BQ7" i="1"/>
  <c r="AX7" i="1"/>
  <c r="W33" i="1"/>
  <c r="CG45" i="1"/>
  <c r="CG31" i="1"/>
  <c r="CG14" i="1"/>
  <c r="CG25" i="1"/>
  <c r="CG28" i="1"/>
  <c r="CG26" i="1"/>
  <c r="CG40" i="1"/>
  <c r="CG41" i="1"/>
  <c r="CG35" i="1"/>
  <c r="CG8" i="1"/>
  <c r="AT14" i="1"/>
  <c r="AT44" i="1"/>
  <c r="AT26" i="1"/>
  <c r="AT22" i="1"/>
  <c r="AT9" i="1"/>
  <c r="AT39" i="1"/>
  <c r="AT38" i="1"/>
  <c r="AT45" i="1"/>
  <c r="AX12" i="1"/>
  <c r="AM5" i="1"/>
  <c r="AN7" i="1" s="1"/>
  <c r="BR5" i="1"/>
  <c r="CN5" i="1" s="1"/>
  <c r="AT33" i="1"/>
  <c r="BO22" i="1"/>
  <c r="BO9" i="1"/>
  <c r="BO37" i="1"/>
  <c r="BO45" i="1"/>
  <c r="W12" i="1"/>
  <c r="U33" i="1"/>
  <c r="BU31" i="1"/>
  <c r="BU16" i="1"/>
  <c r="BU25" i="1"/>
  <c r="BU11" i="1"/>
  <c r="BU35" i="1"/>
  <c r="BU14" i="1"/>
  <c r="BU29" i="1"/>
  <c r="BU27" i="1"/>
  <c r="BU22" i="1"/>
  <c r="BU36" i="1"/>
  <c r="BU24" i="1"/>
  <c r="BU19" i="1"/>
  <c r="BU5" i="1"/>
  <c r="BU15" i="1"/>
  <c r="U21" i="1"/>
  <c r="AZ45" i="1"/>
  <c r="AZ23" i="1"/>
  <c r="AZ39" i="1"/>
  <c r="AZ36" i="1"/>
  <c r="AZ29" i="1"/>
  <c r="AZ14" i="1"/>
  <c r="AZ44" i="1"/>
  <c r="AZ22" i="1"/>
  <c r="AZ9" i="1"/>
  <c r="AZ38" i="1"/>
  <c r="AZ24" i="1"/>
  <c r="AZ13" i="1"/>
  <c r="AZ37" i="1"/>
  <c r="AZ27" i="1"/>
  <c r="AZ19" i="1"/>
  <c r="AZ41" i="1"/>
  <c r="AZ26" i="1"/>
  <c r="AZ35" i="1"/>
  <c r="AZ34" i="1"/>
  <c r="AZ5" i="1"/>
  <c r="AZ16" i="1"/>
  <c r="AZ31" i="1"/>
  <c r="AZ11" i="1"/>
  <c r="AZ12" i="1"/>
  <c r="AZ28" i="1"/>
  <c r="AZ25" i="1"/>
  <c r="I33" i="1"/>
  <c r="BJ5" i="1"/>
  <c r="BH5" i="1"/>
  <c r="BI7" i="1"/>
  <c r="G41" i="1"/>
  <c r="G37" i="1"/>
  <c r="G31" i="1"/>
  <c r="G45" i="1"/>
  <c r="G23" i="1"/>
  <c r="G39" i="1"/>
  <c r="G16" i="1"/>
  <c r="G25" i="1"/>
  <c r="G11" i="1"/>
  <c r="G44" i="1"/>
  <c r="G38" i="1"/>
  <c r="G35" i="1"/>
  <c r="G13" i="1"/>
  <c r="G24" i="1"/>
  <c r="G26" i="1"/>
  <c r="G29" i="1"/>
  <c r="G8" i="1"/>
  <c r="G40" i="1"/>
  <c r="G28" i="1"/>
  <c r="G27" i="1"/>
  <c r="G36" i="1"/>
  <c r="G19" i="1"/>
  <c r="G9" i="1"/>
  <c r="G22" i="1"/>
  <c r="G5" i="1"/>
  <c r="G15" i="1"/>
  <c r="G18" i="1"/>
  <c r="G14" i="1"/>
  <c r="K41" i="1" l="1"/>
  <c r="Y41" i="1"/>
  <c r="K31" i="1"/>
  <c r="Y8" i="1"/>
  <c r="AT34" i="1"/>
  <c r="CG34" i="1"/>
  <c r="Y40" i="1"/>
  <c r="AT23" i="1"/>
  <c r="CG11" i="1"/>
  <c r="BO10" i="1"/>
  <c r="AT12" i="1"/>
  <c r="AT37" i="1"/>
  <c r="CG18" i="1"/>
  <c r="CG10" i="1"/>
  <c r="Y36" i="1"/>
  <c r="K29" i="1"/>
  <c r="Y13" i="1"/>
  <c r="Y24" i="1"/>
  <c r="K33" i="1"/>
  <c r="CR5" i="1"/>
  <c r="Y34" i="1"/>
  <c r="CG12" i="1"/>
  <c r="Y45" i="1"/>
  <c r="AT29" i="1"/>
  <c r="AT31" i="1"/>
  <c r="Y19" i="1"/>
  <c r="BO16" i="1"/>
  <c r="AT5" i="1"/>
  <c r="AT13" i="1"/>
  <c r="CG24" i="1"/>
  <c r="AT18" i="1"/>
  <c r="BO26" i="1"/>
  <c r="AT8" i="1"/>
  <c r="AT28" i="1"/>
  <c r="CG38" i="1"/>
  <c r="AT7" i="1"/>
  <c r="K36" i="1"/>
  <c r="BO33" i="1"/>
  <c r="AT35" i="1"/>
  <c r="BO7" i="1"/>
  <c r="BO23" i="1"/>
  <c r="AT43" i="1"/>
  <c r="CG37" i="1"/>
  <c r="CG22" i="1"/>
  <c r="CG33" i="1"/>
  <c r="CE38" i="1"/>
  <c r="K24" i="1"/>
  <c r="AE15" i="1"/>
  <c r="AT24" i="1"/>
  <c r="CG9" i="1"/>
  <c r="K38" i="1"/>
  <c r="BO31" i="1"/>
  <c r="AT19" i="1"/>
  <c r="CG16" i="1"/>
  <c r="CG44" i="1"/>
  <c r="Y10" i="1"/>
  <c r="BM7" i="1"/>
  <c r="CK5" i="1"/>
  <c r="BW8" i="1"/>
  <c r="CE35" i="1"/>
  <c r="CE28" i="1"/>
  <c r="BW18" i="1"/>
  <c r="BO36" i="1"/>
  <c r="BO44" i="1"/>
  <c r="BO43" i="1"/>
  <c r="CE22" i="1"/>
  <c r="K15" i="1"/>
  <c r="K14" i="1"/>
  <c r="BW44" i="1"/>
  <c r="K11" i="1"/>
  <c r="BO24" i="1"/>
  <c r="BO15" i="1"/>
  <c r="CE21" i="1"/>
  <c r="K45" i="1"/>
  <c r="BW19" i="1"/>
  <c r="Y43" i="1"/>
  <c r="Y39" i="1"/>
  <c r="Y37" i="1"/>
  <c r="Y27" i="1"/>
  <c r="CE26" i="1"/>
  <c r="CT5" i="1"/>
  <c r="CE40" i="1"/>
  <c r="CE27" i="1"/>
  <c r="CE19" i="1"/>
  <c r="CE45" i="1"/>
  <c r="CE31" i="1"/>
  <c r="CE18" i="1"/>
  <c r="CE36" i="1"/>
  <c r="CE39" i="1"/>
  <c r="CE34" i="1"/>
  <c r="CE9" i="1"/>
  <c r="BW15" i="1"/>
  <c r="CP5" i="1"/>
  <c r="BW35" i="1"/>
  <c r="BW28" i="1"/>
  <c r="CE12" i="1"/>
  <c r="BO13" i="1"/>
  <c r="BW36" i="1"/>
  <c r="BO28" i="1"/>
  <c r="BW26" i="1"/>
  <c r="CE16" i="1"/>
  <c r="BO27" i="1"/>
  <c r="BW5" i="1"/>
  <c r="K8" i="1"/>
  <c r="K9" i="1"/>
  <c r="K5" i="1"/>
  <c r="CG7" i="1"/>
  <c r="CE7" i="1"/>
  <c r="BO21" i="1"/>
  <c r="CL5" i="1"/>
  <c r="AT16" i="1"/>
  <c r="AT27" i="1"/>
  <c r="CE10" i="1"/>
  <c r="K34" i="1"/>
  <c r="BW13" i="1"/>
  <c r="BW24" i="1"/>
  <c r="BW12" i="1"/>
  <c r="K27" i="1"/>
  <c r="CC7" i="1"/>
  <c r="CS5" i="1"/>
  <c r="BQ33" i="1"/>
  <c r="CM5" i="1"/>
  <c r="CE24" i="1"/>
  <c r="BW34" i="1"/>
  <c r="CE13" i="1"/>
  <c r="BW9" i="1"/>
  <c r="BW11" i="1"/>
  <c r="BO39" i="1"/>
  <c r="BO8" i="1"/>
  <c r="K44" i="1"/>
  <c r="CE14" i="1"/>
  <c r="BW41" i="1"/>
  <c r="CE25" i="1"/>
  <c r="CE5" i="1"/>
  <c r="BW22" i="1"/>
  <c r="CG15" i="1"/>
  <c r="BW29" i="1"/>
  <c r="CE11" i="1"/>
  <c r="BO19" i="1"/>
  <c r="AT36" i="1"/>
  <c r="CG29" i="1"/>
  <c r="BU41" i="1"/>
  <c r="CO5" i="1"/>
  <c r="BO29" i="1"/>
  <c r="AT21" i="1"/>
  <c r="CG19" i="1"/>
  <c r="BO12" i="1"/>
  <c r="BU38" i="1"/>
  <c r="BO11" i="1"/>
  <c r="BO41" i="1"/>
  <c r="AT41" i="1"/>
  <c r="AT11" i="1"/>
  <c r="CG5" i="1"/>
  <c r="CG39" i="1"/>
  <c r="CE44" i="1"/>
  <c r="K12" i="1"/>
  <c r="K26" i="1"/>
  <c r="BW37" i="1"/>
  <c r="BW25" i="1"/>
  <c r="CE23" i="1"/>
  <c r="K22" i="1"/>
  <c r="CE29" i="1"/>
  <c r="BW39" i="1"/>
  <c r="K18" i="1"/>
  <c r="CE41" i="1"/>
  <c r="K16" i="1"/>
  <c r="K23" i="1"/>
  <c r="BW40" i="1"/>
  <c r="K25" i="1"/>
  <c r="CE33" i="1"/>
  <c r="K28" i="1"/>
  <c r="BW38" i="1"/>
  <c r="CE43" i="1"/>
  <c r="Y38" i="1"/>
  <c r="Y16" i="1"/>
  <c r="Y12" i="1"/>
  <c r="Y29" i="1"/>
  <c r="Y14" i="1"/>
  <c r="Y33" i="1"/>
  <c r="Y15" i="1"/>
  <c r="Y5" i="1"/>
  <c r="Y31" i="1"/>
  <c r="Y18" i="1"/>
  <c r="Y11" i="1"/>
  <c r="Y9" i="1"/>
  <c r="Y35" i="1"/>
  <c r="Y28" i="1"/>
  <c r="Y23" i="1"/>
  <c r="Y25" i="1"/>
  <c r="BO35" i="1"/>
  <c r="K21" i="1"/>
  <c r="BW16" i="1"/>
  <c r="K39" i="1"/>
  <c r="BO5" i="1"/>
  <c r="K7" i="1"/>
  <c r="CE15" i="1"/>
  <c r="K40" i="1"/>
  <c r="BO25" i="1"/>
  <c r="CG27" i="1"/>
  <c r="CG43" i="1"/>
  <c r="BW10" i="1"/>
  <c r="BU26" i="1"/>
  <c r="BO40" i="1"/>
  <c r="CG36" i="1"/>
  <c r="BU44" i="1"/>
  <c r="BO14" i="1"/>
  <c r="BO38" i="1"/>
  <c r="AT10" i="1"/>
  <c r="AT25" i="1"/>
  <c r="CG13" i="1"/>
  <c r="CG23" i="1"/>
  <c r="K35" i="1"/>
  <c r="K10" i="1"/>
  <c r="BW33" i="1"/>
  <c r="BW45" i="1"/>
  <c r="BO34" i="1"/>
  <c r="BW31" i="1"/>
  <c r="Y7" i="1"/>
  <c r="BI5" i="1"/>
  <c r="CI5" i="1"/>
  <c r="BU13" i="1"/>
  <c r="BU39" i="1"/>
  <c r="BU9" i="1"/>
  <c r="BU23" i="1"/>
  <c r="BU7" i="1"/>
  <c r="BK7" i="1"/>
  <c r="CJ5" i="1"/>
  <c r="BU45" i="1"/>
  <c r="BU10" i="1"/>
  <c r="BU37" i="1"/>
  <c r="BU18" i="1"/>
  <c r="BU28" i="1"/>
  <c r="BU40" i="1"/>
  <c r="BU8" i="1"/>
  <c r="BF16" i="1"/>
  <c r="BF28" i="1"/>
  <c r="BF33" i="1"/>
  <c r="BF27" i="1"/>
  <c r="BF22" i="1"/>
  <c r="BF40" i="1"/>
  <c r="BF35" i="1"/>
  <c r="BF9" i="1"/>
  <c r="BF12" i="1"/>
  <c r="BF43" i="1"/>
  <c r="BF36" i="1"/>
  <c r="BF37" i="1"/>
  <c r="BF10" i="1"/>
  <c r="BF13" i="1"/>
  <c r="BF21" i="1"/>
  <c r="BF34" i="1"/>
  <c r="BF11" i="1"/>
  <c r="BF25" i="1"/>
  <c r="BF44" i="1"/>
  <c r="BF29" i="1"/>
  <c r="BF38" i="1"/>
  <c r="BF41" i="1"/>
  <c r="BF15" i="1"/>
  <c r="BF23" i="1"/>
  <c r="BF26" i="1"/>
  <c r="BF24" i="1"/>
  <c r="BF19" i="1"/>
  <c r="BF5" i="1"/>
  <c r="BF45" i="1"/>
  <c r="BF39" i="1"/>
  <c r="BF18" i="1"/>
  <c r="BF14" i="1"/>
  <c r="BF8" i="1"/>
  <c r="BF31" i="1"/>
  <c r="CA13" i="1"/>
  <c r="CA23" i="1"/>
  <c r="CA37" i="1"/>
  <c r="CA8" i="1"/>
  <c r="CA45" i="1"/>
  <c r="CA34" i="1"/>
  <c r="CA27" i="1"/>
  <c r="CA19" i="1"/>
  <c r="CA36" i="1"/>
  <c r="CA38" i="1"/>
  <c r="CA25" i="1"/>
  <c r="CA9" i="1"/>
  <c r="CA18" i="1"/>
  <c r="CA39" i="1"/>
  <c r="CA29" i="1"/>
  <c r="CA11" i="1"/>
  <c r="CA22" i="1"/>
  <c r="CA10" i="1"/>
  <c r="CA33" i="1"/>
  <c r="CA24" i="1"/>
  <c r="CA5" i="1"/>
  <c r="CA35" i="1"/>
  <c r="CA12" i="1"/>
  <c r="CA14" i="1"/>
  <c r="CA44" i="1"/>
  <c r="CA26" i="1"/>
  <c r="CA40" i="1"/>
  <c r="CA41" i="1"/>
  <c r="CA28" i="1"/>
  <c r="CA15" i="1"/>
  <c r="CA43" i="1"/>
  <c r="CA21" i="1"/>
  <c r="CA16" i="1"/>
  <c r="CA31" i="1"/>
  <c r="BU33" i="1"/>
  <c r="BU21" i="1"/>
  <c r="BU43" i="1"/>
  <c r="BU12" i="1"/>
  <c r="BU34" i="1"/>
  <c r="AJ38" i="1"/>
  <c r="AJ35" i="1"/>
  <c r="AJ28" i="1"/>
  <c r="AJ13" i="1"/>
  <c r="AJ37" i="1"/>
  <c r="AJ31" i="1"/>
  <c r="AJ45" i="1"/>
  <c r="AJ23" i="1"/>
  <c r="AJ39" i="1"/>
  <c r="AJ16" i="1"/>
  <c r="AJ36" i="1"/>
  <c r="AJ29" i="1"/>
  <c r="AJ25" i="1"/>
  <c r="AJ40" i="1"/>
  <c r="AJ34" i="1"/>
  <c r="AJ27" i="1"/>
  <c r="AJ9" i="1"/>
  <c r="AJ5" i="1"/>
  <c r="AJ19" i="1"/>
  <c r="AJ12" i="1"/>
  <c r="AJ24" i="1"/>
  <c r="AJ41" i="1"/>
  <c r="AJ44" i="1"/>
  <c r="AJ14" i="1"/>
  <c r="AJ22" i="1"/>
  <c r="AJ11" i="1"/>
  <c r="AJ26" i="1"/>
  <c r="AJ21" i="1"/>
  <c r="AJ33" i="1"/>
  <c r="AJ43" i="1"/>
  <c r="AJ8" i="1"/>
  <c r="AJ18" i="1"/>
  <c r="AJ10" i="1"/>
  <c r="AJ15" i="1"/>
  <c r="AN41" i="1"/>
  <c r="AN37" i="1"/>
  <c r="AN31" i="1"/>
  <c r="AN10" i="1"/>
  <c r="AN45" i="1"/>
  <c r="AN23" i="1"/>
  <c r="AN39" i="1"/>
  <c r="AN16" i="1"/>
  <c r="AN25" i="1"/>
  <c r="AN11" i="1"/>
  <c r="AN44" i="1"/>
  <c r="AN38" i="1"/>
  <c r="AN40" i="1"/>
  <c r="AN28" i="1"/>
  <c r="AN18" i="1"/>
  <c r="AN27" i="1"/>
  <c r="AN22" i="1"/>
  <c r="AN9" i="1"/>
  <c r="AN19" i="1"/>
  <c r="AN15" i="1"/>
  <c r="AN13" i="1"/>
  <c r="AN36" i="1"/>
  <c r="AN8" i="1"/>
  <c r="AN24" i="1"/>
  <c r="AN35" i="1"/>
  <c r="AN26" i="1"/>
  <c r="AN14" i="1"/>
  <c r="AN21" i="1"/>
  <c r="AN5" i="1"/>
  <c r="AN29" i="1"/>
  <c r="AN33" i="1"/>
  <c r="AN43" i="1"/>
  <c r="AN12" i="1"/>
  <c r="AN34" i="1"/>
  <c r="AA27" i="1"/>
  <c r="AA36" i="1"/>
  <c r="AA29" i="1"/>
  <c r="AA24" i="1"/>
  <c r="AA26" i="1"/>
  <c r="AA41" i="1"/>
  <c r="AA19" i="1"/>
  <c r="AA35" i="1"/>
  <c r="AA28" i="1"/>
  <c r="AA13" i="1"/>
  <c r="AA45" i="1"/>
  <c r="AA25" i="1"/>
  <c r="AA14" i="1"/>
  <c r="AA23" i="1"/>
  <c r="AA11" i="1"/>
  <c r="AA5" i="1"/>
  <c r="AA39" i="1"/>
  <c r="AA9" i="1"/>
  <c r="AA38" i="1"/>
  <c r="AA37" i="1"/>
  <c r="AA22" i="1"/>
  <c r="AA10" i="1"/>
  <c r="AA31" i="1"/>
  <c r="AA44" i="1"/>
  <c r="AA16" i="1"/>
  <c r="AA8" i="1"/>
  <c r="AA12" i="1"/>
  <c r="AA21" i="1"/>
  <c r="AA43" i="1"/>
  <c r="AA15" i="1"/>
  <c r="AA34" i="1"/>
  <c r="AA40" i="1"/>
  <c r="AA33" i="1"/>
  <c r="AA18" i="1"/>
  <c r="AP26" i="1"/>
  <c r="AP41" i="1"/>
  <c r="AP35" i="1"/>
  <c r="AP28" i="1"/>
  <c r="AP45" i="1"/>
  <c r="AP23" i="1"/>
  <c r="AP39" i="1"/>
  <c r="AP16" i="1"/>
  <c r="AP25" i="1"/>
  <c r="AP11" i="1"/>
  <c r="AP27" i="1"/>
  <c r="AP44" i="1"/>
  <c r="AP24" i="1"/>
  <c r="AP18" i="1"/>
  <c r="AP22" i="1"/>
  <c r="AP38" i="1"/>
  <c r="AP37" i="1"/>
  <c r="AP36" i="1"/>
  <c r="AP14" i="1"/>
  <c r="AP9" i="1"/>
  <c r="AP31" i="1"/>
  <c r="AP12" i="1"/>
  <c r="AP5" i="1"/>
  <c r="AP29" i="1"/>
  <c r="AP19" i="1"/>
  <c r="AP13" i="1"/>
  <c r="AP40" i="1"/>
  <c r="AP15" i="1"/>
  <c r="AP34" i="1"/>
  <c r="AP21" i="1"/>
  <c r="AP10" i="1"/>
  <c r="AP43" i="1"/>
  <c r="AP8" i="1"/>
  <c r="BS24" i="1"/>
  <c r="BS40" i="1"/>
  <c r="BS37" i="1"/>
  <c r="BS45" i="1"/>
  <c r="BS31" i="1"/>
  <c r="BS23" i="1"/>
  <c r="BS10" i="1"/>
  <c r="BS39" i="1"/>
  <c r="BS16" i="1"/>
  <c r="BS25" i="1"/>
  <c r="BS11" i="1"/>
  <c r="BS44" i="1"/>
  <c r="BS22" i="1"/>
  <c r="BS36" i="1"/>
  <c r="BS26" i="1"/>
  <c r="BS41" i="1"/>
  <c r="BS35" i="1"/>
  <c r="BS29" i="1"/>
  <c r="BS5" i="1"/>
  <c r="BS28" i="1"/>
  <c r="BS9" i="1"/>
  <c r="BS27" i="1"/>
  <c r="BS14" i="1"/>
  <c r="BS38" i="1"/>
  <c r="BS19" i="1"/>
  <c r="BS13" i="1"/>
  <c r="BS12" i="1"/>
  <c r="BS8" i="1"/>
  <c r="BS18" i="1"/>
  <c r="BS43" i="1"/>
  <c r="BS21" i="1"/>
  <c r="BS15" i="1"/>
  <c r="BS34" i="1"/>
  <c r="BQ38" i="1"/>
  <c r="BQ35" i="1"/>
  <c r="BQ28" i="1"/>
  <c r="BQ13" i="1"/>
  <c r="BQ37" i="1"/>
  <c r="BQ45" i="1"/>
  <c r="BQ31" i="1"/>
  <c r="BQ23" i="1"/>
  <c r="BQ39" i="1"/>
  <c r="BQ16" i="1"/>
  <c r="BQ36" i="1"/>
  <c r="BQ29" i="1"/>
  <c r="BQ14" i="1"/>
  <c r="BQ41" i="1"/>
  <c r="BQ26" i="1"/>
  <c r="BQ5" i="1"/>
  <c r="BQ25" i="1"/>
  <c r="BQ44" i="1"/>
  <c r="BQ22" i="1"/>
  <c r="BQ34" i="1"/>
  <c r="BQ24" i="1"/>
  <c r="BQ11" i="1"/>
  <c r="BQ19" i="1"/>
  <c r="BQ12" i="1"/>
  <c r="BQ9" i="1"/>
  <c r="BQ27" i="1"/>
  <c r="BQ43" i="1"/>
  <c r="BQ10" i="1"/>
  <c r="BQ21" i="1"/>
  <c r="BQ15" i="1"/>
  <c r="BQ8" i="1"/>
  <c r="BQ18" i="1"/>
  <c r="BQ40" i="1"/>
  <c r="M35" i="1"/>
  <c r="M28" i="1"/>
  <c r="M13" i="1"/>
  <c r="M37" i="1"/>
  <c r="M31" i="1"/>
  <c r="M25" i="1"/>
  <c r="M11" i="1"/>
  <c r="M27" i="1"/>
  <c r="M36" i="1"/>
  <c r="M29" i="1"/>
  <c r="M14" i="1"/>
  <c r="M44" i="1"/>
  <c r="M26" i="1"/>
  <c r="M10" i="1"/>
  <c r="M34" i="1"/>
  <c r="M21" i="1"/>
  <c r="M16" i="1"/>
  <c r="M45" i="1"/>
  <c r="M23" i="1"/>
  <c r="M12" i="1"/>
  <c r="M39" i="1"/>
  <c r="M38" i="1"/>
  <c r="M43" i="1"/>
  <c r="M22" i="1"/>
  <c r="M9" i="1"/>
  <c r="M41" i="1"/>
  <c r="M5" i="1"/>
  <c r="M19" i="1"/>
  <c r="M8" i="1"/>
  <c r="M24" i="1"/>
  <c r="M15" i="1"/>
  <c r="M18" i="1"/>
  <c r="M7" i="1"/>
  <c r="M40" i="1"/>
  <c r="BB39" i="1"/>
  <c r="BB16" i="1"/>
  <c r="BB40" i="1"/>
  <c r="BB36" i="1"/>
  <c r="BB29" i="1"/>
  <c r="BB14" i="1"/>
  <c r="BB44" i="1"/>
  <c r="BB22" i="1"/>
  <c r="BB9" i="1"/>
  <c r="BB38" i="1"/>
  <c r="BB10" i="1"/>
  <c r="BB24" i="1"/>
  <c r="BB37" i="1"/>
  <c r="BB31" i="1"/>
  <c r="BB13" i="1"/>
  <c r="BB43" i="1"/>
  <c r="BB27" i="1"/>
  <c r="BB19" i="1"/>
  <c r="BB45" i="1"/>
  <c r="BB41" i="1"/>
  <c r="BB26" i="1"/>
  <c r="BB35" i="1"/>
  <c r="BB5" i="1"/>
  <c r="BB12" i="1"/>
  <c r="BB11" i="1"/>
  <c r="BB23" i="1"/>
  <c r="BB28" i="1"/>
  <c r="BB25" i="1"/>
  <c r="BB15" i="1"/>
  <c r="BB18" i="1"/>
  <c r="BB21" i="1"/>
  <c r="BB34" i="1"/>
  <c r="BB8" i="1"/>
  <c r="M33" i="1"/>
  <c r="BB7" i="1"/>
  <c r="BK36" i="1"/>
  <c r="BK29" i="1"/>
  <c r="BK44" i="1"/>
  <c r="BK26" i="1"/>
  <c r="BK41" i="1"/>
  <c r="BK19" i="1"/>
  <c r="BK35" i="1"/>
  <c r="BK28" i="1"/>
  <c r="BK13" i="1"/>
  <c r="BK45" i="1"/>
  <c r="BK34" i="1"/>
  <c r="BK24" i="1"/>
  <c r="BK11" i="1"/>
  <c r="BK31" i="1"/>
  <c r="BK23" i="1"/>
  <c r="BK10" i="1"/>
  <c r="BK25" i="1"/>
  <c r="BK43" i="1"/>
  <c r="BK9" i="1"/>
  <c r="BK27" i="1"/>
  <c r="BK39" i="1"/>
  <c r="BK14" i="1"/>
  <c r="BK5" i="1"/>
  <c r="BK22" i="1"/>
  <c r="BK21" i="1"/>
  <c r="BK8" i="1"/>
  <c r="BK38" i="1"/>
  <c r="BK37" i="1"/>
  <c r="BK16" i="1"/>
  <c r="BK18" i="1"/>
  <c r="BK15" i="1"/>
  <c r="BK33" i="1"/>
  <c r="BK40" i="1"/>
  <c r="BK12" i="1"/>
  <c r="I26" i="1"/>
  <c r="I41" i="1"/>
  <c r="I35" i="1"/>
  <c r="I28" i="1"/>
  <c r="I45" i="1"/>
  <c r="I23" i="1"/>
  <c r="I39" i="1"/>
  <c r="I16" i="1"/>
  <c r="I25" i="1"/>
  <c r="I11" i="1"/>
  <c r="I27" i="1"/>
  <c r="I24" i="1"/>
  <c r="I31" i="1"/>
  <c r="I29" i="1"/>
  <c r="I14" i="1"/>
  <c r="I40" i="1"/>
  <c r="I18" i="1"/>
  <c r="I38" i="1"/>
  <c r="I36" i="1"/>
  <c r="I13" i="1"/>
  <c r="I37" i="1"/>
  <c r="I44" i="1"/>
  <c r="I9" i="1"/>
  <c r="I5" i="1"/>
  <c r="I22" i="1"/>
  <c r="I19" i="1"/>
  <c r="I15" i="1"/>
  <c r="I21" i="1"/>
  <c r="I8" i="1"/>
  <c r="I10" i="1"/>
  <c r="I34" i="1"/>
  <c r="I12" i="1"/>
  <c r="I43" i="1"/>
  <c r="BS33" i="1"/>
  <c r="AC36" i="1"/>
  <c r="AC29" i="1"/>
  <c r="AC44" i="1"/>
  <c r="AC26" i="1"/>
  <c r="AC41" i="1"/>
  <c r="AC19" i="1"/>
  <c r="AC35" i="1"/>
  <c r="AC28" i="1"/>
  <c r="AC13" i="1"/>
  <c r="AC45" i="1"/>
  <c r="AC43" i="1"/>
  <c r="AC23" i="1"/>
  <c r="AC11" i="1"/>
  <c r="AC25" i="1"/>
  <c r="AC39" i="1"/>
  <c r="AC38" i="1"/>
  <c r="AC37" i="1"/>
  <c r="AC21" i="1"/>
  <c r="AC27" i="1"/>
  <c r="AC22" i="1"/>
  <c r="AC9" i="1"/>
  <c r="AC16" i="1"/>
  <c r="AC31" i="1"/>
  <c r="AC12" i="1"/>
  <c r="AC24" i="1"/>
  <c r="AC14" i="1"/>
  <c r="AC5" i="1"/>
  <c r="AC8" i="1"/>
  <c r="AC10" i="1"/>
  <c r="AC40" i="1"/>
  <c r="AC18" i="1"/>
  <c r="AC34" i="1"/>
  <c r="AC15" i="1"/>
  <c r="AC33" i="1"/>
  <c r="BM36" i="1"/>
  <c r="BM29" i="1"/>
  <c r="BM14" i="1"/>
  <c r="BM44" i="1"/>
  <c r="BM38" i="1"/>
  <c r="BM26" i="1"/>
  <c r="BM41" i="1"/>
  <c r="BM19" i="1"/>
  <c r="BM40" i="1"/>
  <c r="BM35" i="1"/>
  <c r="BM28" i="1"/>
  <c r="BM18" i="1"/>
  <c r="BM13" i="1"/>
  <c r="BM37" i="1"/>
  <c r="BM45" i="1"/>
  <c r="BM27" i="1"/>
  <c r="BM24" i="1"/>
  <c r="BM8" i="1"/>
  <c r="BM16" i="1"/>
  <c r="BM31" i="1"/>
  <c r="BM23" i="1"/>
  <c r="BM25" i="1"/>
  <c r="BM10" i="1"/>
  <c r="BM39" i="1"/>
  <c r="BM22" i="1"/>
  <c r="BM5" i="1"/>
  <c r="BM11" i="1"/>
  <c r="BM9" i="1"/>
  <c r="BM34" i="1"/>
  <c r="BM33" i="1"/>
  <c r="BM12" i="1"/>
  <c r="BM21" i="1"/>
  <c r="BM15" i="1"/>
  <c r="BM43" i="1"/>
  <c r="AV37" i="1"/>
  <c r="AV31" i="1"/>
  <c r="AV45" i="1"/>
  <c r="AV27" i="1"/>
  <c r="AV40" i="1"/>
  <c r="AV18" i="1"/>
  <c r="AV36" i="1"/>
  <c r="AV29" i="1"/>
  <c r="AV14" i="1"/>
  <c r="AV44" i="1"/>
  <c r="AV22" i="1"/>
  <c r="AV9" i="1"/>
  <c r="AV41" i="1"/>
  <c r="AV19" i="1"/>
  <c r="AV25" i="1"/>
  <c r="AV15" i="1"/>
  <c r="AV39" i="1"/>
  <c r="AV38" i="1"/>
  <c r="AV8" i="1"/>
  <c r="AV35" i="1"/>
  <c r="AV26" i="1"/>
  <c r="AV16" i="1"/>
  <c r="AV5" i="1"/>
  <c r="AV24" i="1"/>
  <c r="AV11" i="1"/>
  <c r="AV23" i="1"/>
  <c r="AV13" i="1"/>
  <c r="AV28" i="1"/>
  <c r="AV33" i="1"/>
  <c r="AV12" i="1"/>
  <c r="AV34" i="1"/>
  <c r="AV43" i="1"/>
  <c r="AV21" i="1"/>
  <c r="AV10" i="1"/>
  <c r="AP33" i="1"/>
  <c r="AL24" i="1"/>
  <c r="AL40" i="1"/>
  <c r="AL37" i="1"/>
  <c r="AL31" i="1"/>
  <c r="AL45" i="1"/>
  <c r="AL23" i="1"/>
  <c r="AL10" i="1"/>
  <c r="AL39" i="1"/>
  <c r="AL16" i="1"/>
  <c r="AL25" i="1"/>
  <c r="AL11" i="1"/>
  <c r="AL44" i="1"/>
  <c r="AL22" i="1"/>
  <c r="AL21" i="1"/>
  <c r="AL28" i="1"/>
  <c r="AL27" i="1"/>
  <c r="AL38" i="1"/>
  <c r="AL19" i="1"/>
  <c r="AL13" i="1"/>
  <c r="AL5" i="1"/>
  <c r="AL36" i="1"/>
  <c r="AL41" i="1"/>
  <c r="AL35" i="1"/>
  <c r="AL26" i="1"/>
  <c r="AL9" i="1"/>
  <c r="AL14" i="1"/>
  <c r="AL18" i="1"/>
  <c r="AL29" i="1"/>
  <c r="AL15" i="1"/>
  <c r="AL34" i="1"/>
  <c r="AL8" i="1"/>
  <c r="AL12" i="1"/>
  <c r="AL43" i="1"/>
  <c r="AC7" i="1"/>
  <c r="AL7" i="1"/>
  <c r="BS7" i="1"/>
  <c r="AV7" i="1"/>
  <c r="CC37" i="1"/>
  <c r="CC45" i="1"/>
  <c r="CC31" i="1"/>
  <c r="CC27" i="1"/>
  <c r="CC40" i="1"/>
  <c r="CC18" i="1"/>
  <c r="CC36" i="1"/>
  <c r="CC29" i="1"/>
  <c r="CC14" i="1"/>
  <c r="CC44" i="1"/>
  <c r="CC22" i="1"/>
  <c r="CC9" i="1"/>
  <c r="CC41" i="1"/>
  <c r="CC19" i="1"/>
  <c r="CC35" i="1"/>
  <c r="CC21" i="1"/>
  <c r="CC16" i="1"/>
  <c r="CC11" i="1"/>
  <c r="CC23" i="1"/>
  <c r="CC25" i="1"/>
  <c r="CC28" i="1"/>
  <c r="CC13" i="1"/>
  <c r="CC39" i="1"/>
  <c r="CC38" i="1"/>
  <c r="CC24" i="1"/>
  <c r="CC26" i="1"/>
  <c r="CC5" i="1"/>
  <c r="CC12" i="1"/>
  <c r="CC33" i="1"/>
  <c r="CC15" i="1"/>
  <c r="CC10" i="1"/>
  <c r="CC43" i="1"/>
  <c r="CC8" i="1"/>
  <c r="CC34" i="1"/>
  <c r="AR41" i="1"/>
  <c r="AR19" i="1"/>
  <c r="AR35" i="1"/>
  <c r="AR28" i="1"/>
  <c r="AR39" i="1"/>
  <c r="AR16" i="1"/>
  <c r="AR25" i="1"/>
  <c r="AR11" i="1"/>
  <c r="AR27" i="1"/>
  <c r="AR44" i="1"/>
  <c r="AR12" i="1"/>
  <c r="AR5" i="1"/>
  <c r="AR22" i="1"/>
  <c r="AR9" i="1"/>
  <c r="AR38" i="1"/>
  <c r="AR45" i="1"/>
  <c r="AR37" i="1"/>
  <c r="AR13" i="1"/>
  <c r="AR36" i="1"/>
  <c r="AR24" i="1"/>
  <c r="AR26" i="1"/>
  <c r="AR14" i="1"/>
  <c r="AR31" i="1"/>
  <c r="AR8" i="1"/>
  <c r="AR18" i="1"/>
  <c r="AR29" i="1"/>
  <c r="AR23" i="1"/>
  <c r="AR34" i="1"/>
  <c r="AR33" i="1"/>
  <c r="AR10" i="1"/>
  <c r="AR21" i="1"/>
  <c r="AR15" i="1"/>
  <c r="AR43" i="1"/>
  <c r="AR40" i="1"/>
</calcChain>
</file>

<file path=xl/sharedStrings.xml><?xml version="1.0" encoding="utf-8"?>
<sst xmlns="http://schemas.openxmlformats.org/spreadsheetml/2006/main" count="204" uniqueCount="91">
  <si>
    <t>NGÀNH HÀNG</t>
  </si>
  <si>
    <t>MÃ SKU</t>
  </si>
  <si>
    <t>TÊN SKU</t>
  </si>
  <si>
    <t>Sản lượng</t>
  </si>
  <si>
    <t>%SL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</si>
  <si>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</si>
  <si>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</si>
  <si>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</si>
  <si>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</si>
  <si>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</si>
  <si>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</si>
  <si>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</si>
  <si>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</si>
  <si>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09</t>
  </si>
  <si>
    <t>Tháng 10</t>
  </si>
  <si>
    <t>Tháng 11</t>
  </si>
  <si>
    <t>Tháng 12</t>
  </si>
  <si>
    <t>Doanh thu EXW</t>
  </si>
  <si>
    <t>%Dthu</t>
  </si>
  <si>
    <t>Đơn giá EXW</t>
  </si>
  <si>
    <t>(tấn)</t>
  </si>
  <si>
    <t>(%)</t>
  </si>
  <si>
    <t>(tỷ VND)</t>
  </si>
  <si>
    <t>(USD)</t>
  </si>
  <si>
    <t>(USD/tấn)</t>
  </si>
  <si>
    <t>TỔNG</t>
  </si>
  <si>
    <t>rPET</t>
  </si>
  <si>
    <t>IV 0.84</t>
  </si>
  <si>
    <t>110000332</t>
  </si>
  <si>
    <t>Hạt nhựa rPET iSS01084G</t>
  </si>
  <si>
    <t>IV 0.80</t>
  </si>
  <si>
    <t>110000355</t>
  </si>
  <si>
    <t>Hạt nhựa rPET iSS01G 1</t>
  </si>
  <si>
    <t>IV 0.78</t>
  </si>
  <si>
    <t>110000354</t>
  </si>
  <si>
    <t>Hạt nhựa rPET WSS01G 1</t>
  </si>
  <si>
    <t>110000329</t>
  </si>
  <si>
    <t>Hạt nhựa rPET WSS01</t>
  </si>
  <si>
    <t>IV &lt; 0.78</t>
  </si>
  <si>
    <t>110000359</t>
  </si>
  <si>
    <t>Hạt nhựa rPET WSS03G</t>
  </si>
  <si>
    <t>Xơ sợi</t>
  </si>
  <si>
    <t>110000436</t>
  </si>
  <si>
    <t>Hạt nhựa rPET WSS05SB</t>
  </si>
  <si>
    <t>rHDPE thổi</t>
  </si>
  <si>
    <t>110000443</t>
  </si>
  <si>
    <t>Hạt Nhựa rHDA03N01</t>
  </si>
  <si>
    <t>110000495</t>
  </si>
  <si>
    <t>Hạt Nhựa rHDA03W01</t>
  </si>
  <si>
    <t>110000339</t>
  </si>
  <si>
    <t>Hạt Nhựa rHDPE MBF01</t>
  </si>
  <si>
    <t>110000341</t>
  </si>
  <si>
    <t>Hạt nhựa rHDB04B01</t>
  </si>
  <si>
    <t>110000374</t>
  </si>
  <si>
    <t>Hạt Nhựa rHDB03N02</t>
  </si>
  <si>
    <t>110000481</t>
  </si>
  <si>
    <t>Hạt Nhựa rHDPE PCF01</t>
  </si>
  <si>
    <t>110000425</t>
  </si>
  <si>
    <t>Hạt Nhựa HCBF-Whi-U</t>
  </si>
  <si>
    <t>110000426</t>
  </si>
  <si>
    <t>Hạt Nhựa HCBF-Yel-U</t>
  </si>
  <si>
    <t>rHDPE ép</t>
  </si>
  <si>
    <t>rPP</t>
  </si>
  <si>
    <t>Hạt rPP</t>
  </si>
  <si>
    <t>110000392</t>
  </si>
  <si>
    <t>Hạt nhựa rPP20B01</t>
  </si>
  <si>
    <t>110000508</t>
  </si>
  <si>
    <t>Hạt Nhựa rPP20W02</t>
  </si>
  <si>
    <t>110000389</t>
  </si>
  <si>
    <t>Hạt nhựa rPP20R02</t>
  </si>
  <si>
    <t>110000471</t>
  </si>
  <si>
    <t>Hạt Nhựa rPP20L05</t>
  </si>
  <si>
    <t>110000472</t>
  </si>
  <si>
    <t>Hạt Nhựa rPP20Gy01</t>
  </si>
  <si>
    <t>Vảy rPP</t>
  </si>
  <si>
    <t>110000421</t>
  </si>
  <si>
    <t>Vảy PP Đỏ Nhạt</t>
  </si>
  <si>
    <t>Phó sản</t>
  </si>
  <si>
    <t>160012951</t>
  </si>
  <si>
    <t>Phó Sản HD Ép Hỗn Hợp Cuối SSR</t>
  </si>
  <si>
    <t>160012611</t>
  </si>
  <si>
    <t>Phó Sản HD Ép Hỗn Hợp Cuối ST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</si>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</sst>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1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i/>
      <sz val="9"/>
      <color theme="0" tint="-0.249977111117893"/>
      <name val="Aptos Display"/>
      <family val="2"/>
      <scheme val="major"/>
    </font>
    <font>
      <b/>
      <i/>
      <sz val="9"/>
      <color theme="0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b/>
      <sz val="11"/>
      <color theme="4" tint="0.39997558519241921"/>
      <name val="Aptos Display"/>
      <family val="2"/>
      <scheme val="major"/>
    </font>
    <font>
      <sz val="11"/>
      <color theme="4" tint="0.39997558519241921"/>
      <name val="Aptos Display"/>
      <family val="2"/>
      <scheme val="major"/>
    </font>
    <font>
      <sz val="8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/>
      <top/>
      <bottom style="thin">
        <color theme="0"/>
      </bottom>
      <diagonal/>
    </border>
    <border>
      <left/>
      <right style="thin">
        <color theme="0" tint="-0.24994659260841701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14993743705557422"/>
      </left>
      <right/>
      <top/>
      <bottom style="thin">
        <color theme="0"/>
      </bottom>
      <diagonal/>
    </border>
    <border>
      <left/>
      <right style="thin">
        <color theme="0" tint="-0.14993743705557422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24994659260841701"/>
      </left>
      <right/>
      <top style="thin">
        <color theme="0"/>
      </top>
      <bottom/>
      <diagonal/>
    </border>
    <border>
      <left/>
      <right style="thin">
        <color theme="0" tint="-0.24994659260841701"/>
      </right>
      <top style="thin">
        <color theme="0"/>
      </top>
      <bottom/>
      <diagonal/>
    </border>
    <border>
      <left style="thin">
        <color theme="0" tint="-0.14993743705557422"/>
      </left>
      <right/>
      <top style="thin">
        <color theme="0"/>
      </top>
      <bottom/>
      <diagonal/>
    </border>
    <border>
      <left/>
      <right style="thin">
        <color theme="0" tint="-0.14993743705557422"/>
      </right>
      <top style="thin">
        <color theme="0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0" tint="-0.24994659260841701"/>
      </left>
      <right/>
      <top style="medium">
        <color auto="1"/>
      </top>
      <bottom style="medium">
        <color auto="1"/>
      </bottom>
      <diagonal/>
    </border>
    <border>
      <left/>
      <right style="thin">
        <color theme="0" tint="-0.2499465926084170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theme="0" tint="-0.14993743705557422"/>
      </bottom>
      <diagonal/>
    </border>
    <border>
      <left/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0" fontId="6" fillId="0" borderId="0" xfId="0" applyFont="1"/>
    <xf numFmtId="0" fontId="6" fillId="0" borderId="13" xfId="0" applyFont="1" applyBorder="1"/>
    <xf numFmtId="0" fontId="6" fillId="0" borderId="14" xfId="0" applyFont="1" applyBorder="1"/>
    <xf numFmtId="0" fontId="3" fillId="0" borderId="15" xfId="0" applyFont="1" applyBorder="1"/>
    <xf numFmtId="0" fontId="3" fillId="0" borderId="0" xfId="0" applyFont="1"/>
    <xf numFmtId="164" fontId="3" fillId="0" borderId="15" xfId="0" applyNumberFormat="1" applyFont="1" applyBorder="1"/>
    <xf numFmtId="165" fontId="3" fillId="0" borderId="15" xfId="0" applyNumberFormat="1" applyFont="1" applyBorder="1"/>
    <xf numFmtId="164" fontId="3" fillId="0" borderId="16" xfId="0" applyNumberFormat="1" applyFont="1" applyBorder="1"/>
    <xf numFmtId="165" fontId="7" fillId="0" borderId="17" xfId="0" applyNumberFormat="1" applyFont="1" applyBorder="1"/>
    <xf numFmtId="164" fontId="3" fillId="0" borderId="15" xfId="1" applyNumberFormat="1" applyFont="1" applyBorder="1"/>
    <xf numFmtId="165" fontId="0" fillId="0" borderId="0" xfId="0" applyNumberFormat="1"/>
    <xf numFmtId="0" fontId="0" fillId="0" borderId="11" xfId="0" applyBorder="1"/>
    <xf numFmtId="165" fontId="8" fillId="0" borderId="12" xfId="0" applyNumberFormat="1" applyFont="1" applyBorder="1"/>
    <xf numFmtId="0" fontId="3" fillId="4" borderId="18" xfId="0" applyFont="1" applyFill="1" applyBorder="1"/>
    <xf numFmtId="164" fontId="3" fillId="4" borderId="19" xfId="1" applyNumberFormat="1" applyFont="1" applyFill="1" applyBorder="1"/>
    <xf numFmtId="165" fontId="3" fillId="4" borderId="19" xfId="1" applyNumberFormat="1" applyFont="1" applyFill="1" applyBorder="1"/>
    <xf numFmtId="164" fontId="3" fillId="4" borderId="20" xfId="1" applyNumberFormat="1" applyFont="1" applyFill="1" applyBorder="1"/>
    <xf numFmtId="165" fontId="7" fillId="4" borderId="21" xfId="1" applyNumberFormat="1" applyFont="1" applyFill="1" applyBorder="1"/>
    <xf numFmtId="0" fontId="3" fillId="0" borderId="22" xfId="0" applyFont="1" applyBorder="1"/>
    <xf numFmtId="164" fontId="3" fillId="0" borderId="23" xfId="1" applyNumberFormat="1" applyFont="1" applyBorder="1"/>
    <xf numFmtId="165" fontId="3" fillId="0" borderId="23" xfId="1" applyNumberFormat="1" applyFont="1" applyBorder="1"/>
    <xf numFmtId="164" fontId="3" fillId="0" borderId="24" xfId="1" applyNumberFormat="1" applyFont="1" applyBorder="1"/>
    <xf numFmtId="165" fontId="7" fillId="0" borderId="25" xfId="1" applyNumberFormat="1" applyFont="1" applyBorder="1"/>
    <xf numFmtId="0" fontId="0" fillId="0" borderId="22" xfId="0" applyBorder="1"/>
    <xf numFmtId="164" fontId="0" fillId="0" borderId="23" xfId="1" applyNumberFormat="1" applyFont="1" applyBorder="1"/>
    <xf numFmtId="165" fontId="0" fillId="0" borderId="23" xfId="1" applyNumberFormat="1" applyFont="1" applyBorder="1"/>
    <xf numFmtId="164" fontId="0" fillId="0" borderId="24" xfId="1" applyNumberFormat="1" applyFont="1" applyBorder="1"/>
    <xf numFmtId="165" fontId="8" fillId="0" borderId="25" xfId="1" applyNumberFormat="1" applyFont="1" applyBorder="1"/>
    <xf numFmtId="0" fontId="3" fillId="4" borderId="22" xfId="0" applyFont="1" applyFill="1" applyBorder="1"/>
    <xf numFmtId="164" fontId="3" fillId="4" borderId="23" xfId="1" applyNumberFormat="1" applyFont="1" applyFill="1" applyBorder="1"/>
    <xf numFmtId="165" fontId="3" fillId="4" borderId="23" xfId="1" applyNumberFormat="1" applyFont="1" applyFill="1" applyBorder="1"/>
    <xf numFmtId="164" fontId="3" fillId="4" borderId="24" xfId="1" applyNumberFormat="1" applyFont="1" applyFill="1" applyBorder="1"/>
    <xf numFmtId="165" fontId="7" fillId="4" borderId="25" xfId="1" applyNumberFormat="1" applyFont="1" applyFill="1" applyBorder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0" xfId="0" applyFont="1" applyFill="1" applyAlignment="1">
      <alignment vertical="center"/>
    </xf>
    <xf numFmtId="0" fontId="10" fillId="5" borderId="6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2EEA-2CDA-47A3-A146-5FFEC1DCB294}">
  <dimension ref="A2:CU47"/>
  <sheetViews>
    <sheetView showGridLines="0" tabSelected="1" zoomScaleNormal="100" workbookViewId="0">
      <pane xSplit="5" ySplit="6" topLeftCell="CG17" activePane="bottomRight" state="frozen"/>
      <selection pane="topRight" activeCell="F1" sqref="F1"/>
      <selection pane="bottomLeft" activeCell="A7" sqref="A7"/>
      <selection pane="bottomRight" activeCell="CN25" sqref="CN25"/>
    </sheetView>
  </sheetViews>
  <sheetFormatPr defaultRowHeight="15" outlineLevelRow="1" outlineLevelCol="1" x14ac:dyDescent="0.25"/>
  <cols>
    <col min="1" max="1" width="4.375" customWidth="1"/>
    <col min="2" max="2" width="4.625" customWidth="1"/>
    <col min="3" max="3" width="12.25" customWidth="1"/>
    <col min="4" max="4" width="21" bestFit="1" customWidth="1"/>
    <col min="5" max="5" width="0.625" customWidth="1"/>
    <col min="6" max="6" width="16" customWidth="1"/>
    <col min="7" max="7" width="7" bestFit="1" customWidth="1"/>
    <col min="8" max="31" width="11" customWidth="1" outlineLevel="1"/>
    <col min="32" max="32" width="1.375" customWidth="1"/>
    <col min="33" max="33" width="14.375" customWidth="1"/>
    <col min="34" max="34" width="7" bestFit="1" customWidth="1"/>
    <col min="35" max="57" width="14.375" hidden="1" customWidth="1" outlineLevel="1"/>
    <col min="58" max="58" width="7" hidden="1" customWidth="1" outlineLevel="1"/>
    <col min="59" max="59" width="1.375" customWidth="1" collapsed="1"/>
    <col min="60" max="61" width="16" customWidth="1"/>
    <col min="62" max="62" width="16" customWidth="1" outlineLevel="1"/>
    <col min="63" max="63" width="10.75" customWidth="1" outlineLevel="1"/>
    <col min="64" max="85" width="16" customWidth="1" outlineLevel="1"/>
    <col min="87" max="87" width="14.125" customWidth="1"/>
    <col min="88" max="99" width="9" outlineLevel="1"/>
  </cols>
  <sheetData>
    <row r="2" spans="1:99" s="53" customFormat="1" ht="41.25" customHeight="1" x14ac:dyDescent="0.25">
      <c r="A2" s="45" t="s">
        <v>0</v>
      </c>
      <c r="B2" s="45"/>
      <c r="C2" s="45" t="s">
        <v>1</v>
      </c>
      <c r="D2" s="45" t="s">
        <v>2</v>
      </c>
      <c r="E2" s="47"/>
      <c r="F2" s="44" t="s">
        <v>3</v>
      </c>
      <c r="G2" s="46" t="s">
        <v>4</v>
      </c>
      <c r="H2" s="48" t="s">
        <v>5</v>
      </c>
      <c r="I2" s="49"/>
      <c r="J2" s="48" t="s">
        <v>6</v>
      </c>
      <c r="K2" s="49"/>
      <c r="L2" s="48" t="s">
        <v>7</v>
      </c>
      <c r="M2" s="49"/>
      <c r="N2" s="50" t="s">
        <v>8</v>
      </c>
      <c r="O2" s="50"/>
      <c r="P2" s="51" t="s">
        <v>9</v>
      </c>
      <c r="Q2" s="52"/>
      <c r="R2" s="51" t="s">
        <v>10</v>
      </c>
      <c r="S2" s="52"/>
      <c r="T2" s="51" t="s">
        <v>11</v>
      </c>
      <c r="U2" s="52"/>
      <c r="V2" s="51" t="s">
        <v>12</v>
      </c>
      <c r="W2" s="52"/>
      <c r="X2" s="51" t="s">
        <v>13</v>
      </c>
      <c r="Y2" s="52"/>
      <c r="Z2" s="51" t="s">
        <v>14</v>
      </c>
      <c r="AA2" s="52"/>
      <c r="AB2" s="51" t="s">
        <v>15</v>
      </c>
      <c r="AC2" s="52"/>
      <c r="AD2" s="50" t="s">
        <v>16</v>
      </c>
      <c r="AE2" s="49"/>
      <c r="AG2" s="44" t="s">
        <v>17</v>
      </c>
      <c r="AH2" s="46" t="s">
        <v>18</v>
      </c>
      <c r="AI2" s="48" t="s">
        <v>5</v>
      </c>
      <c r="AJ2" s="49"/>
      <c r="AK2" s="48" t="s">
        <v>6</v>
      </c>
      <c r="AL2" s="49"/>
      <c r="AM2" s="48" t="s">
        <v>7</v>
      </c>
      <c r="AN2" s="49"/>
      <c r="AO2" s="50" t="s">
        <v>8</v>
      </c>
      <c r="AP2" s="50"/>
      <c r="AQ2" s="51" t="s">
        <v>9</v>
      </c>
      <c r="AR2" s="52"/>
      <c r="AS2" s="51" t="s">
        <v>10</v>
      </c>
      <c r="AT2" s="52"/>
      <c r="AU2" s="51" t="s">
        <v>11</v>
      </c>
      <c r="AV2" s="52"/>
      <c r="AW2" s="51" t="s">
        <v>12</v>
      </c>
      <c r="AX2" s="52"/>
      <c r="AY2" s="51" t="s">
        <v>13</v>
      </c>
      <c r="AZ2" s="52"/>
      <c r="BA2" s="51" t="s">
        <v>14</v>
      </c>
      <c r="BB2" s="52"/>
      <c r="BC2" s="51" t="s">
        <v>15</v>
      </c>
      <c r="BD2" s="52"/>
      <c r="BE2" s="50" t="s">
        <v>16</v>
      </c>
      <c r="BF2" s="49"/>
      <c r="BH2" s="44" t="s">
        <v>17</v>
      </c>
      <c r="BI2" s="44" t="s">
        <v>19</v>
      </c>
      <c r="BJ2" s="48" t="s">
        <v>5</v>
      </c>
      <c r="BK2" s="49"/>
      <c r="BL2" s="48" t="s">
        <v>6</v>
      </c>
      <c r="BM2" s="49"/>
      <c r="BN2" s="48" t="s">
        <v>7</v>
      </c>
      <c r="BO2" s="49"/>
      <c r="BP2" s="50" t="s">
        <v>8</v>
      </c>
      <c r="BQ2" s="50"/>
      <c r="BR2" s="51" t="s">
        <v>9</v>
      </c>
      <c r="BS2" s="52"/>
      <c r="BT2" s="51" t="s">
        <v>10</v>
      </c>
      <c r="BU2" s="52"/>
      <c r="BV2" s="51" t="s">
        <v>11</v>
      </c>
      <c r="BW2" s="52"/>
      <c r="BX2" s="51" t="s">
        <v>12</v>
      </c>
      <c r="BY2" s="52"/>
      <c r="BZ2" s="51" t="s">
        <v>13</v>
      </c>
      <c r="CA2" s="52"/>
      <c r="CB2" s="51" t="s">
        <v>14</v>
      </c>
      <c r="CC2" s="52"/>
      <c r="CD2" s="51" t="s">
        <v>15</v>
      </c>
      <c r="CE2" s="52"/>
      <c r="CF2" s="50" t="s">
        <v>16</v>
      </c>
      <c r="CG2" s="49"/>
      <c r="CI2" s="44" t="s">
        <v>19</v>
      </c>
      <c r="CJ2" s="54" t="s">
        <v>82</v>
      </c>
      <c r="CK2" s="54" t="s">
        <v>83</v>
      </c>
      <c r="CL2" s="54" t="s">
        <v>84</v>
      </c>
      <c r="CM2" s="54" t="s">
        <v>85</v>
      </c>
      <c r="CN2" s="54" t="s">
        <v>86</v>
      </c>
      <c r="CO2" s="54" t="s">
        <v>87</v>
      </c>
      <c r="CP2" s="54" t="s">
        <v>88</v>
      </c>
      <c r="CQ2" s="54" t="s">
        <v>89</v>
      </c>
      <c r="CR2" s="54" t="s">
        <v>90</v>
      </c>
      <c r="CS2" s="54" t="s">
        <v>14</v>
      </c>
      <c r="CT2" s="54" t="s">
        <v>15</v>
      </c>
      <c r="CU2" s="54" t="s">
        <v>16</v>
      </c>
    </row>
    <row r="3" spans="1:99" s="8" customFormat="1" ht="15" customHeight="1" x14ac:dyDescent="0.2">
      <c r="A3" s="45"/>
      <c r="B3" s="45"/>
      <c r="C3" s="45"/>
      <c r="D3" s="45"/>
      <c r="E3" s="1"/>
      <c r="F3" s="2" t="s">
        <v>20</v>
      </c>
      <c r="G3" s="46"/>
      <c r="H3" s="3" t="s">
        <v>20</v>
      </c>
      <c r="I3" s="4" t="s">
        <v>21</v>
      </c>
      <c r="J3" s="3" t="s">
        <v>20</v>
      </c>
      <c r="K3" s="4" t="s">
        <v>21</v>
      </c>
      <c r="L3" s="3" t="s">
        <v>20</v>
      </c>
      <c r="M3" s="4" t="s">
        <v>21</v>
      </c>
      <c r="N3" s="5" t="s">
        <v>20</v>
      </c>
      <c r="O3" s="5" t="s">
        <v>21</v>
      </c>
      <c r="P3" s="6" t="s">
        <v>20</v>
      </c>
      <c r="Q3" s="7" t="s">
        <v>21</v>
      </c>
      <c r="R3" s="6" t="s">
        <v>20</v>
      </c>
      <c r="S3" s="7" t="s">
        <v>21</v>
      </c>
      <c r="T3" s="6" t="s">
        <v>20</v>
      </c>
      <c r="U3" s="7" t="s">
        <v>21</v>
      </c>
      <c r="V3" s="6" t="s">
        <v>20</v>
      </c>
      <c r="W3" s="7" t="s">
        <v>21</v>
      </c>
      <c r="X3" s="6" t="s">
        <v>20</v>
      </c>
      <c r="Y3" s="7" t="s">
        <v>21</v>
      </c>
      <c r="Z3" s="6" t="s">
        <v>20</v>
      </c>
      <c r="AA3" s="7" t="s">
        <v>21</v>
      </c>
      <c r="AB3" s="6" t="s">
        <v>20</v>
      </c>
      <c r="AC3" s="7" t="s">
        <v>21</v>
      </c>
      <c r="AD3" s="5" t="s">
        <v>20</v>
      </c>
      <c r="AE3" s="4" t="s">
        <v>21</v>
      </c>
      <c r="AG3" s="2" t="s">
        <v>22</v>
      </c>
      <c r="AH3" s="46"/>
      <c r="AI3" s="3" t="s">
        <v>22</v>
      </c>
      <c r="AJ3" s="4" t="s">
        <v>21</v>
      </c>
      <c r="AK3" s="3" t="s">
        <v>22</v>
      </c>
      <c r="AL3" s="4" t="s">
        <v>21</v>
      </c>
      <c r="AM3" s="3" t="s">
        <v>22</v>
      </c>
      <c r="AN3" s="4" t="s">
        <v>21</v>
      </c>
      <c r="AO3" s="5" t="s">
        <v>22</v>
      </c>
      <c r="AP3" s="5" t="s">
        <v>21</v>
      </c>
      <c r="AQ3" s="6" t="s">
        <v>22</v>
      </c>
      <c r="AR3" s="7" t="s">
        <v>21</v>
      </c>
      <c r="AS3" s="6" t="s">
        <v>22</v>
      </c>
      <c r="AT3" s="7" t="s">
        <v>21</v>
      </c>
      <c r="AU3" s="6" t="s">
        <v>22</v>
      </c>
      <c r="AV3" s="7" t="s">
        <v>21</v>
      </c>
      <c r="AW3" s="6" t="s">
        <v>22</v>
      </c>
      <c r="AX3" s="7" t="s">
        <v>21</v>
      </c>
      <c r="AY3" s="6" t="s">
        <v>22</v>
      </c>
      <c r="AZ3" s="7" t="s">
        <v>21</v>
      </c>
      <c r="BA3" s="6" t="s">
        <v>22</v>
      </c>
      <c r="BB3" s="7" t="s">
        <v>21</v>
      </c>
      <c r="BC3" s="6" t="s">
        <v>22</v>
      </c>
      <c r="BD3" s="7" t="s">
        <v>21</v>
      </c>
      <c r="BE3" s="5" t="s">
        <v>22</v>
      </c>
      <c r="BF3" s="4" t="s">
        <v>21</v>
      </c>
      <c r="BH3" s="2" t="s">
        <v>23</v>
      </c>
      <c r="BI3" s="2" t="s">
        <v>24</v>
      </c>
      <c r="BJ3" s="3" t="s">
        <v>23</v>
      </c>
      <c r="BK3" s="4" t="s">
        <v>21</v>
      </c>
      <c r="BL3" s="3" t="s">
        <v>23</v>
      </c>
      <c r="BM3" s="4" t="s">
        <v>21</v>
      </c>
      <c r="BN3" s="3" t="s">
        <v>23</v>
      </c>
      <c r="BO3" s="4" t="s">
        <v>21</v>
      </c>
      <c r="BP3" s="5" t="s">
        <v>23</v>
      </c>
      <c r="BQ3" s="5" t="s">
        <v>21</v>
      </c>
      <c r="BR3" s="6" t="s">
        <v>23</v>
      </c>
      <c r="BS3" s="7" t="s">
        <v>21</v>
      </c>
      <c r="BT3" s="6" t="s">
        <v>23</v>
      </c>
      <c r="BU3" s="7" t="s">
        <v>21</v>
      </c>
      <c r="BV3" s="6" t="s">
        <v>23</v>
      </c>
      <c r="BW3" s="7" t="s">
        <v>21</v>
      </c>
      <c r="BX3" s="6" t="s">
        <v>23</v>
      </c>
      <c r="BY3" s="7" t="s">
        <v>21</v>
      </c>
      <c r="BZ3" s="6" t="s">
        <v>23</v>
      </c>
      <c r="CA3" s="7" t="s">
        <v>21</v>
      </c>
      <c r="CB3" s="6" t="s">
        <v>23</v>
      </c>
      <c r="CC3" s="7" t="s">
        <v>21</v>
      </c>
      <c r="CD3" s="6" t="s">
        <v>23</v>
      </c>
      <c r="CE3" s="7" t="s">
        <v>21</v>
      </c>
      <c r="CF3" s="5" t="s">
        <v>23</v>
      </c>
      <c r="CG3" s="4" t="s">
        <v>21</v>
      </c>
      <c r="CI3" s="2" t="s">
        <v>24</v>
      </c>
      <c r="CJ3" s="55" t="s">
        <v>24</v>
      </c>
      <c r="CK3" s="55" t="s">
        <v>24</v>
      </c>
      <c r="CL3" s="55" t="s">
        <v>24</v>
      </c>
      <c r="CM3" s="55" t="s">
        <v>24</v>
      </c>
      <c r="CN3" s="55" t="s">
        <v>24</v>
      </c>
      <c r="CO3" s="55" t="s">
        <v>24</v>
      </c>
      <c r="CP3" s="55" t="s">
        <v>24</v>
      </c>
      <c r="CQ3" s="55" t="s">
        <v>24</v>
      </c>
      <c r="CR3" s="55" t="s">
        <v>24</v>
      </c>
      <c r="CS3" s="55" t="s">
        <v>24</v>
      </c>
      <c r="CT3" s="55" t="s">
        <v>24</v>
      </c>
      <c r="CU3" s="55" t="s">
        <v>24</v>
      </c>
    </row>
    <row r="4" spans="1:99" ht="6.75" customHeight="1" thickBot="1" x14ac:dyDescent="0.3">
      <c r="H4" s="9"/>
      <c r="I4" s="10"/>
      <c r="J4" s="9"/>
      <c r="K4" s="10"/>
      <c r="L4" s="9"/>
      <c r="M4" s="10"/>
      <c r="N4" s="11"/>
      <c r="O4" s="11"/>
      <c r="P4" s="12"/>
      <c r="Q4" s="13"/>
      <c r="R4" s="12"/>
      <c r="S4" s="13"/>
      <c r="T4" s="12"/>
      <c r="U4" s="13"/>
      <c r="V4" s="12"/>
      <c r="W4" s="13"/>
      <c r="X4" s="12"/>
      <c r="Y4" s="13"/>
      <c r="Z4" s="12"/>
      <c r="AA4" s="13"/>
      <c r="AB4" s="12"/>
      <c r="AC4" s="13"/>
      <c r="AD4" s="11"/>
      <c r="AE4" s="10"/>
    </row>
    <row r="5" spans="1:99" s="15" customFormat="1" ht="15.75" thickBot="1" x14ac:dyDescent="0.3">
      <c r="A5" s="14" t="s">
        <v>25</v>
      </c>
      <c r="B5" s="14"/>
      <c r="C5" s="14"/>
      <c r="D5" s="14"/>
      <c r="F5" s="16">
        <f>F7+F18+F21+F31+F33+F43</f>
        <v>55000.000002186724</v>
      </c>
      <c r="G5" s="17">
        <f>IFERROR(F5/F$5,0)</f>
        <v>1</v>
      </c>
      <c r="H5" s="18">
        <f>H7+H18+H21+H31+H33+H43</f>
        <v>4318.222932676138</v>
      </c>
      <c r="I5" s="19">
        <f>IFERROR(H5/H$5,0)</f>
        <v>1</v>
      </c>
      <c r="J5" s="18">
        <f t="shared" ref="J5:AD5" si="0">J7+J18+J21+J31+J33+J43</f>
        <v>4253.3145678240326</v>
      </c>
      <c r="K5" s="19">
        <f>IFERROR(J5/J$5,0)</f>
        <v>1</v>
      </c>
      <c r="L5" s="18">
        <f t="shared" si="0"/>
        <v>4678.557403475741</v>
      </c>
      <c r="M5" s="19">
        <f>IFERROR(L5/L$5,0)</f>
        <v>1</v>
      </c>
      <c r="N5" s="18">
        <f t="shared" si="0"/>
        <v>4394.231518676721</v>
      </c>
      <c r="O5" s="19">
        <f>IFERROR(N5/N$5,0)</f>
        <v>1</v>
      </c>
      <c r="P5" s="18">
        <f t="shared" si="0"/>
        <v>4663.4364391825357</v>
      </c>
      <c r="Q5" s="19">
        <f>IFERROR(P5/P$5,0)</f>
        <v>1</v>
      </c>
      <c r="R5" s="18">
        <f t="shared" si="0"/>
        <v>4691.9521822275938</v>
      </c>
      <c r="S5" s="19">
        <f>IFERROR(R5/R$5,0)</f>
        <v>1</v>
      </c>
      <c r="T5" s="18">
        <f t="shared" si="0"/>
        <v>4689.4225169732681</v>
      </c>
      <c r="U5" s="19">
        <f>IFERROR(T5/T$5,0)</f>
        <v>1</v>
      </c>
      <c r="V5" s="18">
        <f t="shared" si="0"/>
        <v>4562.8494989087394</v>
      </c>
      <c r="W5" s="19">
        <f>IFERROR(V5/V$5,0)</f>
        <v>1</v>
      </c>
      <c r="X5" s="18">
        <f t="shared" si="0"/>
        <v>4774.6231018888848</v>
      </c>
      <c r="Y5" s="19">
        <f>IFERROR(X5/X$5,0)</f>
        <v>1</v>
      </c>
      <c r="Z5" s="18">
        <f t="shared" si="0"/>
        <v>4468.6262974285746</v>
      </c>
      <c r="AA5" s="19">
        <f>IFERROR(Z5/Z$5,0)</f>
        <v>1</v>
      </c>
      <c r="AB5" s="18">
        <f t="shared" si="0"/>
        <v>4720.2431243544625</v>
      </c>
      <c r="AC5" s="19">
        <f>IFERROR(AB5/AB$5,0)</f>
        <v>1</v>
      </c>
      <c r="AD5" s="18">
        <f t="shared" si="0"/>
        <v>4784.5204185700313</v>
      </c>
      <c r="AE5" s="19">
        <f>IFERROR(AD5/AD$5,0)</f>
        <v>1</v>
      </c>
      <c r="AG5" s="16">
        <f t="shared" ref="AG5:BH5" si="1">AG7+AG18+AG21+AG31+AG33+AG43</f>
        <v>1634.4324339544096</v>
      </c>
      <c r="AH5" s="17">
        <f>IFERROR(AG5/AG$5,0)</f>
        <v>1</v>
      </c>
      <c r="AI5" s="18">
        <f>AI7+AI18+AI21+AI31+AI33+AI43</f>
        <v>128.76314331519012</v>
      </c>
      <c r="AJ5" s="19">
        <f>IFERROR(AI5/AI$5,0)</f>
        <v>1</v>
      </c>
      <c r="AK5" s="18">
        <f t="shared" ref="AK5:BE5" si="2">AK7+AK18+AK21+AK31+AK33+AK43</f>
        <v>126.94021335620008</v>
      </c>
      <c r="AL5" s="19">
        <f>IFERROR(AK5/AK$5,0)</f>
        <v>1</v>
      </c>
      <c r="AM5" s="18">
        <f t="shared" si="2"/>
        <v>140.09515400616058</v>
      </c>
      <c r="AN5" s="19">
        <f>IFERROR(AM5/AM$5,0)</f>
        <v>1</v>
      </c>
      <c r="AO5" s="18">
        <f t="shared" si="2"/>
        <v>131.0741086969351</v>
      </c>
      <c r="AP5" s="19">
        <f>IFERROR(AO5/AO$5,0)</f>
        <v>1</v>
      </c>
      <c r="AQ5" s="18">
        <f t="shared" si="2"/>
        <v>139.17998373807038</v>
      </c>
      <c r="AR5" s="19">
        <f>IFERROR(AQ5/AQ$5,0)</f>
        <v>1</v>
      </c>
      <c r="AS5" s="18">
        <f t="shared" si="2"/>
        <v>139.79996647257698</v>
      </c>
      <c r="AT5" s="19">
        <f>IFERROR(AS5/AS$5,0)</f>
        <v>1</v>
      </c>
      <c r="AU5" s="18">
        <f t="shared" si="2"/>
        <v>139.30132998674787</v>
      </c>
      <c r="AV5" s="19">
        <f>IFERROR(AU5/AU$5,0)</f>
        <v>1</v>
      </c>
      <c r="AW5" s="18">
        <f t="shared" si="2"/>
        <v>135.28736111693249</v>
      </c>
      <c r="AX5" s="19">
        <f>IFERROR(AW5/AW$5,0)</f>
        <v>1</v>
      </c>
      <c r="AY5" s="18">
        <f t="shared" si="2"/>
        <v>141.42432914107044</v>
      </c>
      <c r="AZ5" s="19">
        <f>IFERROR(AY5/AY$5,0)</f>
        <v>1</v>
      </c>
      <c r="BA5" s="18">
        <f t="shared" si="2"/>
        <v>131.9287008419515</v>
      </c>
      <c r="BB5" s="19">
        <f>IFERROR(BA5/BA$5,0)</f>
        <v>1</v>
      </c>
      <c r="BC5" s="18">
        <f t="shared" si="2"/>
        <v>139.6557199376148</v>
      </c>
      <c r="BD5" s="19">
        <f>IFERROR(BC5/BC$5,0)</f>
        <v>1</v>
      </c>
      <c r="BE5" s="18">
        <f t="shared" si="2"/>
        <v>140.9824233449593</v>
      </c>
      <c r="BF5" s="19">
        <f>IFERROR(BE5/BE$5,0)</f>
        <v>1</v>
      </c>
      <c r="BH5" s="16">
        <f t="shared" si="1"/>
        <v>61676695.62092112</v>
      </c>
      <c r="BI5" s="20">
        <f>IFERROR(BH5/F5,0)</f>
        <v>1121.3944657903444</v>
      </c>
      <c r="BJ5" s="18">
        <f t="shared" ref="BJ5:CF5" si="3">BJ7+BJ18+BJ21+BJ31+BJ33+BJ43</f>
        <v>4858986.5401958534</v>
      </c>
      <c r="BK5" s="19">
        <f>IFERROR(BJ5/BJ$5,0)</f>
        <v>1</v>
      </c>
      <c r="BL5" s="18">
        <f t="shared" si="3"/>
        <v>4790196.7304226449</v>
      </c>
      <c r="BM5" s="19">
        <f>IFERROR(BL5/BL$5,0)</f>
        <v>1</v>
      </c>
      <c r="BN5" s="18">
        <f t="shared" si="3"/>
        <v>5286609.5851381347</v>
      </c>
      <c r="BO5" s="19">
        <f>IFERROR(BN5/BN$5,0)</f>
        <v>1</v>
      </c>
      <c r="BP5" s="18">
        <f t="shared" si="3"/>
        <v>4946192.7810164187</v>
      </c>
      <c r="BQ5" s="19">
        <f>IFERROR(BP5/BP$5,0)</f>
        <v>1</v>
      </c>
      <c r="BR5" s="18">
        <f t="shared" si="3"/>
        <v>5252074.8580403924</v>
      </c>
      <c r="BS5" s="19">
        <f>IFERROR(BR5/BR$5,0)</f>
        <v>1</v>
      </c>
      <c r="BT5" s="18">
        <f t="shared" si="3"/>
        <v>5275470.4329274334</v>
      </c>
      <c r="BU5" s="19">
        <f>IFERROR(BT5/BT$5,0)</f>
        <v>1</v>
      </c>
      <c r="BV5" s="18">
        <f t="shared" si="3"/>
        <v>5256653.9617640702</v>
      </c>
      <c r="BW5" s="19">
        <f>IFERROR(BV5/BV$5,0)</f>
        <v>1</v>
      </c>
      <c r="BX5" s="18">
        <f t="shared" si="3"/>
        <v>5105183.4383748109</v>
      </c>
      <c r="BY5" s="19">
        <f>IFERROR(BX5/BX$5,0)</f>
        <v>1</v>
      </c>
      <c r="BZ5" s="18">
        <f t="shared" si="3"/>
        <v>5336767.1373988846</v>
      </c>
      <c r="CA5" s="19">
        <f>IFERROR(BZ5/BZ$5,0)</f>
        <v>1</v>
      </c>
      <c r="CB5" s="18">
        <f t="shared" si="3"/>
        <v>4978441.5412057173</v>
      </c>
      <c r="CC5" s="19">
        <f>IFERROR(CB5/CB$5,0)</f>
        <v>1</v>
      </c>
      <c r="CD5" s="18">
        <f t="shared" si="3"/>
        <v>5270027.1674571624</v>
      </c>
      <c r="CE5" s="19">
        <f>IFERROR(CD5/CD$5,0)</f>
        <v>1</v>
      </c>
      <c r="CF5" s="18">
        <f t="shared" si="3"/>
        <v>5320091.4469795963</v>
      </c>
      <c r="CG5" s="19">
        <f>IFERROR(CF5/CF$5,0)</f>
        <v>1</v>
      </c>
      <c r="CI5" s="20">
        <f>IFERROR(BH5/F5,0)</f>
        <v>1121.3944657903444</v>
      </c>
      <c r="CJ5" s="20">
        <f>IFERROR(BJ5/H5,0)</f>
        <v>1125.2282746746905</v>
      </c>
      <c r="CK5" s="20">
        <f>IFERROR(BL5/J5,0)</f>
        <v>1126.2267706837581</v>
      </c>
      <c r="CL5" s="20">
        <f>IFERROR(BN5/L5,0)</f>
        <v>1129.9657414079534</v>
      </c>
      <c r="CM5" s="20">
        <f>IFERROR(BP5/N5,0)</f>
        <v>1125.6104190217804</v>
      </c>
      <c r="CN5" s="20">
        <f>IFERROR(BR5/P5,0)</f>
        <v>1126.2241753553396</v>
      </c>
      <c r="CO5" s="20">
        <f>IFERROR(BT5/R5,0)</f>
        <v>1124.3657710132081</v>
      </c>
      <c r="CP5" s="20">
        <f t="shared" ref="CP5" si="4">IFERROR(BV5/T5,0)</f>
        <v>1120.9597648191691</v>
      </c>
      <c r="CQ5" s="20">
        <f t="shared" ref="CQ5" si="5">IFERROR(BX5/V5,0)</f>
        <v>1118.858607893111</v>
      </c>
      <c r="CR5" s="20">
        <f t="shared" ref="CR5" si="6">IFERROR(BZ5/X5,0)</f>
        <v>1117.735792650861</v>
      </c>
      <c r="CS5" s="20">
        <f t="shared" ref="CS5" si="7">IFERROR(CB5/Z5,0)</f>
        <v>1114.087688216513</v>
      </c>
      <c r="CT5" s="20">
        <f t="shared" ref="CT5" si="8">IFERROR(CD5/AB5,0)</f>
        <v>1116.4736706603196</v>
      </c>
      <c r="CU5" s="20">
        <f t="shared" ref="CU5" si="9">IFERROR(CF5/AD5,0)</f>
        <v>1111.9382888054708</v>
      </c>
    </row>
    <row r="6" spans="1:99" ht="6.75" customHeight="1" x14ac:dyDescent="0.25">
      <c r="G6" s="21"/>
      <c r="H6" s="22"/>
      <c r="I6" s="23"/>
      <c r="J6" s="22"/>
      <c r="K6" s="23"/>
      <c r="L6" s="22"/>
      <c r="M6" s="23"/>
      <c r="N6" s="22"/>
      <c r="O6" s="23"/>
      <c r="P6" s="22"/>
      <c r="Q6" s="23"/>
      <c r="R6" s="22"/>
      <c r="S6" s="23"/>
      <c r="T6" s="22"/>
      <c r="U6" s="23"/>
      <c r="V6" s="22"/>
      <c r="W6" s="23"/>
      <c r="X6" s="22"/>
      <c r="Y6" s="23"/>
      <c r="Z6" s="22"/>
      <c r="AA6" s="23"/>
      <c r="AB6" s="22"/>
      <c r="AC6" s="23"/>
      <c r="AD6" s="22"/>
      <c r="AE6" s="23"/>
      <c r="AH6" s="21"/>
      <c r="AI6" s="22"/>
      <c r="AJ6" s="23"/>
      <c r="AK6" s="22"/>
      <c r="AL6" s="23"/>
      <c r="AM6" s="22"/>
      <c r="AN6" s="23"/>
      <c r="AO6" s="22"/>
      <c r="AP6" s="23"/>
      <c r="AQ6" s="22"/>
      <c r="AR6" s="23"/>
      <c r="AS6" s="22"/>
      <c r="AT6" s="23"/>
      <c r="AU6" s="22"/>
      <c r="AV6" s="23"/>
      <c r="AW6" s="22"/>
      <c r="AX6" s="23"/>
      <c r="AY6" s="22"/>
      <c r="AZ6" s="23"/>
      <c r="BA6" s="22"/>
      <c r="BB6" s="23"/>
      <c r="BC6" s="22"/>
      <c r="BD6" s="23"/>
      <c r="BE6" s="22"/>
      <c r="BF6" s="23"/>
      <c r="BJ6" s="22"/>
      <c r="BK6" s="23"/>
      <c r="BL6" s="22"/>
      <c r="BM6" s="23"/>
      <c r="BN6" s="22"/>
      <c r="BO6" s="23"/>
      <c r="BP6" s="22"/>
      <c r="BQ6" s="23"/>
      <c r="BR6" s="22"/>
      <c r="BS6" s="23"/>
      <c r="BT6" s="22"/>
      <c r="BU6" s="23"/>
      <c r="BV6" s="22"/>
      <c r="BW6" s="23"/>
      <c r="BX6" s="22"/>
      <c r="BY6" s="23"/>
      <c r="BZ6" s="22"/>
      <c r="CA6" s="23"/>
      <c r="CB6" s="22"/>
      <c r="CC6" s="23"/>
      <c r="CD6" s="22"/>
      <c r="CE6" s="23"/>
      <c r="CF6" s="22"/>
      <c r="CG6" s="23"/>
    </row>
    <row r="7" spans="1:99" s="15" customFormat="1" x14ac:dyDescent="0.25">
      <c r="A7" s="24" t="s">
        <v>26</v>
      </c>
      <c r="B7" s="24"/>
      <c r="C7" s="24"/>
      <c r="D7" s="24"/>
      <c r="F7" s="25">
        <f>F8+F10+F12+F15</f>
        <v>46346.956202186724</v>
      </c>
      <c r="G7" s="26">
        <f t="shared" ref="G7:G16" si="10">IFERROR(F7/F$5,0)</f>
        <v>0.84267193091534609</v>
      </c>
      <c r="H7" s="27">
        <f>H8+H10+H12+H15</f>
        <v>3754.6359493428049</v>
      </c>
      <c r="I7" s="28">
        <f t="shared" ref="I7:K22" si="11">IFERROR(H7/H$5,0)</f>
        <v>0.86948636230226761</v>
      </c>
      <c r="J7" s="27">
        <f t="shared" ref="J7:AD7" si="12">J8+J10+J12+J15</f>
        <v>3654.7275844906994</v>
      </c>
      <c r="K7" s="28">
        <f t="shared" si="11"/>
        <v>0.85926576231591389</v>
      </c>
      <c r="L7" s="27">
        <f t="shared" si="12"/>
        <v>3872.9704201424074</v>
      </c>
      <c r="M7" s="28">
        <f t="shared" ref="M7:M16" si="13">IFERROR(L7/L$5,0)</f>
        <v>0.82781295304085489</v>
      </c>
      <c r="N7" s="27">
        <f t="shared" si="12"/>
        <v>3773.6445353433878</v>
      </c>
      <c r="O7" s="28">
        <f t="shared" ref="O7:O16" si="14">IFERROR(N7/N$5,0)</f>
        <v>0.85877235173074884</v>
      </c>
      <c r="P7" s="27">
        <f t="shared" si="12"/>
        <v>4033.8494558492021</v>
      </c>
      <c r="Q7" s="28">
        <f t="shared" ref="Q7:Q16" si="15">IFERROR(P7/P$5,0)</f>
        <v>0.86499505428153856</v>
      </c>
      <c r="R7" s="27">
        <f t="shared" si="12"/>
        <v>3849.3651988942606</v>
      </c>
      <c r="S7" s="28">
        <f t="shared" ref="S7:S16" si="16">IFERROR(R7/R$5,0)</f>
        <v>0.82041867636142474</v>
      </c>
      <c r="T7" s="27">
        <f t="shared" si="12"/>
        <v>4007.835533639935</v>
      </c>
      <c r="U7" s="28">
        <f t="shared" ref="U7:U16" si="17">IFERROR(T7/T$5,0)</f>
        <v>0.85465438849531195</v>
      </c>
      <c r="V7" s="27">
        <f t="shared" si="12"/>
        <v>3868.2625155754067</v>
      </c>
      <c r="W7" s="28">
        <f t="shared" ref="W7:W16" si="18">IFERROR(V7/V$5,0)</f>
        <v>0.84777341801445527</v>
      </c>
      <c r="X7" s="27">
        <f t="shared" si="12"/>
        <v>3873.0361185555516</v>
      </c>
      <c r="Y7" s="28">
        <f t="shared" ref="Y7:Y16" si="19">IFERROR(X7/X$5,0)</f>
        <v>0.81117106751805035</v>
      </c>
      <c r="Z7" s="27">
        <f t="shared" si="12"/>
        <v>3750.039314095241</v>
      </c>
      <c r="AA7" s="28">
        <f t="shared" ref="AA7:AA16" si="20">IFERROR(Z7/Z$5,0)</f>
        <v>0.83919286700102058</v>
      </c>
      <c r="AB7" s="27">
        <f t="shared" si="12"/>
        <v>4016.6561410211293</v>
      </c>
      <c r="AC7" s="28">
        <f t="shared" ref="AC7:AC16" si="21">IFERROR(AB7/AB$5,0)</f>
        <v>0.85094263901299461</v>
      </c>
      <c r="AD7" s="27">
        <f t="shared" si="12"/>
        <v>3891.9334352366977</v>
      </c>
      <c r="AE7" s="28">
        <f t="shared" ref="AE7:AE16" si="22">IFERROR(AD7/AD$5,0)</f>
        <v>0.81344274760141899</v>
      </c>
      <c r="AG7" s="25">
        <f>AG8+AG10+AG12+AG15</f>
        <v>1404.9403111772097</v>
      </c>
      <c r="AH7" s="26">
        <f t="shared" ref="AH7:AH16" si="23">IFERROR(AG7/AG$5,0)</f>
        <v>0.85958910383223508</v>
      </c>
      <c r="AI7" s="27">
        <f>AI8+AI10+AI12+AI15</f>
        <v>113.64977807785679</v>
      </c>
      <c r="AJ7" s="28">
        <f t="shared" ref="AJ7:AJ16" si="24">IFERROR(AI7/AI$5,0)</f>
        <v>0.88262662087754107</v>
      </c>
      <c r="AK7" s="27">
        <f t="shared" ref="AK7:BE7" si="25">AK8+AK10+AK12+AK15</f>
        <v>110.62477355933342</v>
      </c>
      <c r="AL7" s="28">
        <f t="shared" ref="AL7:AL16" si="26">IFERROR(AK7/AK$5,0)</f>
        <v>0.87147146388446051</v>
      </c>
      <c r="AM7" s="27">
        <f t="shared" si="25"/>
        <v>117.33286564976058</v>
      </c>
      <c r="AN7" s="28">
        <f t="shared" ref="AN7:AN16" si="27">IFERROR(AM7/AM$5,0)</f>
        <v>0.83752265724052777</v>
      </c>
      <c r="AO7" s="27">
        <f t="shared" si="25"/>
        <v>114.28939078100177</v>
      </c>
      <c r="AP7" s="28">
        <f t="shared" ref="AP7:AP16" si="28">IFERROR(AO7/AO$5,0)</f>
        <v>0.87194482508561355</v>
      </c>
      <c r="AQ7" s="27">
        <f t="shared" si="25"/>
        <v>122.37132826260373</v>
      </c>
      <c r="AR7" s="28">
        <f t="shared" ref="AR7:AR16" si="29">IFERROR(AQ7/AQ$5,0)</f>
        <v>0.87923079868223231</v>
      </c>
      <c r="AS7" s="27">
        <f t="shared" si="25"/>
        <v>116.71151843757697</v>
      </c>
      <c r="AT7" s="28">
        <f t="shared" ref="AT7:AT16" si="30">IFERROR(AS7/AS$5,0)</f>
        <v>0.83484654097160305</v>
      </c>
      <c r="AU7" s="27">
        <f t="shared" si="25"/>
        <v>121.60178139221453</v>
      </c>
      <c r="AV7" s="28">
        <f t="shared" ref="AV7:AX16" si="31">IFERROR(AU7/AU$5,0)</f>
        <v>0.8729405627626301</v>
      </c>
      <c r="AW7" s="27">
        <f t="shared" si="25"/>
        <v>117.22001096286583</v>
      </c>
      <c r="AX7" s="28">
        <f t="shared" si="31"/>
        <v>0.86645204692513322</v>
      </c>
      <c r="AY7" s="27">
        <f t="shared" si="25"/>
        <v>117.54151942747045</v>
      </c>
      <c r="AZ7" s="28">
        <f t="shared" ref="AZ7:AZ16" si="32">IFERROR(AY7/AY$5,0)</f>
        <v>0.83112658296736941</v>
      </c>
      <c r="BA7" s="27">
        <f t="shared" si="25"/>
        <v>113.71468356881817</v>
      </c>
      <c r="BB7" s="28">
        <f t="shared" ref="BB7:BB16" si="33">IFERROR(BA7/BA$5,0)</f>
        <v>0.86194044846273876</v>
      </c>
      <c r="BC7" s="27">
        <f t="shared" si="25"/>
        <v>121.88511910494813</v>
      </c>
      <c r="BD7" s="28">
        <f t="shared" ref="BD7:BF16" si="34">IFERROR(BC7/BC$5,0)</f>
        <v>0.87275422130504265</v>
      </c>
      <c r="BE7" s="27">
        <f t="shared" si="25"/>
        <v>117.99754195275931</v>
      </c>
      <c r="BF7" s="28">
        <f t="shared" si="34"/>
        <v>0.83696633348428107</v>
      </c>
      <c r="BH7" s="25">
        <f>BH8+BH10+BH12+BH15</f>
        <v>53016615.516121119</v>
      </c>
      <c r="BI7" s="25">
        <f t="shared" ref="BI7:BI16" si="35">IFERROR(BH7/F7,0)</f>
        <v>1143.9071701890903</v>
      </c>
      <c r="BJ7" s="27">
        <f t="shared" ref="BJ7:CF7" si="36">BJ8+BJ10+BJ12+BJ15</f>
        <v>4288670.8708625203</v>
      </c>
      <c r="BK7" s="28">
        <f t="shared" ref="BK7:BM16" si="37">IFERROR(BJ7/BJ$5,0)</f>
        <v>0.88262662087754107</v>
      </c>
      <c r="BL7" s="27">
        <f t="shared" si="36"/>
        <v>4174519.7569559785</v>
      </c>
      <c r="BM7" s="28">
        <f t="shared" si="37"/>
        <v>0.8714714638844604</v>
      </c>
      <c r="BN7" s="27">
        <f t="shared" si="36"/>
        <v>4427655.307538135</v>
      </c>
      <c r="BO7" s="28">
        <f t="shared" ref="BO7:BO16" si="38">IFERROR(BN7/BN$5,0)</f>
        <v>0.83752265724052788</v>
      </c>
      <c r="BP7" s="27">
        <f t="shared" si="36"/>
        <v>4312807.1992830858</v>
      </c>
      <c r="BQ7" s="28">
        <f t="shared" ref="BQ7:BQ16" si="39">IFERROR(BP7/BP$5,0)</f>
        <v>0.87194482508561355</v>
      </c>
      <c r="BR7" s="27">
        <f t="shared" si="36"/>
        <v>4617785.9721737262</v>
      </c>
      <c r="BS7" s="28">
        <f t="shared" ref="BS7:BS16" si="40">IFERROR(BR7/BR$5,0)</f>
        <v>0.87923079868223231</v>
      </c>
      <c r="BT7" s="27">
        <f t="shared" si="36"/>
        <v>4404208.242927433</v>
      </c>
      <c r="BU7" s="28">
        <f t="shared" ref="BU7:BU16" si="41">IFERROR(BT7/BT$5,0)</f>
        <v>0.83484654097160305</v>
      </c>
      <c r="BV7" s="27">
        <f t="shared" si="36"/>
        <v>4588746.4676307365</v>
      </c>
      <c r="BW7" s="28">
        <f t="shared" ref="BW7:BW16" si="42">IFERROR(BV7/BV$5,0)</f>
        <v>0.8729405627626301</v>
      </c>
      <c r="BX7" s="27">
        <f t="shared" si="36"/>
        <v>4423396.6401081439</v>
      </c>
      <c r="BY7" s="28">
        <f t="shared" ref="BY7:BY16" si="43">IFERROR(BX7/BX$5,0)</f>
        <v>0.86645204692513311</v>
      </c>
      <c r="BZ7" s="27">
        <f t="shared" si="36"/>
        <v>4435529.0349988844</v>
      </c>
      <c r="CA7" s="28">
        <f t="shared" ref="CA7:CA16" si="44">IFERROR(BZ7/BZ$5,0)</f>
        <v>0.83112658296736941</v>
      </c>
      <c r="CB7" s="27">
        <f t="shared" si="36"/>
        <v>4291120.1346723838</v>
      </c>
      <c r="CC7" s="28">
        <f t="shared" ref="CC7:CC16" si="45">IFERROR(CB7/CB$5,0)</f>
        <v>0.86194044846273865</v>
      </c>
      <c r="CD7" s="27">
        <f t="shared" si="36"/>
        <v>4599438.4567904957</v>
      </c>
      <c r="CE7" s="28">
        <f t="shared" ref="CE7:CE16" si="46">IFERROR(CD7/CD$5,0)</f>
        <v>0.87275422130504265</v>
      </c>
      <c r="CF7" s="27">
        <f t="shared" si="36"/>
        <v>4452737.4321795963</v>
      </c>
      <c r="CG7" s="28">
        <f t="shared" ref="CG7:CG16" si="47">IFERROR(CF7/CF$5,0)</f>
        <v>0.83696633348428107</v>
      </c>
      <c r="CI7" s="25">
        <f t="shared" ref="CI7:CI16" si="48">IFERROR(BH7/F7,0)</f>
        <v>1143.9071701890903</v>
      </c>
      <c r="CJ7" s="25">
        <f t="shared" ref="CJ7:CJ16" si="49">IFERROR(BJ7/H7,0)</f>
        <v>1142.2334758215882</v>
      </c>
      <c r="CK7" s="25">
        <f>IFERROR(BL7/J7,0)</f>
        <v>1142.2246009992873</v>
      </c>
      <c r="CL7" s="25">
        <f>IFERROR(BN7/L7,0)</f>
        <v>1143.2195000795623</v>
      </c>
      <c r="CM7" s="25">
        <f>IFERROR(BP7/N7,0)</f>
        <v>1142.8758482390117</v>
      </c>
      <c r="CN7" s="25">
        <f>IFERROR(BR7/P7,0)</f>
        <v>1144.7591246812146</v>
      </c>
      <c r="CO7" s="25">
        <f>IFERROR(BT7/R7,0)</f>
        <v>1144.1388424752613</v>
      </c>
      <c r="CP7" s="25">
        <f t="shared" ref="CP7:CP16" si="50">IFERROR(BV7/T7,0)</f>
        <v>1144.9438054817622</v>
      </c>
      <c r="CQ7" s="25">
        <f t="shared" ref="CQ7:CQ16" si="51">IFERROR(BX7/V7,0)</f>
        <v>1143.5099407802629</v>
      </c>
      <c r="CR7" s="25">
        <f t="shared" ref="CR7:CR16" si="52">IFERROR(BZ7/X7,0)</f>
        <v>1145.2330676051413</v>
      </c>
      <c r="CS7" s="25">
        <f t="shared" ref="CS7:CS16" si="53">IFERROR(CB7/Z7,0)</f>
        <v>1144.286706153556</v>
      </c>
      <c r="CT7" s="25">
        <f t="shared" ref="CT7:CT16" si="54">IFERROR(CD7/AB7,0)</f>
        <v>1145.0914131826105</v>
      </c>
      <c r="CU7" s="25">
        <f t="shared" ref="CU7:CU16" si="55">IFERROR(CF7/AD7,0)</f>
        <v>1144.0939333302836</v>
      </c>
    </row>
    <row r="8" spans="1:99" s="15" customFormat="1" x14ac:dyDescent="0.25">
      <c r="A8" s="29"/>
      <c r="B8" s="29" t="s">
        <v>27</v>
      </c>
      <c r="C8" s="29"/>
      <c r="D8" s="29"/>
      <c r="F8" s="30">
        <f>SUM(F9)</f>
        <v>9857</v>
      </c>
      <c r="G8" s="31">
        <f t="shared" si="10"/>
        <v>0.17921818181105637</v>
      </c>
      <c r="H8" s="32">
        <f>SUM(H9)</f>
        <v>748</v>
      </c>
      <c r="I8" s="33">
        <f t="shared" si="11"/>
        <v>0.17321940336610667</v>
      </c>
      <c r="J8" s="32">
        <f t="shared" ref="J8:AD8" si="56">SUM(J9)</f>
        <v>765</v>
      </c>
      <c r="K8" s="33">
        <f t="shared" si="11"/>
        <v>0.17985972770205166</v>
      </c>
      <c r="L8" s="32">
        <f t="shared" si="56"/>
        <v>792</v>
      </c>
      <c r="M8" s="33">
        <f t="shared" si="13"/>
        <v>0.1692829502127336</v>
      </c>
      <c r="N8" s="32">
        <f t="shared" si="56"/>
        <v>792</v>
      </c>
      <c r="O8" s="33">
        <f t="shared" si="14"/>
        <v>0.18023629311149789</v>
      </c>
      <c r="P8" s="32">
        <f t="shared" si="56"/>
        <v>858</v>
      </c>
      <c r="Q8" s="33">
        <f t="shared" si="15"/>
        <v>0.1839844953800637</v>
      </c>
      <c r="R8" s="32">
        <f t="shared" si="56"/>
        <v>836</v>
      </c>
      <c r="S8" s="33">
        <f t="shared" si="16"/>
        <v>0.17817743394032057</v>
      </c>
      <c r="T8" s="32">
        <f t="shared" si="56"/>
        <v>858</v>
      </c>
      <c r="U8" s="33">
        <f t="shared" si="17"/>
        <v>0.18296495930884596</v>
      </c>
      <c r="V8" s="32">
        <f t="shared" si="56"/>
        <v>814</v>
      </c>
      <c r="W8" s="33">
        <f t="shared" si="18"/>
        <v>0.17839729322535797</v>
      </c>
      <c r="X8" s="32">
        <f t="shared" si="56"/>
        <v>858</v>
      </c>
      <c r="Y8" s="33">
        <f t="shared" si="19"/>
        <v>0.17970004787614907</v>
      </c>
      <c r="Z8" s="32">
        <f t="shared" si="56"/>
        <v>836</v>
      </c>
      <c r="AA8" s="33">
        <f t="shared" si="20"/>
        <v>0.18708210182647578</v>
      </c>
      <c r="AB8" s="32">
        <f t="shared" si="56"/>
        <v>864</v>
      </c>
      <c r="AC8" s="33">
        <f t="shared" si="21"/>
        <v>0.18304141910447888</v>
      </c>
      <c r="AD8" s="32">
        <f t="shared" si="56"/>
        <v>836</v>
      </c>
      <c r="AE8" s="33">
        <f t="shared" si="22"/>
        <v>0.17473015618352375</v>
      </c>
      <c r="AG8" s="30">
        <f t="shared" ref="AG8:BH8" si="57">SUM(AG9)</f>
        <v>328.81290100000001</v>
      </c>
      <c r="AH8" s="31">
        <f t="shared" si="23"/>
        <v>0.20117864413915065</v>
      </c>
      <c r="AI8" s="32">
        <f>SUM(AI9)</f>
        <v>24.955898000000001</v>
      </c>
      <c r="AJ8" s="33">
        <f t="shared" si="24"/>
        <v>0.1938124323271003</v>
      </c>
      <c r="AK8" s="32">
        <f t="shared" ref="AK8:BE8" si="58">SUM(AK9)</f>
        <v>25.519023000000001</v>
      </c>
      <c r="AL8" s="33">
        <f t="shared" si="26"/>
        <v>0.2010318269151829</v>
      </c>
      <c r="AM8" s="32">
        <f t="shared" si="58"/>
        <v>26.413398000000001</v>
      </c>
      <c r="AN8" s="33">
        <f t="shared" si="27"/>
        <v>0.18853898400253366</v>
      </c>
      <c r="AO8" s="32">
        <f t="shared" si="58"/>
        <v>26.425058</v>
      </c>
      <c r="AP8" s="33">
        <f t="shared" si="28"/>
        <v>0.2016039495725207</v>
      </c>
      <c r="AQ8" s="32">
        <f t="shared" si="58"/>
        <v>28.617138000000001</v>
      </c>
      <c r="AR8" s="33">
        <f t="shared" si="29"/>
        <v>0.20561245397079506</v>
      </c>
      <c r="AS8" s="32">
        <f t="shared" si="58"/>
        <v>27.888387999999999</v>
      </c>
      <c r="AT8" s="33">
        <f t="shared" si="30"/>
        <v>0.19948780177619396</v>
      </c>
      <c r="AU8" s="32">
        <f t="shared" si="58"/>
        <v>28.617138000000001</v>
      </c>
      <c r="AV8" s="33">
        <f t="shared" si="31"/>
        <v>0.20543334369257227</v>
      </c>
      <c r="AW8" s="32">
        <f t="shared" si="58"/>
        <v>27.159638000000001</v>
      </c>
      <c r="AX8" s="33">
        <f t="shared" si="31"/>
        <v>0.20075517606205059</v>
      </c>
      <c r="AY8" s="32">
        <f t="shared" si="58"/>
        <v>28.617138000000001</v>
      </c>
      <c r="AZ8" s="33">
        <f t="shared" si="32"/>
        <v>0.2023494696690728</v>
      </c>
      <c r="BA8" s="32">
        <f t="shared" si="58"/>
        <v>27.888387999999999</v>
      </c>
      <c r="BB8" s="33">
        <f t="shared" si="33"/>
        <v>0.21138984786494525</v>
      </c>
      <c r="BC8" s="32">
        <f t="shared" si="58"/>
        <v>28.817478000000001</v>
      </c>
      <c r="BD8" s="33">
        <f t="shared" si="34"/>
        <v>0.20634656434317886</v>
      </c>
      <c r="BE8" s="32">
        <f t="shared" si="58"/>
        <v>27.894217999999999</v>
      </c>
      <c r="BF8" s="33">
        <f t="shared" si="34"/>
        <v>0.19785599749372823</v>
      </c>
      <c r="BH8" s="30">
        <f t="shared" si="57"/>
        <v>12408034</v>
      </c>
      <c r="BI8" s="30">
        <f t="shared" si="35"/>
        <v>1258.8043015116161</v>
      </c>
      <c r="BJ8" s="32">
        <f t="shared" ref="BJ8" si="59">SUM(BJ9)</f>
        <v>941732</v>
      </c>
      <c r="BK8" s="33">
        <f t="shared" si="37"/>
        <v>0.1938124323271003</v>
      </c>
      <c r="BL8" s="32">
        <f t="shared" ref="BL8" si="60">SUM(BL9)</f>
        <v>962982</v>
      </c>
      <c r="BM8" s="33">
        <f t="shared" si="37"/>
        <v>0.20103182691518287</v>
      </c>
      <c r="BN8" s="32">
        <f t="shared" ref="BN8" si="61">SUM(BN9)</f>
        <v>996732</v>
      </c>
      <c r="BO8" s="33">
        <f t="shared" si="38"/>
        <v>0.18853898400253369</v>
      </c>
      <c r="BP8" s="32">
        <f t="shared" ref="BP8" si="62">SUM(BP9)</f>
        <v>997172</v>
      </c>
      <c r="BQ8" s="33">
        <f t="shared" si="39"/>
        <v>0.2016039495725207</v>
      </c>
      <c r="BR8" s="32">
        <f t="shared" ref="BR8" si="63">SUM(BR9)</f>
        <v>1079892</v>
      </c>
      <c r="BS8" s="33">
        <f t="shared" si="40"/>
        <v>0.20561245397079503</v>
      </c>
      <c r="BT8" s="32">
        <f t="shared" ref="BT8" si="64">SUM(BT9)</f>
        <v>1052391.9999999998</v>
      </c>
      <c r="BU8" s="33">
        <f t="shared" si="41"/>
        <v>0.19948780177619393</v>
      </c>
      <c r="BV8" s="32">
        <f t="shared" ref="BV8" si="65">SUM(BV9)</f>
        <v>1079892</v>
      </c>
      <c r="BW8" s="33">
        <f t="shared" si="42"/>
        <v>0.2054333436925723</v>
      </c>
      <c r="BX8" s="32">
        <f t="shared" ref="BX8" si="66">SUM(BX9)</f>
        <v>1024892.0000000001</v>
      </c>
      <c r="BY8" s="33">
        <f t="shared" si="43"/>
        <v>0.20075517606205062</v>
      </c>
      <c r="BZ8" s="32">
        <f t="shared" ref="BZ8" si="67">SUM(BZ9)</f>
        <v>1079892</v>
      </c>
      <c r="CA8" s="33">
        <f t="shared" si="44"/>
        <v>0.20234946966907277</v>
      </c>
      <c r="CB8" s="32">
        <f t="shared" ref="CB8" si="68">SUM(CB9)</f>
        <v>1052391.9999999998</v>
      </c>
      <c r="CC8" s="33">
        <f t="shared" si="45"/>
        <v>0.21138984786494519</v>
      </c>
      <c r="CD8" s="32">
        <f t="shared" ref="CD8" si="69">SUM(CD9)</f>
        <v>1087452</v>
      </c>
      <c r="CE8" s="33">
        <f t="shared" si="46"/>
        <v>0.20634656434317886</v>
      </c>
      <c r="CF8" s="32">
        <f t="shared" ref="CF8" si="70">SUM(CF9)</f>
        <v>1052611.9999999998</v>
      </c>
      <c r="CG8" s="33">
        <f t="shared" si="47"/>
        <v>0.19785599749372818</v>
      </c>
      <c r="CI8" s="30">
        <f t="shared" si="48"/>
        <v>1258.8043015116161</v>
      </c>
      <c r="CJ8" s="30">
        <f t="shared" si="49"/>
        <v>1259</v>
      </c>
      <c r="CK8" s="30">
        <f>IFERROR(BL8/J8,0)</f>
        <v>1258.8</v>
      </c>
      <c r="CL8" s="30">
        <f>IFERROR(BN8/L8,0)</f>
        <v>1258.5</v>
      </c>
      <c r="CM8" s="30">
        <f>IFERROR(BP8/N8,0)</f>
        <v>1259.0555555555557</v>
      </c>
      <c r="CN8" s="30">
        <f>IFERROR(BR8/P8,0)</f>
        <v>1258.6153846153845</v>
      </c>
      <c r="CO8" s="30">
        <f>IFERROR(BT8/R8,0)</f>
        <v>1258.8421052631577</v>
      </c>
      <c r="CP8" s="30">
        <f t="shared" si="50"/>
        <v>1258.6153846153845</v>
      </c>
      <c r="CQ8" s="30">
        <f t="shared" si="51"/>
        <v>1259.0810810810813</v>
      </c>
      <c r="CR8" s="30">
        <f t="shared" si="52"/>
        <v>1258.6153846153845</v>
      </c>
      <c r="CS8" s="30">
        <f t="shared" si="53"/>
        <v>1258.8421052631577</v>
      </c>
      <c r="CT8" s="30">
        <f t="shared" si="54"/>
        <v>1258.625</v>
      </c>
      <c r="CU8" s="30">
        <f t="shared" si="55"/>
        <v>1259.1052631578946</v>
      </c>
    </row>
    <row r="9" spans="1:99" outlineLevel="1" x14ac:dyDescent="0.25">
      <c r="A9" s="34"/>
      <c r="B9" s="34"/>
      <c r="C9" s="34" t="s">
        <v>28</v>
      </c>
      <c r="D9" s="34" t="s">
        <v>29</v>
      </c>
      <c r="F9" s="35">
        <v>9857</v>
      </c>
      <c r="G9" s="36">
        <f t="shared" si="10"/>
        <v>0.17921818181105637</v>
      </c>
      <c r="H9" s="37">
        <v>748</v>
      </c>
      <c r="I9" s="38">
        <f t="shared" si="11"/>
        <v>0.17321940336610667</v>
      </c>
      <c r="J9" s="37">
        <v>765</v>
      </c>
      <c r="K9" s="38">
        <f t="shared" si="11"/>
        <v>0.17985972770205166</v>
      </c>
      <c r="L9" s="37">
        <v>792</v>
      </c>
      <c r="M9" s="38">
        <f t="shared" si="13"/>
        <v>0.1692829502127336</v>
      </c>
      <c r="N9" s="37">
        <v>792</v>
      </c>
      <c r="O9" s="38">
        <f t="shared" si="14"/>
        <v>0.18023629311149789</v>
      </c>
      <c r="P9" s="37">
        <v>858</v>
      </c>
      <c r="Q9" s="38">
        <f t="shared" si="15"/>
        <v>0.1839844953800637</v>
      </c>
      <c r="R9" s="37">
        <v>836</v>
      </c>
      <c r="S9" s="38">
        <f t="shared" si="16"/>
        <v>0.17817743394032057</v>
      </c>
      <c r="T9" s="37">
        <v>858</v>
      </c>
      <c r="U9" s="38">
        <f t="shared" si="17"/>
        <v>0.18296495930884596</v>
      </c>
      <c r="V9" s="37">
        <v>814</v>
      </c>
      <c r="W9" s="38">
        <f t="shared" si="18"/>
        <v>0.17839729322535797</v>
      </c>
      <c r="X9" s="37">
        <v>858</v>
      </c>
      <c r="Y9" s="38">
        <f t="shared" si="19"/>
        <v>0.17970004787614907</v>
      </c>
      <c r="Z9" s="37">
        <v>836</v>
      </c>
      <c r="AA9" s="38">
        <f t="shared" si="20"/>
        <v>0.18708210182647578</v>
      </c>
      <c r="AB9" s="37">
        <v>864</v>
      </c>
      <c r="AC9" s="38">
        <f t="shared" si="21"/>
        <v>0.18304141910447888</v>
      </c>
      <c r="AD9" s="37">
        <v>836</v>
      </c>
      <c r="AE9" s="38">
        <f t="shared" si="22"/>
        <v>0.17473015618352375</v>
      </c>
      <c r="AG9" s="35">
        <v>328.81290100000001</v>
      </c>
      <c r="AH9" s="36">
        <f t="shared" si="23"/>
        <v>0.20117864413915065</v>
      </c>
      <c r="AI9" s="37">
        <v>24.955898000000001</v>
      </c>
      <c r="AJ9" s="38">
        <f t="shared" si="24"/>
        <v>0.1938124323271003</v>
      </c>
      <c r="AK9" s="37">
        <v>25.519023000000001</v>
      </c>
      <c r="AL9" s="38">
        <f t="shared" si="26"/>
        <v>0.2010318269151829</v>
      </c>
      <c r="AM9" s="37">
        <v>26.413398000000001</v>
      </c>
      <c r="AN9" s="38">
        <f t="shared" si="27"/>
        <v>0.18853898400253366</v>
      </c>
      <c r="AO9" s="37">
        <v>26.425058</v>
      </c>
      <c r="AP9" s="38">
        <f t="shared" si="28"/>
        <v>0.2016039495725207</v>
      </c>
      <c r="AQ9" s="37">
        <v>28.617138000000001</v>
      </c>
      <c r="AR9" s="38">
        <f t="shared" si="29"/>
        <v>0.20561245397079506</v>
      </c>
      <c r="AS9" s="37">
        <v>27.888387999999999</v>
      </c>
      <c r="AT9" s="38">
        <f t="shared" si="30"/>
        <v>0.19948780177619396</v>
      </c>
      <c r="AU9" s="37">
        <v>28.617138000000001</v>
      </c>
      <c r="AV9" s="38">
        <f t="shared" si="31"/>
        <v>0.20543334369257227</v>
      </c>
      <c r="AW9" s="37">
        <v>27.159638000000001</v>
      </c>
      <c r="AX9" s="38">
        <f t="shared" si="31"/>
        <v>0.20075517606205059</v>
      </c>
      <c r="AY9" s="37">
        <v>28.617138000000001</v>
      </c>
      <c r="AZ9" s="38">
        <f t="shared" si="32"/>
        <v>0.2023494696690728</v>
      </c>
      <c r="BA9" s="37">
        <v>27.888387999999999</v>
      </c>
      <c r="BB9" s="38">
        <f t="shared" si="33"/>
        <v>0.21138984786494525</v>
      </c>
      <c r="BC9" s="37">
        <v>28.817478000000001</v>
      </c>
      <c r="BD9" s="38">
        <f t="shared" si="34"/>
        <v>0.20634656434317886</v>
      </c>
      <c r="BE9" s="37">
        <v>27.894217999999999</v>
      </c>
      <c r="BF9" s="38">
        <f t="shared" si="34"/>
        <v>0.19785599749372823</v>
      </c>
      <c r="BH9" s="35">
        <v>12408034</v>
      </c>
      <c r="BI9" s="35">
        <f t="shared" si="35"/>
        <v>1258.8043015116161</v>
      </c>
      <c r="BJ9" s="37">
        <v>941732</v>
      </c>
      <c r="BK9" s="38">
        <f t="shared" si="37"/>
        <v>0.1938124323271003</v>
      </c>
      <c r="BL9" s="37">
        <v>962982</v>
      </c>
      <c r="BM9" s="38">
        <f t="shared" si="37"/>
        <v>0.20103182691518287</v>
      </c>
      <c r="BN9" s="37">
        <v>996732</v>
      </c>
      <c r="BO9" s="38">
        <f t="shared" si="38"/>
        <v>0.18853898400253369</v>
      </c>
      <c r="BP9" s="37">
        <v>997172</v>
      </c>
      <c r="BQ9" s="38">
        <f t="shared" si="39"/>
        <v>0.2016039495725207</v>
      </c>
      <c r="BR9" s="37">
        <v>1079892</v>
      </c>
      <c r="BS9" s="38">
        <f t="shared" si="40"/>
        <v>0.20561245397079503</v>
      </c>
      <c r="BT9" s="37">
        <v>1052391.9999999998</v>
      </c>
      <c r="BU9" s="38">
        <f t="shared" si="41"/>
        <v>0.19948780177619393</v>
      </c>
      <c r="BV9" s="37">
        <v>1079892</v>
      </c>
      <c r="BW9" s="38">
        <f t="shared" si="42"/>
        <v>0.2054333436925723</v>
      </c>
      <c r="BX9" s="37">
        <v>1024892.0000000001</v>
      </c>
      <c r="BY9" s="38">
        <f t="shared" si="43"/>
        <v>0.20075517606205062</v>
      </c>
      <c r="BZ9" s="37">
        <v>1079892</v>
      </c>
      <c r="CA9" s="38">
        <f t="shared" si="44"/>
        <v>0.20234946966907277</v>
      </c>
      <c r="CB9" s="37">
        <v>1052391.9999999998</v>
      </c>
      <c r="CC9" s="38">
        <f t="shared" si="45"/>
        <v>0.21138984786494519</v>
      </c>
      <c r="CD9" s="37">
        <v>1087452</v>
      </c>
      <c r="CE9" s="38">
        <f t="shared" si="46"/>
        <v>0.20634656434317886</v>
      </c>
      <c r="CF9" s="37">
        <v>1052611.9999999998</v>
      </c>
      <c r="CG9" s="38">
        <f t="shared" si="47"/>
        <v>0.19785599749372818</v>
      </c>
      <c r="CI9" s="35">
        <f t="shared" si="48"/>
        <v>1258.8043015116161</v>
      </c>
      <c r="CJ9" s="35">
        <f t="shared" si="49"/>
        <v>1259</v>
      </c>
      <c r="CK9" s="35">
        <f>IFERROR(BL9/J9,0)</f>
        <v>1258.8</v>
      </c>
      <c r="CL9" s="35">
        <f>IFERROR(BN9/L9,0)</f>
        <v>1258.5</v>
      </c>
      <c r="CM9" s="35">
        <f>IFERROR(BP9/N9,0)</f>
        <v>1259.0555555555557</v>
      </c>
      <c r="CN9" s="35">
        <f>IFERROR(BR9/P9,0)</f>
        <v>1258.6153846153845</v>
      </c>
      <c r="CO9" s="35">
        <f>IFERROR(BT9/R9,0)</f>
        <v>1258.8421052631577</v>
      </c>
      <c r="CP9" s="35">
        <f t="shared" si="50"/>
        <v>1258.6153846153845</v>
      </c>
      <c r="CQ9" s="35">
        <f t="shared" si="51"/>
        <v>1259.0810810810813</v>
      </c>
      <c r="CR9" s="35">
        <f t="shared" si="52"/>
        <v>1258.6153846153845</v>
      </c>
      <c r="CS9" s="35">
        <f t="shared" si="53"/>
        <v>1258.8421052631577</v>
      </c>
      <c r="CT9" s="35">
        <f t="shared" si="54"/>
        <v>1258.625</v>
      </c>
      <c r="CU9" s="35">
        <f t="shared" si="55"/>
        <v>1259.1052631578946</v>
      </c>
    </row>
    <row r="10" spans="1:99" s="15" customFormat="1" x14ac:dyDescent="0.25">
      <c r="A10" s="29"/>
      <c r="B10" s="29" t="s">
        <v>30</v>
      </c>
      <c r="C10" s="29"/>
      <c r="D10" s="29"/>
      <c r="F10" s="30">
        <f>SUM(F11:F11)</f>
        <v>10794.900000000001</v>
      </c>
      <c r="G10" s="31">
        <f t="shared" si="10"/>
        <v>0.19627090908310565</v>
      </c>
      <c r="H10" s="32">
        <f t="shared" ref="H10:AD10" si="71">SUM(H11:H11)</f>
        <v>876.2</v>
      </c>
      <c r="I10" s="33">
        <f t="shared" si="11"/>
        <v>0.20290754175051159</v>
      </c>
      <c r="J10" s="32">
        <f t="shared" si="71"/>
        <v>832.2</v>
      </c>
      <c r="K10" s="33">
        <f t="shared" si="11"/>
        <v>0.19565917044921227</v>
      </c>
      <c r="L10" s="32">
        <f t="shared" si="71"/>
        <v>920.2</v>
      </c>
      <c r="M10" s="33">
        <f t="shared" si="13"/>
        <v>0.19668455907292609</v>
      </c>
      <c r="N10" s="32">
        <f t="shared" si="71"/>
        <v>874</v>
      </c>
      <c r="O10" s="33">
        <f t="shared" si="14"/>
        <v>0.19889712143869842</v>
      </c>
      <c r="P10" s="32">
        <f t="shared" si="71"/>
        <v>962</v>
      </c>
      <c r="Q10" s="33">
        <f t="shared" si="15"/>
        <v>0.20628564633522295</v>
      </c>
      <c r="R10" s="32">
        <f t="shared" si="71"/>
        <v>887.2</v>
      </c>
      <c r="S10" s="33">
        <f t="shared" si="16"/>
        <v>0.18908973611465599</v>
      </c>
      <c r="T10" s="32">
        <f t="shared" si="71"/>
        <v>949.9</v>
      </c>
      <c r="U10" s="33">
        <f t="shared" si="17"/>
        <v>0.20256225506698458</v>
      </c>
      <c r="V10" s="32">
        <f t="shared" si="71"/>
        <v>907</v>
      </c>
      <c r="W10" s="33">
        <f t="shared" si="18"/>
        <v>0.19877929355700205</v>
      </c>
      <c r="X10" s="32">
        <f t="shared" si="71"/>
        <v>887.2</v>
      </c>
      <c r="Y10" s="33">
        <f t="shared" si="19"/>
        <v>0.18581571384116488</v>
      </c>
      <c r="Z10" s="32">
        <f t="shared" si="71"/>
        <v>841</v>
      </c>
      <c r="AA10" s="33">
        <f t="shared" si="20"/>
        <v>0.18820101391873939</v>
      </c>
      <c r="AB10" s="32">
        <f t="shared" si="71"/>
        <v>951</v>
      </c>
      <c r="AC10" s="33">
        <f t="shared" si="21"/>
        <v>0.20147267311152711</v>
      </c>
      <c r="AD10" s="32">
        <f t="shared" si="71"/>
        <v>907</v>
      </c>
      <c r="AE10" s="33">
        <f t="shared" si="22"/>
        <v>0.18956967901729191</v>
      </c>
      <c r="AG10" s="30">
        <f>SUM(AG11:AG11)</f>
        <v>343.27782000000002</v>
      </c>
      <c r="AH10" s="31">
        <f t="shared" si="23"/>
        <v>0.21002876158634484</v>
      </c>
      <c r="AI10" s="32">
        <f t="shared" ref="AI10" si="72">SUM(AI11:AI11)</f>
        <v>27.863160000000001</v>
      </c>
      <c r="AJ10" s="33">
        <f t="shared" si="24"/>
        <v>0.21639080316481368</v>
      </c>
      <c r="AK10" s="32">
        <f t="shared" ref="AK10" si="73">SUM(AK11:AK11)</f>
        <v>26.46396</v>
      </c>
      <c r="AL10" s="33">
        <f t="shared" si="26"/>
        <v>0.20847578005671782</v>
      </c>
      <c r="AM10" s="32">
        <f t="shared" ref="AM10" si="74">SUM(AM11:AM11)</f>
        <v>29.262360000000001</v>
      </c>
      <c r="AN10" s="33">
        <f t="shared" si="27"/>
        <v>0.20887489083821706</v>
      </c>
      <c r="AO10" s="32">
        <f t="shared" ref="AO10" si="75">SUM(AO11:AO11)</f>
        <v>27.793199999999999</v>
      </c>
      <c r="AP10" s="33">
        <f t="shared" si="28"/>
        <v>0.21204187673907782</v>
      </c>
      <c r="AQ10" s="32">
        <f t="shared" ref="AQ10" si="76">SUM(AQ11:AQ11)</f>
        <v>30.5916</v>
      </c>
      <c r="AR10" s="33">
        <f t="shared" si="29"/>
        <v>0.21979884735129607</v>
      </c>
      <c r="AS10" s="32">
        <f t="shared" ref="AS10" si="77">SUM(AS11:AS11)</f>
        <v>28.212959999999999</v>
      </c>
      <c r="AT10" s="33">
        <f t="shared" si="30"/>
        <v>0.20180949045888522</v>
      </c>
      <c r="AU10" s="32">
        <f t="shared" ref="AU10" si="78">SUM(AU11:AU11)</f>
        <v>30.20682</v>
      </c>
      <c r="AV10" s="33">
        <f t="shared" si="31"/>
        <v>0.2168451658205536</v>
      </c>
      <c r="AW10" s="32">
        <f t="shared" ref="AW10" si="79">SUM(AW11:AW11)</f>
        <v>28.842600000000001</v>
      </c>
      <c r="AX10" s="33">
        <f t="shared" si="31"/>
        <v>0.21319508165341897</v>
      </c>
      <c r="AY10" s="32">
        <f t="shared" ref="AY10" si="80">SUM(AY11:AY11)</f>
        <v>28.212959999999999</v>
      </c>
      <c r="AZ10" s="33">
        <f t="shared" si="32"/>
        <v>0.19949155970086049</v>
      </c>
      <c r="BA10" s="32">
        <f t="shared" ref="BA10" si="81">SUM(BA11:BA11)</f>
        <v>26.7438</v>
      </c>
      <c r="BB10" s="33">
        <f t="shared" si="33"/>
        <v>0.20271404045764577</v>
      </c>
      <c r="BC10" s="32">
        <f t="shared" ref="BC10" si="82">SUM(BC11:BC11)</f>
        <v>30.241800000000001</v>
      </c>
      <c r="BD10" s="33">
        <f t="shared" si="34"/>
        <v>0.21654537324721984</v>
      </c>
      <c r="BE10" s="32">
        <f t="shared" ref="BE10" si="83">SUM(BE11:BE11)</f>
        <v>28.842600000000001</v>
      </c>
      <c r="BF10" s="33">
        <f t="shared" si="34"/>
        <v>0.20458294953142642</v>
      </c>
      <c r="BH10" s="30">
        <f>SUM(BH11:BH11)</f>
        <v>12953880.000000002</v>
      </c>
      <c r="BI10" s="30">
        <f t="shared" si="35"/>
        <v>1200</v>
      </c>
      <c r="BJ10" s="32">
        <f t="shared" ref="BJ10:CF10" si="84">SUM(BJ11:BJ11)</f>
        <v>1051440</v>
      </c>
      <c r="BK10" s="33">
        <f t="shared" si="37"/>
        <v>0.21639080316481368</v>
      </c>
      <c r="BL10" s="32">
        <f t="shared" si="84"/>
        <v>998640.00000000012</v>
      </c>
      <c r="BM10" s="33">
        <f t="shared" si="37"/>
        <v>0.20847578005671782</v>
      </c>
      <c r="BN10" s="32">
        <f t="shared" si="84"/>
        <v>1104240</v>
      </c>
      <c r="BO10" s="33">
        <f t="shared" si="38"/>
        <v>0.20887489083821709</v>
      </c>
      <c r="BP10" s="32">
        <f t="shared" si="84"/>
        <v>1048800</v>
      </c>
      <c r="BQ10" s="33">
        <f t="shared" si="39"/>
        <v>0.21204187673907782</v>
      </c>
      <c r="BR10" s="32">
        <f t="shared" si="84"/>
        <v>1154400</v>
      </c>
      <c r="BS10" s="33">
        <f t="shared" si="40"/>
        <v>0.21979884735129604</v>
      </c>
      <c r="BT10" s="32">
        <f t="shared" si="84"/>
        <v>1064640</v>
      </c>
      <c r="BU10" s="33">
        <f t="shared" si="41"/>
        <v>0.20180949045888522</v>
      </c>
      <c r="BV10" s="32">
        <f t="shared" si="84"/>
        <v>1139880</v>
      </c>
      <c r="BW10" s="33">
        <f t="shared" si="42"/>
        <v>0.21684516582055363</v>
      </c>
      <c r="BX10" s="32">
        <f t="shared" si="84"/>
        <v>1088400</v>
      </c>
      <c r="BY10" s="33">
        <f t="shared" si="43"/>
        <v>0.21319508165341897</v>
      </c>
      <c r="BZ10" s="32">
        <f t="shared" si="84"/>
        <v>1064640</v>
      </c>
      <c r="CA10" s="33">
        <f t="shared" si="44"/>
        <v>0.19949155970086049</v>
      </c>
      <c r="CB10" s="32">
        <f t="shared" si="84"/>
        <v>1009200</v>
      </c>
      <c r="CC10" s="33">
        <f t="shared" si="45"/>
        <v>0.20271404045764574</v>
      </c>
      <c r="CD10" s="32">
        <f t="shared" si="84"/>
        <v>1141200</v>
      </c>
      <c r="CE10" s="33">
        <f t="shared" si="46"/>
        <v>0.21654537324721984</v>
      </c>
      <c r="CF10" s="32">
        <f t="shared" si="84"/>
        <v>1088400</v>
      </c>
      <c r="CG10" s="33">
        <f t="shared" si="47"/>
        <v>0.20458294953142639</v>
      </c>
      <c r="CI10" s="30">
        <f t="shared" si="48"/>
        <v>1200</v>
      </c>
      <c r="CJ10" s="30">
        <f t="shared" si="49"/>
        <v>1200</v>
      </c>
      <c r="CK10" s="30">
        <f>IFERROR(BL10/J10,0)</f>
        <v>1200</v>
      </c>
      <c r="CL10" s="30">
        <f>IFERROR(BN10/L10,0)</f>
        <v>1200</v>
      </c>
      <c r="CM10" s="30">
        <f>IFERROR(BP10/N10,0)</f>
        <v>1200</v>
      </c>
      <c r="CN10" s="30">
        <f>IFERROR(BR10/P10,0)</f>
        <v>1200</v>
      </c>
      <c r="CO10" s="30">
        <f>IFERROR(BT10/R10,0)</f>
        <v>1200</v>
      </c>
      <c r="CP10" s="30">
        <f t="shared" si="50"/>
        <v>1200</v>
      </c>
      <c r="CQ10" s="30">
        <f t="shared" si="51"/>
        <v>1200</v>
      </c>
      <c r="CR10" s="30">
        <f t="shared" si="52"/>
        <v>1200</v>
      </c>
      <c r="CS10" s="30">
        <f t="shared" si="53"/>
        <v>1200</v>
      </c>
      <c r="CT10" s="30">
        <f t="shared" si="54"/>
        <v>1200</v>
      </c>
      <c r="CU10" s="30">
        <f t="shared" si="55"/>
        <v>1200</v>
      </c>
    </row>
    <row r="11" spans="1:99" outlineLevel="1" x14ac:dyDescent="0.25">
      <c r="A11" s="34"/>
      <c r="B11" s="34"/>
      <c r="C11" s="34" t="s">
        <v>31</v>
      </c>
      <c r="D11" s="34" t="s">
        <v>32</v>
      </c>
      <c r="F11" s="35">
        <v>10794.900000000001</v>
      </c>
      <c r="G11" s="36">
        <f t="shared" si="10"/>
        <v>0.19627090908310565</v>
      </c>
      <c r="H11" s="37">
        <v>876.2</v>
      </c>
      <c r="I11" s="38">
        <f t="shared" si="11"/>
        <v>0.20290754175051159</v>
      </c>
      <c r="J11" s="37">
        <v>832.2</v>
      </c>
      <c r="K11" s="38">
        <f t="shared" si="11"/>
        <v>0.19565917044921227</v>
      </c>
      <c r="L11" s="37">
        <v>920.2</v>
      </c>
      <c r="M11" s="38">
        <f t="shared" si="13"/>
        <v>0.19668455907292609</v>
      </c>
      <c r="N11" s="37">
        <v>874</v>
      </c>
      <c r="O11" s="38">
        <f t="shared" si="14"/>
        <v>0.19889712143869842</v>
      </c>
      <c r="P11" s="37">
        <v>962</v>
      </c>
      <c r="Q11" s="38">
        <f t="shared" si="15"/>
        <v>0.20628564633522295</v>
      </c>
      <c r="R11" s="37">
        <v>887.2</v>
      </c>
      <c r="S11" s="38">
        <f t="shared" si="16"/>
        <v>0.18908973611465599</v>
      </c>
      <c r="T11" s="37">
        <v>949.9</v>
      </c>
      <c r="U11" s="38">
        <f t="shared" si="17"/>
        <v>0.20256225506698458</v>
      </c>
      <c r="V11" s="37">
        <v>907</v>
      </c>
      <c r="W11" s="38">
        <f t="shared" si="18"/>
        <v>0.19877929355700205</v>
      </c>
      <c r="X11" s="37">
        <v>887.2</v>
      </c>
      <c r="Y11" s="38">
        <f t="shared" si="19"/>
        <v>0.18581571384116488</v>
      </c>
      <c r="Z11" s="37">
        <v>841</v>
      </c>
      <c r="AA11" s="38">
        <f t="shared" si="20"/>
        <v>0.18820101391873939</v>
      </c>
      <c r="AB11" s="37">
        <v>951</v>
      </c>
      <c r="AC11" s="38">
        <f t="shared" si="21"/>
        <v>0.20147267311152711</v>
      </c>
      <c r="AD11" s="37">
        <v>907</v>
      </c>
      <c r="AE11" s="38">
        <f t="shared" si="22"/>
        <v>0.18956967901729191</v>
      </c>
      <c r="AG11" s="35">
        <v>343.27782000000002</v>
      </c>
      <c r="AH11" s="36">
        <f t="shared" si="23"/>
        <v>0.21002876158634484</v>
      </c>
      <c r="AI11" s="37">
        <v>27.863160000000001</v>
      </c>
      <c r="AJ11" s="38">
        <f t="shared" si="24"/>
        <v>0.21639080316481368</v>
      </c>
      <c r="AK11" s="37">
        <v>26.46396</v>
      </c>
      <c r="AL11" s="38">
        <f t="shared" si="26"/>
        <v>0.20847578005671782</v>
      </c>
      <c r="AM11" s="37">
        <v>29.262360000000001</v>
      </c>
      <c r="AN11" s="38">
        <f t="shared" si="27"/>
        <v>0.20887489083821706</v>
      </c>
      <c r="AO11" s="37">
        <v>27.793199999999999</v>
      </c>
      <c r="AP11" s="38">
        <f t="shared" si="28"/>
        <v>0.21204187673907782</v>
      </c>
      <c r="AQ11" s="37">
        <v>30.5916</v>
      </c>
      <c r="AR11" s="38">
        <f t="shared" si="29"/>
        <v>0.21979884735129607</v>
      </c>
      <c r="AS11" s="37">
        <v>28.212959999999999</v>
      </c>
      <c r="AT11" s="38">
        <f t="shared" si="30"/>
        <v>0.20180949045888522</v>
      </c>
      <c r="AU11" s="37">
        <v>30.20682</v>
      </c>
      <c r="AV11" s="38">
        <f t="shared" si="31"/>
        <v>0.2168451658205536</v>
      </c>
      <c r="AW11" s="37">
        <v>28.842600000000001</v>
      </c>
      <c r="AX11" s="38">
        <f t="shared" si="31"/>
        <v>0.21319508165341897</v>
      </c>
      <c r="AY11" s="37">
        <v>28.212959999999999</v>
      </c>
      <c r="AZ11" s="38">
        <f t="shared" si="32"/>
        <v>0.19949155970086049</v>
      </c>
      <c r="BA11" s="37">
        <v>26.7438</v>
      </c>
      <c r="BB11" s="38">
        <f t="shared" si="33"/>
        <v>0.20271404045764577</v>
      </c>
      <c r="BC11" s="37">
        <v>30.241800000000001</v>
      </c>
      <c r="BD11" s="38">
        <f t="shared" si="34"/>
        <v>0.21654537324721984</v>
      </c>
      <c r="BE11" s="37">
        <v>28.842600000000001</v>
      </c>
      <c r="BF11" s="38">
        <f t="shared" si="34"/>
        <v>0.20458294953142642</v>
      </c>
      <c r="BH11" s="35">
        <v>12953880.000000002</v>
      </c>
      <c r="BI11" s="35">
        <f t="shared" si="35"/>
        <v>1200</v>
      </c>
      <c r="BJ11" s="37">
        <v>1051440</v>
      </c>
      <c r="BK11" s="38">
        <f t="shared" si="37"/>
        <v>0.21639080316481368</v>
      </c>
      <c r="BL11" s="37">
        <v>998640.00000000012</v>
      </c>
      <c r="BM11" s="38">
        <f t="shared" si="37"/>
        <v>0.20847578005671782</v>
      </c>
      <c r="BN11" s="37">
        <v>1104240</v>
      </c>
      <c r="BO11" s="38">
        <f t="shared" si="38"/>
        <v>0.20887489083821709</v>
      </c>
      <c r="BP11" s="37">
        <v>1048800</v>
      </c>
      <c r="BQ11" s="38">
        <f t="shared" si="39"/>
        <v>0.21204187673907782</v>
      </c>
      <c r="BR11" s="37">
        <v>1154400</v>
      </c>
      <c r="BS11" s="38">
        <f t="shared" si="40"/>
        <v>0.21979884735129604</v>
      </c>
      <c r="BT11" s="37">
        <v>1064640</v>
      </c>
      <c r="BU11" s="38">
        <f t="shared" si="41"/>
        <v>0.20180949045888522</v>
      </c>
      <c r="BV11" s="37">
        <v>1139880</v>
      </c>
      <c r="BW11" s="38">
        <f t="shared" si="42"/>
        <v>0.21684516582055363</v>
      </c>
      <c r="BX11" s="37">
        <v>1088400</v>
      </c>
      <c r="BY11" s="38">
        <f t="shared" si="43"/>
        <v>0.21319508165341897</v>
      </c>
      <c r="BZ11" s="37">
        <v>1064640</v>
      </c>
      <c r="CA11" s="38">
        <f t="shared" si="44"/>
        <v>0.19949155970086049</v>
      </c>
      <c r="CB11" s="37">
        <v>1009200</v>
      </c>
      <c r="CC11" s="38">
        <f t="shared" si="45"/>
        <v>0.20271404045764574</v>
      </c>
      <c r="CD11" s="37">
        <v>1141200</v>
      </c>
      <c r="CE11" s="38">
        <f t="shared" si="46"/>
        <v>0.21654537324721984</v>
      </c>
      <c r="CF11" s="37">
        <v>1088400</v>
      </c>
      <c r="CG11" s="38">
        <f t="shared" si="47"/>
        <v>0.20458294953142639</v>
      </c>
      <c r="CI11" s="35">
        <f t="shared" si="48"/>
        <v>1200</v>
      </c>
      <c r="CJ11" s="35">
        <f t="shared" si="49"/>
        <v>1200</v>
      </c>
      <c r="CK11" s="35">
        <f>IFERROR(BL11/J11,0)</f>
        <v>1200</v>
      </c>
      <c r="CL11" s="35">
        <f>IFERROR(BN11/L11,0)</f>
        <v>1200</v>
      </c>
      <c r="CM11" s="35">
        <f>IFERROR(BP11/N11,0)</f>
        <v>1200</v>
      </c>
      <c r="CN11" s="35">
        <f>IFERROR(BR11/P11,0)</f>
        <v>1200</v>
      </c>
      <c r="CO11" s="35">
        <f>IFERROR(BT11/R11,0)</f>
        <v>1200</v>
      </c>
      <c r="CP11" s="35">
        <f t="shared" si="50"/>
        <v>1200</v>
      </c>
      <c r="CQ11" s="35">
        <f t="shared" si="51"/>
        <v>1200</v>
      </c>
      <c r="CR11" s="35">
        <f t="shared" si="52"/>
        <v>1200</v>
      </c>
      <c r="CS11" s="35">
        <f t="shared" si="53"/>
        <v>1200</v>
      </c>
      <c r="CT11" s="35">
        <f t="shared" si="54"/>
        <v>1200</v>
      </c>
      <c r="CU11" s="35">
        <f t="shared" si="55"/>
        <v>1200</v>
      </c>
    </row>
    <row r="12" spans="1:99" s="15" customFormat="1" x14ac:dyDescent="0.25">
      <c r="A12" s="29"/>
      <c r="B12" s="29" t="s">
        <v>33</v>
      </c>
      <c r="C12" s="29"/>
      <c r="D12" s="29"/>
      <c r="F12" s="30">
        <f>SUM(F13:F14)</f>
        <v>19336.900000000001</v>
      </c>
      <c r="G12" s="31">
        <f t="shared" si="10"/>
        <v>0.35157999998602169</v>
      </c>
      <c r="H12" s="32">
        <f t="shared" ref="H12:AD12" si="85">SUM(H13:H14)</f>
        <v>1608.2</v>
      </c>
      <c r="I12" s="33">
        <f t="shared" si="11"/>
        <v>0.37242171723712936</v>
      </c>
      <c r="J12" s="32">
        <f t="shared" si="85"/>
        <v>1542.2</v>
      </c>
      <c r="K12" s="33">
        <f t="shared" si="11"/>
        <v>0.36258780661712947</v>
      </c>
      <c r="L12" s="32">
        <f t="shared" si="85"/>
        <v>1630.2</v>
      </c>
      <c r="M12" s="33">
        <f t="shared" si="13"/>
        <v>0.34844073918787666</v>
      </c>
      <c r="N12" s="32">
        <f t="shared" si="85"/>
        <v>1584</v>
      </c>
      <c r="O12" s="33">
        <f t="shared" si="14"/>
        <v>0.36047258622299577</v>
      </c>
      <c r="P12" s="32">
        <f t="shared" si="85"/>
        <v>1672</v>
      </c>
      <c r="Q12" s="33">
        <f t="shared" si="15"/>
        <v>0.35853388843294465</v>
      </c>
      <c r="R12" s="32">
        <f t="shared" si="85"/>
        <v>1597.2</v>
      </c>
      <c r="S12" s="33">
        <f t="shared" si="16"/>
        <v>0.34041267642282297</v>
      </c>
      <c r="T12" s="32">
        <f t="shared" si="85"/>
        <v>1659.9</v>
      </c>
      <c r="U12" s="33">
        <f t="shared" si="17"/>
        <v>0.35396682512442124</v>
      </c>
      <c r="V12" s="32">
        <f t="shared" si="85"/>
        <v>1617</v>
      </c>
      <c r="W12" s="33">
        <f t="shared" si="18"/>
        <v>0.3543838122179408</v>
      </c>
      <c r="X12" s="32">
        <f t="shared" si="85"/>
        <v>1597.2</v>
      </c>
      <c r="Y12" s="33">
        <f t="shared" si="19"/>
        <v>0.33451855066175445</v>
      </c>
      <c r="Z12" s="32">
        <f t="shared" si="85"/>
        <v>1551</v>
      </c>
      <c r="AA12" s="33">
        <f t="shared" si="20"/>
        <v>0.34708653102017217</v>
      </c>
      <c r="AB12" s="32">
        <f t="shared" si="85"/>
        <v>1661</v>
      </c>
      <c r="AC12" s="33">
        <f t="shared" si="21"/>
        <v>0.35188865408858727</v>
      </c>
      <c r="AD12" s="32">
        <f t="shared" si="85"/>
        <v>1617</v>
      </c>
      <c r="AE12" s="33">
        <f t="shared" si="22"/>
        <v>0.33796490735497359</v>
      </c>
      <c r="AG12" s="30">
        <f>SUM(AG13:AG14)</f>
        <v>569.413185</v>
      </c>
      <c r="AH12" s="31">
        <f t="shared" si="23"/>
        <v>0.34838588195557252</v>
      </c>
      <c r="AI12" s="32">
        <f t="shared" ref="AI12" si="86">SUM(AI13:AI14)</f>
        <v>47.406644999999997</v>
      </c>
      <c r="AJ12" s="33">
        <f t="shared" si="24"/>
        <v>0.36816936725408023</v>
      </c>
      <c r="AK12" s="32">
        <f t="shared" ref="AK12" si="87">SUM(AK13:AK14)</f>
        <v>45.395294999999997</v>
      </c>
      <c r="AL12" s="33">
        <f t="shared" si="26"/>
        <v>0.35761161731010105</v>
      </c>
      <c r="AM12" s="32">
        <f t="shared" ref="AM12" si="88">SUM(AM13:AM14)</f>
        <v>48.018794999999997</v>
      </c>
      <c r="AN12" s="33">
        <f t="shared" si="27"/>
        <v>0.34275842973047022</v>
      </c>
      <c r="AO12" s="32">
        <f t="shared" ref="AO12" si="89">SUM(AO13:AO14)</f>
        <v>46.610849999999999</v>
      </c>
      <c r="AP12" s="33">
        <f t="shared" si="28"/>
        <v>0.35560684305526696</v>
      </c>
      <c r="AQ12" s="32">
        <f t="shared" ref="AQ12" si="90">SUM(AQ13:AQ14)</f>
        <v>49.234349999999999</v>
      </c>
      <c r="AR12" s="33">
        <f t="shared" si="29"/>
        <v>0.35374590999131406</v>
      </c>
      <c r="AS12" s="32">
        <f t="shared" ref="AS12" si="91">SUM(AS13:AS14)</f>
        <v>47.013120000000001</v>
      </c>
      <c r="AT12" s="33">
        <f t="shared" si="30"/>
        <v>0.33628849266728578</v>
      </c>
      <c r="AU12" s="32">
        <f t="shared" ref="AU12" si="92">SUM(AU13:AU14)</f>
        <v>48.896209999999996</v>
      </c>
      <c r="AV12" s="33">
        <f t="shared" si="31"/>
        <v>0.35101036009240993</v>
      </c>
      <c r="AW12" s="32">
        <f t="shared" ref="AW12" si="93">SUM(AW13:AW14)</f>
        <v>47.587374999999994</v>
      </c>
      <c r="AX12" s="33">
        <f t="shared" si="31"/>
        <v>0.35175033799993299</v>
      </c>
      <c r="AY12" s="32">
        <f t="shared" ref="AY12" si="94">SUM(AY13:AY14)</f>
        <v>47.071419999999996</v>
      </c>
      <c r="AZ12" s="33">
        <f t="shared" si="32"/>
        <v>0.332838206027807</v>
      </c>
      <c r="BA12" s="32">
        <f t="shared" ref="BA12" si="95">SUM(BA13:BA14)</f>
        <v>45.663474999999998</v>
      </c>
      <c r="BB12" s="33">
        <f t="shared" si="33"/>
        <v>0.3461223729831473</v>
      </c>
      <c r="BC12" s="32">
        <f t="shared" ref="BC12" si="96">SUM(BC13:BC14)</f>
        <v>48.928274999999999</v>
      </c>
      <c r="BD12" s="33">
        <f t="shared" si="34"/>
        <v>0.35034923755258007</v>
      </c>
      <c r="BE12" s="32">
        <f t="shared" ref="BE12" si="97">SUM(BE13:BE14)</f>
        <v>47.587374999999994</v>
      </c>
      <c r="BF12" s="33">
        <f t="shared" si="34"/>
        <v>0.33754119039053559</v>
      </c>
      <c r="BH12" s="30">
        <f>SUM(BH13:BH14)</f>
        <v>21487290</v>
      </c>
      <c r="BI12" s="30">
        <f t="shared" si="35"/>
        <v>1111.2065532737925</v>
      </c>
      <c r="BJ12" s="32">
        <f t="shared" ref="BJ12:CF12" si="98">SUM(BJ13:BJ14)</f>
        <v>1788930</v>
      </c>
      <c r="BK12" s="33">
        <f t="shared" si="37"/>
        <v>0.36816936725408028</v>
      </c>
      <c r="BL12" s="32">
        <f t="shared" si="98"/>
        <v>1713030</v>
      </c>
      <c r="BM12" s="33">
        <f t="shared" si="37"/>
        <v>0.35761161731010099</v>
      </c>
      <c r="BN12" s="32">
        <f t="shared" si="98"/>
        <v>1812030</v>
      </c>
      <c r="BO12" s="33">
        <f t="shared" si="38"/>
        <v>0.34275842973047027</v>
      </c>
      <c r="BP12" s="32">
        <f t="shared" si="98"/>
        <v>1758900</v>
      </c>
      <c r="BQ12" s="33">
        <f t="shared" si="39"/>
        <v>0.35560684305526696</v>
      </c>
      <c r="BR12" s="32">
        <f t="shared" si="98"/>
        <v>1857900</v>
      </c>
      <c r="BS12" s="33">
        <f t="shared" si="40"/>
        <v>0.353745909991314</v>
      </c>
      <c r="BT12" s="32">
        <f t="shared" si="98"/>
        <v>1774080</v>
      </c>
      <c r="BU12" s="33">
        <f t="shared" si="41"/>
        <v>0.33628849266728578</v>
      </c>
      <c r="BV12" s="32">
        <f t="shared" si="98"/>
        <v>1845140</v>
      </c>
      <c r="BW12" s="33">
        <f t="shared" si="42"/>
        <v>0.35101036009240999</v>
      </c>
      <c r="BX12" s="32">
        <f t="shared" si="98"/>
        <v>1795750</v>
      </c>
      <c r="BY12" s="33">
        <f t="shared" si="43"/>
        <v>0.35175033799993305</v>
      </c>
      <c r="BZ12" s="32">
        <f t="shared" si="98"/>
        <v>1776280</v>
      </c>
      <c r="CA12" s="33">
        <f t="shared" si="44"/>
        <v>0.33283820602780706</v>
      </c>
      <c r="CB12" s="32">
        <f t="shared" si="98"/>
        <v>1723150</v>
      </c>
      <c r="CC12" s="33">
        <f t="shared" si="45"/>
        <v>0.3461223729831473</v>
      </c>
      <c r="CD12" s="32">
        <f t="shared" si="98"/>
        <v>1846350</v>
      </c>
      <c r="CE12" s="33">
        <f t="shared" si="46"/>
        <v>0.35034923755258007</v>
      </c>
      <c r="CF12" s="32">
        <f t="shared" si="98"/>
        <v>1795750</v>
      </c>
      <c r="CG12" s="33">
        <f t="shared" si="47"/>
        <v>0.33754119039053559</v>
      </c>
      <c r="CI12" s="30">
        <f t="shared" si="48"/>
        <v>1111.2065532737925</v>
      </c>
      <c r="CJ12" s="30">
        <f t="shared" si="49"/>
        <v>1112.3803009575922</v>
      </c>
      <c r="CK12" s="30">
        <f>IFERROR(BL12/J12,0)</f>
        <v>1110.7703281027104</v>
      </c>
      <c r="CL12" s="30">
        <f>IFERROR(BN12/L12,0)</f>
        <v>1111.5384615384614</v>
      </c>
      <c r="CM12" s="30">
        <f>IFERROR(BP12/N12,0)</f>
        <v>1110.4166666666667</v>
      </c>
      <c r="CN12" s="30">
        <f>IFERROR(BR12/P12,0)</f>
        <v>1111.1842105263158</v>
      </c>
      <c r="CO12" s="30">
        <f>IFERROR(BT12/R12,0)</f>
        <v>1110.7438016528924</v>
      </c>
      <c r="CP12" s="30">
        <f t="shared" si="50"/>
        <v>1111.5970841616963</v>
      </c>
      <c r="CQ12" s="30">
        <f t="shared" si="51"/>
        <v>1110.5442176870749</v>
      </c>
      <c r="CR12" s="30">
        <f t="shared" si="52"/>
        <v>1112.121212121212</v>
      </c>
      <c r="CS12" s="30">
        <f t="shared" si="53"/>
        <v>1110.9929078014184</v>
      </c>
      <c r="CT12" s="30">
        <f t="shared" si="54"/>
        <v>1111.5894039735099</v>
      </c>
      <c r="CU12" s="30">
        <f t="shared" si="55"/>
        <v>1110.5442176870749</v>
      </c>
    </row>
    <row r="13" spans="1:99" outlineLevel="1" x14ac:dyDescent="0.25">
      <c r="A13" s="34"/>
      <c r="B13" s="34"/>
      <c r="C13" s="34" t="s">
        <v>34</v>
      </c>
      <c r="D13" s="34" t="s">
        <v>35</v>
      </c>
      <c r="F13" s="35">
        <v>17994.900000000001</v>
      </c>
      <c r="G13" s="36">
        <f t="shared" si="10"/>
        <v>0.32717999998699182</v>
      </c>
      <c r="H13" s="37">
        <v>1476.2</v>
      </c>
      <c r="I13" s="38">
        <f t="shared" si="11"/>
        <v>0.34185358723134579</v>
      </c>
      <c r="J13" s="37">
        <v>1432.2</v>
      </c>
      <c r="K13" s="38">
        <f t="shared" si="11"/>
        <v>0.33672562354886065</v>
      </c>
      <c r="L13" s="37">
        <v>1520.2</v>
      </c>
      <c r="M13" s="38">
        <f t="shared" si="13"/>
        <v>0.32492921832499699</v>
      </c>
      <c r="N13" s="37">
        <v>1474</v>
      </c>
      <c r="O13" s="38">
        <f t="shared" si="14"/>
        <v>0.33543976773528772</v>
      </c>
      <c r="P13" s="37">
        <v>1562</v>
      </c>
      <c r="Q13" s="38">
        <f t="shared" si="15"/>
        <v>0.33494613261498779</v>
      </c>
      <c r="R13" s="37">
        <v>1487.2</v>
      </c>
      <c r="S13" s="38">
        <f t="shared" si="16"/>
        <v>0.3169682772201492</v>
      </c>
      <c r="T13" s="37">
        <v>1549.9</v>
      </c>
      <c r="U13" s="38">
        <f t="shared" si="17"/>
        <v>0.33050977905918461</v>
      </c>
      <c r="V13" s="37">
        <v>1507</v>
      </c>
      <c r="W13" s="38">
        <f t="shared" si="18"/>
        <v>0.33027606989018971</v>
      </c>
      <c r="X13" s="37">
        <v>1487.2</v>
      </c>
      <c r="Y13" s="38">
        <f t="shared" si="19"/>
        <v>0.31148008298532509</v>
      </c>
      <c r="Z13" s="37">
        <v>1441</v>
      </c>
      <c r="AA13" s="38">
        <f t="shared" si="20"/>
        <v>0.32247046499037268</v>
      </c>
      <c r="AB13" s="37">
        <v>1551</v>
      </c>
      <c r="AC13" s="38">
        <f t="shared" si="21"/>
        <v>0.32858476971185968</v>
      </c>
      <c r="AD13" s="37">
        <v>1507</v>
      </c>
      <c r="AE13" s="38">
        <f t="shared" si="22"/>
        <v>0.31497409733082571</v>
      </c>
      <c r="AG13" s="35">
        <v>525.01773500000002</v>
      </c>
      <c r="AH13" s="36">
        <f t="shared" si="23"/>
        <v>0.32122327242965415</v>
      </c>
      <c r="AI13" s="37">
        <v>43.092444999999998</v>
      </c>
      <c r="AJ13" s="38">
        <f t="shared" si="24"/>
        <v>0.33466443805675877</v>
      </c>
      <c r="AK13" s="37">
        <v>41.751545</v>
      </c>
      <c r="AL13" s="38">
        <f t="shared" si="26"/>
        <v>0.32890715948966659</v>
      </c>
      <c r="AM13" s="37">
        <v>44.375045</v>
      </c>
      <c r="AN13" s="38">
        <f t="shared" si="27"/>
        <v>0.31674932166496378</v>
      </c>
      <c r="AO13" s="37">
        <v>42.967100000000002</v>
      </c>
      <c r="AP13" s="38">
        <f t="shared" si="28"/>
        <v>0.32780768396714416</v>
      </c>
      <c r="AQ13" s="37">
        <v>45.590600000000002</v>
      </c>
      <c r="AR13" s="38">
        <f t="shared" si="29"/>
        <v>0.32756578047745127</v>
      </c>
      <c r="AS13" s="37">
        <v>43.369370000000004</v>
      </c>
      <c r="AT13" s="38">
        <f t="shared" si="30"/>
        <v>0.31022446638788925</v>
      </c>
      <c r="AU13" s="37">
        <v>45.252459999999999</v>
      </c>
      <c r="AV13" s="38">
        <f t="shared" si="31"/>
        <v>0.3248530362510178</v>
      </c>
      <c r="AW13" s="37">
        <v>43.943624999999997</v>
      </c>
      <c r="AX13" s="38">
        <f t="shared" si="31"/>
        <v>0.32481692773960125</v>
      </c>
      <c r="AY13" s="37">
        <v>43.427669999999999</v>
      </c>
      <c r="AZ13" s="38">
        <f t="shared" si="32"/>
        <v>0.30707354430284056</v>
      </c>
      <c r="BA13" s="37">
        <v>42.019725000000001</v>
      </c>
      <c r="BB13" s="38">
        <f t="shared" si="33"/>
        <v>0.31850328800204719</v>
      </c>
      <c r="BC13" s="37">
        <v>45.284525000000002</v>
      </c>
      <c r="BD13" s="38">
        <f t="shared" si="34"/>
        <v>0.32425829046049043</v>
      </c>
      <c r="BE13" s="37">
        <v>43.943624999999997</v>
      </c>
      <c r="BF13" s="38">
        <f t="shared" si="34"/>
        <v>0.31169576999309795</v>
      </c>
      <c r="BH13" s="35">
        <v>19811990</v>
      </c>
      <c r="BI13" s="35">
        <f t="shared" si="35"/>
        <v>1100.9780548933309</v>
      </c>
      <c r="BJ13" s="37">
        <v>1626130</v>
      </c>
      <c r="BK13" s="38">
        <f t="shared" si="37"/>
        <v>0.33466443805675883</v>
      </c>
      <c r="BL13" s="37">
        <v>1575530</v>
      </c>
      <c r="BM13" s="38">
        <f t="shared" si="37"/>
        <v>0.32890715948966653</v>
      </c>
      <c r="BN13" s="37">
        <v>1674530</v>
      </c>
      <c r="BO13" s="38">
        <f t="shared" si="38"/>
        <v>0.31674932166496383</v>
      </c>
      <c r="BP13" s="37">
        <v>1621400</v>
      </c>
      <c r="BQ13" s="38">
        <f t="shared" si="39"/>
        <v>0.32780768396714416</v>
      </c>
      <c r="BR13" s="37">
        <v>1720400</v>
      </c>
      <c r="BS13" s="38">
        <f t="shared" si="40"/>
        <v>0.32756578047745122</v>
      </c>
      <c r="BT13" s="37">
        <v>1636580</v>
      </c>
      <c r="BU13" s="38">
        <f t="shared" si="41"/>
        <v>0.31022446638788925</v>
      </c>
      <c r="BV13" s="37">
        <v>1707640</v>
      </c>
      <c r="BW13" s="38">
        <f t="shared" si="42"/>
        <v>0.32485303625101786</v>
      </c>
      <c r="BX13" s="37">
        <v>1658250</v>
      </c>
      <c r="BY13" s="38">
        <f t="shared" si="43"/>
        <v>0.32481692773960125</v>
      </c>
      <c r="BZ13" s="37">
        <v>1638780</v>
      </c>
      <c r="CA13" s="38">
        <f t="shared" si="44"/>
        <v>0.30707354430284056</v>
      </c>
      <c r="CB13" s="37">
        <v>1585650</v>
      </c>
      <c r="CC13" s="38">
        <f t="shared" si="45"/>
        <v>0.31850328800204714</v>
      </c>
      <c r="CD13" s="37">
        <v>1708850</v>
      </c>
      <c r="CE13" s="38">
        <f t="shared" si="46"/>
        <v>0.32425829046049037</v>
      </c>
      <c r="CF13" s="37">
        <v>1658250</v>
      </c>
      <c r="CG13" s="38">
        <f t="shared" si="47"/>
        <v>0.31169576999309795</v>
      </c>
      <c r="CI13" s="35">
        <f t="shared" si="48"/>
        <v>1100.9780548933309</v>
      </c>
      <c r="CJ13" s="35">
        <f t="shared" si="49"/>
        <v>1101.564828614009</v>
      </c>
      <c r="CK13" s="35">
        <f>IFERROR(BL13/J13,0)</f>
        <v>1100.0768049155145</v>
      </c>
      <c r="CL13" s="35">
        <f>IFERROR(BN13/L13,0)</f>
        <v>1101.5195369030391</v>
      </c>
      <c r="CM13" s="35">
        <f>IFERROR(BP13/N13,0)</f>
        <v>1100</v>
      </c>
      <c r="CN13" s="35">
        <f>IFERROR(BR13/P13,0)</f>
        <v>1101.4084507042253</v>
      </c>
      <c r="CO13" s="35">
        <f>IFERROR(BT13/R13,0)</f>
        <v>1100.4437869822484</v>
      </c>
      <c r="CP13" s="35">
        <f t="shared" si="50"/>
        <v>1101.7743080198723</v>
      </c>
      <c r="CQ13" s="35">
        <f t="shared" si="51"/>
        <v>1100.3649635036497</v>
      </c>
      <c r="CR13" s="35">
        <f t="shared" si="52"/>
        <v>1101.9230769230769</v>
      </c>
      <c r="CS13" s="35">
        <f t="shared" si="53"/>
        <v>1100.3816793893129</v>
      </c>
      <c r="CT13" s="35">
        <f t="shared" si="54"/>
        <v>1101.7730496453901</v>
      </c>
      <c r="CU13" s="35">
        <f t="shared" si="55"/>
        <v>1100.3649635036497</v>
      </c>
    </row>
    <row r="14" spans="1:99" outlineLevel="1" x14ac:dyDescent="0.25">
      <c r="A14" s="34"/>
      <c r="B14" s="34"/>
      <c r="C14" s="34" t="s">
        <v>36</v>
      </c>
      <c r="D14" s="34" t="s">
        <v>37</v>
      </c>
      <c r="F14" s="35">
        <v>1342</v>
      </c>
      <c r="G14" s="36">
        <f t="shared" si="10"/>
        <v>2.4399999999029889E-2</v>
      </c>
      <c r="H14" s="37">
        <v>132</v>
      </c>
      <c r="I14" s="38">
        <f t="shared" si="11"/>
        <v>3.0568130005783529E-2</v>
      </c>
      <c r="J14" s="37">
        <v>110</v>
      </c>
      <c r="K14" s="38">
        <f t="shared" si="11"/>
        <v>2.5862183068268867E-2</v>
      </c>
      <c r="L14" s="37">
        <v>110</v>
      </c>
      <c r="M14" s="38">
        <f t="shared" si="13"/>
        <v>2.3511520862879665E-2</v>
      </c>
      <c r="N14" s="37">
        <v>110</v>
      </c>
      <c r="O14" s="38">
        <f t="shared" si="14"/>
        <v>2.5032818487708039E-2</v>
      </c>
      <c r="P14" s="37">
        <v>110</v>
      </c>
      <c r="Q14" s="38">
        <f t="shared" si="15"/>
        <v>2.3587755817956885E-2</v>
      </c>
      <c r="R14" s="37">
        <v>110</v>
      </c>
      <c r="S14" s="38">
        <f t="shared" si="16"/>
        <v>2.3444399202673757E-2</v>
      </c>
      <c r="T14" s="37">
        <v>110</v>
      </c>
      <c r="U14" s="38">
        <f t="shared" si="17"/>
        <v>2.3457046065236662E-2</v>
      </c>
      <c r="V14" s="37">
        <v>110</v>
      </c>
      <c r="W14" s="38">
        <f t="shared" si="18"/>
        <v>2.4107742327751074E-2</v>
      </c>
      <c r="X14" s="37">
        <v>110</v>
      </c>
      <c r="Y14" s="38">
        <f t="shared" si="19"/>
        <v>2.3038467676429367E-2</v>
      </c>
      <c r="Z14" s="37">
        <v>110</v>
      </c>
      <c r="AA14" s="38">
        <f t="shared" si="20"/>
        <v>2.4616066029799443E-2</v>
      </c>
      <c r="AB14" s="37">
        <v>110</v>
      </c>
      <c r="AC14" s="38">
        <f t="shared" si="21"/>
        <v>2.3303884376727636E-2</v>
      </c>
      <c r="AD14" s="37">
        <v>110</v>
      </c>
      <c r="AE14" s="38">
        <f t="shared" si="22"/>
        <v>2.2990810024147861E-2</v>
      </c>
      <c r="AG14" s="35">
        <v>44.395449999999997</v>
      </c>
      <c r="AH14" s="36">
        <f t="shared" si="23"/>
        <v>2.7162609525918372E-2</v>
      </c>
      <c r="AI14" s="37">
        <v>4.3141999999999996</v>
      </c>
      <c r="AJ14" s="38">
        <f t="shared" si="24"/>
        <v>3.3504929197321447E-2</v>
      </c>
      <c r="AK14" s="37">
        <v>3.6437499999999998</v>
      </c>
      <c r="AL14" s="38">
        <f t="shared" si="26"/>
        <v>2.870445782043449E-2</v>
      </c>
      <c r="AM14" s="37">
        <v>3.6437499999999998</v>
      </c>
      <c r="AN14" s="38">
        <f t="shared" si="27"/>
        <v>2.6009108065506454E-2</v>
      </c>
      <c r="AO14" s="37">
        <v>3.6437499999999998</v>
      </c>
      <c r="AP14" s="38">
        <f t="shared" si="28"/>
        <v>2.7799159088122805E-2</v>
      </c>
      <c r="AQ14" s="37">
        <v>3.6437499999999998</v>
      </c>
      <c r="AR14" s="38">
        <f t="shared" si="29"/>
        <v>2.6180129513862792E-2</v>
      </c>
      <c r="AS14" s="37">
        <v>3.6437499999999998</v>
      </c>
      <c r="AT14" s="38">
        <f t="shared" si="30"/>
        <v>2.6064026279396527E-2</v>
      </c>
      <c r="AU14" s="37">
        <v>3.6437499999999998</v>
      </c>
      <c r="AV14" s="38">
        <f t="shared" si="31"/>
        <v>2.6157323841392181E-2</v>
      </c>
      <c r="AW14" s="37">
        <v>3.6437499999999998</v>
      </c>
      <c r="AX14" s="38">
        <f t="shared" si="31"/>
        <v>2.6933410260331778E-2</v>
      </c>
      <c r="AY14" s="37">
        <v>3.6437499999999998</v>
      </c>
      <c r="AZ14" s="38">
        <f t="shared" si="32"/>
        <v>2.5764661724966484E-2</v>
      </c>
      <c r="BA14" s="37">
        <v>3.6437499999999998</v>
      </c>
      <c r="BB14" s="38">
        <f t="shared" si="33"/>
        <v>2.7619084981100168E-2</v>
      </c>
      <c r="BC14" s="37">
        <v>3.6437499999999998</v>
      </c>
      <c r="BD14" s="38">
        <f t="shared" si="34"/>
        <v>2.6090947092089666E-2</v>
      </c>
      <c r="BE14" s="37">
        <v>3.6437499999999998</v>
      </c>
      <c r="BF14" s="38">
        <f t="shared" si="34"/>
        <v>2.5845420397437643E-2</v>
      </c>
      <c r="BH14" s="35">
        <v>1675299.9999999998</v>
      </c>
      <c r="BI14" s="35">
        <f t="shared" si="35"/>
        <v>1248.3606557377047</v>
      </c>
      <c r="BJ14" s="37">
        <v>162799.99999999997</v>
      </c>
      <c r="BK14" s="38">
        <f t="shared" si="37"/>
        <v>3.3504929197321447E-2</v>
      </c>
      <c r="BL14" s="37">
        <v>137499.99999999997</v>
      </c>
      <c r="BM14" s="38">
        <f t="shared" si="37"/>
        <v>2.870445782043448E-2</v>
      </c>
      <c r="BN14" s="37">
        <v>137499.99999999997</v>
      </c>
      <c r="BO14" s="38">
        <f t="shared" si="38"/>
        <v>2.600910806550645E-2</v>
      </c>
      <c r="BP14" s="37">
        <v>137499.99999999997</v>
      </c>
      <c r="BQ14" s="38">
        <f t="shared" si="39"/>
        <v>2.7799159088122801E-2</v>
      </c>
      <c r="BR14" s="37">
        <v>137499.99999999997</v>
      </c>
      <c r="BS14" s="38">
        <f t="shared" si="40"/>
        <v>2.6180129513862786E-2</v>
      </c>
      <c r="BT14" s="37">
        <v>137499.99999999997</v>
      </c>
      <c r="BU14" s="38">
        <f t="shared" si="41"/>
        <v>2.606402627939652E-2</v>
      </c>
      <c r="BV14" s="37">
        <v>137499.99999999997</v>
      </c>
      <c r="BW14" s="38">
        <f t="shared" si="42"/>
        <v>2.6157323841392181E-2</v>
      </c>
      <c r="BX14" s="37">
        <v>137499.99999999997</v>
      </c>
      <c r="BY14" s="38">
        <f t="shared" si="43"/>
        <v>2.6933410260331771E-2</v>
      </c>
      <c r="BZ14" s="37">
        <v>137499.99999999997</v>
      </c>
      <c r="CA14" s="38">
        <f t="shared" si="44"/>
        <v>2.576466172496648E-2</v>
      </c>
      <c r="CB14" s="37">
        <v>137499.99999999997</v>
      </c>
      <c r="CC14" s="38">
        <f t="shared" si="45"/>
        <v>2.7619084981100162E-2</v>
      </c>
      <c r="CD14" s="37">
        <v>137499.99999999997</v>
      </c>
      <c r="CE14" s="38">
        <f t="shared" si="46"/>
        <v>2.6090947092089662E-2</v>
      </c>
      <c r="CF14" s="37">
        <v>137499.99999999997</v>
      </c>
      <c r="CG14" s="38">
        <f t="shared" si="47"/>
        <v>2.5845420397437636E-2</v>
      </c>
      <c r="CI14" s="35">
        <f t="shared" si="48"/>
        <v>1248.3606557377047</v>
      </c>
      <c r="CJ14" s="35">
        <f t="shared" si="49"/>
        <v>1233.333333333333</v>
      </c>
      <c r="CK14" s="35">
        <f>IFERROR(BL14/J14,0)</f>
        <v>1249.9999999999998</v>
      </c>
      <c r="CL14" s="35">
        <f>IFERROR(BN14/L14,0)</f>
        <v>1249.9999999999998</v>
      </c>
      <c r="CM14" s="35">
        <f>IFERROR(BP14/N14,0)</f>
        <v>1249.9999999999998</v>
      </c>
      <c r="CN14" s="35">
        <f>IFERROR(BR14/P14,0)</f>
        <v>1249.9999999999998</v>
      </c>
      <c r="CO14" s="35">
        <f>IFERROR(BT14/R14,0)</f>
        <v>1249.9999999999998</v>
      </c>
      <c r="CP14" s="35">
        <f t="shared" si="50"/>
        <v>1249.9999999999998</v>
      </c>
      <c r="CQ14" s="35">
        <f t="shared" si="51"/>
        <v>1249.9999999999998</v>
      </c>
      <c r="CR14" s="35">
        <f t="shared" si="52"/>
        <v>1249.9999999999998</v>
      </c>
      <c r="CS14" s="35">
        <f t="shared" si="53"/>
        <v>1249.9999999999998</v>
      </c>
      <c r="CT14" s="35">
        <f t="shared" si="54"/>
        <v>1249.9999999999998</v>
      </c>
      <c r="CU14" s="35">
        <f t="shared" si="55"/>
        <v>1249.9999999999998</v>
      </c>
    </row>
    <row r="15" spans="1:99" s="15" customFormat="1" x14ac:dyDescent="0.25">
      <c r="A15" s="29"/>
      <c r="B15" s="29" t="s">
        <v>38</v>
      </c>
      <c r="C15" s="29"/>
      <c r="D15" s="29"/>
      <c r="F15" s="30">
        <f>SUM(F16:F16)</f>
        <v>6358.1562021867239</v>
      </c>
      <c r="G15" s="31">
        <f t="shared" si="10"/>
        <v>0.11560284003516241</v>
      </c>
      <c r="H15" s="32">
        <f t="shared" ref="H15:AD15" si="99">SUM(H16:H16)</f>
        <v>522.23594934280482</v>
      </c>
      <c r="I15" s="33">
        <f t="shared" si="11"/>
        <v>0.12093769994851999</v>
      </c>
      <c r="J15" s="32">
        <f t="shared" si="99"/>
        <v>515.32758449069945</v>
      </c>
      <c r="K15" s="33">
        <f t="shared" si="11"/>
        <v>0.12115905754752054</v>
      </c>
      <c r="L15" s="32">
        <f t="shared" si="99"/>
        <v>530.5704201424071</v>
      </c>
      <c r="M15" s="33">
        <f t="shared" si="13"/>
        <v>0.11340470456731849</v>
      </c>
      <c r="N15" s="32">
        <f t="shared" si="99"/>
        <v>523.6445353433877</v>
      </c>
      <c r="O15" s="33">
        <f t="shared" si="14"/>
        <v>0.11916635095755675</v>
      </c>
      <c r="P15" s="32">
        <f t="shared" si="99"/>
        <v>541.84945584920183</v>
      </c>
      <c r="Q15" s="33">
        <f t="shared" si="15"/>
        <v>0.11619102413330712</v>
      </c>
      <c r="R15" s="32">
        <f t="shared" si="99"/>
        <v>528.96519889426065</v>
      </c>
      <c r="S15" s="33">
        <f t="shared" si="16"/>
        <v>0.11273882988362519</v>
      </c>
      <c r="T15" s="32">
        <f t="shared" si="99"/>
        <v>540.0355336399349</v>
      </c>
      <c r="U15" s="33">
        <f t="shared" si="17"/>
        <v>0.11516034899506014</v>
      </c>
      <c r="V15" s="32">
        <f t="shared" si="99"/>
        <v>530.26251557540661</v>
      </c>
      <c r="W15" s="33">
        <f t="shared" si="18"/>
        <v>0.11621301901415448</v>
      </c>
      <c r="X15" s="32">
        <f t="shared" si="99"/>
        <v>530.63611855555143</v>
      </c>
      <c r="Y15" s="33">
        <f t="shared" si="19"/>
        <v>0.11113675513898194</v>
      </c>
      <c r="Z15" s="32">
        <f t="shared" si="99"/>
        <v>522.03931409524125</v>
      </c>
      <c r="AA15" s="33">
        <f t="shared" si="20"/>
        <v>0.11682322023563337</v>
      </c>
      <c r="AB15" s="32">
        <f t="shared" si="99"/>
        <v>540.65614102112932</v>
      </c>
      <c r="AC15" s="33">
        <f t="shared" si="21"/>
        <v>0.11453989270840136</v>
      </c>
      <c r="AD15" s="32">
        <f t="shared" si="99"/>
        <v>531.93343523669751</v>
      </c>
      <c r="AE15" s="33">
        <f t="shared" si="22"/>
        <v>0.11117800504562975</v>
      </c>
      <c r="AG15" s="30">
        <f>SUM(AG16:AG16)</f>
        <v>163.43640517720971</v>
      </c>
      <c r="AH15" s="31">
        <f t="shared" si="23"/>
        <v>9.9995816151167108E-2</v>
      </c>
      <c r="AI15" s="32">
        <f t="shared" ref="AI15" si="100">SUM(AI16:AI16)</f>
        <v>13.424075077856797</v>
      </c>
      <c r="AJ15" s="33">
        <f t="shared" si="24"/>
        <v>0.10425401813154685</v>
      </c>
      <c r="AK15" s="32">
        <f t="shared" ref="AK15" si="101">SUM(AK16:AK16)</f>
        <v>13.246495559333429</v>
      </c>
      <c r="AL15" s="33">
        <f t="shared" si="26"/>
        <v>0.10435223960245878</v>
      </c>
      <c r="AM15" s="32">
        <f t="shared" ref="AM15" si="102">SUM(AM16:AM16)</f>
        <v>13.638312649760575</v>
      </c>
      <c r="AN15" s="33">
        <f t="shared" si="27"/>
        <v>9.735035266930675E-2</v>
      </c>
      <c r="AO15" s="32">
        <f t="shared" ref="AO15" si="103">SUM(AO16:AO16)</f>
        <v>13.460282781001782</v>
      </c>
      <c r="AP15" s="33">
        <f t="shared" si="28"/>
        <v>0.10269215571874817</v>
      </c>
      <c r="AQ15" s="32">
        <f t="shared" ref="AQ15" si="104">SUM(AQ16:AQ16)</f>
        <v>13.928240262603733</v>
      </c>
      <c r="AR15" s="33">
        <f t="shared" si="29"/>
        <v>0.10007358736882718</v>
      </c>
      <c r="AS15" s="32">
        <f t="shared" ref="AS15" si="105">SUM(AS16:AS16)</f>
        <v>13.59705043757697</v>
      </c>
      <c r="AT15" s="33">
        <f t="shared" si="30"/>
        <v>9.7260756069238063E-2</v>
      </c>
      <c r="AU15" s="32">
        <f t="shared" ref="AU15" si="106">SUM(AU16:AU16)</f>
        <v>13.881613392214527</v>
      </c>
      <c r="AV15" s="33">
        <f t="shared" si="31"/>
        <v>9.9651693157094226E-2</v>
      </c>
      <c r="AW15" s="32">
        <f t="shared" ref="AW15" si="107">SUM(AW16:AW16)</f>
        <v>13.630397962865826</v>
      </c>
      <c r="AX15" s="33">
        <f t="shared" si="31"/>
        <v>0.10075145120973059</v>
      </c>
      <c r="AY15" s="32">
        <f t="shared" ref="AY15" si="108">SUM(AY16:AY16)</f>
        <v>13.64000142747045</v>
      </c>
      <c r="AZ15" s="33">
        <f t="shared" si="32"/>
        <v>9.6447347569629124E-2</v>
      </c>
      <c r="BA15" s="32">
        <f t="shared" ref="BA15" si="109">SUM(BA16:BA16)</f>
        <v>13.419020568818176</v>
      </c>
      <c r="BB15" s="33">
        <f t="shared" si="33"/>
        <v>0.10171418715700044</v>
      </c>
      <c r="BC15" s="32">
        <f t="shared" ref="BC15" si="110">SUM(BC16:BC16)</f>
        <v>13.89756610494813</v>
      </c>
      <c r="BD15" s="33">
        <f t="shared" si="34"/>
        <v>9.9513046162063898E-2</v>
      </c>
      <c r="BE15" s="32">
        <f t="shared" ref="BE15" si="111">SUM(BE16:BE16)</f>
        <v>13.67334895275931</v>
      </c>
      <c r="BF15" s="33">
        <f t="shared" si="34"/>
        <v>9.6986196068590907E-2</v>
      </c>
      <c r="BH15" s="30">
        <f>SUM(BH16:BH16)</f>
        <v>6167411.5161211211</v>
      </c>
      <c r="BI15" s="30">
        <f t="shared" si="35"/>
        <v>969.99999999999977</v>
      </c>
      <c r="BJ15" s="32">
        <f t="shared" ref="BJ15:CF15" si="112">SUM(BJ16:BJ16)</f>
        <v>506568.87086252065</v>
      </c>
      <c r="BK15" s="33">
        <f t="shared" si="37"/>
        <v>0.10425401813154686</v>
      </c>
      <c r="BL15" s="32">
        <f t="shared" si="112"/>
        <v>499867.75695597846</v>
      </c>
      <c r="BM15" s="33">
        <f t="shared" si="37"/>
        <v>0.10435223960245878</v>
      </c>
      <c r="BN15" s="32">
        <f t="shared" si="112"/>
        <v>514653.30753813492</v>
      </c>
      <c r="BO15" s="33">
        <f t="shared" si="38"/>
        <v>9.7350352669306764E-2</v>
      </c>
      <c r="BP15" s="32">
        <f t="shared" si="112"/>
        <v>507935.19928308605</v>
      </c>
      <c r="BQ15" s="33">
        <f t="shared" si="39"/>
        <v>0.10269215571874815</v>
      </c>
      <c r="BR15" s="32">
        <f t="shared" si="112"/>
        <v>525593.97217372584</v>
      </c>
      <c r="BS15" s="33">
        <f t="shared" si="40"/>
        <v>0.10007358736882718</v>
      </c>
      <c r="BT15" s="32">
        <f t="shared" si="112"/>
        <v>513096.24292743282</v>
      </c>
      <c r="BU15" s="33">
        <f t="shared" si="41"/>
        <v>9.7260756069238063E-2</v>
      </c>
      <c r="BV15" s="32">
        <f t="shared" si="112"/>
        <v>523834.46763073688</v>
      </c>
      <c r="BW15" s="33">
        <f t="shared" si="42"/>
        <v>9.9651693157094226E-2</v>
      </c>
      <c r="BX15" s="32">
        <f t="shared" si="112"/>
        <v>514354.64010814438</v>
      </c>
      <c r="BY15" s="33">
        <f t="shared" si="43"/>
        <v>0.10075145120973059</v>
      </c>
      <c r="BZ15" s="32">
        <f t="shared" si="112"/>
        <v>514717.03499888489</v>
      </c>
      <c r="CA15" s="33">
        <f t="shared" si="44"/>
        <v>9.6447347569629124E-2</v>
      </c>
      <c r="CB15" s="32">
        <f t="shared" si="112"/>
        <v>506378.13467238395</v>
      </c>
      <c r="CC15" s="33">
        <f t="shared" si="45"/>
        <v>0.10171418715700042</v>
      </c>
      <c r="CD15" s="32">
        <f t="shared" si="112"/>
        <v>524436.45679049543</v>
      </c>
      <c r="CE15" s="33">
        <f t="shared" si="46"/>
        <v>9.9513046162063898E-2</v>
      </c>
      <c r="CF15" s="32">
        <f t="shared" si="112"/>
        <v>515975.43217959657</v>
      </c>
      <c r="CG15" s="33">
        <f t="shared" si="47"/>
        <v>9.6986196068590894E-2</v>
      </c>
      <c r="CI15" s="30">
        <f t="shared" si="48"/>
        <v>969.99999999999977</v>
      </c>
      <c r="CJ15" s="30">
        <f t="shared" si="49"/>
        <v>970</v>
      </c>
      <c r="CK15" s="30">
        <f>IFERROR(BL15/J15,0)</f>
        <v>970</v>
      </c>
      <c r="CL15" s="30">
        <f>IFERROR(BN15/L15,0)</f>
        <v>970.00000000000011</v>
      </c>
      <c r="CM15" s="30">
        <f>IFERROR(BP15/N15,0)</f>
        <v>970</v>
      </c>
      <c r="CN15" s="30">
        <f>IFERROR(BR15/P15,0)</f>
        <v>970.00000000000011</v>
      </c>
      <c r="CO15" s="30">
        <f>IFERROR(BT15/R15,0)</f>
        <v>970</v>
      </c>
      <c r="CP15" s="30">
        <f t="shared" si="50"/>
        <v>970</v>
      </c>
      <c r="CQ15" s="30">
        <f t="shared" si="51"/>
        <v>969.99999999999989</v>
      </c>
      <c r="CR15" s="30">
        <f t="shared" si="52"/>
        <v>970</v>
      </c>
      <c r="CS15" s="30">
        <f t="shared" si="53"/>
        <v>969.99999999999989</v>
      </c>
      <c r="CT15" s="30">
        <f t="shared" si="54"/>
        <v>970</v>
      </c>
      <c r="CU15" s="30">
        <f t="shared" si="55"/>
        <v>970</v>
      </c>
    </row>
    <row r="16" spans="1:99" outlineLevel="1" x14ac:dyDescent="0.25">
      <c r="A16" s="34"/>
      <c r="B16" s="34"/>
      <c r="C16" s="34" t="s">
        <v>39</v>
      </c>
      <c r="D16" s="34" t="s">
        <v>40</v>
      </c>
      <c r="F16" s="35">
        <v>6358.1562021867239</v>
      </c>
      <c r="G16" s="36">
        <f t="shared" si="10"/>
        <v>0.11560284003516241</v>
      </c>
      <c r="H16" s="37">
        <v>522.23594934280482</v>
      </c>
      <c r="I16" s="38">
        <f t="shared" si="11"/>
        <v>0.12093769994851999</v>
      </c>
      <c r="J16" s="37">
        <v>515.32758449069945</v>
      </c>
      <c r="K16" s="38">
        <f t="shared" si="11"/>
        <v>0.12115905754752054</v>
      </c>
      <c r="L16" s="37">
        <v>530.5704201424071</v>
      </c>
      <c r="M16" s="38">
        <f t="shared" si="13"/>
        <v>0.11340470456731849</v>
      </c>
      <c r="N16" s="37">
        <v>523.6445353433877</v>
      </c>
      <c r="O16" s="38">
        <f t="shared" si="14"/>
        <v>0.11916635095755675</v>
      </c>
      <c r="P16" s="37">
        <v>541.84945584920183</v>
      </c>
      <c r="Q16" s="38">
        <f t="shared" si="15"/>
        <v>0.11619102413330712</v>
      </c>
      <c r="R16" s="37">
        <v>528.96519889426065</v>
      </c>
      <c r="S16" s="38">
        <f t="shared" si="16"/>
        <v>0.11273882988362519</v>
      </c>
      <c r="T16" s="37">
        <v>540.0355336399349</v>
      </c>
      <c r="U16" s="38">
        <f t="shared" si="17"/>
        <v>0.11516034899506014</v>
      </c>
      <c r="V16" s="37">
        <v>530.26251557540661</v>
      </c>
      <c r="W16" s="38">
        <f t="shared" si="18"/>
        <v>0.11621301901415448</v>
      </c>
      <c r="X16" s="37">
        <v>530.63611855555143</v>
      </c>
      <c r="Y16" s="38">
        <f t="shared" si="19"/>
        <v>0.11113675513898194</v>
      </c>
      <c r="Z16" s="37">
        <v>522.03931409524125</v>
      </c>
      <c r="AA16" s="38">
        <f t="shared" si="20"/>
        <v>0.11682322023563337</v>
      </c>
      <c r="AB16" s="37">
        <v>540.65614102112932</v>
      </c>
      <c r="AC16" s="38">
        <f t="shared" si="21"/>
        <v>0.11453989270840136</v>
      </c>
      <c r="AD16" s="37">
        <v>531.93343523669751</v>
      </c>
      <c r="AE16" s="38">
        <f t="shared" si="22"/>
        <v>0.11117800504562975</v>
      </c>
      <c r="AG16" s="35">
        <v>163.43640517720971</v>
      </c>
      <c r="AH16" s="36">
        <f t="shared" si="23"/>
        <v>9.9995816151167108E-2</v>
      </c>
      <c r="AI16" s="37">
        <v>13.424075077856797</v>
      </c>
      <c r="AJ16" s="38">
        <f t="shared" si="24"/>
        <v>0.10425401813154685</v>
      </c>
      <c r="AK16" s="37">
        <v>13.246495559333429</v>
      </c>
      <c r="AL16" s="38">
        <f t="shared" si="26"/>
        <v>0.10435223960245878</v>
      </c>
      <c r="AM16" s="37">
        <v>13.638312649760575</v>
      </c>
      <c r="AN16" s="38">
        <f t="shared" si="27"/>
        <v>9.735035266930675E-2</v>
      </c>
      <c r="AO16" s="37">
        <v>13.460282781001782</v>
      </c>
      <c r="AP16" s="38">
        <f t="shared" si="28"/>
        <v>0.10269215571874817</v>
      </c>
      <c r="AQ16" s="37">
        <v>13.928240262603733</v>
      </c>
      <c r="AR16" s="38">
        <f t="shared" si="29"/>
        <v>0.10007358736882718</v>
      </c>
      <c r="AS16" s="37">
        <v>13.59705043757697</v>
      </c>
      <c r="AT16" s="38">
        <f t="shared" si="30"/>
        <v>9.7260756069238063E-2</v>
      </c>
      <c r="AU16" s="37">
        <v>13.881613392214527</v>
      </c>
      <c r="AV16" s="38">
        <f t="shared" si="31"/>
        <v>9.9651693157094226E-2</v>
      </c>
      <c r="AW16" s="37">
        <v>13.630397962865826</v>
      </c>
      <c r="AX16" s="38">
        <f t="shared" si="31"/>
        <v>0.10075145120973059</v>
      </c>
      <c r="AY16" s="37">
        <v>13.64000142747045</v>
      </c>
      <c r="AZ16" s="38">
        <f t="shared" si="32"/>
        <v>9.6447347569629124E-2</v>
      </c>
      <c r="BA16" s="37">
        <v>13.419020568818176</v>
      </c>
      <c r="BB16" s="38">
        <f t="shared" si="33"/>
        <v>0.10171418715700044</v>
      </c>
      <c r="BC16" s="37">
        <v>13.89756610494813</v>
      </c>
      <c r="BD16" s="38">
        <f t="shared" si="34"/>
        <v>9.9513046162063898E-2</v>
      </c>
      <c r="BE16" s="37">
        <v>13.67334895275931</v>
      </c>
      <c r="BF16" s="38">
        <f t="shared" si="34"/>
        <v>9.6986196068590907E-2</v>
      </c>
      <c r="BH16" s="35">
        <v>6167411.5161211211</v>
      </c>
      <c r="BI16" s="35">
        <f t="shared" si="35"/>
        <v>969.99999999999977</v>
      </c>
      <c r="BJ16" s="37">
        <v>506568.87086252065</v>
      </c>
      <c r="BK16" s="38">
        <f t="shared" si="37"/>
        <v>0.10425401813154686</v>
      </c>
      <c r="BL16" s="37">
        <v>499867.75695597846</v>
      </c>
      <c r="BM16" s="38">
        <f t="shared" si="37"/>
        <v>0.10435223960245878</v>
      </c>
      <c r="BN16" s="37">
        <v>514653.30753813492</v>
      </c>
      <c r="BO16" s="38">
        <f t="shared" si="38"/>
        <v>9.7350352669306764E-2</v>
      </c>
      <c r="BP16" s="37">
        <v>507935.19928308605</v>
      </c>
      <c r="BQ16" s="38">
        <f t="shared" si="39"/>
        <v>0.10269215571874815</v>
      </c>
      <c r="BR16" s="37">
        <v>525593.97217372584</v>
      </c>
      <c r="BS16" s="38">
        <f t="shared" si="40"/>
        <v>0.10007358736882718</v>
      </c>
      <c r="BT16" s="37">
        <v>513096.24292743282</v>
      </c>
      <c r="BU16" s="38">
        <f t="shared" si="41"/>
        <v>9.7260756069238063E-2</v>
      </c>
      <c r="BV16" s="37">
        <v>523834.46763073688</v>
      </c>
      <c r="BW16" s="38">
        <f t="shared" si="42"/>
        <v>9.9651693157094226E-2</v>
      </c>
      <c r="BX16" s="37">
        <v>514354.64010814438</v>
      </c>
      <c r="BY16" s="38">
        <f t="shared" si="43"/>
        <v>0.10075145120973059</v>
      </c>
      <c r="BZ16" s="37">
        <v>514717.03499888489</v>
      </c>
      <c r="CA16" s="38">
        <f t="shared" si="44"/>
        <v>9.6447347569629124E-2</v>
      </c>
      <c r="CB16" s="37">
        <v>506378.13467238395</v>
      </c>
      <c r="CC16" s="38">
        <f t="shared" si="45"/>
        <v>0.10171418715700042</v>
      </c>
      <c r="CD16" s="37">
        <v>524436.45679049543</v>
      </c>
      <c r="CE16" s="38">
        <f t="shared" si="46"/>
        <v>9.9513046162063898E-2</v>
      </c>
      <c r="CF16" s="37">
        <v>515975.43217959657</v>
      </c>
      <c r="CG16" s="38">
        <f t="shared" si="47"/>
        <v>9.6986196068590894E-2</v>
      </c>
      <c r="CI16" s="35">
        <f t="shared" si="48"/>
        <v>969.99999999999977</v>
      </c>
      <c r="CJ16" s="35">
        <f t="shared" si="49"/>
        <v>970</v>
      </c>
      <c r="CK16" s="35">
        <f>IFERROR(BL16/J16,0)</f>
        <v>970</v>
      </c>
      <c r="CL16" s="35">
        <f>IFERROR(BN16/L16,0)</f>
        <v>970.00000000000011</v>
      </c>
      <c r="CM16" s="35">
        <f>IFERROR(BP16/N16,0)</f>
        <v>970</v>
      </c>
      <c r="CN16" s="35">
        <f>IFERROR(BR16/P16,0)</f>
        <v>970.00000000000011</v>
      </c>
      <c r="CO16" s="35">
        <f>IFERROR(BT16/R16,0)</f>
        <v>970</v>
      </c>
      <c r="CP16" s="35">
        <f t="shared" si="50"/>
        <v>970</v>
      </c>
      <c r="CQ16" s="35">
        <f t="shared" si="51"/>
        <v>969.99999999999989</v>
      </c>
      <c r="CR16" s="35">
        <f t="shared" si="52"/>
        <v>970</v>
      </c>
      <c r="CS16" s="35">
        <f t="shared" si="53"/>
        <v>969.99999999999989</v>
      </c>
      <c r="CT16" s="35">
        <f t="shared" si="54"/>
        <v>970</v>
      </c>
      <c r="CU16" s="35">
        <f t="shared" si="55"/>
        <v>970</v>
      </c>
    </row>
    <row r="17" spans="1:99" x14ac:dyDescent="0.25">
      <c r="A17" s="34"/>
      <c r="B17" s="34"/>
      <c r="C17" s="34"/>
      <c r="D17" s="34"/>
      <c r="F17" s="35"/>
      <c r="G17" s="36"/>
      <c r="H17" s="37"/>
      <c r="I17" s="38"/>
      <c r="J17" s="37"/>
      <c r="K17" s="38"/>
      <c r="L17" s="37"/>
      <c r="M17" s="38"/>
      <c r="N17" s="37"/>
      <c r="O17" s="38"/>
      <c r="P17" s="37"/>
      <c r="Q17" s="38"/>
      <c r="R17" s="37"/>
      <c r="S17" s="38"/>
      <c r="T17" s="37"/>
      <c r="U17" s="38"/>
      <c r="V17" s="37"/>
      <c r="W17" s="38"/>
      <c r="X17" s="37"/>
      <c r="Y17" s="38"/>
      <c r="Z17" s="37"/>
      <c r="AA17" s="38"/>
      <c r="AB17" s="37"/>
      <c r="AC17" s="38"/>
      <c r="AD17" s="37"/>
      <c r="AE17" s="38"/>
      <c r="AG17" s="35"/>
      <c r="AH17" s="36"/>
      <c r="AI17" s="37"/>
      <c r="AJ17" s="38"/>
      <c r="AK17" s="37"/>
      <c r="AL17" s="38"/>
      <c r="AM17" s="37"/>
      <c r="AN17" s="38"/>
      <c r="AO17" s="37"/>
      <c r="AP17" s="38"/>
      <c r="AQ17" s="37"/>
      <c r="AR17" s="38"/>
      <c r="AS17" s="37"/>
      <c r="AT17" s="38"/>
      <c r="AU17" s="37"/>
      <c r="AV17" s="38"/>
      <c r="AW17" s="37"/>
      <c r="AX17" s="38"/>
      <c r="AY17" s="37"/>
      <c r="AZ17" s="38"/>
      <c r="BA17" s="37"/>
      <c r="BB17" s="38"/>
      <c r="BC17" s="37"/>
      <c r="BD17" s="38"/>
      <c r="BE17" s="37"/>
      <c r="BF17" s="38"/>
      <c r="BH17" s="35"/>
      <c r="BI17" s="35"/>
      <c r="BJ17" s="37"/>
      <c r="BK17" s="38"/>
      <c r="BL17" s="37"/>
      <c r="BM17" s="38"/>
      <c r="BN17" s="37"/>
      <c r="BO17" s="38"/>
      <c r="BP17" s="37"/>
      <c r="BQ17" s="38"/>
      <c r="BR17" s="37"/>
      <c r="BS17" s="38"/>
      <c r="BT17" s="37"/>
      <c r="BU17" s="38"/>
      <c r="BV17" s="37"/>
      <c r="BW17" s="38"/>
      <c r="BX17" s="37"/>
      <c r="BY17" s="38"/>
      <c r="BZ17" s="37"/>
      <c r="CA17" s="38"/>
      <c r="CB17" s="37"/>
      <c r="CC17" s="38"/>
      <c r="CD17" s="37"/>
      <c r="CE17" s="38"/>
      <c r="CF17" s="37"/>
      <c r="CG17" s="38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</row>
    <row r="18" spans="1:99" s="15" customFormat="1" x14ac:dyDescent="0.25">
      <c r="A18" s="39" t="s">
        <v>41</v>
      </c>
      <c r="B18" s="39"/>
      <c r="C18" s="39"/>
      <c r="D18" s="39"/>
      <c r="F18" s="40">
        <f>SUM(F19)</f>
        <v>1039.0438000000001</v>
      </c>
      <c r="G18" s="41">
        <f>IFERROR(F18/F$5,0)</f>
        <v>1.8891705453794348E-2</v>
      </c>
      <c r="H18" s="42">
        <f t="shared" ref="H18:AD18" si="113">SUM(H19)</f>
        <v>86.586983333333322</v>
      </c>
      <c r="I18" s="43">
        <f t="shared" si="11"/>
        <v>2.0051531540469278E-2</v>
      </c>
      <c r="J18" s="42">
        <f t="shared" si="113"/>
        <v>86.586983333333322</v>
      </c>
      <c r="K18" s="43">
        <f t="shared" si="11"/>
        <v>2.0357531039052832E-2</v>
      </c>
      <c r="L18" s="42">
        <f t="shared" si="113"/>
        <v>86.586983333333322</v>
      </c>
      <c r="M18" s="43">
        <f t="shared" ref="M18:M19" si="114">IFERROR(L18/L$5,0)</f>
        <v>1.8507196955413457E-2</v>
      </c>
      <c r="N18" s="42">
        <f t="shared" si="113"/>
        <v>86.586983333333322</v>
      </c>
      <c r="O18" s="43">
        <f t="shared" ref="O18:O19" si="115">IFERROR(N18/N$5,0)</f>
        <v>1.9704693065286678E-2</v>
      </c>
      <c r="P18" s="42">
        <f t="shared" si="113"/>
        <v>86.586983333333322</v>
      </c>
      <c r="Q18" s="43">
        <f t="shared" ref="Q18:Q19" si="116">IFERROR(P18/P$5,0)</f>
        <v>1.8567205635274264E-2</v>
      </c>
      <c r="R18" s="42">
        <f t="shared" si="113"/>
        <v>86.586983333333322</v>
      </c>
      <c r="S18" s="43">
        <f t="shared" ref="S18:S19" si="117">IFERROR(R18/R$5,0)</f>
        <v>1.8454361845653869E-2</v>
      </c>
      <c r="T18" s="42">
        <f t="shared" si="113"/>
        <v>86.586983333333322</v>
      </c>
      <c r="U18" s="43">
        <f t="shared" ref="U18:U19" si="118">IFERROR(T18/T$5,0)</f>
        <v>1.8464316879089806E-2</v>
      </c>
      <c r="V18" s="42">
        <f t="shared" si="113"/>
        <v>86.586983333333322</v>
      </c>
      <c r="W18" s="43">
        <f t="shared" ref="W18:W19" si="119">IFERROR(V18/V$5,0)</f>
        <v>1.897651530124797E-2</v>
      </c>
      <c r="X18" s="42">
        <f t="shared" si="113"/>
        <v>86.586983333333322</v>
      </c>
      <c r="Y18" s="43">
        <f t="shared" ref="Y18:Y19" si="120">IFERROR(X18/X$5,0)</f>
        <v>1.8134831061132076E-2</v>
      </c>
      <c r="Z18" s="42">
        <f t="shared" si="113"/>
        <v>86.586983333333322</v>
      </c>
      <c r="AA18" s="43">
        <f t="shared" ref="AA18:AA19" si="121">IFERROR(Z18/Z$5,0)</f>
        <v>1.9376644536858882E-2</v>
      </c>
      <c r="AB18" s="42">
        <f t="shared" si="113"/>
        <v>86.586983333333322</v>
      </c>
      <c r="AC18" s="43">
        <f t="shared" ref="AC18:AC19" si="122">IFERROR(AB18/AB$5,0)</f>
        <v>1.834375498299675E-2</v>
      </c>
      <c r="AD18" s="42">
        <f t="shared" si="113"/>
        <v>86.586983333333322</v>
      </c>
      <c r="AE18" s="43">
        <f t="shared" ref="AE18:AE19" si="123">IFERROR(AD18/AD$5,0)</f>
        <v>1.8097317130733849E-2</v>
      </c>
      <c r="AG18" s="40">
        <f t="shared" ref="AG18:BH18" si="124">SUM(AG19)</f>
        <v>16.410657777199997</v>
      </c>
      <c r="AH18" s="41">
        <f>IFERROR(AG18/AG$5,0)</f>
        <v>1.0040584998362649E-2</v>
      </c>
      <c r="AI18" s="42">
        <f t="shared" si="124"/>
        <v>1.468515237333333</v>
      </c>
      <c r="AJ18" s="43">
        <f t="shared" ref="AJ18:AJ19" si="125">IFERROR(AI18/AI$5,0)</f>
        <v>1.1404779345426969E-2</v>
      </c>
      <c r="AK18" s="42">
        <f t="shared" ref="AK18" si="126">SUM(AK19)</f>
        <v>1.4501587968666665</v>
      </c>
      <c r="AL18" s="43">
        <f t="shared" ref="AL18:AL19" si="127">IFERROR(AK18/AK$5,0)</f>
        <v>1.1423951154055919E-2</v>
      </c>
      <c r="AM18" s="42">
        <f t="shared" ref="AM18" si="128">SUM(AM19)</f>
        <v>1.4318023563999998</v>
      </c>
      <c r="AN18" s="43">
        <f t="shared" ref="AN18:AN19" si="129">IFERROR(AM18/AM$5,0)</f>
        <v>1.0220213301147E-2</v>
      </c>
      <c r="AO18" s="42">
        <f t="shared" ref="AO18" si="130">SUM(AO19)</f>
        <v>1.4134459159333332</v>
      </c>
      <c r="AP18" s="43">
        <f t="shared" ref="AP18:AP19" si="131">IFERROR(AO18/AO$5,0)</f>
        <v>1.078356305440499E-2</v>
      </c>
      <c r="AQ18" s="42">
        <f t="shared" ref="AQ18" si="132">SUM(AQ19)</f>
        <v>1.3950894754666665</v>
      </c>
      <c r="AR18" s="43">
        <f t="shared" ref="AR18:AR19" si="133">IFERROR(AQ18/AQ$5,0)</f>
        <v>1.0023635856231696E-2</v>
      </c>
      <c r="AS18" s="42">
        <f t="shared" ref="AS18" si="134">SUM(AS19)</f>
        <v>1.3767330349999998</v>
      </c>
      <c r="AT18" s="43">
        <f t="shared" ref="AT18:AT19" si="135">IFERROR(AS18/AS$5,0)</f>
        <v>9.8478781485978276E-3</v>
      </c>
      <c r="AU18" s="42">
        <f t="shared" ref="AU18" si="136">SUM(AU19)</f>
        <v>1.358376594533333</v>
      </c>
      <c r="AV18" s="43">
        <f t="shared" ref="AV18:AX19" si="137">IFERROR(AU18/AU$5,0)</f>
        <v>9.7513540944839452E-3</v>
      </c>
      <c r="AW18" s="42">
        <f t="shared" ref="AW18" si="138">SUM(AW19)</f>
        <v>1.3400201540666663</v>
      </c>
      <c r="AX18" s="43">
        <f t="shared" si="137"/>
        <v>9.9049914419459401E-3</v>
      </c>
      <c r="AY18" s="42">
        <f t="shared" ref="AY18" si="139">SUM(AY19)</f>
        <v>1.3216637136</v>
      </c>
      <c r="AZ18" s="43">
        <f t="shared" ref="AZ18:AZ19" si="140">IFERROR(AY18/AY$5,0)</f>
        <v>9.3453772885261025E-3</v>
      </c>
      <c r="BA18" s="42">
        <f t="shared" ref="BA18" si="141">SUM(BA19)</f>
        <v>1.3033072731333333</v>
      </c>
      <c r="BB18" s="43">
        <f t="shared" ref="BB18:BB19" si="142">IFERROR(BA18/BA$5,0)</f>
        <v>9.8788759747939527E-3</v>
      </c>
      <c r="BC18" s="42">
        <f t="shared" ref="BC18" si="143">SUM(BC19)</f>
        <v>1.2849508326666665</v>
      </c>
      <c r="BD18" s="43">
        <f t="shared" ref="BD18:BF19" si="144">IFERROR(BC18/BC$5,0)</f>
        <v>9.2008464332192282E-3</v>
      </c>
      <c r="BE18" s="42">
        <f t="shared" ref="BE18" si="145">SUM(BE19)</f>
        <v>1.2665943921999998</v>
      </c>
      <c r="BF18" s="43">
        <f t="shared" si="144"/>
        <v>8.9840588787501903E-3</v>
      </c>
      <c r="BH18" s="40">
        <f t="shared" si="124"/>
        <v>619270.10479999997</v>
      </c>
      <c r="BI18" s="40">
        <f>IFERROR(BH18/F18,0)</f>
        <v>595.99999999999989</v>
      </c>
      <c r="BJ18" s="42">
        <f t="shared" ref="BJ18" si="146">SUM(BJ19)</f>
        <v>55415.669333333324</v>
      </c>
      <c r="BK18" s="43">
        <f t="shared" ref="BK18:BM19" si="147">IFERROR(BJ18/BJ$5,0)</f>
        <v>1.140477934542697E-2</v>
      </c>
      <c r="BL18" s="42">
        <f t="shared" ref="BL18" si="148">SUM(BL19)</f>
        <v>54722.973466666663</v>
      </c>
      <c r="BM18" s="43">
        <f t="shared" si="147"/>
        <v>1.1423951154055919E-2</v>
      </c>
      <c r="BN18" s="42">
        <f t="shared" ref="BN18" si="149">SUM(BN19)</f>
        <v>54030.277599999987</v>
      </c>
      <c r="BO18" s="43">
        <f t="shared" ref="BO18:BO19" si="150">IFERROR(BN18/BN$5,0)</f>
        <v>1.0220213301147E-2</v>
      </c>
      <c r="BP18" s="42">
        <f t="shared" ref="BP18" si="151">SUM(BP19)</f>
        <v>53337.581733333325</v>
      </c>
      <c r="BQ18" s="43">
        <f t="shared" ref="BQ18:BQ19" si="152">IFERROR(BP18/BP$5,0)</f>
        <v>1.078356305440499E-2</v>
      </c>
      <c r="BR18" s="42">
        <f t="shared" ref="BR18" si="153">SUM(BR19)</f>
        <v>52644.885866666664</v>
      </c>
      <c r="BS18" s="43">
        <f t="shared" ref="BS18:BS19" si="154">IFERROR(BR18/BR$5,0)</f>
        <v>1.0023635856231694E-2</v>
      </c>
      <c r="BT18" s="42">
        <f t="shared" ref="BT18" si="155">SUM(BT19)</f>
        <v>51952.189999999995</v>
      </c>
      <c r="BU18" s="43">
        <f t="shared" ref="BU18:BU19" si="156">IFERROR(BT18/BT$5,0)</f>
        <v>9.8478781485978276E-3</v>
      </c>
      <c r="BV18" s="42">
        <f t="shared" ref="BV18" si="157">SUM(BV19)</f>
        <v>51259.494133333326</v>
      </c>
      <c r="BW18" s="43">
        <f t="shared" ref="BW18:BW19" si="158">IFERROR(BV18/BV$5,0)</f>
        <v>9.751354094483947E-3</v>
      </c>
      <c r="BX18" s="42">
        <f t="shared" ref="BX18" si="159">SUM(BX19)</f>
        <v>50566.79826666665</v>
      </c>
      <c r="BY18" s="43">
        <f t="shared" ref="BY18:BY19" si="160">IFERROR(BX18/BX$5,0)</f>
        <v>9.9049914419459401E-3</v>
      </c>
      <c r="BZ18" s="42">
        <f t="shared" ref="BZ18" si="161">SUM(BZ19)</f>
        <v>49874.102400000003</v>
      </c>
      <c r="CA18" s="43">
        <f t="shared" ref="CA18:CA19" si="162">IFERROR(BZ18/BZ$5,0)</f>
        <v>9.3453772885261042E-3</v>
      </c>
      <c r="CB18" s="42">
        <f t="shared" ref="CB18" si="163">SUM(CB19)</f>
        <v>49181.406533333335</v>
      </c>
      <c r="CC18" s="43">
        <f t="shared" ref="CC18:CC19" si="164">IFERROR(CB18/CB$5,0)</f>
        <v>9.8788759747939527E-3</v>
      </c>
      <c r="CD18" s="42">
        <f t="shared" ref="CD18" si="165">SUM(CD19)</f>
        <v>48488.710666666666</v>
      </c>
      <c r="CE18" s="43">
        <f t="shared" ref="CE18:CE19" si="166">IFERROR(CD18/CD$5,0)</f>
        <v>9.2008464332192282E-3</v>
      </c>
      <c r="CF18" s="42">
        <f t="shared" ref="CF18" si="167">SUM(CF19)</f>
        <v>47796.01479999999</v>
      </c>
      <c r="CG18" s="43">
        <f t="shared" ref="CG18:CG19" si="168">IFERROR(CF18/CF$5,0)</f>
        <v>8.9840588787501903E-3</v>
      </c>
      <c r="CI18" s="40">
        <f t="shared" ref="CI18:CI19" si="169">IFERROR(BH18/F18,0)</f>
        <v>595.99999999999989</v>
      </c>
      <c r="CJ18" s="40">
        <f t="shared" ref="CJ18:CJ19" si="170">IFERROR(BJ18/H18,0)</f>
        <v>640</v>
      </c>
      <c r="CK18" s="40">
        <f>IFERROR(BL18/J18,0)</f>
        <v>632</v>
      </c>
      <c r="CL18" s="40">
        <f>IFERROR(BN18/L18,0)</f>
        <v>623.99999999999989</v>
      </c>
      <c r="CM18" s="40">
        <f>IFERROR(BP18/N18,0)</f>
        <v>616</v>
      </c>
      <c r="CN18" s="40">
        <f>IFERROR(BR18/P18,0)</f>
        <v>608</v>
      </c>
      <c r="CO18" s="40">
        <f>IFERROR(BT18/R18,0)</f>
        <v>600</v>
      </c>
      <c r="CP18" s="40">
        <f t="shared" ref="CP18:CP19" si="171">IFERROR(BV18/T18,0)</f>
        <v>592</v>
      </c>
      <c r="CQ18" s="40">
        <f t="shared" ref="CQ18:CQ19" si="172">IFERROR(BX18/V18,0)</f>
        <v>583.99999999999989</v>
      </c>
      <c r="CR18" s="40">
        <f t="shared" ref="CR18:CR19" si="173">IFERROR(BZ18/X18,0)</f>
        <v>576.00000000000011</v>
      </c>
      <c r="CS18" s="40">
        <f t="shared" ref="CS18:CS19" si="174">IFERROR(CB18/Z18,0)</f>
        <v>568.00000000000011</v>
      </c>
      <c r="CT18" s="40">
        <f t="shared" ref="CT18:CT19" si="175">IFERROR(CD18/AB18,0)</f>
        <v>560.00000000000011</v>
      </c>
      <c r="CU18" s="40">
        <f t="shared" ref="CU18:CU19" si="176">IFERROR(CF18/AD18,0)</f>
        <v>552</v>
      </c>
    </row>
    <row r="19" spans="1:99" outlineLevel="1" x14ac:dyDescent="0.25">
      <c r="A19" s="34"/>
      <c r="B19" s="34"/>
      <c r="C19" s="34" t="s">
        <v>42</v>
      </c>
      <c r="D19" s="34" t="s">
        <v>43</v>
      </c>
      <c r="F19" s="35">
        <v>1039.0438000000001</v>
      </c>
      <c r="G19" s="36">
        <f>IFERROR(F19/F$5,0)</f>
        <v>1.8891705453794348E-2</v>
      </c>
      <c r="H19" s="37">
        <v>86.586983333333322</v>
      </c>
      <c r="I19" s="38">
        <f t="shared" si="11"/>
        <v>2.0051531540469278E-2</v>
      </c>
      <c r="J19" s="37">
        <v>86.586983333333322</v>
      </c>
      <c r="K19" s="38">
        <f t="shared" si="11"/>
        <v>2.0357531039052832E-2</v>
      </c>
      <c r="L19" s="37">
        <v>86.586983333333322</v>
      </c>
      <c r="M19" s="38">
        <f t="shared" si="114"/>
        <v>1.8507196955413457E-2</v>
      </c>
      <c r="N19" s="37">
        <v>86.586983333333322</v>
      </c>
      <c r="O19" s="38">
        <f t="shared" si="115"/>
        <v>1.9704693065286678E-2</v>
      </c>
      <c r="P19" s="37">
        <v>86.586983333333322</v>
      </c>
      <c r="Q19" s="38">
        <f t="shared" si="116"/>
        <v>1.8567205635274264E-2</v>
      </c>
      <c r="R19" s="37">
        <v>86.586983333333322</v>
      </c>
      <c r="S19" s="38">
        <f t="shared" si="117"/>
        <v>1.8454361845653869E-2</v>
      </c>
      <c r="T19" s="37">
        <v>86.586983333333322</v>
      </c>
      <c r="U19" s="38">
        <f t="shared" si="118"/>
        <v>1.8464316879089806E-2</v>
      </c>
      <c r="V19" s="37">
        <v>86.586983333333322</v>
      </c>
      <c r="W19" s="38">
        <f t="shared" si="119"/>
        <v>1.897651530124797E-2</v>
      </c>
      <c r="X19" s="37">
        <v>86.586983333333322</v>
      </c>
      <c r="Y19" s="38">
        <f t="shared" si="120"/>
        <v>1.8134831061132076E-2</v>
      </c>
      <c r="Z19" s="37">
        <v>86.586983333333322</v>
      </c>
      <c r="AA19" s="38">
        <f t="shared" si="121"/>
        <v>1.9376644536858882E-2</v>
      </c>
      <c r="AB19" s="37">
        <v>86.586983333333322</v>
      </c>
      <c r="AC19" s="38">
        <f t="shared" si="122"/>
        <v>1.834375498299675E-2</v>
      </c>
      <c r="AD19" s="37">
        <v>86.586983333333322</v>
      </c>
      <c r="AE19" s="38">
        <f t="shared" si="123"/>
        <v>1.8097317130733849E-2</v>
      </c>
      <c r="AG19" s="35">
        <v>16.410657777199997</v>
      </c>
      <c r="AH19" s="36">
        <f>IFERROR(AG19/AG$5,0)</f>
        <v>1.0040584998362649E-2</v>
      </c>
      <c r="AI19" s="37">
        <v>1.468515237333333</v>
      </c>
      <c r="AJ19" s="38">
        <f t="shared" si="125"/>
        <v>1.1404779345426969E-2</v>
      </c>
      <c r="AK19" s="37">
        <v>1.4501587968666665</v>
      </c>
      <c r="AL19" s="38">
        <f t="shared" si="127"/>
        <v>1.1423951154055919E-2</v>
      </c>
      <c r="AM19" s="37">
        <v>1.4318023563999998</v>
      </c>
      <c r="AN19" s="38">
        <f t="shared" si="129"/>
        <v>1.0220213301147E-2</v>
      </c>
      <c r="AO19" s="37">
        <v>1.4134459159333332</v>
      </c>
      <c r="AP19" s="38">
        <f t="shared" si="131"/>
        <v>1.078356305440499E-2</v>
      </c>
      <c r="AQ19" s="37">
        <v>1.3950894754666665</v>
      </c>
      <c r="AR19" s="38">
        <f t="shared" si="133"/>
        <v>1.0023635856231696E-2</v>
      </c>
      <c r="AS19" s="37">
        <v>1.3767330349999998</v>
      </c>
      <c r="AT19" s="38">
        <f t="shared" si="135"/>
        <v>9.8478781485978276E-3</v>
      </c>
      <c r="AU19" s="37">
        <v>1.358376594533333</v>
      </c>
      <c r="AV19" s="38">
        <f t="shared" si="137"/>
        <v>9.7513540944839452E-3</v>
      </c>
      <c r="AW19" s="37">
        <v>1.3400201540666663</v>
      </c>
      <c r="AX19" s="38">
        <f t="shared" si="137"/>
        <v>9.9049914419459401E-3</v>
      </c>
      <c r="AY19" s="37">
        <v>1.3216637136</v>
      </c>
      <c r="AZ19" s="38">
        <f t="shared" si="140"/>
        <v>9.3453772885261025E-3</v>
      </c>
      <c r="BA19" s="37">
        <v>1.3033072731333333</v>
      </c>
      <c r="BB19" s="38">
        <f t="shared" si="142"/>
        <v>9.8788759747939527E-3</v>
      </c>
      <c r="BC19" s="37">
        <v>1.2849508326666665</v>
      </c>
      <c r="BD19" s="38">
        <f t="shared" si="144"/>
        <v>9.2008464332192282E-3</v>
      </c>
      <c r="BE19" s="37">
        <v>1.2665943921999998</v>
      </c>
      <c r="BF19" s="38">
        <f t="shared" si="144"/>
        <v>8.9840588787501903E-3</v>
      </c>
      <c r="BH19" s="35">
        <v>619270.10479999997</v>
      </c>
      <c r="BI19" s="35">
        <f>IFERROR(BH19/F19,0)</f>
        <v>595.99999999999989</v>
      </c>
      <c r="BJ19" s="37">
        <v>55415.669333333324</v>
      </c>
      <c r="BK19" s="38">
        <f t="shared" si="147"/>
        <v>1.140477934542697E-2</v>
      </c>
      <c r="BL19" s="37">
        <v>54722.973466666663</v>
      </c>
      <c r="BM19" s="38">
        <f t="shared" si="147"/>
        <v>1.1423951154055919E-2</v>
      </c>
      <c r="BN19" s="37">
        <v>54030.277599999987</v>
      </c>
      <c r="BO19" s="38">
        <f t="shared" si="150"/>
        <v>1.0220213301147E-2</v>
      </c>
      <c r="BP19" s="37">
        <v>53337.581733333325</v>
      </c>
      <c r="BQ19" s="38">
        <f t="shared" si="152"/>
        <v>1.078356305440499E-2</v>
      </c>
      <c r="BR19" s="37">
        <v>52644.885866666664</v>
      </c>
      <c r="BS19" s="38">
        <f t="shared" si="154"/>
        <v>1.0023635856231694E-2</v>
      </c>
      <c r="BT19" s="37">
        <v>51952.189999999995</v>
      </c>
      <c r="BU19" s="38">
        <f t="shared" si="156"/>
        <v>9.8478781485978276E-3</v>
      </c>
      <c r="BV19" s="37">
        <v>51259.494133333326</v>
      </c>
      <c r="BW19" s="38">
        <f t="shared" si="158"/>
        <v>9.751354094483947E-3</v>
      </c>
      <c r="BX19" s="37">
        <v>50566.79826666665</v>
      </c>
      <c r="BY19" s="38">
        <f t="shared" si="160"/>
        <v>9.9049914419459401E-3</v>
      </c>
      <c r="BZ19" s="37">
        <v>49874.102400000003</v>
      </c>
      <c r="CA19" s="38">
        <f t="shared" si="162"/>
        <v>9.3453772885261042E-3</v>
      </c>
      <c r="CB19" s="37">
        <v>49181.406533333335</v>
      </c>
      <c r="CC19" s="38">
        <f t="shared" si="164"/>
        <v>9.8788759747939527E-3</v>
      </c>
      <c r="CD19" s="37">
        <v>48488.710666666666</v>
      </c>
      <c r="CE19" s="38">
        <f t="shared" si="166"/>
        <v>9.2008464332192282E-3</v>
      </c>
      <c r="CF19" s="37">
        <v>47796.01479999999</v>
      </c>
      <c r="CG19" s="38">
        <f t="shared" si="168"/>
        <v>8.9840588787501903E-3</v>
      </c>
      <c r="CI19" s="35">
        <f t="shared" si="169"/>
        <v>595.99999999999989</v>
      </c>
      <c r="CJ19" s="35">
        <f t="shared" si="170"/>
        <v>640</v>
      </c>
      <c r="CK19" s="35">
        <f>IFERROR(BL19/J19,0)</f>
        <v>632</v>
      </c>
      <c r="CL19" s="35">
        <f>IFERROR(BN19/L19,0)</f>
        <v>623.99999999999989</v>
      </c>
      <c r="CM19" s="35">
        <f>IFERROR(BP19/N19,0)</f>
        <v>616</v>
      </c>
      <c r="CN19" s="35">
        <f>IFERROR(BR19/P19,0)</f>
        <v>608</v>
      </c>
      <c r="CO19" s="35">
        <f>IFERROR(BT19/R19,0)</f>
        <v>600</v>
      </c>
      <c r="CP19" s="35">
        <f t="shared" si="171"/>
        <v>592</v>
      </c>
      <c r="CQ19" s="35">
        <f t="shared" si="172"/>
        <v>583.99999999999989</v>
      </c>
      <c r="CR19" s="35">
        <f t="shared" si="173"/>
        <v>576.00000000000011</v>
      </c>
      <c r="CS19" s="35">
        <f t="shared" si="174"/>
        <v>568.00000000000011</v>
      </c>
      <c r="CT19" s="35">
        <f t="shared" si="175"/>
        <v>560.00000000000011</v>
      </c>
      <c r="CU19" s="35">
        <f t="shared" si="176"/>
        <v>552</v>
      </c>
    </row>
    <row r="20" spans="1:99" x14ac:dyDescent="0.25">
      <c r="A20" s="34"/>
      <c r="B20" s="34"/>
      <c r="C20" s="34"/>
      <c r="D20" s="34"/>
      <c r="F20" s="35"/>
      <c r="G20" s="36"/>
      <c r="H20" s="37"/>
      <c r="I20" s="38"/>
      <c r="J20" s="37"/>
      <c r="K20" s="38"/>
      <c r="L20" s="37"/>
      <c r="M20" s="38"/>
      <c r="N20" s="37"/>
      <c r="O20" s="38"/>
      <c r="P20" s="37"/>
      <c r="Q20" s="38"/>
      <c r="R20" s="37"/>
      <c r="S20" s="38"/>
      <c r="T20" s="37"/>
      <c r="U20" s="38"/>
      <c r="V20" s="37"/>
      <c r="W20" s="38"/>
      <c r="X20" s="37"/>
      <c r="Y20" s="38"/>
      <c r="Z20" s="37"/>
      <c r="AA20" s="38"/>
      <c r="AB20" s="37"/>
      <c r="AC20" s="38"/>
      <c r="AD20" s="37"/>
      <c r="AE20" s="38"/>
      <c r="AG20" s="35"/>
      <c r="AH20" s="36"/>
      <c r="AI20" s="37"/>
      <c r="AJ20" s="38"/>
      <c r="AK20" s="37"/>
      <c r="AL20" s="38"/>
      <c r="AM20" s="37"/>
      <c r="AN20" s="38"/>
      <c r="AO20" s="37"/>
      <c r="AP20" s="38"/>
      <c r="AQ20" s="37"/>
      <c r="AR20" s="38"/>
      <c r="AS20" s="37"/>
      <c r="AT20" s="38"/>
      <c r="AU20" s="37"/>
      <c r="AV20" s="38"/>
      <c r="AW20" s="37"/>
      <c r="AX20" s="38"/>
      <c r="AY20" s="37"/>
      <c r="AZ20" s="38"/>
      <c r="BA20" s="37"/>
      <c r="BB20" s="38"/>
      <c r="BC20" s="37"/>
      <c r="BD20" s="38"/>
      <c r="BE20" s="37"/>
      <c r="BF20" s="38"/>
      <c r="BH20" s="35"/>
      <c r="BI20" s="35"/>
      <c r="BJ20" s="37"/>
      <c r="BK20" s="38"/>
      <c r="BL20" s="37"/>
      <c r="BM20" s="38"/>
      <c r="BN20" s="37"/>
      <c r="BO20" s="38"/>
      <c r="BP20" s="37"/>
      <c r="BQ20" s="38"/>
      <c r="BR20" s="37"/>
      <c r="BS20" s="38"/>
      <c r="BT20" s="37"/>
      <c r="BU20" s="38"/>
      <c r="BV20" s="37"/>
      <c r="BW20" s="38"/>
      <c r="BX20" s="37"/>
      <c r="BY20" s="38"/>
      <c r="BZ20" s="37"/>
      <c r="CA20" s="38"/>
      <c r="CB20" s="37"/>
      <c r="CC20" s="38"/>
      <c r="CD20" s="37"/>
      <c r="CE20" s="38"/>
      <c r="CF20" s="37"/>
      <c r="CG20" s="38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</row>
    <row r="21" spans="1:99" s="15" customFormat="1" x14ac:dyDescent="0.25">
      <c r="A21" s="39" t="s">
        <v>44</v>
      </c>
      <c r="B21" s="39"/>
      <c r="C21" s="39"/>
      <c r="D21" s="39"/>
      <c r="F21" s="40">
        <f>SUM(F22:F29)</f>
        <v>6624</v>
      </c>
      <c r="G21" s="41">
        <f t="shared" ref="G21:G29" si="177">IFERROR(F21/F$5,0)</f>
        <v>0.12043636363157526</v>
      </c>
      <c r="H21" s="42">
        <f t="shared" ref="H21:AD21" si="178">SUM(H22:H29)</f>
        <v>394</v>
      </c>
      <c r="I21" s="43">
        <f t="shared" si="11"/>
        <v>9.1241236532414477E-2</v>
      </c>
      <c r="J21" s="42">
        <f t="shared" si="178"/>
        <v>438</v>
      </c>
      <c r="K21" s="43">
        <f t="shared" si="11"/>
        <v>0.10297851076274329</v>
      </c>
      <c r="L21" s="42">
        <f t="shared" si="178"/>
        <v>636</v>
      </c>
      <c r="M21" s="43">
        <f t="shared" ref="M21:M29" si="179">IFERROR(L21/L$5,0)</f>
        <v>0.13593933880719516</v>
      </c>
      <c r="N21" s="42">
        <f t="shared" si="178"/>
        <v>460</v>
      </c>
      <c r="O21" s="43">
        <f t="shared" ref="O21:O29" si="180">IFERROR(N21/N$5,0)</f>
        <v>0.10468269549405181</v>
      </c>
      <c r="P21" s="42">
        <f t="shared" si="178"/>
        <v>460</v>
      </c>
      <c r="Q21" s="43">
        <f t="shared" ref="Q21:Q29" si="181">IFERROR(P21/P$5,0)</f>
        <v>9.8639706147819708E-2</v>
      </c>
      <c r="R21" s="42">
        <f t="shared" si="178"/>
        <v>658</v>
      </c>
      <c r="S21" s="43">
        <f t="shared" ref="S21:S29" si="182">IFERROR(R21/R$5,0)</f>
        <v>0.14024013341235758</v>
      </c>
      <c r="T21" s="42">
        <f t="shared" si="178"/>
        <v>512</v>
      </c>
      <c r="U21" s="43">
        <f t="shared" ref="U21:U29" si="183">IFERROR(T21/T$5,0)</f>
        <v>0.10918188714001065</v>
      </c>
      <c r="V21" s="42">
        <f t="shared" si="178"/>
        <v>534</v>
      </c>
      <c r="W21" s="43">
        <f t="shared" ref="W21:W29" si="184">IFERROR(V21/V$5,0)</f>
        <v>0.11703213093653704</v>
      </c>
      <c r="X21" s="42">
        <f t="shared" si="178"/>
        <v>732</v>
      </c>
      <c r="Y21" s="43">
        <f t="shared" ref="Y21:Y29" si="185">IFERROR(X21/X$5,0)</f>
        <v>0.15331053035587544</v>
      </c>
      <c r="Z21" s="42">
        <f t="shared" si="178"/>
        <v>534</v>
      </c>
      <c r="AA21" s="43">
        <f t="shared" ref="AA21:AA29" si="186">IFERROR(Z21/Z$5,0)</f>
        <v>0.11949981145375366</v>
      </c>
      <c r="AB21" s="42">
        <f t="shared" si="178"/>
        <v>534</v>
      </c>
      <c r="AC21" s="43">
        <f t="shared" ref="AC21:AC29" si="187">IFERROR(AB21/AB$5,0)</f>
        <v>0.11312976597429597</v>
      </c>
      <c r="AD21" s="42">
        <f t="shared" si="178"/>
        <v>732</v>
      </c>
      <c r="AE21" s="43">
        <f t="shared" ref="AE21:AE29" si="188">IFERROR(AD21/AD$5,0)</f>
        <v>0.15299339034251122</v>
      </c>
      <c r="AG21" s="40">
        <f>SUM(AG22:AG29)</f>
        <v>195.51196499999998</v>
      </c>
      <c r="AH21" s="41">
        <f t="shared" ref="AH21:AH29" si="189">IFERROR(AG21/AG$5,0)</f>
        <v>0.11962070804418064</v>
      </c>
      <c r="AI21" s="42">
        <f t="shared" ref="AI21" si="190">SUM(AI22:AI29)</f>
        <v>12.179399999999998</v>
      </c>
      <c r="AJ21" s="43">
        <f t="shared" ref="AJ21:AJ29" si="191">IFERROR(AI21/AI$5,0)</f>
        <v>9.4587625670079459E-2</v>
      </c>
      <c r="AK21" s="42">
        <f t="shared" ref="AK21" si="192">SUM(AK22:AK29)</f>
        <v>13.550880999999997</v>
      </c>
      <c r="AL21" s="43">
        <f t="shared" ref="AL21:AL29" si="193">IFERROR(AK21/AK$5,0)</f>
        <v>0.10675010417680331</v>
      </c>
      <c r="AM21" s="42">
        <f t="shared" ref="AM21" si="194">SUM(AM22:AM29)</f>
        <v>19.865036</v>
      </c>
      <c r="AN21" s="43">
        <f t="shared" ref="AN21:AN29" si="195">IFERROR(AM21/AM$5,0)</f>
        <v>0.14179673908725243</v>
      </c>
      <c r="AO21" s="42">
        <f t="shared" ref="AO21" si="196">SUM(AO22:AO29)</f>
        <v>14.056871999999998</v>
      </c>
      <c r="AP21" s="43">
        <f t="shared" ref="AP21:AP29" si="197">IFERROR(AO21/AO$5,0)</f>
        <v>0.10724369701801138</v>
      </c>
      <c r="AQ21" s="42">
        <f t="shared" ref="AQ21" si="198">SUM(AQ22:AQ29)</f>
        <v>13.948115999999999</v>
      </c>
      <c r="AR21" s="43">
        <f t="shared" ref="AR21:AR29" si="199">IFERROR(AQ21/AQ$5,0)</f>
        <v>0.10021639337341526</v>
      </c>
      <c r="AS21" s="42">
        <f t="shared" ref="AS21" si="200">SUM(AS22:AS29)</f>
        <v>19.952114999999999</v>
      </c>
      <c r="AT21" s="43">
        <f t="shared" ref="AT21:AT29" si="201">IFERROR(AS21/AS$5,0)</f>
        <v>0.142719025643785</v>
      </c>
      <c r="AU21" s="42">
        <f t="shared" ref="AU21" si="202">SUM(AU22:AU29)</f>
        <v>14.875721999999998</v>
      </c>
      <c r="AV21" s="43">
        <f t="shared" ref="AV21:AX29" si="203">IFERROR(AU21/AU$5,0)</f>
        <v>0.10678808308158412</v>
      </c>
      <c r="AW21" s="42">
        <f t="shared" ref="AW21" si="204">SUM(AW22:AW29)</f>
        <v>15.412929999999998</v>
      </c>
      <c r="AX21" s="43">
        <f t="shared" si="203"/>
        <v>0.11392734600446666</v>
      </c>
      <c r="AY21" s="42">
        <f t="shared" ref="AY21" si="205">SUM(AY22:AY29)</f>
        <v>21.095696</v>
      </c>
      <c r="AZ21" s="43">
        <f t="shared" ref="AZ21:AZ29" si="206">IFERROR(AY21/AY$5,0)</f>
        <v>0.14916596124671797</v>
      </c>
      <c r="BA21" s="42">
        <f t="shared" ref="BA21" si="207">SUM(BA22:BA29)</f>
        <v>15.151109999999997</v>
      </c>
      <c r="BB21" s="43">
        <f t="shared" ref="BB21:BB29" si="208">IFERROR(BA21/BA$5,0)</f>
        <v>0.11484316834250334</v>
      </c>
      <c r="BC21" s="42">
        <f t="shared" ref="BC21" si="209">SUM(BC22:BC29)</f>
        <v>15.020199999999999</v>
      </c>
      <c r="BD21" s="43">
        <f t="shared" ref="BD21:BF29" si="210">IFERROR(BC21/BC$5,0)</f>
        <v>0.1075516277221558</v>
      </c>
      <c r="BE21" s="42">
        <f t="shared" ref="BE21" si="211">SUM(BE22:BE29)</f>
        <v>20.403886999999997</v>
      </c>
      <c r="BF21" s="43">
        <f t="shared" si="210"/>
        <v>0.14472645962451119</v>
      </c>
      <c r="BH21" s="40">
        <f>SUM(BH22:BH29)</f>
        <v>7377810</v>
      </c>
      <c r="BI21" s="40">
        <f t="shared" ref="BI21:BI29" si="212">IFERROR(BH21/F21,0)</f>
        <v>1113.7998188405797</v>
      </c>
      <c r="BJ21" s="42">
        <f t="shared" ref="BJ21:CF21" si="213">SUM(BJ22:BJ29)</f>
        <v>459600</v>
      </c>
      <c r="BK21" s="43">
        <f t="shared" ref="BK21:BM29" si="214">IFERROR(BJ21/BJ$5,0)</f>
        <v>9.4587625670079487E-2</v>
      </c>
      <c r="BL21" s="42">
        <f t="shared" si="213"/>
        <v>511354</v>
      </c>
      <c r="BM21" s="43">
        <f t="shared" si="214"/>
        <v>0.10675010417680332</v>
      </c>
      <c r="BN21" s="42">
        <f t="shared" si="213"/>
        <v>749624</v>
      </c>
      <c r="BO21" s="43">
        <f t="shared" ref="BO21:BO29" si="215">IFERROR(BN21/BN$5,0)</f>
        <v>0.14179673908725246</v>
      </c>
      <c r="BP21" s="42">
        <f t="shared" si="213"/>
        <v>530448</v>
      </c>
      <c r="BQ21" s="43">
        <f t="shared" ref="BQ21:BQ29" si="216">IFERROR(BP21/BP$5,0)</f>
        <v>0.1072436970180114</v>
      </c>
      <c r="BR21" s="42">
        <f t="shared" si="213"/>
        <v>526344</v>
      </c>
      <c r="BS21" s="43">
        <f t="shared" ref="BS21:BS29" si="217">IFERROR(BR21/BR$5,0)</f>
        <v>0.10021639337341524</v>
      </c>
      <c r="BT21" s="42">
        <f t="shared" si="213"/>
        <v>752910</v>
      </c>
      <c r="BU21" s="43">
        <f t="shared" ref="BU21:BU29" si="218">IFERROR(BT21/BT$5,0)</f>
        <v>0.14271902564378502</v>
      </c>
      <c r="BV21" s="42">
        <f t="shared" si="213"/>
        <v>561348</v>
      </c>
      <c r="BW21" s="43">
        <f t="shared" ref="BW21:BW29" si="219">IFERROR(BV21/BV$5,0)</f>
        <v>0.10678808308158415</v>
      </c>
      <c r="BX21" s="42">
        <f t="shared" si="213"/>
        <v>581620</v>
      </c>
      <c r="BY21" s="43">
        <f t="shared" ref="BY21:BY29" si="220">IFERROR(BX21/BX$5,0)</f>
        <v>0.11392734600446669</v>
      </c>
      <c r="BZ21" s="42">
        <f t="shared" si="213"/>
        <v>796064</v>
      </c>
      <c r="CA21" s="43">
        <f t="shared" ref="CA21:CA29" si="221">IFERROR(BZ21/BZ$5,0)</f>
        <v>0.14916596124671797</v>
      </c>
      <c r="CB21" s="42">
        <f t="shared" si="213"/>
        <v>571740</v>
      </c>
      <c r="CC21" s="43">
        <f t="shared" ref="CC21:CC29" si="222">IFERROR(CB21/CB$5,0)</f>
        <v>0.11484316834250334</v>
      </c>
      <c r="CD21" s="42">
        <f t="shared" si="213"/>
        <v>566800</v>
      </c>
      <c r="CE21" s="43">
        <f t="shared" ref="CE21:CE29" si="223">IFERROR(CD21/CD$5,0)</f>
        <v>0.1075516277221558</v>
      </c>
      <c r="CF21" s="42">
        <f t="shared" si="213"/>
        <v>769958</v>
      </c>
      <c r="CG21" s="43">
        <f t="shared" ref="CG21:CG29" si="224">IFERROR(CF21/CF$5,0)</f>
        <v>0.14472645962451122</v>
      </c>
      <c r="CI21" s="40">
        <f t="shared" ref="CI21:CI29" si="225">IFERROR(BH21/F21,0)</f>
        <v>1113.7998188405797</v>
      </c>
      <c r="CJ21" s="40">
        <f t="shared" ref="CJ21:CJ29" si="226">IFERROR(BJ21/H21,0)</f>
        <v>1166.4974619289339</v>
      </c>
      <c r="CK21" s="40">
        <f>IFERROR(BL21/J21,0)</f>
        <v>1167.4748858447488</v>
      </c>
      <c r="CL21" s="40">
        <f>IFERROR(BN21/L21,0)</f>
        <v>1178.6540880503144</v>
      </c>
      <c r="CM21" s="40">
        <f>IFERROR(BP21/N21,0)</f>
        <v>1153.1478260869565</v>
      </c>
      <c r="CN21" s="40">
        <f>IFERROR(BR21/P21,0)</f>
        <v>1144.2260869565218</v>
      </c>
      <c r="CO21" s="40">
        <f>IFERROR(BT21/R21,0)</f>
        <v>1144.2401215805471</v>
      </c>
      <c r="CP21" s="40">
        <f t="shared" ref="CP21:CP29" si="227">IFERROR(BV21/T21,0)</f>
        <v>1096.3828125</v>
      </c>
      <c r="CQ21" s="40">
        <f t="shared" ref="CQ21:CQ29" si="228">IFERROR(BX21/V21,0)</f>
        <v>1089.1760299625469</v>
      </c>
      <c r="CR21" s="40">
        <f t="shared" ref="CR21:CR29" si="229">IFERROR(BZ21/X21,0)</f>
        <v>1087.5191256830601</v>
      </c>
      <c r="CS21" s="40">
        <f t="shared" ref="CS21:CS29" si="230">IFERROR(CB21/Z21,0)</f>
        <v>1070.6741573033707</v>
      </c>
      <c r="CT21" s="40">
        <f t="shared" ref="CT21:CT29" si="231">IFERROR(CD21/AB21,0)</f>
        <v>1061.4232209737827</v>
      </c>
      <c r="CU21" s="40">
        <f t="shared" ref="CU21:CU29" si="232">IFERROR(CF21/AD21,0)</f>
        <v>1051.8551912568305</v>
      </c>
    </row>
    <row r="22" spans="1:99" outlineLevel="1" x14ac:dyDescent="0.25">
      <c r="A22" s="34"/>
      <c r="B22" s="34"/>
      <c r="C22" s="34" t="s">
        <v>45</v>
      </c>
      <c r="D22" s="34" t="s">
        <v>46</v>
      </c>
      <c r="F22" s="35">
        <v>2316</v>
      </c>
      <c r="G22" s="36">
        <f t="shared" si="177"/>
        <v>4.2109090907416713E-2</v>
      </c>
      <c r="H22" s="37">
        <v>50</v>
      </c>
      <c r="I22" s="38">
        <f t="shared" si="11"/>
        <v>1.1578837123402852E-2</v>
      </c>
      <c r="J22" s="37">
        <v>94</v>
      </c>
      <c r="K22" s="38">
        <f t="shared" si="11"/>
        <v>2.2100410985611576E-2</v>
      </c>
      <c r="L22" s="37">
        <v>292</v>
      </c>
      <c r="M22" s="38">
        <f t="shared" si="179"/>
        <v>6.2412400836007839E-2</v>
      </c>
      <c r="N22" s="37">
        <v>116</v>
      </c>
      <c r="O22" s="38">
        <f t="shared" si="180"/>
        <v>2.6398244950673933E-2</v>
      </c>
      <c r="P22" s="37">
        <v>116</v>
      </c>
      <c r="Q22" s="38">
        <f t="shared" si="181"/>
        <v>2.4874360680754534E-2</v>
      </c>
      <c r="R22" s="37">
        <v>314</v>
      </c>
      <c r="S22" s="38">
        <f t="shared" si="182"/>
        <v>6.6923103178541457E-2</v>
      </c>
      <c r="T22" s="37">
        <v>138</v>
      </c>
      <c r="U22" s="38">
        <f t="shared" si="183"/>
        <v>2.9427930518205993E-2</v>
      </c>
      <c r="V22" s="37">
        <v>160</v>
      </c>
      <c r="W22" s="38">
        <f t="shared" si="184"/>
        <v>3.5065807022183385E-2</v>
      </c>
      <c r="X22" s="37">
        <v>358</v>
      </c>
      <c r="Y22" s="38">
        <f t="shared" si="185"/>
        <v>7.4979740256015587E-2</v>
      </c>
      <c r="Z22" s="37">
        <v>160</v>
      </c>
      <c r="AA22" s="38">
        <f t="shared" si="186"/>
        <v>3.5805186952435557E-2</v>
      </c>
      <c r="AB22" s="37">
        <v>160</v>
      </c>
      <c r="AC22" s="38">
        <f t="shared" si="187"/>
        <v>3.3896559093422013E-2</v>
      </c>
      <c r="AD22" s="37">
        <v>358</v>
      </c>
      <c r="AE22" s="38">
        <f t="shared" si="188"/>
        <v>7.48246362604085E-2</v>
      </c>
      <c r="AG22" s="35">
        <v>69.854264999999998</v>
      </c>
      <c r="AH22" s="36">
        <f t="shared" si="189"/>
        <v>4.2739157366690199E-2</v>
      </c>
      <c r="AI22" s="37">
        <v>1.6695</v>
      </c>
      <c r="AJ22" s="38">
        <f t="shared" si="191"/>
        <v>1.2965666704123167E-2</v>
      </c>
      <c r="AK22" s="37">
        <v>3.0913309999999998</v>
      </c>
      <c r="AL22" s="38">
        <f t="shared" si="193"/>
        <v>2.4352653255163382E-2</v>
      </c>
      <c r="AM22" s="37">
        <v>9.4558359999999997</v>
      </c>
      <c r="AN22" s="38">
        <f t="shared" si="195"/>
        <v>6.7495810737209269E-2</v>
      </c>
      <c r="AO22" s="37">
        <v>3.6980219999999999</v>
      </c>
      <c r="AP22" s="38">
        <f t="shared" si="197"/>
        <v>2.8213214926758993E-2</v>
      </c>
      <c r="AQ22" s="37">
        <v>3.6396160000000002</v>
      </c>
      <c r="AR22" s="38">
        <f t="shared" si="199"/>
        <v>2.6150426966923431E-2</v>
      </c>
      <c r="AS22" s="37">
        <v>9.6939650000000004</v>
      </c>
      <c r="AT22" s="38">
        <f t="shared" si="201"/>
        <v>6.9341683296480328E-2</v>
      </c>
      <c r="AU22" s="37">
        <v>4.1909219999999996</v>
      </c>
      <c r="AV22" s="38">
        <f t="shared" si="203"/>
        <v>3.0085297824498113E-2</v>
      </c>
      <c r="AW22" s="37">
        <v>4.7784800000000001</v>
      </c>
      <c r="AX22" s="38">
        <f t="shared" si="203"/>
        <v>3.5320963913767468E-2</v>
      </c>
      <c r="AY22" s="37">
        <v>10.511596000000001</v>
      </c>
      <c r="AZ22" s="38">
        <f t="shared" si="206"/>
        <v>7.4326645661615315E-2</v>
      </c>
      <c r="BA22" s="37">
        <v>4.6173599999999997</v>
      </c>
      <c r="BB22" s="38">
        <f t="shared" si="208"/>
        <v>3.4998904488050132E-2</v>
      </c>
      <c r="BC22" s="37">
        <v>4.5368000000000004</v>
      </c>
      <c r="BD22" s="38">
        <f t="shared" si="210"/>
        <v>3.2485601033932741E-2</v>
      </c>
      <c r="BE22" s="37">
        <v>9.9708369999999995</v>
      </c>
      <c r="BF22" s="38">
        <f t="shared" si="210"/>
        <v>7.0723972275629765E-2</v>
      </c>
      <c r="BH22" s="35">
        <v>2636010</v>
      </c>
      <c r="BI22" s="35">
        <f t="shared" si="212"/>
        <v>1138.1735751295337</v>
      </c>
      <c r="BJ22" s="37">
        <v>63000</v>
      </c>
      <c r="BK22" s="38">
        <f t="shared" si="214"/>
        <v>1.2965666704123167E-2</v>
      </c>
      <c r="BL22" s="37">
        <v>116654</v>
      </c>
      <c r="BM22" s="38">
        <f t="shared" si="214"/>
        <v>2.4352653255163378E-2</v>
      </c>
      <c r="BN22" s="37">
        <v>356824</v>
      </c>
      <c r="BO22" s="38">
        <f t="shared" si="215"/>
        <v>6.7495810737209283E-2</v>
      </c>
      <c r="BP22" s="37">
        <v>139548</v>
      </c>
      <c r="BQ22" s="38">
        <f t="shared" si="216"/>
        <v>2.8213214926758993E-2</v>
      </c>
      <c r="BR22" s="37">
        <v>137344.00000000003</v>
      </c>
      <c r="BS22" s="38">
        <f t="shared" si="217"/>
        <v>2.6150426966923431E-2</v>
      </c>
      <c r="BT22" s="37">
        <v>365810</v>
      </c>
      <c r="BU22" s="38">
        <f t="shared" si="218"/>
        <v>6.9341683296480314E-2</v>
      </c>
      <c r="BV22" s="37">
        <v>158148</v>
      </c>
      <c r="BW22" s="38">
        <f t="shared" si="219"/>
        <v>3.008529782449812E-2</v>
      </c>
      <c r="BX22" s="37">
        <v>180320</v>
      </c>
      <c r="BY22" s="38">
        <f t="shared" si="220"/>
        <v>3.5320963913767461E-2</v>
      </c>
      <c r="BZ22" s="37">
        <v>396664</v>
      </c>
      <c r="CA22" s="38">
        <f t="shared" si="221"/>
        <v>7.4326645661615315E-2</v>
      </c>
      <c r="CB22" s="37">
        <v>174239.99999999997</v>
      </c>
      <c r="CC22" s="38">
        <f t="shared" si="222"/>
        <v>3.4998904488050125E-2</v>
      </c>
      <c r="CD22" s="37">
        <v>171200</v>
      </c>
      <c r="CE22" s="38">
        <f t="shared" si="223"/>
        <v>3.2485601033932734E-2</v>
      </c>
      <c r="CF22" s="37">
        <v>376258</v>
      </c>
      <c r="CG22" s="38">
        <f t="shared" si="224"/>
        <v>7.0723972275629765E-2</v>
      </c>
      <c r="CI22" s="35">
        <f t="shared" si="225"/>
        <v>1138.1735751295337</v>
      </c>
      <c r="CJ22" s="35">
        <f t="shared" si="226"/>
        <v>1260</v>
      </c>
      <c r="CK22" s="35">
        <f>IFERROR(BL22/J22,0)</f>
        <v>1241</v>
      </c>
      <c r="CL22" s="35">
        <f>IFERROR(BN22/L22,0)</f>
        <v>1222</v>
      </c>
      <c r="CM22" s="35">
        <f>IFERROR(BP22/N22,0)</f>
        <v>1203</v>
      </c>
      <c r="CN22" s="35">
        <f>IFERROR(BR22/P22,0)</f>
        <v>1184.0000000000002</v>
      </c>
      <c r="CO22" s="35">
        <f>IFERROR(BT22/R22,0)</f>
        <v>1165</v>
      </c>
      <c r="CP22" s="35">
        <f t="shared" si="227"/>
        <v>1146</v>
      </c>
      <c r="CQ22" s="35">
        <f t="shared" si="228"/>
        <v>1127</v>
      </c>
      <c r="CR22" s="35">
        <f t="shared" si="229"/>
        <v>1108</v>
      </c>
      <c r="CS22" s="35">
        <f t="shared" si="230"/>
        <v>1088.9999999999998</v>
      </c>
      <c r="CT22" s="35">
        <f t="shared" si="231"/>
        <v>1070</v>
      </c>
      <c r="CU22" s="35">
        <f t="shared" si="232"/>
        <v>1051</v>
      </c>
    </row>
    <row r="23" spans="1:99" outlineLevel="1" x14ac:dyDescent="0.25">
      <c r="A23" s="34"/>
      <c r="B23" s="34"/>
      <c r="C23" s="34" t="s">
        <v>47</v>
      </c>
      <c r="D23" s="34" t="s">
        <v>48</v>
      </c>
      <c r="F23" s="35">
        <v>1200</v>
      </c>
      <c r="G23" s="36">
        <f t="shared" si="177"/>
        <v>2.1818181817314358E-2</v>
      </c>
      <c r="H23" s="37">
        <v>100</v>
      </c>
      <c r="I23" s="38">
        <f t="shared" ref="I23:K38" si="233">IFERROR(H23/H$5,0)</f>
        <v>2.3157674246805704E-2</v>
      </c>
      <c r="J23" s="37">
        <v>100</v>
      </c>
      <c r="K23" s="38">
        <f t="shared" si="233"/>
        <v>2.3511075516608058E-2</v>
      </c>
      <c r="L23" s="37">
        <v>100</v>
      </c>
      <c r="M23" s="38">
        <f t="shared" si="179"/>
        <v>2.1374109875345149E-2</v>
      </c>
      <c r="N23" s="37">
        <v>100</v>
      </c>
      <c r="O23" s="38">
        <f t="shared" si="180"/>
        <v>2.2757107716098218E-2</v>
      </c>
      <c r="P23" s="37">
        <v>100</v>
      </c>
      <c r="Q23" s="38">
        <f t="shared" si="181"/>
        <v>2.1443414379960807E-2</v>
      </c>
      <c r="R23" s="37">
        <v>100</v>
      </c>
      <c r="S23" s="38">
        <f t="shared" si="182"/>
        <v>2.1313090184248873E-2</v>
      </c>
      <c r="T23" s="37">
        <v>100</v>
      </c>
      <c r="U23" s="38">
        <f t="shared" si="183"/>
        <v>2.1324587332033327E-2</v>
      </c>
      <c r="V23" s="37">
        <v>100</v>
      </c>
      <c r="W23" s="38">
        <f t="shared" si="184"/>
        <v>2.1916129388864614E-2</v>
      </c>
      <c r="X23" s="37">
        <v>100</v>
      </c>
      <c r="Y23" s="38">
        <f t="shared" si="185"/>
        <v>2.09440615240267E-2</v>
      </c>
      <c r="Z23" s="37">
        <v>100</v>
      </c>
      <c r="AA23" s="38">
        <f t="shared" si="186"/>
        <v>2.237824184527222E-2</v>
      </c>
      <c r="AB23" s="37">
        <v>100</v>
      </c>
      <c r="AC23" s="38">
        <f t="shared" si="187"/>
        <v>2.1185349433388758E-2</v>
      </c>
      <c r="AD23" s="37">
        <v>100</v>
      </c>
      <c r="AE23" s="38">
        <f t="shared" si="188"/>
        <v>2.0900736385588967E-2</v>
      </c>
      <c r="AG23" s="35">
        <v>35.154899999999998</v>
      </c>
      <c r="AH23" s="36">
        <f t="shared" si="189"/>
        <v>2.1508934398067996E-2</v>
      </c>
      <c r="AI23" s="37">
        <v>3.2065000000000001</v>
      </c>
      <c r="AJ23" s="38">
        <f t="shared" si="191"/>
        <v>2.4902312241252431E-2</v>
      </c>
      <c r="AK23" s="37">
        <v>3.1561499999999998</v>
      </c>
      <c r="AL23" s="38">
        <f t="shared" si="193"/>
        <v>2.4863279464827255E-2</v>
      </c>
      <c r="AM23" s="37">
        <v>3.1057999999999999</v>
      </c>
      <c r="AN23" s="38">
        <f t="shared" si="195"/>
        <v>2.2169217929289865E-2</v>
      </c>
      <c r="AO23" s="37">
        <v>3.05545</v>
      </c>
      <c r="AP23" s="38">
        <f t="shared" si="197"/>
        <v>2.3310858493531345E-2</v>
      </c>
      <c r="AQ23" s="37">
        <v>3.0051000000000001</v>
      </c>
      <c r="AR23" s="38">
        <f t="shared" si="199"/>
        <v>2.1591466813614842E-2</v>
      </c>
      <c r="AS23" s="37">
        <v>2.9547500000000002</v>
      </c>
      <c r="AT23" s="38">
        <f t="shared" si="201"/>
        <v>2.1135555855656095E-2</v>
      </c>
      <c r="AU23" s="37">
        <v>2.9043999999999999</v>
      </c>
      <c r="AV23" s="38">
        <f t="shared" si="203"/>
        <v>2.0849765040120604E-2</v>
      </c>
      <c r="AW23" s="37">
        <v>2.85405</v>
      </c>
      <c r="AX23" s="38">
        <f t="shared" si="203"/>
        <v>2.1096205709365327E-2</v>
      </c>
      <c r="AY23" s="37">
        <v>2.8037000000000001</v>
      </c>
      <c r="AZ23" s="38">
        <f t="shared" si="206"/>
        <v>1.9824736076374212E-2</v>
      </c>
      <c r="BA23" s="37">
        <v>2.7533500000000002</v>
      </c>
      <c r="BB23" s="38">
        <f t="shared" si="208"/>
        <v>2.086998494208224E-2</v>
      </c>
      <c r="BC23" s="37">
        <v>2.7029999999999998</v>
      </c>
      <c r="BD23" s="38">
        <f t="shared" si="210"/>
        <v>1.9354738933768333E-2</v>
      </c>
      <c r="BE23" s="37">
        <v>2.65265</v>
      </c>
      <c r="BF23" s="38">
        <f t="shared" si="210"/>
        <v>1.8815466049334602E-2</v>
      </c>
      <c r="BH23" s="35">
        <v>1326599.9999999998</v>
      </c>
      <c r="BI23" s="35">
        <f t="shared" si="212"/>
        <v>1105.4999999999998</v>
      </c>
      <c r="BJ23" s="37">
        <v>121000</v>
      </c>
      <c r="BK23" s="38">
        <f t="shared" si="214"/>
        <v>2.4902312241252431E-2</v>
      </c>
      <c r="BL23" s="37">
        <v>119100</v>
      </c>
      <c r="BM23" s="38">
        <f t="shared" si="214"/>
        <v>2.4863279464827255E-2</v>
      </c>
      <c r="BN23" s="37">
        <v>117200</v>
      </c>
      <c r="BO23" s="38">
        <f t="shared" si="215"/>
        <v>2.2169217929289865E-2</v>
      </c>
      <c r="BP23" s="37">
        <v>115300</v>
      </c>
      <c r="BQ23" s="38">
        <f t="shared" si="216"/>
        <v>2.3310858493531345E-2</v>
      </c>
      <c r="BR23" s="37">
        <v>113400</v>
      </c>
      <c r="BS23" s="38">
        <f t="shared" si="217"/>
        <v>2.1591466813614839E-2</v>
      </c>
      <c r="BT23" s="37">
        <v>111500.00000000001</v>
      </c>
      <c r="BU23" s="38">
        <f t="shared" si="218"/>
        <v>2.1135555855656095E-2</v>
      </c>
      <c r="BV23" s="37">
        <v>109600</v>
      </c>
      <c r="BW23" s="38">
        <f t="shared" si="219"/>
        <v>2.0849765040120607E-2</v>
      </c>
      <c r="BX23" s="37">
        <v>107700</v>
      </c>
      <c r="BY23" s="38">
        <f t="shared" si="220"/>
        <v>2.1096205709365327E-2</v>
      </c>
      <c r="BZ23" s="37">
        <v>105800</v>
      </c>
      <c r="CA23" s="38">
        <f t="shared" si="221"/>
        <v>1.9824736076374212E-2</v>
      </c>
      <c r="CB23" s="37">
        <v>103900</v>
      </c>
      <c r="CC23" s="38">
        <f t="shared" si="222"/>
        <v>2.0869984942082236E-2</v>
      </c>
      <c r="CD23" s="37">
        <v>102000</v>
      </c>
      <c r="CE23" s="38">
        <f t="shared" si="223"/>
        <v>1.9354738933768337E-2</v>
      </c>
      <c r="CF23" s="37">
        <v>100100</v>
      </c>
      <c r="CG23" s="38">
        <f t="shared" si="224"/>
        <v>1.8815466049334605E-2</v>
      </c>
      <c r="CI23" s="35">
        <f t="shared" si="225"/>
        <v>1105.4999999999998</v>
      </c>
      <c r="CJ23" s="35">
        <f t="shared" si="226"/>
        <v>1210</v>
      </c>
      <c r="CK23" s="35">
        <f>IFERROR(BL23/J23,0)</f>
        <v>1191</v>
      </c>
      <c r="CL23" s="35">
        <f>IFERROR(BN23/L23,0)</f>
        <v>1172</v>
      </c>
      <c r="CM23" s="35">
        <f>IFERROR(BP23/N23,0)</f>
        <v>1153</v>
      </c>
      <c r="CN23" s="35">
        <f>IFERROR(BR23/P23,0)</f>
        <v>1134</v>
      </c>
      <c r="CO23" s="35">
        <f>IFERROR(BT23/R23,0)</f>
        <v>1115.0000000000002</v>
      </c>
      <c r="CP23" s="35">
        <f t="shared" si="227"/>
        <v>1096</v>
      </c>
      <c r="CQ23" s="35">
        <f t="shared" si="228"/>
        <v>1077</v>
      </c>
      <c r="CR23" s="35">
        <f t="shared" si="229"/>
        <v>1058</v>
      </c>
      <c r="CS23" s="35">
        <f t="shared" si="230"/>
        <v>1039</v>
      </c>
      <c r="CT23" s="35">
        <f t="shared" si="231"/>
        <v>1020</v>
      </c>
      <c r="CU23" s="35">
        <f t="shared" si="232"/>
        <v>1001</v>
      </c>
    </row>
    <row r="24" spans="1:99" outlineLevel="1" x14ac:dyDescent="0.25">
      <c r="A24" s="34"/>
      <c r="B24" s="34"/>
      <c r="C24" s="34" t="s">
        <v>49</v>
      </c>
      <c r="D24" s="34" t="s">
        <v>50</v>
      </c>
      <c r="F24" s="35">
        <v>888</v>
      </c>
      <c r="G24" s="36">
        <f t="shared" si="177"/>
        <v>1.6145454544812626E-2</v>
      </c>
      <c r="H24" s="37">
        <v>74</v>
      </c>
      <c r="I24" s="38">
        <f t="shared" si="233"/>
        <v>1.7136678942636221E-2</v>
      </c>
      <c r="J24" s="37">
        <v>74</v>
      </c>
      <c r="K24" s="38">
        <f t="shared" si="233"/>
        <v>1.7398195882289965E-2</v>
      </c>
      <c r="L24" s="37">
        <v>74</v>
      </c>
      <c r="M24" s="38">
        <f t="shared" si="179"/>
        <v>1.581684130775541E-2</v>
      </c>
      <c r="N24" s="37">
        <v>74</v>
      </c>
      <c r="O24" s="38">
        <f t="shared" si="180"/>
        <v>1.6840259709912681E-2</v>
      </c>
      <c r="P24" s="37">
        <v>74</v>
      </c>
      <c r="Q24" s="38">
        <f t="shared" si="181"/>
        <v>1.5868126641170995E-2</v>
      </c>
      <c r="R24" s="37">
        <v>74</v>
      </c>
      <c r="S24" s="38">
        <f t="shared" si="182"/>
        <v>1.5771686736344166E-2</v>
      </c>
      <c r="T24" s="37">
        <v>74</v>
      </c>
      <c r="U24" s="38">
        <f t="shared" si="183"/>
        <v>1.5780194625704663E-2</v>
      </c>
      <c r="V24" s="37">
        <v>74</v>
      </c>
      <c r="W24" s="38">
        <f t="shared" si="184"/>
        <v>1.6217935747759815E-2</v>
      </c>
      <c r="X24" s="37">
        <v>74</v>
      </c>
      <c r="Y24" s="38">
        <f t="shared" si="185"/>
        <v>1.5498605527779758E-2</v>
      </c>
      <c r="Z24" s="37">
        <v>74</v>
      </c>
      <c r="AA24" s="38">
        <f t="shared" si="186"/>
        <v>1.6559898965501443E-2</v>
      </c>
      <c r="AB24" s="37">
        <v>74</v>
      </c>
      <c r="AC24" s="38">
        <f t="shared" si="187"/>
        <v>1.5677158580707683E-2</v>
      </c>
      <c r="AD24" s="37">
        <v>74</v>
      </c>
      <c r="AE24" s="38">
        <f t="shared" si="188"/>
        <v>1.5466544925335834E-2</v>
      </c>
      <c r="AG24" s="35">
        <v>30.5916</v>
      </c>
      <c r="AH24" s="36">
        <f t="shared" si="189"/>
        <v>1.8716956029797751E-2</v>
      </c>
      <c r="AI24" s="37">
        <v>2.5493000000000001</v>
      </c>
      <c r="AJ24" s="38">
        <f t="shared" si="191"/>
        <v>1.9798367252962676E-2</v>
      </c>
      <c r="AK24" s="37">
        <v>2.5493000000000001</v>
      </c>
      <c r="AL24" s="38">
        <f t="shared" si="193"/>
        <v>2.0082682489642168E-2</v>
      </c>
      <c r="AM24" s="37">
        <v>2.5493000000000001</v>
      </c>
      <c r="AN24" s="38">
        <f t="shared" si="195"/>
        <v>1.8196917788376153E-2</v>
      </c>
      <c r="AO24" s="37">
        <v>2.5493000000000001</v>
      </c>
      <c r="AP24" s="38">
        <f t="shared" si="197"/>
        <v>1.9449302576563011E-2</v>
      </c>
      <c r="AQ24" s="37">
        <v>2.5493000000000001</v>
      </c>
      <c r="AR24" s="38">
        <f t="shared" si="199"/>
        <v>1.8316570612608007E-2</v>
      </c>
      <c r="AS24" s="37">
        <v>2.5493000000000001</v>
      </c>
      <c r="AT24" s="38">
        <f t="shared" si="201"/>
        <v>1.8235340567839608E-2</v>
      </c>
      <c r="AU24" s="37">
        <v>2.5493000000000001</v>
      </c>
      <c r="AV24" s="38">
        <f t="shared" si="203"/>
        <v>1.8300614934850388E-2</v>
      </c>
      <c r="AW24" s="37">
        <v>2.5493000000000001</v>
      </c>
      <c r="AX24" s="38">
        <f t="shared" si="203"/>
        <v>1.8843593214864854E-2</v>
      </c>
      <c r="AY24" s="37">
        <v>2.5493000000000001</v>
      </c>
      <c r="AZ24" s="38">
        <f t="shared" si="206"/>
        <v>1.8025894239576554E-2</v>
      </c>
      <c r="BA24" s="37">
        <v>2.5493000000000001</v>
      </c>
      <c r="BB24" s="38">
        <f t="shared" si="208"/>
        <v>1.9323316183140628E-2</v>
      </c>
      <c r="BC24" s="37">
        <v>2.5493000000000001</v>
      </c>
      <c r="BD24" s="38">
        <f t="shared" si="210"/>
        <v>1.8254175347338371E-2</v>
      </c>
      <c r="BE24" s="37">
        <v>2.5493000000000001</v>
      </c>
      <c r="BF24" s="38">
        <f t="shared" si="210"/>
        <v>1.8082395943516374E-2</v>
      </c>
      <c r="BH24" s="35">
        <v>1154400</v>
      </c>
      <c r="BI24" s="35">
        <f t="shared" si="212"/>
        <v>1300</v>
      </c>
      <c r="BJ24" s="37">
        <v>96200.000000000015</v>
      </c>
      <c r="BK24" s="38">
        <f t="shared" si="214"/>
        <v>1.9798367252962679E-2</v>
      </c>
      <c r="BL24" s="37">
        <v>96200.000000000015</v>
      </c>
      <c r="BM24" s="38">
        <f t="shared" si="214"/>
        <v>2.0082682489642168E-2</v>
      </c>
      <c r="BN24" s="37">
        <v>96200.000000000015</v>
      </c>
      <c r="BO24" s="38">
        <f t="shared" si="215"/>
        <v>1.8196917788376156E-2</v>
      </c>
      <c r="BP24" s="37">
        <v>96200.000000000015</v>
      </c>
      <c r="BQ24" s="38">
        <f t="shared" si="216"/>
        <v>1.9449302576563014E-2</v>
      </c>
      <c r="BR24" s="37">
        <v>96200.000000000015</v>
      </c>
      <c r="BS24" s="38">
        <f t="shared" si="217"/>
        <v>1.8316570612608007E-2</v>
      </c>
      <c r="BT24" s="37">
        <v>96200.000000000015</v>
      </c>
      <c r="BU24" s="38">
        <f t="shared" si="218"/>
        <v>1.8235340567839611E-2</v>
      </c>
      <c r="BV24" s="37">
        <v>96200.000000000015</v>
      </c>
      <c r="BW24" s="38">
        <f t="shared" si="219"/>
        <v>1.8300614934850391E-2</v>
      </c>
      <c r="BX24" s="37">
        <v>96200.000000000015</v>
      </c>
      <c r="BY24" s="38">
        <f t="shared" si="220"/>
        <v>1.8843593214864854E-2</v>
      </c>
      <c r="BZ24" s="37">
        <v>96200.000000000015</v>
      </c>
      <c r="CA24" s="38">
        <f t="shared" si="221"/>
        <v>1.8025894239576554E-2</v>
      </c>
      <c r="CB24" s="37">
        <v>96200.000000000015</v>
      </c>
      <c r="CC24" s="38">
        <f t="shared" si="222"/>
        <v>1.9323316183140631E-2</v>
      </c>
      <c r="CD24" s="37">
        <v>96200.000000000015</v>
      </c>
      <c r="CE24" s="38">
        <f t="shared" si="223"/>
        <v>1.8254175347338374E-2</v>
      </c>
      <c r="CF24" s="37">
        <v>96200.000000000015</v>
      </c>
      <c r="CG24" s="38">
        <f t="shared" si="224"/>
        <v>1.8082395943516374E-2</v>
      </c>
      <c r="CI24" s="35">
        <f t="shared" si="225"/>
        <v>1300</v>
      </c>
      <c r="CJ24" s="35">
        <f t="shared" si="226"/>
        <v>1300.0000000000002</v>
      </c>
      <c r="CK24" s="35">
        <f>IFERROR(BL24/J24,0)</f>
        <v>1300.0000000000002</v>
      </c>
      <c r="CL24" s="35">
        <f>IFERROR(BN24/L24,0)</f>
        <v>1300.0000000000002</v>
      </c>
      <c r="CM24" s="35">
        <f>IFERROR(BP24/N24,0)</f>
        <v>1300.0000000000002</v>
      </c>
      <c r="CN24" s="35">
        <f>IFERROR(BR24/P24,0)</f>
        <v>1300.0000000000002</v>
      </c>
      <c r="CO24" s="35">
        <f>IFERROR(BT24/R24,0)</f>
        <v>1300.0000000000002</v>
      </c>
      <c r="CP24" s="35">
        <f t="shared" si="227"/>
        <v>1300.0000000000002</v>
      </c>
      <c r="CQ24" s="35">
        <f t="shared" si="228"/>
        <v>1300.0000000000002</v>
      </c>
      <c r="CR24" s="35">
        <f t="shared" si="229"/>
        <v>1300.0000000000002</v>
      </c>
      <c r="CS24" s="35">
        <f t="shared" si="230"/>
        <v>1300.0000000000002</v>
      </c>
      <c r="CT24" s="35">
        <f t="shared" si="231"/>
        <v>1300.0000000000002</v>
      </c>
      <c r="CU24" s="35">
        <f t="shared" si="232"/>
        <v>1300.0000000000002</v>
      </c>
    </row>
    <row r="25" spans="1:99" outlineLevel="1" x14ac:dyDescent="0.25">
      <c r="A25" s="34"/>
      <c r="B25" s="34"/>
      <c r="C25" s="34" t="s">
        <v>51</v>
      </c>
      <c r="D25" s="34" t="s">
        <v>52</v>
      </c>
      <c r="F25" s="35">
        <v>780</v>
      </c>
      <c r="G25" s="36">
        <f t="shared" si="177"/>
        <v>1.4181818181254333E-2</v>
      </c>
      <c r="H25" s="37">
        <v>50</v>
      </c>
      <c r="I25" s="38">
        <f t="shared" si="233"/>
        <v>1.1578837123402852E-2</v>
      </c>
      <c r="J25" s="37">
        <v>50</v>
      </c>
      <c r="K25" s="38">
        <f t="shared" si="233"/>
        <v>1.1755537758304029E-2</v>
      </c>
      <c r="L25" s="37">
        <v>50</v>
      </c>
      <c r="M25" s="38">
        <f t="shared" si="179"/>
        <v>1.0687054937672575E-2</v>
      </c>
      <c r="N25" s="37">
        <v>50</v>
      </c>
      <c r="O25" s="38">
        <f t="shared" si="180"/>
        <v>1.1378553858049109E-2</v>
      </c>
      <c r="P25" s="37">
        <v>50</v>
      </c>
      <c r="Q25" s="38">
        <f t="shared" si="181"/>
        <v>1.0721707189980403E-2</v>
      </c>
      <c r="R25" s="37">
        <v>50</v>
      </c>
      <c r="S25" s="38">
        <f t="shared" si="182"/>
        <v>1.0656545092124436E-2</v>
      </c>
      <c r="T25" s="37">
        <v>80</v>
      </c>
      <c r="U25" s="38">
        <f t="shared" si="183"/>
        <v>1.7059669865626664E-2</v>
      </c>
      <c r="V25" s="37">
        <v>80</v>
      </c>
      <c r="W25" s="38">
        <f t="shared" si="184"/>
        <v>1.7532903511091692E-2</v>
      </c>
      <c r="X25" s="37">
        <v>80</v>
      </c>
      <c r="Y25" s="38">
        <f t="shared" si="185"/>
        <v>1.675524921922136E-2</v>
      </c>
      <c r="Z25" s="37">
        <v>80</v>
      </c>
      <c r="AA25" s="38">
        <f t="shared" si="186"/>
        <v>1.7902593476217778E-2</v>
      </c>
      <c r="AB25" s="37">
        <v>80</v>
      </c>
      <c r="AC25" s="38">
        <f t="shared" si="187"/>
        <v>1.6948279546711006E-2</v>
      </c>
      <c r="AD25" s="37">
        <v>80</v>
      </c>
      <c r="AE25" s="38">
        <f t="shared" si="188"/>
        <v>1.6720589108471171E-2</v>
      </c>
      <c r="AG25" s="35">
        <v>12.401999999999999</v>
      </c>
      <c r="AH25" s="36">
        <f t="shared" si="189"/>
        <v>7.5879551472153037E-3</v>
      </c>
      <c r="AI25" s="37">
        <v>0.79500000000000004</v>
      </c>
      <c r="AJ25" s="38">
        <f t="shared" si="191"/>
        <v>6.1741270019634127E-3</v>
      </c>
      <c r="AK25" s="37">
        <v>0.79500000000000004</v>
      </c>
      <c r="AL25" s="38">
        <f t="shared" si="193"/>
        <v>6.2627907971857071E-3</v>
      </c>
      <c r="AM25" s="37">
        <v>0.79500000000000004</v>
      </c>
      <c r="AN25" s="38">
        <f t="shared" si="195"/>
        <v>5.6747144870195904E-3</v>
      </c>
      <c r="AO25" s="37">
        <v>0.79500000000000004</v>
      </c>
      <c r="AP25" s="38">
        <f t="shared" si="197"/>
        <v>6.0652710737722493E-3</v>
      </c>
      <c r="AQ25" s="37">
        <v>0.79500000000000004</v>
      </c>
      <c r="AR25" s="38">
        <f t="shared" si="199"/>
        <v>5.7120282575700643E-3</v>
      </c>
      <c r="AS25" s="37">
        <v>0.79500000000000004</v>
      </c>
      <c r="AT25" s="38">
        <f t="shared" si="201"/>
        <v>5.6866966427774248E-3</v>
      </c>
      <c r="AU25" s="37">
        <v>1.272</v>
      </c>
      <c r="AV25" s="38">
        <f t="shared" si="203"/>
        <v>9.1312839591769085E-3</v>
      </c>
      <c r="AW25" s="37">
        <v>1.272</v>
      </c>
      <c r="AX25" s="38">
        <f t="shared" si="203"/>
        <v>9.4022086726976394E-3</v>
      </c>
      <c r="AY25" s="37">
        <v>1.272</v>
      </c>
      <c r="AZ25" s="38">
        <f t="shared" si="206"/>
        <v>8.9942091839882998E-3</v>
      </c>
      <c r="BA25" s="37">
        <v>1.272</v>
      </c>
      <c r="BB25" s="38">
        <f t="shared" si="208"/>
        <v>9.6415714843113322E-3</v>
      </c>
      <c r="BC25" s="37">
        <v>1.272</v>
      </c>
      <c r="BD25" s="38">
        <f t="shared" si="210"/>
        <v>9.108112439420394E-3</v>
      </c>
      <c r="BE25" s="37">
        <v>1.272</v>
      </c>
      <c r="BF25" s="38">
        <f t="shared" si="210"/>
        <v>9.0224013023782312E-3</v>
      </c>
      <c r="BH25" s="35">
        <v>468000</v>
      </c>
      <c r="BI25" s="35">
        <f t="shared" si="212"/>
        <v>600</v>
      </c>
      <c r="BJ25" s="37">
        <v>30000</v>
      </c>
      <c r="BK25" s="38">
        <f t="shared" si="214"/>
        <v>6.1741270019634127E-3</v>
      </c>
      <c r="BL25" s="37">
        <v>30000</v>
      </c>
      <c r="BM25" s="38">
        <f t="shared" si="214"/>
        <v>6.2627907971857062E-3</v>
      </c>
      <c r="BN25" s="37">
        <v>30000</v>
      </c>
      <c r="BO25" s="38">
        <f t="shared" si="215"/>
        <v>5.6747144870195904E-3</v>
      </c>
      <c r="BP25" s="37">
        <v>30000</v>
      </c>
      <c r="BQ25" s="38">
        <f t="shared" si="216"/>
        <v>6.0652710737722493E-3</v>
      </c>
      <c r="BR25" s="37">
        <v>30000</v>
      </c>
      <c r="BS25" s="38">
        <f t="shared" si="217"/>
        <v>5.7120282575700634E-3</v>
      </c>
      <c r="BT25" s="37">
        <v>30000</v>
      </c>
      <c r="BU25" s="38">
        <f t="shared" si="218"/>
        <v>5.6866966427774239E-3</v>
      </c>
      <c r="BV25" s="37">
        <v>48000</v>
      </c>
      <c r="BW25" s="38">
        <f t="shared" si="219"/>
        <v>9.1312839591769085E-3</v>
      </c>
      <c r="BX25" s="37">
        <v>48000</v>
      </c>
      <c r="BY25" s="38">
        <f t="shared" si="220"/>
        <v>9.4022086726976394E-3</v>
      </c>
      <c r="BZ25" s="37">
        <v>48000</v>
      </c>
      <c r="CA25" s="38">
        <f t="shared" si="221"/>
        <v>8.9942091839882998E-3</v>
      </c>
      <c r="CB25" s="37">
        <v>48000</v>
      </c>
      <c r="CC25" s="38">
        <f t="shared" si="222"/>
        <v>9.6415714843113322E-3</v>
      </c>
      <c r="CD25" s="37">
        <v>48000</v>
      </c>
      <c r="CE25" s="38">
        <f t="shared" si="223"/>
        <v>9.108112439420394E-3</v>
      </c>
      <c r="CF25" s="37">
        <v>48000</v>
      </c>
      <c r="CG25" s="38">
        <f t="shared" si="224"/>
        <v>9.0224013023782312E-3</v>
      </c>
      <c r="CI25" s="35">
        <f t="shared" si="225"/>
        <v>600</v>
      </c>
      <c r="CJ25" s="35">
        <f t="shared" si="226"/>
        <v>600</v>
      </c>
      <c r="CK25" s="35">
        <f>IFERROR(BL25/J25,0)</f>
        <v>600</v>
      </c>
      <c r="CL25" s="35">
        <f>IFERROR(BN25/L25,0)</f>
        <v>600</v>
      </c>
      <c r="CM25" s="35">
        <f>IFERROR(BP25/N25,0)</f>
        <v>600</v>
      </c>
      <c r="CN25" s="35">
        <f>IFERROR(BR25/P25,0)</f>
        <v>600</v>
      </c>
      <c r="CO25" s="35">
        <f>IFERROR(BT25/R25,0)</f>
        <v>600</v>
      </c>
      <c r="CP25" s="35">
        <f t="shared" si="227"/>
        <v>600</v>
      </c>
      <c r="CQ25" s="35">
        <f t="shared" si="228"/>
        <v>600</v>
      </c>
      <c r="CR25" s="35">
        <f t="shared" si="229"/>
        <v>600</v>
      </c>
      <c r="CS25" s="35">
        <f t="shared" si="230"/>
        <v>600</v>
      </c>
      <c r="CT25" s="35">
        <f t="shared" si="231"/>
        <v>600</v>
      </c>
      <c r="CU25" s="35">
        <f t="shared" si="232"/>
        <v>600</v>
      </c>
    </row>
    <row r="26" spans="1:99" outlineLevel="1" x14ac:dyDescent="0.25">
      <c r="A26" s="34"/>
      <c r="B26" s="34"/>
      <c r="C26" s="34" t="s">
        <v>53</v>
      </c>
      <c r="D26" s="34" t="s">
        <v>54</v>
      </c>
      <c r="F26" s="35">
        <v>528</v>
      </c>
      <c r="G26" s="36">
        <f t="shared" si="177"/>
        <v>9.5999999996183166E-3</v>
      </c>
      <c r="H26" s="37">
        <v>44</v>
      </c>
      <c r="I26" s="38">
        <f t="shared" si="233"/>
        <v>1.018937666859451E-2</v>
      </c>
      <c r="J26" s="37">
        <v>44</v>
      </c>
      <c r="K26" s="38">
        <f t="shared" si="233"/>
        <v>1.0344873227307545E-2</v>
      </c>
      <c r="L26" s="37">
        <v>44</v>
      </c>
      <c r="M26" s="38">
        <f t="shared" si="179"/>
        <v>9.4046083451518655E-3</v>
      </c>
      <c r="N26" s="37">
        <v>44</v>
      </c>
      <c r="O26" s="38">
        <f t="shared" si="180"/>
        <v>1.0013127395083216E-2</v>
      </c>
      <c r="P26" s="37">
        <v>44</v>
      </c>
      <c r="Q26" s="38">
        <f t="shared" si="181"/>
        <v>9.4351023271827539E-3</v>
      </c>
      <c r="R26" s="37">
        <v>44</v>
      </c>
      <c r="S26" s="38">
        <f t="shared" si="182"/>
        <v>9.377759681069504E-3</v>
      </c>
      <c r="T26" s="37">
        <v>44</v>
      </c>
      <c r="U26" s="38">
        <f t="shared" si="183"/>
        <v>9.3828184260946641E-3</v>
      </c>
      <c r="V26" s="37">
        <v>44</v>
      </c>
      <c r="W26" s="38">
        <f t="shared" si="184"/>
        <v>9.6430969311004297E-3</v>
      </c>
      <c r="X26" s="37">
        <v>44</v>
      </c>
      <c r="Y26" s="38">
        <f t="shared" si="185"/>
        <v>9.2153870705717483E-3</v>
      </c>
      <c r="Z26" s="37">
        <v>44</v>
      </c>
      <c r="AA26" s="38">
        <f t="shared" si="186"/>
        <v>9.8464264119197779E-3</v>
      </c>
      <c r="AB26" s="37">
        <v>44</v>
      </c>
      <c r="AC26" s="38">
        <f t="shared" si="187"/>
        <v>9.3215537506910542E-3</v>
      </c>
      <c r="AD26" s="37">
        <v>44</v>
      </c>
      <c r="AE26" s="38">
        <f t="shared" si="188"/>
        <v>9.1963240096591455E-3</v>
      </c>
      <c r="AG26" s="35">
        <v>16.090800000000002</v>
      </c>
      <c r="AH26" s="36">
        <f t="shared" si="189"/>
        <v>9.844885396130626E-3</v>
      </c>
      <c r="AI26" s="37">
        <v>1.3409</v>
      </c>
      <c r="AJ26" s="38">
        <f t="shared" si="191"/>
        <v>1.0413694209978289E-2</v>
      </c>
      <c r="AK26" s="37">
        <v>1.3409</v>
      </c>
      <c r="AL26" s="38">
        <f t="shared" si="193"/>
        <v>1.0563240477919893E-2</v>
      </c>
      <c r="AM26" s="37">
        <v>1.3409</v>
      </c>
      <c r="AN26" s="38">
        <f t="shared" si="195"/>
        <v>9.5713517681063742E-3</v>
      </c>
      <c r="AO26" s="37">
        <v>1.3409</v>
      </c>
      <c r="AP26" s="38">
        <f t="shared" si="197"/>
        <v>1.0230090544429193E-2</v>
      </c>
      <c r="AQ26" s="37">
        <v>1.3409</v>
      </c>
      <c r="AR26" s="38">
        <f t="shared" si="199"/>
        <v>9.6342876611015087E-3</v>
      </c>
      <c r="AS26" s="37">
        <v>1.3409</v>
      </c>
      <c r="AT26" s="38">
        <f t="shared" si="201"/>
        <v>9.5915616708179222E-3</v>
      </c>
      <c r="AU26" s="37">
        <v>1.3409</v>
      </c>
      <c r="AV26" s="38">
        <f t="shared" si="203"/>
        <v>9.6258951736323227E-3</v>
      </c>
      <c r="AW26" s="37">
        <v>1.3409</v>
      </c>
      <c r="AX26" s="38">
        <f t="shared" si="203"/>
        <v>9.9114949758020952E-3</v>
      </c>
      <c r="AY26" s="37">
        <v>1.3409</v>
      </c>
      <c r="AZ26" s="38">
        <f t="shared" si="206"/>
        <v>9.4813955147876657E-3</v>
      </c>
      <c r="BA26" s="37">
        <v>1.3409</v>
      </c>
      <c r="BB26" s="38">
        <f t="shared" si="208"/>
        <v>1.0163823273044863E-2</v>
      </c>
      <c r="BC26" s="37">
        <v>1.3409</v>
      </c>
      <c r="BD26" s="38">
        <f t="shared" si="210"/>
        <v>9.6014685298889974E-3</v>
      </c>
      <c r="BE26" s="37">
        <v>1.3409</v>
      </c>
      <c r="BF26" s="38">
        <f t="shared" si="210"/>
        <v>9.5111147062570522E-3</v>
      </c>
      <c r="BH26" s="35">
        <v>607200</v>
      </c>
      <c r="BI26" s="35">
        <f t="shared" si="212"/>
        <v>1150</v>
      </c>
      <c r="BJ26" s="37">
        <v>50600</v>
      </c>
      <c r="BK26" s="38">
        <f t="shared" si="214"/>
        <v>1.0413694209978289E-2</v>
      </c>
      <c r="BL26" s="37">
        <v>50600</v>
      </c>
      <c r="BM26" s="38">
        <f t="shared" si="214"/>
        <v>1.0563240477919891E-2</v>
      </c>
      <c r="BN26" s="37">
        <v>50600</v>
      </c>
      <c r="BO26" s="38">
        <f t="shared" si="215"/>
        <v>9.5713517681063759E-3</v>
      </c>
      <c r="BP26" s="37">
        <v>50600</v>
      </c>
      <c r="BQ26" s="38">
        <f t="shared" si="216"/>
        <v>1.0230090544429193E-2</v>
      </c>
      <c r="BR26" s="37">
        <v>50600</v>
      </c>
      <c r="BS26" s="38">
        <f t="shared" si="217"/>
        <v>9.6342876611015069E-3</v>
      </c>
      <c r="BT26" s="37">
        <v>50600</v>
      </c>
      <c r="BU26" s="38">
        <f t="shared" si="218"/>
        <v>9.5915616708179222E-3</v>
      </c>
      <c r="BV26" s="37">
        <v>50600</v>
      </c>
      <c r="BW26" s="38">
        <f t="shared" si="219"/>
        <v>9.6258951736323244E-3</v>
      </c>
      <c r="BX26" s="37">
        <v>50600</v>
      </c>
      <c r="BY26" s="38">
        <f t="shared" si="220"/>
        <v>9.9114949758020952E-3</v>
      </c>
      <c r="BZ26" s="37">
        <v>50600</v>
      </c>
      <c r="CA26" s="38">
        <f t="shared" si="221"/>
        <v>9.4813955147876675E-3</v>
      </c>
      <c r="CB26" s="37">
        <v>50600</v>
      </c>
      <c r="CC26" s="38">
        <f t="shared" si="222"/>
        <v>1.0163823273044862E-2</v>
      </c>
      <c r="CD26" s="37">
        <v>50600</v>
      </c>
      <c r="CE26" s="38">
        <f t="shared" si="223"/>
        <v>9.6014685298889974E-3</v>
      </c>
      <c r="CF26" s="37">
        <v>50600</v>
      </c>
      <c r="CG26" s="38">
        <f t="shared" si="224"/>
        <v>9.5111147062570522E-3</v>
      </c>
      <c r="CI26" s="35">
        <f t="shared" si="225"/>
        <v>1150</v>
      </c>
      <c r="CJ26" s="35">
        <f t="shared" si="226"/>
        <v>1150</v>
      </c>
      <c r="CK26" s="35">
        <f>IFERROR(BL26/J26,0)</f>
        <v>1150</v>
      </c>
      <c r="CL26" s="35">
        <f>IFERROR(BN26/L26,0)</f>
        <v>1150</v>
      </c>
      <c r="CM26" s="35">
        <f>IFERROR(BP26/N26,0)</f>
        <v>1150</v>
      </c>
      <c r="CN26" s="35">
        <f>IFERROR(BR26/P26,0)</f>
        <v>1150</v>
      </c>
      <c r="CO26" s="35">
        <f>IFERROR(BT26/R26,0)</f>
        <v>1150</v>
      </c>
      <c r="CP26" s="35">
        <f t="shared" si="227"/>
        <v>1150</v>
      </c>
      <c r="CQ26" s="35">
        <f t="shared" si="228"/>
        <v>1150</v>
      </c>
      <c r="CR26" s="35">
        <f t="shared" si="229"/>
        <v>1150</v>
      </c>
      <c r="CS26" s="35">
        <f t="shared" si="230"/>
        <v>1150</v>
      </c>
      <c r="CT26" s="35">
        <f t="shared" si="231"/>
        <v>1150</v>
      </c>
      <c r="CU26" s="35">
        <f t="shared" si="232"/>
        <v>1150</v>
      </c>
    </row>
    <row r="27" spans="1:99" outlineLevel="1" x14ac:dyDescent="0.25">
      <c r="A27" s="34"/>
      <c r="B27" s="34"/>
      <c r="C27" s="34" t="s">
        <v>55</v>
      </c>
      <c r="D27" s="34" t="s">
        <v>56</v>
      </c>
      <c r="F27" s="35">
        <v>384</v>
      </c>
      <c r="G27" s="36">
        <f t="shared" si="177"/>
        <v>6.9818181815405941E-3</v>
      </c>
      <c r="H27" s="37">
        <v>32</v>
      </c>
      <c r="I27" s="38">
        <f t="shared" si="233"/>
        <v>7.4104557589778249E-3</v>
      </c>
      <c r="J27" s="37">
        <v>32</v>
      </c>
      <c r="K27" s="38">
        <f t="shared" si="233"/>
        <v>7.5235441653145789E-3</v>
      </c>
      <c r="L27" s="37">
        <v>32</v>
      </c>
      <c r="M27" s="38">
        <f t="shared" si="179"/>
        <v>6.839715160110448E-3</v>
      </c>
      <c r="N27" s="37">
        <v>32</v>
      </c>
      <c r="O27" s="38">
        <f t="shared" si="180"/>
        <v>7.2822744691514295E-3</v>
      </c>
      <c r="P27" s="37">
        <v>32</v>
      </c>
      <c r="Q27" s="38">
        <f t="shared" si="181"/>
        <v>6.8618926015874574E-3</v>
      </c>
      <c r="R27" s="37">
        <v>32</v>
      </c>
      <c r="S27" s="38">
        <f t="shared" si="182"/>
        <v>6.8201888589596391E-3</v>
      </c>
      <c r="T27" s="37">
        <v>32</v>
      </c>
      <c r="U27" s="38">
        <f t="shared" si="183"/>
        <v>6.8238679462506655E-3</v>
      </c>
      <c r="V27" s="37">
        <v>32</v>
      </c>
      <c r="W27" s="38">
        <f t="shared" si="184"/>
        <v>7.0131614044366764E-3</v>
      </c>
      <c r="X27" s="37">
        <v>32</v>
      </c>
      <c r="Y27" s="38">
        <f t="shared" si="185"/>
        <v>6.7020996876885437E-3</v>
      </c>
      <c r="Z27" s="37">
        <v>32</v>
      </c>
      <c r="AA27" s="38">
        <f t="shared" si="186"/>
        <v>7.1610373904871108E-3</v>
      </c>
      <c r="AB27" s="37">
        <v>32</v>
      </c>
      <c r="AC27" s="38">
        <f t="shared" si="187"/>
        <v>6.7793118186844029E-3</v>
      </c>
      <c r="AD27" s="37">
        <v>32</v>
      </c>
      <c r="AE27" s="38">
        <f t="shared" si="188"/>
        <v>6.6882356433884691E-3</v>
      </c>
      <c r="AG27" s="35">
        <v>13.2288</v>
      </c>
      <c r="AH27" s="36">
        <f t="shared" si="189"/>
        <v>8.0938188236963238E-3</v>
      </c>
      <c r="AI27" s="37">
        <v>1.1024</v>
      </c>
      <c r="AJ27" s="38">
        <f t="shared" si="191"/>
        <v>8.5614561093892653E-3</v>
      </c>
      <c r="AK27" s="37">
        <v>1.1024</v>
      </c>
      <c r="AL27" s="38">
        <f t="shared" si="193"/>
        <v>8.6844032387641806E-3</v>
      </c>
      <c r="AM27" s="37">
        <v>1.1024</v>
      </c>
      <c r="AN27" s="38">
        <f t="shared" si="195"/>
        <v>7.8689374220004982E-3</v>
      </c>
      <c r="AO27" s="37">
        <v>1.1024</v>
      </c>
      <c r="AP27" s="38">
        <f t="shared" si="197"/>
        <v>8.410509222297519E-3</v>
      </c>
      <c r="AQ27" s="37">
        <v>1.1024</v>
      </c>
      <c r="AR27" s="38">
        <f t="shared" si="199"/>
        <v>7.9206791838304889E-3</v>
      </c>
      <c r="AS27" s="37">
        <v>1.1024</v>
      </c>
      <c r="AT27" s="38">
        <f t="shared" si="201"/>
        <v>7.885552677984695E-3</v>
      </c>
      <c r="AU27" s="37">
        <v>1.1024</v>
      </c>
      <c r="AV27" s="38">
        <f t="shared" si="203"/>
        <v>7.9137794312866532E-3</v>
      </c>
      <c r="AW27" s="37">
        <v>1.1024</v>
      </c>
      <c r="AX27" s="38">
        <f t="shared" si="203"/>
        <v>8.1485808496712872E-3</v>
      </c>
      <c r="AY27" s="37">
        <v>1.1024</v>
      </c>
      <c r="AZ27" s="38">
        <f t="shared" si="206"/>
        <v>7.7949812927898604E-3</v>
      </c>
      <c r="BA27" s="37">
        <v>1.1024</v>
      </c>
      <c r="BB27" s="38">
        <f t="shared" si="208"/>
        <v>8.3560286197364875E-3</v>
      </c>
      <c r="BC27" s="37">
        <v>1.1024</v>
      </c>
      <c r="BD27" s="38">
        <f t="shared" si="210"/>
        <v>7.8936974474976742E-3</v>
      </c>
      <c r="BE27" s="37">
        <v>1.1024</v>
      </c>
      <c r="BF27" s="38">
        <f t="shared" si="210"/>
        <v>7.8194144620611344E-3</v>
      </c>
      <c r="BH27" s="35">
        <v>499200</v>
      </c>
      <c r="BI27" s="35">
        <f t="shared" si="212"/>
        <v>1300</v>
      </c>
      <c r="BJ27" s="37">
        <v>41600</v>
      </c>
      <c r="BK27" s="38">
        <f t="shared" si="214"/>
        <v>8.5614561093892653E-3</v>
      </c>
      <c r="BL27" s="37">
        <v>41600</v>
      </c>
      <c r="BM27" s="38">
        <f t="shared" si="214"/>
        <v>8.6844032387641788E-3</v>
      </c>
      <c r="BN27" s="37">
        <v>41600</v>
      </c>
      <c r="BO27" s="38">
        <f t="shared" si="215"/>
        <v>7.8689374220004982E-3</v>
      </c>
      <c r="BP27" s="37">
        <v>41600</v>
      </c>
      <c r="BQ27" s="38">
        <f t="shared" si="216"/>
        <v>8.410509222297519E-3</v>
      </c>
      <c r="BR27" s="37">
        <v>41600</v>
      </c>
      <c r="BS27" s="38">
        <f t="shared" si="217"/>
        <v>7.9206791838304872E-3</v>
      </c>
      <c r="BT27" s="37">
        <v>41600</v>
      </c>
      <c r="BU27" s="38">
        <f t="shared" si="218"/>
        <v>7.885552677984695E-3</v>
      </c>
      <c r="BV27" s="37">
        <v>41600</v>
      </c>
      <c r="BW27" s="38">
        <f t="shared" si="219"/>
        <v>7.9137794312866532E-3</v>
      </c>
      <c r="BX27" s="37">
        <v>41600</v>
      </c>
      <c r="BY27" s="38">
        <f t="shared" si="220"/>
        <v>8.1485808496712872E-3</v>
      </c>
      <c r="BZ27" s="37">
        <v>41600</v>
      </c>
      <c r="CA27" s="38">
        <f t="shared" si="221"/>
        <v>7.7949812927898604E-3</v>
      </c>
      <c r="CB27" s="37">
        <v>41600</v>
      </c>
      <c r="CC27" s="38">
        <f t="shared" si="222"/>
        <v>8.3560286197364875E-3</v>
      </c>
      <c r="CD27" s="37">
        <v>41600</v>
      </c>
      <c r="CE27" s="38">
        <f t="shared" si="223"/>
        <v>7.8936974474976742E-3</v>
      </c>
      <c r="CF27" s="37">
        <v>41600</v>
      </c>
      <c r="CG27" s="38">
        <f t="shared" si="224"/>
        <v>7.8194144620611344E-3</v>
      </c>
      <c r="CI27" s="35">
        <f t="shared" si="225"/>
        <v>1300</v>
      </c>
      <c r="CJ27" s="35">
        <f t="shared" si="226"/>
        <v>1300</v>
      </c>
      <c r="CK27" s="35">
        <f>IFERROR(BL27/J27,0)</f>
        <v>1300</v>
      </c>
      <c r="CL27" s="35">
        <f>IFERROR(BN27/L27,0)</f>
        <v>1300</v>
      </c>
      <c r="CM27" s="35">
        <f>IFERROR(BP27/N27,0)</f>
        <v>1300</v>
      </c>
      <c r="CN27" s="35">
        <f>IFERROR(BR27/P27,0)</f>
        <v>1300</v>
      </c>
      <c r="CO27" s="35">
        <f>IFERROR(BT27/R27,0)</f>
        <v>1300</v>
      </c>
      <c r="CP27" s="35">
        <f t="shared" si="227"/>
        <v>1300</v>
      </c>
      <c r="CQ27" s="35">
        <f t="shared" si="228"/>
        <v>1300</v>
      </c>
      <c r="CR27" s="35">
        <f t="shared" si="229"/>
        <v>1300</v>
      </c>
      <c r="CS27" s="35">
        <f t="shared" si="230"/>
        <v>1300</v>
      </c>
      <c r="CT27" s="35">
        <f t="shared" si="231"/>
        <v>1300</v>
      </c>
      <c r="CU27" s="35">
        <f t="shared" si="232"/>
        <v>1300</v>
      </c>
    </row>
    <row r="28" spans="1:99" outlineLevel="1" x14ac:dyDescent="0.25">
      <c r="A28" s="34"/>
      <c r="B28" s="34"/>
      <c r="C28" s="34" t="s">
        <v>57</v>
      </c>
      <c r="D28" s="34" t="s">
        <v>58</v>
      </c>
      <c r="F28" s="35">
        <v>264</v>
      </c>
      <c r="G28" s="36">
        <f t="shared" si="177"/>
        <v>4.7999999998091583E-3</v>
      </c>
      <c r="H28" s="37">
        <v>22</v>
      </c>
      <c r="I28" s="38">
        <f t="shared" si="233"/>
        <v>5.0946883342972548E-3</v>
      </c>
      <c r="J28" s="37">
        <v>22</v>
      </c>
      <c r="K28" s="38">
        <f t="shared" si="233"/>
        <v>5.1724366136537726E-3</v>
      </c>
      <c r="L28" s="37">
        <v>22</v>
      </c>
      <c r="M28" s="38">
        <f t="shared" si="179"/>
        <v>4.7023041725759327E-3</v>
      </c>
      <c r="N28" s="37">
        <v>22</v>
      </c>
      <c r="O28" s="38">
        <f t="shared" si="180"/>
        <v>5.0065636975416081E-3</v>
      </c>
      <c r="P28" s="37">
        <v>22</v>
      </c>
      <c r="Q28" s="38">
        <f t="shared" si="181"/>
        <v>4.7175511635913769E-3</v>
      </c>
      <c r="R28" s="37">
        <v>22</v>
      </c>
      <c r="S28" s="38">
        <f t="shared" si="182"/>
        <v>4.688879840534752E-3</v>
      </c>
      <c r="T28" s="37">
        <v>22</v>
      </c>
      <c r="U28" s="38">
        <f t="shared" si="183"/>
        <v>4.6914092130473321E-3</v>
      </c>
      <c r="V28" s="37">
        <v>22</v>
      </c>
      <c r="W28" s="38">
        <f t="shared" si="184"/>
        <v>4.8215484655502149E-3</v>
      </c>
      <c r="X28" s="37">
        <v>22</v>
      </c>
      <c r="Y28" s="38">
        <f t="shared" si="185"/>
        <v>4.6076935352858742E-3</v>
      </c>
      <c r="Z28" s="37">
        <v>22</v>
      </c>
      <c r="AA28" s="38">
        <f t="shared" si="186"/>
        <v>4.923213205959889E-3</v>
      </c>
      <c r="AB28" s="37">
        <v>22</v>
      </c>
      <c r="AC28" s="38">
        <f t="shared" si="187"/>
        <v>4.6607768753455271E-3</v>
      </c>
      <c r="AD28" s="37">
        <v>22</v>
      </c>
      <c r="AE28" s="38">
        <f t="shared" si="188"/>
        <v>4.5981620048295728E-3</v>
      </c>
      <c r="AG28" s="35">
        <v>9.0947999999999993</v>
      </c>
      <c r="AH28" s="36">
        <f t="shared" si="189"/>
        <v>5.5645004412912223E-3</v>
      </c>
      <c r="AI28" s="37">
        <v>0.75790000000000002</v>
      </c>
      <c r="AJ28" s="38">
        <f t="shared" si="191"/>
        <v>5.88600107520512E-3</v>
      </c>
      <c r="AK28" s="37">
        <v>0.75790000000000002</v>
      </c>
      <c r="AL28" s="38">
        <f t="shared" si="193"/>
        <v>5.9705272266503745E-3</v>
      </c>
      <c r="AM28" s="37">
        <v>0.75790000000000002</v>
      </c>
      <c r="AN28" s="38">
        <f t="shared" si="195"/>
        <v>5.4098944776253422E-3</v>
      </c>
      <c r="AO28" s="37">
        <v>0.75790000000000002</v>
      </c>
      <c r="AP28" s="38">
        <f t="shared" si="197"/>
        <v>5.7822250903295444E-3</v>
      </c>
      <c r="AQ28" s="37">
        <v>0.75790000000000002</v>
      </c>
      <c r="AR28" s="38">
        <f t="shared" si="199"/>
        <v>5.4454669388834609E-3</v>
      </c>
      <c r="AS28" s="37">
        <v>0.75790000000000002</v>
      </c>
      <c r="AT28" s="38">
        <f t="shared" si="201"/>
        <v>5.4213174661144779E-3</v>
      </c>
      <c r="AU28" s="37">
        <v>0.75790000000000002</v>
      </c>
      <c r="AV28" s="38">
        <f t="shared" si="203"/>
        <v>5.4407233590095744E-3</v>
      </c>
      <c r="AW28" s="37">
        <v>0.75790000000000002</v>
      </c>
      <c r="AX28" s="38">
        <f t="shared" si="203"/>
        <v>5.6021493341490104E-3</v>
      </c>
      <c r="AY28" s="37">
        <v>0.75790000000000002</v>
      </c>
      <c r="AZ28" s="38">
        <f t="shared" si="206"/>
        <v>5.3590496387930292E-3</v>
      </c>
      <c r="BA28" s="37">
        <v>0.75790000000000002</v>
      </c>
      <c r="BB28" s="38">
        <f t="shared" si="208"/>
        <v>5.7447696760688357E-3</v>
      </c>
      <c r="BC28" s="37">
        <v>0.75790000000000002</v>
      </c>
      <c r="BD28" s="38">
        <f t="shared" si="210"/>
        <v>5.4269169951546509E-3</v>
      </c>
      <c r="BE28" s="37">
        <v>0.75790000000000002</v>
      </c>
      <c r="BF28" s="38">
        <f t="shared" si="210"/>
        <v>5.3758474426670302E-3</v>
      </c>
      <c r="BH28" s="35">
        <v>343200</v>
      </c>
      <c r="BI28" s="35">
        <f t="shared" si="212"/>
        <v>1300</v>
      </c>
      <c r="BJ28" s="37">
        <v>28600</v>
      </c>
      <c r="BK28" s="38">
        <f t="shared" si="214"/>
        <v>5.88600107520512E-3</v>
      </c>
      <c r="BL28" s="37">
        <v>28600</v>
      </c>
      <c r="BM28" s="38">
        <f t="shared" si="214"/>
        <v>5.9705272266503736E-3</v>
      </c>
      <c r="BN28" s="37">
        <v>28600</v>
      </c>
      <c r="BO28" s="38">
        <f t="shared" si="215"/>
        <v>5.4098944776253431E-3</v>
      </c>
      <c r="BP28" s="37">
        <v>28600</v>
      </c>
      <c r="BQ28" s="38">
        <f t="shared" si="216"/>
        <v>5.7822250903295444E-3</v>
      </c>
      <c r="BR28" s="37">
        <v>28600</v>
      </c>
      <c r="BS28" s="38">
        <f t="shared" si="217"/>
        <v>5.4454669388834601E-3</v>
      </c>
      <c r="BT28" s="37">
        <v>28600</v>
      </c>
      <c r="BU28" s="38">
        <f t="shared" si="218"/>
        <v>5.4213174661144779E-3</v>
      </c>
      <c r="BV28" s="37">
        <v>28600</v>
      </c>
      <c r="BW28" s="38">
        <f t="shared" si="219"/>
        <v>5.4407233590095744E-3</v>
      </c>
      <c r="BX28" s="37">
        <v>28600</v>
      </c>
      <c r="BY28" s="38">
        <f t="shared" si="220"/>
        <v>5.6021493341490104E-3</v>
      </c>
      <c r="BZ28" s="37">
        <v>28600</v>
      </c>
      <c r="CA28" s="38">
        <f t="shared" si="221"/>
        <v>5.3590496387930292E-3</v>
      </c>
      <c r="CB28" s="37">
        <v>28600</v>
      </c>
      <c r="CC28" s="38">
        <f t="shared" si="222"/>
        <v>5.7447696760688349E-3</v>
      </c>
      <c r="CD28" s="37">
        <v>28600</v>
      </c>
      <c r="CE28" s="38">
        <f t="shared" si="223"/>
        <v>5.4269169951546509E-3</v>
      </c>
      <c r="CF28" s="37">
        <v>28600</v>
      </c>
      <c r="CG28" s="38">
        <f t="shared" si="224"/>
        <v>5.3758474426670293E-3</v>
      </c>
      <c r="CI28" s="35">
        <f t="shared" si="225"/>
        <v>1300</v>
      </c>
      <c r="CJ28" s="35">
        <f t="shared" si="226"/>
        <v>1300</v>
      </c>
      <c r="CK28" s="35">
        <f>IFERROR(BL28/J28,0)</f>
        <v>1300</v>
      </c>
      <c r="CL28" s="35">
        <f>IFERROR(BN28/L28,0)</f>
        <v>1300</v>
      </c>
      <c r="CM28" s="35">
        <f>IFERROR(BP28/N28,0)</f>
        <v>1300</v>
      </c>
      <c r="CN28" s="35">
        <f>IFERROR(BR28/P28,0)</f>
        <v>1300</v>
      </c>
      <c r="CO28" s="35">
        <f>IFERROR(BT28/R28,0)</f>
        <v>1300</v>
      </c>
      <c r="CP28" s="35">
        <f t="shared" si="227"/>
        <v>1300</v>
      </c>
      <c r="CQ28" s="35">
        <f t="shared" si="228"/>
        <v>1300</v>
      </c>
      <c r="CR28" s="35">
        <f t="shared" si="229"/>
        <v>1300</v>
      </c>
      <c r="CS28" s="35">
        <f t="shared" si="230"/>
        <v>1300</v>
      </c>
      <c r="CT28" s="35">
        <f t="shared" si="231"/>
        <v>1300</v>
      </c>
      <c r="CU28" s="35">
        <f t="shared" si="232"/>
        <v>1300</v>
      </c>
    </row>
    <row r="29" spans="1:99" outlineLevel="1" x14ac:dyDescent="0.25">
      <c r="A29" s="34"/>
      <c r="B29" s="34"/>
      <c r="C29" s="34" t="s">
        <v>59</v>
      </c>
      <c r="D29" s="34" t="s">
        <v>60</v>
      </c>
      <c r="F29" s="35">
        <v>264</v>
      </c>
      <c r="G29" s="36">
        <f t="shared" si="177"/>
        <v>4.7999999998091583E-3</v>
      </c>
      <c r="H29" s="37">
        <v>22</v>
      </c>
      <c r="I29" s="38">
        <f t="shared" si="233"/>
        <v>5.0946883342972548E-3</v>
      </c>
      <c r="J29" s="37">
        <v>22</v>
      </c>
      <c r="K29" s="38">
        <f t="shared" si="233"/>
        <v>5.1724366136537726E-3</v>
      </c>
      <c r="L29" s="37">
        <v>22</v>
      </c>
      <c r="M29" s="38">
        <f t="shared" si="179"/>
        <v>4.7023041725759327E-3</v>
      </c>
      <c r="N29" s="37">
        <v>22</v>
      </c>
      <c r="O29" s="38">
        <f t="shared" si="180"/>
        <v>5.0065636975416081E-3</v>
      </c>
      <c r="P29" s="37">
        <v>22</v>
      </c>
      <c r="Q29" s="38">
        <f t="shared" si="181"/>
        <v>4.7175511635913769E-3</v>
      </c>
      <c r="R29" s="37">
        <v>22</v>
      </c>
      <c r="S29" s="38">
        <f t="shared" si="182"/>
        <v>4.688879840534752E-3</v>
      </c>
      <c r="T29" s="37">
        <v>22</v>
      </c>
      <c r="U29" s="38">
        <f t="shared" si="183"/>
        <v>4.6914092130473321E-3</v>
      </c>
      <c r="V29" s="37">
        <v>22</v>
      </c>
      <c r="W29" s="38">
        <f t="shared" si="184"/>
        <v>4.8215484655502149E-3</v>
      </c>
      <c r="X29" s="37">
        <v>22</v>
      </c>
      <c r="Y29" s="38">
        <f t="shared" si="185"/>
        <v>4.6076935352858742E-3</v>
      </c>
      <c r="Z29" s="37">
        <v>22</v>
      </c>
      <c r="AA29" s="38">
        <f t="shared" si="186"/>
        <v>4.923213205959889E-3</v>
      </c>
      <c r="AB29" s="37">
        <v>22</v>
      </c>
      <c r="AC29" s="38">
        <f t="shared" si="187"/>
        <v>4.6607768753455271E-3</v>
      </c>
      <c r="AD29" s="37">
        <v>22</v>
      </c>
      <c r="AE29" s="38">
        <f t="shared" si="188"/>
        <v>4.5981620048295728E-3</v>
      </c>
      <c r="AG29" s="35">
        <v>9.0947999999999993</v>
      </c>
      <c r="AH29" s="36">
        <f t="shared" si="189"/>
        <v>5.5645004412912223E-3</v>
      </c>
      <c r="AI29" s="37">
        <v>0.75790000000000002</v>
      </c>
      <c r="AJ29" s="38">
        <f t="shared" si="191"/>
        <v>5.88600107520512E-3</v>
      </c>
      <c r="AK29" s="37">
        <v>0.75790000000000002</v>
      </c>
      <c r="AL29" s="38">
        <f t="shared" si="193"/>
        <v>5.9705272266503745E-3</v>
      </c>
      <c r="AM29" s="37">
        <v>0.75790000000000002</v>
      </c>
      <c r="AN29" s="38">
        <f t="shared" si="195"/>
        <v>5.4098944776253422E-3</v>
      </c>
      <c r="AO29" s="37">
        <v>0.75790000000000002</v>
      </c>
      <c r="AP29" s="38">
        <f t="shared" si="197"/>
        <v>5.7822250903295444E-3</v>
      </c>
      <c r="AQ29" s="37">
        <v>0.75790000000000002</v>
      </c>
      <c r="AR29" s="38">
        <f t="shared" si="199"/>
        <v>5.4454669388834609E-3</v>
      </c>
      <c r="AS29" s="37">
        <v>0.75790000000000002</v>
      </c>
      <c r="AT29" s="38">
        <f t="shared" si="201"/>
        <v>5.4213174661144779E-3</v>
      </c>
      <c r="AU29" s="37">
        <v>0.75790000000000002</v>
      </c>
      <c r="AV29" s="38">
        <f t="shared" si="203"/>
        <v>5.4407233590095744E-3</v>
      </c>
      <c r="AW29" s="37">
        <v>0.75790000000000002</v>
      </c>
      <c r="AX29" s="38">
        <f t="shared" si="203"/>
        <v>5.6021493341490104E-3</v>
      </c>
      <c r="AY29" s="37">
        <v>0.75790000000000002</v>
      </c>
      <c r="AZ29" s="38">
        <f t="shared" si="206"/>
        <v>5.3590496387930292E-3</v>
      </c>
      <c r="BA29" s="37">
        <v>0.75790000000000002</v>
      </c>
      <c r="BB29" s="38">
        <f t="shared" si="208"/>
        <v>5.7447696760688357E-3</v>
      </c>
      <c r="BC29" s="37">
        <v>0.75790000000000002</v>
      </c>
      <c r="BD29" s="38">
        <f t="shared" si="210"/>
        <v>5.4269169951546509E-3</v>
      </c>
      <c r="BE29" s="37">
        <v>0.75790000000000002</v>
      </c>
      <c r="BF29" s="38">
        <f t="shared" si="210"/>
        <v>5.3758474426670302E-3</v>
      </c>
      <c r="BH29" s="35">
        <v>343200</v>
      </c>
      <c r="BI29" s="35">
        <f t="shared" si="212"/>
        <v>1300</v>
      </c>
      <c r="BJ29" s="37">
        <v>28600</v>
      </c>
      <c r="BK29" s="38">
        <f t="shared" si="214"/>
        <v>5.88600107520512E-3</v>
      </c>
      <c r="BL29" s="37">
        <v>28600</v>
      </c>
      <c r="BM29" s="38">
        <f t="shared" si="214"/>
        <v>5.9705272266503736E-3</v>
      </c>
      <c r="BN29" s="37">
        <v>28600</v>
      </c>
      <c r="BO29" s="38">
        <f t="shared" si="215"/>
        <v>5.4098944776253431E-3</v>
      </c>
      <c r="BP29" s="37">
        <v>28600</v>
      </c>
      <c r="BQ29" s="38">
        <f t="shared" si="216"/>
        <v>5.7822250903295444E-3</v>
      </c>
      <c r="BR29" s="37">
        <v>28600</v>
      </c>
      <c r="BS29" s="38">
        <f t="shared" si="217"/>
        <v>5.4454669388834601E-3</v>
      </c>
      <c r="BT29" s="37">
        <v>28600</v>
      </c>
      <c r="BU29" s="38">
        <f t="shared" si="218"/>
        <v>5.4213174661144779E-3</v>
      </c>
      <c r="BV29" s="37">
        <v>28600</v>
      </c>
      <c r="BW29" s="38">
        <f t="shared" si="219"/>
        <v>5.4407233590095744E-3</v>
      </c>
      <c r="BX29" s="37">
        <v>28600</v>
      </c>
      <c r="BY29" s="38">
        <f t="shared" si="220"/>
        <v>5.6021493341490104E-3</v>
      </c>
      <c r="BZ29" s="37">
        <v>28600</v>
      </c>
      <c r="CA29" s="38">
        <f t="shared" si="221"/>
        <v>5.3590496387930292E-3</v>
      </c>
      <c r="CB29" s="37">
        <v>28600</v>
      </c>
      <c r="CC29" s="38">
        <f t="shared" si="222"/>
        <v>5.7447696760688349E-3</v>
      </c>
      <c r="CD29" s="37">
        <v>28600</v>
      </c>
      <c r="CE29" s="38">
        <f t="shared" si="223"/>
        <v>5.4269169951546509E-3</v>
      </c>
      <c r="CF29" s="37">
        <v>28600</v>
      </c>
      <c r="CG29" s="38">
        <f t="shared" si="224"/>
        <v>5.3758474426670293E-3</v>
      </c>
      <c r="CI29" s="35">
        <f t="shared" si="225"/>
        <v>1300</v>
      </c>
      <c r="CJ29" s="35">
        <f t="shared" si="226"/>
        <v>1300</v>
      </c>
      <c r="CK29" s="35">
        <f>IFERROR(BL29/J29,0)</f>
        <v>1300</v>
      </c>
      <c r="CL29" s="35">
        <f>IFERROR(BN29/L29,0)</f>
        <v>1300</v>
      </c>
      <c r="CM29" s="35">
        <f>IFERROR(BP29/N29,0)</f>
        <v>1300</v>
      </c>
      <c r="CN29" s="35">
        <f>IFERROR(BR29/P29,0)</f>
        <v>1300</v>
      </c>
      <c r="CO29" s="35">
        <f>IFERROR(BT29/R29,0)</f>
        <v>1300</v>
      </c>
      <c r="CP29" s="35">
        <f t="shared" si="227"/>
        <v>1300</v>
      </c>
      <c r="CQ29" s="35">
        <f t="shared" si="228"/>
        <v>1300</v>
      </c>
      <c r="CR29" s="35">
        <f t="shared" si="229"/>
        <v>1300</v>
      </c>
      <c r="CS29" s="35">
        <f t="shared" si="230"/>
        <v>1300</v>
      </c>
      <c r="CT29" s="35">
        <f t="shared" si="231"/>
        <v>1300</v>
      </c>
      <c r="CU29" s="35">
        <f t="shared" si="232"/>
        <v>1300</v>
      </c>
    </row>
    <row r="30" spans="1:99" x14ac:dyDescent="0.25">
      <c r="A30" s="34"/>
      <c r="B30" s="34"/>
      <c r="C30" s="34"/>
      <c r="D30" s="34"/>
      <c r="F30" s="35"/>
      <c r="G30" s="36"/>
      <c r="H30" s="37"/>
      <c r="I30" s="38"/>
      <c r="J30" s="37"/>
      <c r="K30" s="38"/>
      <c r="L30" s="37"/>
      <c r="M30" s="38"/>
      <c r="N30" s="37"/>
      <c r="O30" s="38"/>
      <c r="P30" s="37"/>
      <c r="Q30" s="38"/>
      <c r="R30" s="37"/>
      <c r="S30" s="38"/>
      <c r="T30" s="37"/>
      <c r="U30" s="38"/>
      <c r="V30" s="37"/>
      <c r="W30" s="38"/>
      <c r="X30" s="37"/>
      <c r="Y30" s="38"/>
      <c r="Z30" s="37"/>
      <c r="AA30" s="38"/>
      <c r="AB30" s="37"/>
      <c r="AC30" s="38"/>
      <c r="AD30" s="37"/>
      <c r="AE30" s="38"/>
      <c r="AG30" s="35"/>
      <c r="AH30" s="36"/>
      <c r="AI30" s="37"/>
      <c r="AJ30" s="38"/>
      <c r="AK30" s="37"/>
      <c r="AL30" s="38"/>
      <c r="AM30" s="37"/>
      <c r="AN30" s="38"/>
      <c r="AO30" s="37"/>
      <c r="AP30" s="38"/>
      <c r="AQ30" s="37"/>
      <c r="AR30" s="38"/>
      <c r="AS30" s="37"/>
      <c r="AT30" s="38"/>
      <c r="AU30" s="37"/>
      <c r="AV30" s="38"/>
      <c r="AW30" s="37"/>
      <c r="AX30" s="38"/>
      <c r="AY30" s="37"/>
      <c r="AZ30" s="38"/>
      <c r="BA30" s="37"/>
      <c r="BB30" s="38"/>
      <c r="BC30" s="37"/>
      <c r="BD30" s="38"/>
      <c r="BE30" s="37"/>
      <c r="BF30" s="38"/>
      <c r="BH30" s="35"/>
      <c r="BI30" s="35"/>
      <c r="BJ30" s="37"/>
      <c r="BK30" s="38"/>
      <c r="BL30" s="37"/>
      <c r="BM30" s="38"/>
      <c r="BN30" s="37"/>
      <c r="BO30" s="38"/>
      <c r="BP30" s="37"/>
      <c r="BQ30" s="38"/>
      <c r="BR30" s="37"/>
      <c r="BS30" s="38"/>
      <c r="BT30" s="37"/>
      <c r="BU30" s="38"/>
      <c r="BV30" s="37"/>
      <c r="BW30" s="38"/>
      <c r="BX30" s="37"/>
      <c r="BY30" s="38"/>
      <c r="BZ30" s="37"/>
      <c r="CA30" s="38"/>
      <c r="CB30" s="37"/>
      <c r="CC30" s="38"/>
      <c r="CD30" s="37"/>
      <c r="CE30" s="38"/>
      <c r="CF30" s="37"/>
      <c r="CG30" s="38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</row>
    <row r="31" spans="1:99" s="15" customFormat="1" x14ac:dyDescent="0.25">
      <c r="A31" s="39" t="s">
        <v>61</v>
      </c>
      <c r="B31" s="39"/>
      <c r="C31" s="39"/>
      <c r="D31" s="39"/>
      <c r="F31" s="40"/>
      <c r="G31" s="41">
        <f>IFERROR(F31/F$5,0)</f>
        <v>0</v>
      </c>
      <c r="H31" s="42"/>
      <c r="I31" s="43">
        <f t="shared" si="233"/>
        <v>0</v>
      </c>
      <c r="J31" s="42"/>
      <c r="K31" s="43">
        <f t="shared" si="233"/>
        <v>0</v>
      </c>
      <c r="L31" s="42"/>
      <c r="M31" s="43">
        <f t="shared" ref="M31" si="234">IFERROR(L31/L$5,0)</f>
        <v>0</v>
      </c>
      <c r="N31" s="42"/>
      <c r="O31" s="43">
        <f t="shared" ref="O31" si="235">IFERROR(N31/N$5,0)</f>
        <v>0</v>
      </c>
      <c r="P31" s="42"/>
      <c r="Q31" s="43">
        <f t="shared" ref="Q31" si="236">IFERROR(P31/P$5,0)</f>
        <v>0</v>
      </c>
      <c r="R31" s="42"/>
      <c r="S31" s="43">
        <f t="shared" ref="S31" si="237">IFERROR(R31/R$5,0)</f>
        <v>0</v>
      </c>
      <c r="T31" s="42"/>
      <c r="U31" s="43">
        <f t="shared" ref="U31" si="238">IFERROR(T31/T$5,0)</f>
        <v>0</v>
      </c>
      <c r="V31" s="42"/>
      <c r="W31" s="43">
        <f t="shared" ref="W31" si="239">IFERROR(V31/V$5,0)</f>
        <v>0</v>
      </c>
      <c r="X31" s="42"/>
      <c r="Y31" s="43">
        <f t="shared" ref="Y31" si="240">IFERROR(X31/X$5,0)</f>
        <v>0</v>
      </c>
      <c r="Z31" s="42"/>
      <c r="AA31" s="43">
        <f t="shared" ref="AA31" si="241">IFERROR(Z31/Z$5,0)</f>
        <v>0</v>
      </c>
      <c r="AB31" s="42"/>
      <c r="AC31" s="43">
        <f t="shared" ref="AC31" si="242">IFERROR(AB31/AB$5,0)</f>
        <v>0</v>
      </c>
      <c r="AD31" s="42"/>
      <c r="AE31" s="43">
        <f t="shared" ref="AE31" si="243">IFERROR(AD31/AD$5,0)</f>
        <v>0</v>
      </c>
      <c r="AG31" s="40"/>
      <c r="AH31" s="41">
        <f>IFERROR(AG31/AG$5,0)</f>
        <v>0</v>
      </c>
      <c r="AI31" s="42"/>
      <c r="AJ31" s="43">
        <f t="shared" ref="AJ31" si="244">IFERROR(AI31/AI$5,0)</f>
        <v>0</v>
      </c>
      <c r="AK31" s="42"/>
      <c r="AL31" s="43">
        <f t="shared" ref="AL31" si="245">IFERROR(AK31/AK$5,0)</f>
        <v>0</v>
      </c>
      <c r="AM31" s="42"/>
      <c r="AN31" s="43">
        <f t="shared" ref="AN31" si="246">IFERROR(AM31/AM$5,0)</f>
        <v>0</v>
      </c>
      <c r="AO31" s="42"/>
      <c r="AP31" s="43">
        <f t="shared" ref="AP31" si="247">IFERROR(AO31/AO$5,0)</f>
        <v>0</v>
      </c>
      <c r="AQ31" s="42"/>
      <c r="AR31" s="43">
        <f t="shared" ref="AR31" si="248">IFERROR(AQ31/AQ$5,0)</f>
        <v>0</v>
      </c>
      <c r="AS31" s="42"/>
      <c r="AT31" s="43">
        <f t="shared" ref="AT31" si="249">IFERROR(AS31/AS$5,0)</f>
        <v>0</v>
      </c>
      <c r="AU31" s="42"/>
      <c r="AV31" s="43">
        <f t="shared" ref="AV31:AX31" si="250">IFERROR(AU31/AU$5,0)</f>
        <v>0</v>
      </c>
      <c r="AW31" s="42"/>
      <c r="AX31" s="43">
        <f t="shared" si="250"/>
        <v>0</v>
      </c>
      <c r="AY31" s="42"/>
      <c r="AZ31" s="43">
        <f t="shared" ref="AZ31" si="251">IFERROR(AY31/AY$5,0)</f>
        <v>0</v>
      </c>
      <c r="BA31" s="42"/>
      <c r="BB31" s="43">
        <f t="shared" ref="BB31" si="252">IFERROR(BA31/BA$5,0)</f>
        <v>0</v>
      </c>
      <c r="BC31" s="42"/>
      <c r="BD31" s="43">
        <f t="shared" ref="BD31:BF31" si="253">IFERROR(BC31/BC$5,0)</f>
        <v>0</v>
      </c>
      <c r="BE31" s="42"/>
      <c r="BF31" s="43">
        <f t="shared" si="253"/>
        <v>0</v>
      </c>
      <c r="BH31" s="40"/>
      <c r="BI31" s="40"/>
      <c r="BJ31" s="42"/>
      <c r="BK31" s="43">
        <f t="shared" ref="BK31:BM31" si="254">IFERROR(BJ31/BJ$5,0)</f>
        <v>0</v>
      </c>
      <c r="BL31" s="42"/>
      <c r="BM31" s="43">
        <f t="shared" si="254"/>
        <v>0</v>
      </c>
      <c r="BN31" s="42"/>
      <c r="BO31" s="43">
        <f t="shared" ref="BO31" si="255">IFERROR(BN31/BN$5,0)</f>
        <v>0</v>
      </c>
      <c r="BP31" s="42"/>
      <c r="BQ31" s="43">
        <f t="shared" ref="BQ31" si="256">IFERROR(BP31/BP$5,0)</f>
        <v>0</v>
      </c>
      <c r="BR31" s="42"/>
      <c r="BS31" s="43">
        <f t="shared" ref="BS31" si="257">IFERROR(BR31/BR$5,0)</f>
        <v>0</v>
      </c>
      <c r="BT31" s="42"/>
      <c r="BU31" s="43">
        <f t="shared" ref="BU31" si="258">IFERROR(BT31/BT$5,0)</f>
        <v>0</v>
      </c>
      <c r="BV31" s="42"/>
      <c r="BW31" s="43">
        <f t="shared" ref="BW31" si="259">IFERROR(BV31/BV$5,0)</f>
        <v>0</v>
      </c>
      <c r="BX31" s="42"/>
      <c r="BY31" s="43">
        <f t="shared" ref="BY31" si="260">IFERROR(BX31/BX$5,0)</f>
        <v>0</v>
      </c>
      <c r="BZ31" s="42"/>
      <c r="CA31" s="43">
        <f t="shared" ref="CA31" si="261">IFERROR(BZ31/BZ$5,0)</f>
        <v>0</v>
      </c>
      <c r="CB31" s="42"/>
      <c r="CC31" s="43">
        <f t="shared" ref="CC31" si="262">IFERROR(CB31/CB$5,0)</f>
        <v>0</v>
      </c>
      <c r="CD31" s="42"/>
      <c r="CE31" s="43">
        <f t="shared" ref="CE31" si="263">IFERROR(CD31/CD$5,0)</f>
        <v>0</v>
      </c>
      <c r="CF31" s="42"/>
      <c r="CG31" s="43">
        <f t="shared" ref="CG31" si="264">IFERROR(CF31/CF$5,0)</f>
        <v>0</v>
      </c>
      <c r="CI31" s="40">
        <f>IFERROR(BH31/F31,0)</f>
        <v>0</v>
      </c>
      <c r="CJ31" s="40">
        <f>IFERROR(BJ31/H31,0)</f>
        <v>0</v>
      </c>
      <c r="CK31" s="40">
        <f>IFERROR(BL31/J31,0)</f>
        <v>0</v>
      </c>
      <c r="CL31" s="40">
        <f>IFERROR(BN31/L31,0)</f>
        <v>0</v>
      </c>
      <c r="CM31" s="40">
        <f>IFERROR(BP31/N31,0)</f>
        <v>0</v>
      </c>
      <c r="CN31" s="40">
        <f>IFERROR(BR31/P31,0)</f>
        <v>0</v>
      </c>
      <c r="CO31" s="40">
        <f>IFERROR(BT31/R31,0)</f>
        <v>0</v>
      </c>
      <c r="CP31" s="40">
        <f t="shared" ref="CP31" si="265">IFERROR(BV31/T31,0)</f>
        <v>0</v>
      </c>
      <c r="CQ31" s="40">
        <f t="shared" ref="CQ31" si="266">IFERROR(BX31/V31,0)</f>
        <v>0</v>
      </c>
      <c r="CR31" s="40">
        <f t="shared" ref="CR31" si="267">IFERROR(BZ31/X31,0)</f>
        <v>0</v>
      </c>
      <c r="CS31" s="40">
        <f t="shared" ref="CS31" si="268">IFERROR(CB31/Z31,0)</f>
        <v>0</v>
      </c>
      <c r="CT31" s="40">
        <f t="shared" ref="CT31" si="269">IFERROR(CD31/AB31,0)</f>
        <v>0</v>
      </c>
      <c r="CU31" s="40">
        <f t="shared" ref="CU31" si="270">IFERROR(CF31/AD31,0)</f>
        <v>0</v>
      </c>
    </row>
    <row r="32" spans="1:99" s="15" customFormat="1" x14ac:dyDescent="0.25">
      <c r="A32" s="29"/>
      <c r="B32" s="29"/>
      <c r="C32" s="29"/>
      <c r="D32" s="29"/>
      <c r="F32" s="30"/>
      <c r="G32" s="31"/>
      <c r="H32" s="32"/>
      <c r="I32" s="33"/>
      <c r="J32" s="32"/>
      <c r="K32" s="33"/>
      <c r="L32" s="32"/>
      <c r="M32" s="33"/>
      <c r="N32" s="32"/>
      <c r="O32" s="33"/>
      <c r="P32" s="32"/>
      <c r="Q32" s="33"/>
      <c r="R32" s="32"/>
      <c r="S32" s="33"/>
      <c r="T32" s="32"/>
      <c r="U32" s="33"/>
      <c r="V32" s="32"/>
      <c r="W32" s="33"/>
      <c r="X32" s="32"/>
      <c r="Y32" s="33"/>
      <c r="Z32" s="32"/>
      <c r="AA32" s="33"/>
      <c r="AB32" s="32"/>
      <c r="AC32" s="33"/>
      <c r="AD32" s="32"/>
      <c r="AE32" s="33"/>
      <c r="AG32" s="30"/>
      <c r="AH32" s="31"/>
      <c r="AI32" s="32"/>
      <c r="AJ32" s="33"/>
      <c r="AK32" s="32"/>
      <c r="AL32" s="33"/>
      <c r="AM32" s="32"/>
      <c r="AN32" s="33"/>
      <c r="AO32" s="32"/>
      <c r="AP32" s="33"/>
      <c r="AQ32" s="32"/>
      <c r="AR32" s="33"/>
      <c r="AS32" s="32"/>
      <c r="AT32" s="33"/>
      <c r="AU32" s="32"/>
      <c r="AV32" s="33"/>
      <c r="AW32" s="32"/>
      <c r="AX32" s="33"/>
      <c r="AY32" s="32"/>
      <c r="AZ32" s="33"/>
      <c r="BA32" s="32"/>
      <c r="BB32" s="33"/>
      <c r="BC32" s="32"/>
      <c r="BD32" s="33"/>
      <c r="BE32" s="32"/>
      <c r="BF32" s="33"/>
      <c r="BH32" s="30"/>
      <c r="BI32" s="30"/>
      <c r="BJ32" s="32"/>
      <c r="BK32" s="33"/>
      <c r="BL32" s="32"/>
      <c r="BM32" s="33"/>
      <c r="BN32" s="32"/>
      <c r="BO32" s="33"/>
      <c r="BP32" s="32"/>
      <c r="BQ32" s="33"/>
      <c r="BR32" s="32"/>
      <c r="BS32" s="33"/>
      <c r="BT32" s="32"/>
      <c r="BU32" s="33"/>
      <c r="BV32" s="32"/>
      <c r="BW32" s="33"/>
      <c r="BX32" s="32"/>
      <c r="BY32" s="33"/>
      <c r="BZ32" s="32"/>
      <c r="CA32" s="33"/>
      <c r="CB32" s="32"/>
      <c r="CC32" s="33"/>
      <c r="CD32" s="32"/>
      <c r="CE32" s="33"/>
      <c r="CF32" s="32"/>
      <c r="CG32" s="33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</row>
    <row r="33" spans="1:99" s="15" customFormat="1" x14ac:dyDescent="0.25">
      <c r="A33" s="39" t="s">
        <v>62</v>
      </c>
      <c r="B33" s="39"/>
      <c r="C33" s="39"/>
      <c r="D33" s="39"/>
      <c r="F33" s="40">
        <f>F34+F40</f>
        <v>858</v>
      </c>
      <c r="G33" s="41">
        <f t="shared" ref="G33:G41" si="271">IFERROR(F33/F$5,0)</f>
        <v>1.5599999999379766E-2</v>
      </c>
      <c r="H33" s="42">
        <f t="shared" ref="H33:AD33" si="272">H34+H40</f>
        <v>72</v>
      </c>
      <c r="I33" s="43">
        <f t="shared" si="233"/>
        <v>1.6673525457700105E-2</v>
      </c>
      <c r="J33" s="42">
        <f t="shared" si="272"/>
        <v>63</v>
      </c>
      <c r="K33" s="43">
        <f t="shared" si="233"/>
        <v>1.4811977575463077E-2</v>
      </c>
      <c r="L33" s="42">
        <f t="shared" si="272"/>
        <v>72</v>
      </c>
      <c r="M33" s="43">
        <f t="shared" ref="M33:M41" si="273">IFERROR(L33/L$5,0)</f>
        <v>1.5389359110248508E-2</v>
      </c>
      <c r="N33" s="42">
        <f t="shared" si="272"/>
        <v>63</v>
      </c>
      <c r="O33" s="43">
        <f t="shared" ref="O33:O41" si="274">IFERROR(N33/N$5,0)</f>
        <v>1.4336977861141877E-2</v>
      </c>
      <c r="P33" s="42">
        <f t="shared" si="272"/>
        <v>72</v>
      </c>
      <c r="Q33" s="43">
        <f t="shared" ref="Q33:Q41" si="275">IFERROR(P33/P$5,0)</f>
        <v>1.543925835357178E-2</v>
      </c>
      <c r="R33" s="42">
        <f t="shared" si="272"/>
        <v>87</v>
      </c>
      <c r="S33" s="43">
        <f t="shared" ref="S33:S41" si="276">IFERROR(R33/R$5,0)</f>
        <v>1.854238846029652E-2</v>
      </c>
      <c r="T33" s="42">
        <f t="shared" si="272"/>
        <v>72</v>
      </c>
      <c r="U33" s="43">
        <f t="shared" ref="U33:U41" si="277">IFERROR(T33/T$5,0)</f>
        <v>1.5353702879063997E-2</v>
      </c>
      <c r="V33" s="42">
        <f t="shared" si="272"/>
        <v>63</v>
      </c>
      <c r="W33" s="43">
        <f t="shared" ref="W33:W41" si="278">IFERROR(V33/V$5,0)</f>
        <v>1.3807161514984706E-2</v>
      </c>
      <c r="X33" s="42">
        <f t="shared" si="272"/>
        <v>72</v>
      </c>
      <c r="Y33" s="43">
        <f t="shared" ref="Y33:Y41" si="279">IFERROR(X33/X$5,0)</f>
        <v>1.5079724297299223E-2</v>
      </c>
      <c r="Z33" s="42">
        <f t="shared" si="272"/>
        <v>87</v>
      </c>
      <c r="AA33" s="43">
        <f t="shared" ref="AA33:AA41" si="280">IFERROR(Z33/Z$5,0)</f>
        <v>1.9469070405386833E-2</v>
      </c>
      <c r="AB33" s="42">
        <f t="shared" si="272"/>
        <v>72</v>
      </c>
      <c r="AC33" s="43">
        <f t="shared" ref="AC33:AC41" si="281">IFERROR(AB33/AB$5,0)</f>
        <v>1.5253451592039906E-2</v>
      </c>
      <c r="AD33" s="42">
        <f t="shared" si="272"/>
        <v>63</v>
      </c>
      <c r="AE33" s="43">
        <f t="shared" ref="AE33:AE41" si="282">IFERROR(AD33/AD$5,0)</f>
        <v>1.3167463922921048E-2</v>
      </c>
      <c r="AG33" s="40">
        <f t="shared" ref="AG33:BH33" si="283">AG34+AG40</f>
        <v>15.820500000000001</v>
      </c>
      <c r="AH33" s="41">
        <f t="shared" ref="AH33:AH41" si="284">IFERROR(AG33/AG$5,0)</f>
        <v>9.6795068865118301E-3</v>
      </c>
      <c r="AI33" s="42">
        <f t="shared" si="283"/>
        <v>1.3196999999999999</v>
      </c>
      <c r="AJ33" s="43">
        <f t="shared" ref="AJ33:AJ41" si="285">IFERROR(AI33/AI$5,0)</f>
        <v>1.0249050823259264E-2</v>
      </c>
      <c r="AK33" s="42">
        <f t="shared" ref="AK33" si="286">AK34+AK40</f>
        <v>1.16865</v>
      </c>
      <c r="AL33" s="43">
        <f t="shared" ref="AL33:AL41" si="287">IFERROR(AK33/AK$5,0)</f>
        <v>9.2063024718629892E-3</v>
      </c>
      <c r="AM33" s="42">
        <f t="shared" ref="AM33" si="288">AM34+AM40</f>
        <v>1.3196999999999999</v>
      </c>
      <c r="AN33" s="43">
        <f t="shared" ref="AN33:AN41" si="289">IFERROR(AM33/AM$5,0)</f>
        <v>9.4200260484525178E-3</v>
      </c>
      <c r="AO33" s="42">
        <f t="shared" ref="AO33" si="290">AO34+AO40</f>
        <v>1.16865</v>
      </c>
      <c r="AP33" s="43">
        <f t="shared" ref="AP33:AP41" si="291">IFERROR(AO33/AO$5,0)</f>
        <v>8.9159484784452053E-3</v>
      </c>
      <c r="AQ33" s="42">
        <f t="shared" ref="AQ33" si="292">AQ34+AQ40</f>
        <v>1.3196999999999999</v>
      </c>
      <c r="AR33" s="43">
        <f t="shared" ref="AR33:AR41" si="293">IFERROR(AQ33/AQ$5,0)</f>
        <v>9.4819669075663065E-3</v>
      </c>
      <c r="AS33" s="42">
        <f t="shared" ref="AS33" si="294">AS34+AS40</f>
        <v>1.6138499999999998</v>
      </c>
      <c r="AT33" s="43">
        <f t="shared" ref="AT33:AT41" si="295">IFERROR(AS33/AS$5,0)</f>
        <v>1.1543994184838169E-2</v>
      </c>
      <c r="AU33" s="42">
        <f t="shared" ref="AU33" si="296">AU34+AU40</f>
        <v>1.3196999999999999</v>
      </c>
      <c r="AV33" s="43">
        <f t="shared" ref="AV33:AX41" si="297">IFERROR(AU33/AU$5,0)</f>
        <v>9.473707107646041E-3</v>
      </c>
      <c r="AW33" s="42">
        <f t="shared" ref="AW33" si="298">AW34+AW40</f>
        <v>1.16865</v>
      </c>
      <c r="AX33" s="43">
        <f t="shared" si="297"/>
        <v>8.6382792180409555E-3</v>
      </c>
      <c r="AY33" s="42">
        <f t="shared" ref="AY33" si="299">AY34+AY40</f>
        <v>1.3196999999999999</v>
      </c>
      <c r="AZ33" s="43">
        <f t="shared" ref="AZ33:AZ41" si="300">IFERROR(AY33/AY$5,0)</f>
        <v>9.33149202838786E-3</v>
      </c>
      <c r="BA33" s="42">
        <f t="shared" ref="BA33" si="301">BA34+BA40</f>
        <v>1.6138499999999998</v>
      </c>
      <c r="BB33" s="43">
        <f t="shared" ref="BB33:BB41" si="302">IFERROR(BA33/BA$5,0)</f>
        <v>1.2232743820720001E-2</v>
      </c>
      <c r="BC33" s="42">
        <f t="shared" ref="BC33" si="303">BC34+BC40</f>
        <v>1.3196999999999999</v>
      </c>
      <c r="BD33" s="43">
        <f t="shared" ref="BD33:BF41" si="304">IFERROR(BC33/BC$5,0)</f>
        <v>9.4496666558986572E-3</v>
      </c>
      <c r="BE33" s="42">
        <f t="shared" ref="BE33" si="305">BE34+BE40</f>
        <v>1.16865</v>
      </c>
      <c r="BF33" s="43">
        <f t="shared" si="304"/>
        <v>8.2893311965599997E-3</v>
      </c>
      <c r="BH33" s="40">
        <f t="shared" si="283"/>
        <v>597000</v>
      </c>
      <c r="BI33" s="40">
        <f t="shared" ref="BI33:BI41" si="306">IFERROR(BH33/F33,0)</f>
        <v>695.80419580419584</v>
      </c>
      <c r="BJ33" s="42">
        <f t="shared" ref="BJ33" si="307">BJ34+BJ40</f>
        <v>49800</v>
      </c>
      <c r="BK33" s="43">
        <f t="shared" ref="BK33:BM41" si="308">IFERROR(BJ33/BJ$5,0)</f>
        <v>1.0249050823259265E-2</v>
      </c>
      <c r="BL33" s="42">
        <f t="shared" ref="BL33" si="309">BL34+BL40</f>
        <v>44100</v>
      </c>
      <c r="BM33" s="43">
        <f t="shared" si="308"/>
        <v>9.2063024718629875E-3</v>
      </c>
      <c r="BN33" s="42">
        <f t="shared" ref="BN33" si="310">BN34+BN40</f>
        <v>49800</v>
      </c>
      <c r="BO33" s="43">
        <f t="shared" ref="BO33:BO41" si="311">IFERROR(BN33/BN$5,0)</f>
        <v>9.4200260484525195E-3</v>
      </c>
      <c r="BP33" s="42">
        <f t="shared" ref="BP33" si="312">BP34+BP40</f>
        <v>44100</v>
      </c>
      <c r="BQ33" s="43">
        <f t="shared" ref="BQ33:BQ41" si="313">IFERROR(BP33/BP$5,0)</f>
        <v>8.9159484784452053E-3</v>
      </c>
      <c r="BR33" s="42">
        <f t="shared" ref="BR33" si="314">BR34+BR40</f>
        <v>49800</v>
      </c>
      <c r="BS33" s="43">
        <f t="shared" ref="BS33:BS41" si="315">IFERROR(BR33/BR$5,0)</f>
        <v>9.4819669075663048E-3</v>
      </c>
      <c r="BT33" s="42">
        <f t="shared" ref="BT33" si="316">BT34+BT40</f>
        <v>60900</v>
      </c>
      <c r="BU33" s="43">
        <f t="shared" ref="BU33:BU41" si="317">IFERROR(BT33/BT$5,0)</f>
        <v>1.1543994184838171E-2</v>
      </c>
      <c r="BV33" s="42">
        <f t="shared" ref="BV33" si="318">BV34+BV40</f>
        <v>49800</v>
      </c>
      <c r="BW33" s="43">
        <f t="shared" ref="BW33:BW41" si="319">IFERROR(BV33/BV$5,0)</f>
        <v>9.4737071076460427E-3</v>
      </c>
      <c r="BX33" s="42">
        <f t="shared" ref="BX33" si="320">BX34+BX40</f>
        <v>44100</v>
      </c>
      <c r="BY33" s="43">
        <f t="shared" ref="BY33:BY41" si="321">IFERROR(BX33/BX$5,0)</f>
        <v>8.6382792180409555E-3</v>
      </c>
      <c r="BZ33" s="42">
        <f t="shared" ref="BZ33" si="322">BZ34+BZ40</f>
        <v>49800</v>
      </c>
      <c r="CA33" s="43">
        <f t="shared" ref="CA33:CA41" si="323">IFERROR(BZ33/BZ$5,0)</f>
        <v>9.3314920283878618E-3</v>
      </c>
      <c r="CB33" s="42">
        <f t="shared" ref="CB33" si="324">CB34+CB40</f>
        <v>60900</v>
      </c>
      <c r="CC33" s="43">
        <f t="shared" ref="CC33:CC41" si="325">IFERROR(CB33/CB$5,0)</f>
        <v>1.2232743820720001E-2</v>
      </c>
      <c r="CD33" s="42">
        <f t="shared" ref="CD33" si="326">CD34+CD40</f>
        <v>49800</v>
      </c>
      <c r="CE33" s="43">
        <f t="shared" ref="CE33:CE41" si="327">IFERROR(CD33/CD$5,0)</f>
        <v>9.4496666558986572E-3</v>
      </c>
      <c r="CF33" s="42">
        <f t="shared" ref="CF33" si="328">CF34+CF40</f>
        <v>44100</v>
      </c>
      <c r="CG33" s="43">
        <f t="shared" ref="CG33:CG41" si="329">IFERROR(CF33/CF$5,0)</f>
        <v>8.2893311965599997E-3</v>
      </c>
      <c r="CI33" s="40">
        <f t="shared" ref="CI33:CI41" si="330">IFERROR(BH33/F33,0)</f>
        <v>695.80419580419584</v>
      </c>
      <c r="CJ33" s="40">
        <f t="shared" ref="CJ33:CJ41" si="331">IFERROR(BJ33/H33,0)</f>
        <v>691.66666666666663</v>
      </c>
      <c r="CK33" s="40">
        <f>IFERROR(BL33/J33,0)</f>
        <v>700</v>
      </c>
      <c r="CL33" s="40">
        <f>IFERROR(BN33/L33,0)</f>
        <v>691.66666666666663</v>
      </c>
      <c r="CM33" s="40">
        <f>IFERROR(BP33/N33,0)</f>
        <v>700</v>
      </c>
      <c r="CN33" s="40">
        <f>IFERROR(BR33/P33,0)</f>
        <v>691.66666666666663</v>
      </c>
      <c r="CO33" s="40">
        <f>IFERROR(BT33/R33,0)</f>
        <v>700</v>
      </c>
      <c r="CP33" s="40">
        <f t="shared" ref="CP33:CP41" si="332">IFERROR(BV33/T33,0)</f>
        <v>691.66666666666663</v>
      </c>
      <c r="CQ33" s="40">
        <f t="shared" ref="CQ33:CQ41" si="333">IFERROR(BX33/V33,0)</f>
        <v>700</v>
      </c>
      <c r="CR33" s="40">
        <f t="shared" ref="CR33:CR41" si="334">IFERROR(BZ33/X33,0)</f>
        <v>691.66666666666663</v>
      </c>
      <c r="CS33" s="40">
        <f t="shared" ref="CS33:CS41" si="335">IFERROR(CB33/Z33,0)</f>
        <v>700</v>
      </c>
      <c r="CT33" s="40">
        <f t="shared" ref="CT33:CT41" si="336">IFERROR(CD33/AB33,0)</f>
        <v>691.66666666666663</v>
      </c>
      <c r="CU33" s="40">
        <f t="shared" ref="CU33:CU41" si="337">IFERROR(CF33/AD33,0)</f>
        <v>700</v>
      </c>
    </row>
    <row r="34" spans="1:99" s="15" customFormat="1" x14ac:dyDescent="0.25">
      <c r="A34" s="29"/>
      <c r="B34" s="29" t="s">
        <v>63</v>
      </c>
      <c r="C34" s="29"/>
      <c r="D34" s="29"/>
      <c r="F34" s="30">
        <f>SUM(F35:F39)</f>
        <v>822</v>
      </c>
      <c r="G34" s="31">
        <f t="shared" si="271"/>
        <v>1.4945454544860334E-2</v>
      </c>
      <c r="H34" s="32">
        <f t="shared" ref="H34:AD34" si="338">SUM(H35:H39)</f>
        <v>66</v>
      </c>
      <c r="I34" s="33">
        <f t="shared" si="233"/>
        <v>1.5284065002891764E-2</v>
      </c>
      <c r="J34" s="32">
        <f t="shared" si="338"/>
        <v>63</v>
      </c>
      <c r="K34" s="33">
        <f t="shared" si="233"/>
        <v>1.4811977575463077E-2</v>
      </c>
      <c r="L34" s="32">
        <f t="shared" si="338"/>
        <v>66</v>
      </c>
      <c r="M34" s="33">
        <f t="shared" si="273"/>
        <v>1.4106912517727799E-2</v>
      </c>
      <c r="N34" s="32">
        <f t="shared" si="338"/>
        <v>63</v>
      </c>
      <c r="O34" s="33">
        <f t="shared" si="274"/>
        <v>1.4336977861141877E-2</v>
      </c>
      <c r="P34" s="32">
        <f t="shared" si="338"/>
        <v>66</v>
      </c>
      <c r="Q34" s="33">
        <f t="shared" si="275"/>
        <v>1.4152653490774133E-2</v>
      </c>
      <c r="R34" s="32">
        <f t="shared" si="338"/>
        <v>87</v>
      </c>
      <c r="S34" s="33">
        <f t="shared" si="276"/>
        <v>1.854238846029652E-2</v>
      </c>
      <c r="T34" s="32">
        <f t="shared" si="338"/>
        <v>66</v>
      </c>
      <c r="U34" s="33">
        <f t="shared" si="277"/>
        <v>1.4074227639141996E-2</v>
      </c>
      <c r="V34" s="32">
        <f t="shared" si="338"/>
        <v>63</v>
      </c>
      <c r="W34" s="33">
        <f t="shared" si="278"/>
        <v>1.3807161514984706E-2</v>
      </c>
      <c r="X34" s="32">
        <f t="shared" si="338"/>
        <v>66</v>
      </c>
      <c r="Y34" s="33">
        <f t="shared" si="279"/>
        <v>1.3823080605857621E-2</v>
      </c>
      <c r="Z34" s="32">
        <f t="shared" si="338"/>
        <v>87</v>
      </c>
      <c r="AA34" s="33">
        <f t="shared" si="280"/>
        <v>1.9469070405386833E-2</v>
      </c>
      <c r="AB34" s="32">
        <f t="shared" si="338"/>
        <v>66</v>
      </c>
      <c r="AC34" s="33">
        <f t="shared" si="281"/>
        <v>1.3982330626036581E-2</v>
      </c>
      <c r="AD34" s="32">
        <f t="shared" si="338"/>
        <v>63</v>
      </c>
      <c r="AE34" s="33">
        <f t="shared" si="282"/>
        <v>1.3167463922921048E-2</v>
      </c>
      <c r="AG34" s="30">
        <f>SUM(AG35:AG39)</f>
        <v>15.248100000000001</v>
      </c>
      <c r="AH34" s="31">
        <f t="shared" si="284"/>
        <v>9.3292935720249714E-3</v>
      </c>
      <c r="AI34" s="32">
        <f t="shared" ref="AI34" si="339">SUM(AI35:AI39)</f>
        <v>1.2242999999999999</v>
      </c>
      <c r="AJ34" s="33">
        <f t="shared" si="285"/>
        <v>9.5081555830236544E-3</v>
      </c>
      <c r="AK34" s="32">
        <f t="shared" ref="AK34" si="340">SUM(AK35:AK39)</f>
        <v>1.16865</v>
      </c>
      <c r="AL34" s="33">
        <f t="shared" si="287"/>
        <v>9.2063024718629892E-3</v>
      </c>
      <c r="AM34" s="32">
        <f t="shared" ref="AM34" si="341">SUM(AM35:AM39)</f>
        <v>1.2242999999999999</v>
      </c>
      <c r="AN34" s="33">
        <f t="shared" si="289"/>
        <v>8.7390603100101685E-3</v>
      </c>
      <c r="AO34" s="32">
        <f t="shared" ref="AO34" si="342">SUM(AO35:AO39)</f>
        <v>1.16865</v>
      </c>
      <c r="AP34" s="33">
        <f t="shared" si="291"/>
        <v>8.9159484784452053E-3</v>
      </c>
      <c r="AQ34" s="32">
        <f t="shared" ref="AQ34" si="343">SUM(AQ35:AQ39)</f>
        <v>1.2242999999999999</v>
      </c>
      <c r="AR34" s="33">
        <f t="shared" si="293"/>
        <v>8.7965235166578993E-3</v>
      </c>
      <c r="AS34" s="32">
        <f t="shared" ref="AS34" si="344">SUM(AS35:AS39)</f>
        <v>1.6138499999999998</v>
      </c>
      <c r="AT34" s="33">
        <f t="shared" si="295"/>
        <v>1.1543994184838169E-2</v>
      </c>
      <c r="AU34" s="32">
        <f t="shared" ref="AU34" si="345">SUM(AU35:AU39)</f>
        <v>1.2242999999999999</v>
      </c>
      <c r="AV34" s="33">
        <f t="shared" si="297"/>
        <v>8.7888608107077725E-3</v>
      </c>
      <c r="AW34" s="32">
        <f t="shared" ref="AW34" si="346">SUM(AW35:AW39)</f>
        <v>1.16865</v>
      </c>
      <c r="AX34" s="33">
        <f t="shared" si="297"/>
        <v>8.6382792180409555E-3</v>
      </c>
      <c r="AY34" s="32">
        <f t="shared" ref="AY34" si="347">SUM(AY35:AY39)</f>
        <v>1.2242999999999999</v>
      </c>
      <c r="AZ34" s="33">
        <f t="shared" si="300"/>
        <v>8.6569263395887379E-3</v>
      </c>
      <c r="BA34" s="32">
        <f t="shared" ref="BA34" si="348">SUM(BA35:BA39)</f>
        <v>1.6138499999999998</v>
      </c>
      <c r="BB34" s="33">
        <f t="shared" si="302"/>
        <v>1.2232743820720001E-2</v>
      </c>
      <c r="BC34" s="32">
        <f t="shared" ref="BC34" si="349">SUM(BC35:BC39)</f>
        <v>1.2242999999999999</v>
      </c>
      <c r="BD34" s="33">
        <f t="shared" si="304"/>
        <v>8.7665582229421272E-3</v>
      </c>
      <c r="BE34" s="32">
        <f t="shared" ref="BE34" si="350">SUM(BE35:BE39)</f>
        <v>1.16865</v>
      </c>
      <c r="BF34" s="33">
        <f t="shared" si="304"/>
        <v>8.2893311965599997E-3</v>
      </c>
      <c r="BH34" s="30">
        <f>SUM(BH35:BH39)</f>
        <v>575400</v>
      </c>
      <c r="BI34" s="30">
        <f t="shared" si="306"/>
        <v>700</v>
      </c>
      <c r="BJ34" s="32">
        <f t="shared" ref="BJ34:CF34" si="351">SUM(BJ35:BJ39)</f>
        <v>46200</v>
      </c>
      <c r="BK34" s="33">
        <f t="shared" si="308"/>
        <v>9.5081555830236562E-3</v>
      </c>
      <c r="BL34" s="32">
        <f t="shared" si="351"/>
        <v>44100</v>
      </c>
      <c r="BM34" s="33">
        <f t="shared" si="308"/>
        <v>9.2063024718629875E-3</v>
      </c>
      <c r="BN34" s="32">
        <f t="shared" si="351"/>
        <v>46200</v>
      </c>
      <c r="BO34" s="33">
        <f t="shared" si="311"/>
        <v>8.7390603100101702E-3</v>
      </c>
      <c r="BP34" s="32">
        <f t="shared" si="351"/>
        <v>44100</v>
      </c>
      <c r="BQ34" s="33">
        <f t="shared" si="313"/>
        <v>8.9159484784452053E-3</v>
      </c>
      <c r="BR34" s="32">
        <f t="shared" si="351"/>
        <v>46200</v>
      </c>
      <c r="BS34" s="33">
        <f t="shared" si="315"/>
        <v>8.7965235166578976E-3</v>
      </c>
      <c r="BT34" s="32">
        <f t="shared" si="351"/>
        <v>60900</v>
      </c>
      <c r="BU34" s="33">
        <f t="shared" si="317"/>
        <v>1.1543994184838171E-2</v>
      </c>
      <c r="BV34" s="32">
        <f t="shared" si="351"/>
        <v>46200</v>
      </c>
      <c r="BW34" s="33">
        <f t="shared" si="319"/>
        <v>8.7888608107077743E-3</v>
      </c>
      <c r="BX34" s="32">
        <f t="shared" si="351"/>
        <v>44100</v>
      </c>
      <c r="BY34" s="33">
        <f t="shared" si="321"/>
        <v>8.6382792180409555E-3</v>
      </c>
      <c r="BZ34" s="32">
        <f t="shared" si="351"/>
        <v>46200</v>
      </c>
      <c r="CA34" s="33">
        <f t="shared" si="323"/>
        <v>8.6569263395887396E-3</v>
      </c>
      <c r="CB34" s="32">
        <f t="shared" si="351"/>
        <v>60900</v>
      </c>
      <c r="CC34" s="33">
        <f t="shared" si="325"/>
        <v>1.2232743820720001E-2</v>
      </c>
      <c r="CD34" s="32">
        <f t="shared" si="351"/>
        <v>46200</v>
      </c>
      <c r="CE34" s="33">
        <f t="shared" si="327"/>
        <v>8.766558222942129E-3</v>
      </c>
      <c r="CF34" s="32">
        <f t="shared" si="351"/>
        <v>44100</v>
      </c>
      <c r="CG34" s="33">
        <f t="shared" si="329"/>
        <v>8.2893311965599997E-3</v>
      </c>
      <c r="CI34" s="30">
        <f t="shared" si="330"/>
        <v>700</v>
      </c>
      <c r="CJ34" s="30">
        <f t="shared" si="331"/>
        <v>700</v>
      </c>
      <c r="CK34" s="30">
        <f>IFERROR(BL34/J34,0)</f>
        <v>700</v>
      </c>
      <c r="CL34" s="30">
        <f>IFERROR(BN34/L34,0)</f>
        <v>700</v>
      </c>
      <c r="CM34" s="30">
        <f>IFERROR(BP34/N34,0)</f>
        <v>700</v>
      </c>
      <c r="CN34" s="30">
        <f>IFERROR(BR34/P34,0)</f>
        <v>700</v>
      </c>
      <c r="CO34" s="30">
        <f>IFERROR(BT34/R34,0)</f>
        <v>700</v>
      </c>
      <c r="CP34" s="30">
        <f t="shared" si="332"/>
        <v>700</v>
      </c>
      <c r="CQ34" s="30">
        <f t="shared" si="333"/>
        <v>700</v>
      </c>
      <c r="CR34" s="30">
        <f t="shared" si="334"/>
        <v>700</v>
      </c>
      <c r="CS34" s="30">
        <f t="shared" si="335"/>
        <v>700</v>
      </c>
      <c r="CT34" s="30">
        <f t="shared" si="336"/>
        <v>700</v>
      </c>
      <c r="CU34" s="30">
        <f t="shared" si="337"/>
        <v>700</v>
      </c>
    </row>
    <row r="35" spans="1:99" outlineLevel="1" x14ac:dyDescent="0.25">
      <c r="A35" s="34"/>
      <c r="B35" s="34"/>
      <c r="C35" s="34" t="s">
        <v>64</v>
      </c>
      <c r="D35" s="34" t="s">
        <v>65</v>
      </c>
      <c r="F35" s="35">
        <v>618</v>
      </c>
      <c r="G35" s="36">
        <f t="shared" si="271"/>
        <v>1.1236363635916895E-2</v>
      </c>
      <c r="H35" s="37">
        <v>53</v>
      </c>
      <c r="I35" s="38">
        <f t="shared" si="233"/>
        <v>1.2273567350807023E-2</v>
      </c>
      <c r="J35" s="37">
        <v>50</v>
      </c>
      <c r="K35" s="38">
        <f t="shared" si="233"/>
        <v>1.1755537758304029E-2</v>
      </c>
      <c r="L35" s="37">
        <v>53</v>
      </c>
      <c r="M35" s="38">
        <f t="shared" si="273"/>
        <v>1.1328278233932929E-2</v>
      </c>
      <c r="N35" s="37">
        <v>50</v>
      </c>
      <c r="O35" s="38">
        <f t="shared" si="274"/>
        <v>1.1378553858049109E-2</v>
      </c>
      <c r="P35" s="37">
        <v>53</v>
      </c>
      <c r="Q35" s="38">
        <f t="shared" si="275"/>
        <v>1.1365009621379226E-2</v>
      </c>
      <c r="R35" s="37">
        <v>50</v>
      </c>
      <c r="S35" s="38">
        <f t="shared" si="276"/>
        <v>1.0656545092124436E-2</v>
      </c>
      <c r="T35" s="37">
        <v>53</v>
      </c>
      <c r="U35" s="38">
        <f t="shared" si="277"/>
        <v>1.1302031285977664E-2</v>
      </c>
      <c r="V35" s="37">
        <v>50</v>
      </c>
      <c r="W35" s="38">
        <f t="shared" si="278"/>
        <v>1.0958064694432307E-2</v>
      </c>
      <c r="X35" s="37">
        <v>53</v>
      </c>
      <c r="Y35" s="38">
        <f t="shared" si="279"/>
        <v>1.110035260773415E-2</v>
      </c>
      <c r="Z35" s="37">
        <v>50</v>
      </c>
      <c r="AA35" s="38">
        <f t="shared" si="280"/>
        <v>1.118912092263611E-2</v>
      </c>
      <c r="AB35" s="37">
        <v>53</v>
      </c>
      <c r="AC35" s="38">
        <f t="shared" si="281"/>
        <v>1.1228235199696042E-2</v>
      </c>
      <c r="AD35" s="37">
        <v>50</v>
      </c>
      <c r="AE35" s="38">
        <f t="shared" si="282"/>
        <v>1.0450368192794483E-2</v>
      </c>
      <c r="AG35" s="35">
        <v>11.463900000000001</v>
      </c>
      <c r="AH35" s="36">
        <f t="shared" si="284"/>
        <v>7.0139944373618394E-3</v>
      </c>
      <c r="AI35" s="37">
        <v>0.98314999999999997</v>
      </c>
      <c r="AJ35" s="38">
        <f t="shared" si="285"/>
        <v>7.6353370590947532E-3</v>
      </c>
      <c r="AK35" s="37">
        <v>0.92749999999999999</v>
      </c>
      <c r="AL35" s="38">
        <f t="shared" si="287"/>
        <v>7.3065892633833243E-3</v>
      </c>
      <c r="AM35" s="37">
        <v>0.98314999999999997</v>
      </c>
      <c r="AN35" s="38">
        <f t="shared" si="289"/>
        <v>7.0177302489475594E-3</v>
      </c>
      <c r="AO35" s="37">
        <v>0.92749999999999999</v>
      </c>
      <c r="AP35" s="38">
        <f t="shared" si="291"/>
        <v>7.0761495860676236E-3</v>
      </c>
      <c r="AQ35" s="37">
        <v>0.98314999999999997</v>
      </c>
      <c r="AR35" s="38">
        <f t="shared" si="293"/>
        <v>7.0638749451949791E-3</v>
      </c>
      <c r="AS35" s="37">
        <v>0.92749999999999999</v>
      </c>
      <c r="AT35" s="38">
        <f t="shared" si="295"/>
        <v>6.6344794165736614E-3</v>
      </c>
      <c r="AU35" s="37">
        <v>0.98314999999999997</v>
      </c>
      <c r="AV35" s="38">
        <f t="shared" si="297"/>
        <v>7.0577215601138176E-3</v>
      </c>
      <c r="AW35" s="37">
        <v>0.92749999999999999</v>
      </c>
      <c r="AX35" s="38">
        <f t="shared" si="297"/>
        <v>6.8557771571753617E-3</v>
      </c>
      <c r="AY35" s="37">
        <v>0.98314999999999997</v>
      </c>
      <c r="AZ35" s="38">
        <f t="shared" si="300"/>
        <v>6.9517741817909573E-3</v>
      </c>
      <c r="BA35" s="37">
        <v>0.92749999999999999</v>
      </c>
      <c r="BB35" s="38">
        <f t="shared" si="302"/>
        <v>7.0303125406436795E-3</v>
      </c>
      <c r="BC35" s="37">
        <v>0.98314999999999997</v>
      </c>
      <c r="BD35" s="38">
        <f t="shared" si="304"/>
        <v>7.0398119063020117E-3</v>
      </c>
      <c r="BE35" s="37">
        <v>0.92749999999999999</v>
      </c>
      <c r="BF35" s="38">
        <f t="shared" si="304"/>
        <v>6.578834282984127E-3</v>
      </c>
      <c r="BH35" s="35">
        <v>432600</v>
      </c>
      <c r="BI35" s="35">
        <f t="shared" si="306"/>
        <v>700</v>
      </c>
      <c r="BJ35" s="37">
        <v>37100</v>
      </c>
      <c r="BK35" s="38">
        <f t="shared" si="308"/>
        <v>7.6353370590947541E-3</v>
      </c>
      <c r="BL35" s="37">
        <v>35000</v>
      </c>
      <c r="BM35" s="38">
        <f t="shared" si="308"/>
        <v>7.3065892633833243E-3</v>
      </c>
      <c r="BN35" s="37">
        <v>37100</v>
      </c>
      <c r="BO35" s="38">
        <f t="shared" si="311"/>
        <v>7.0177302489475603E-3</v>
      </c>
      <c r="BP35" s="37">
        <v>35000</v>
      </c>
      <c r="BQ35" s="38">
        <f t="shared" si="313"/>
        <v>7.0761495860676236E-3</v>
      </c>
      <c r="BR35" s="37">
        <v>37100</v>
      </c>
      <c r="BS35" s="38">
        <f t="shared" si="315"/>
        <v>7.0638749451949782E-3</v>
      </c>
      <c r="BT35" s="37">
        <v>35000</v>
      </c>
      <c r="BU35" s="38">
        <f t="shared" si="317"/>
        <v>6.6344794165736614E-3</v>
      </c>
      <c r="BV35" s="37">
        <v>37100</v>
      </c>
      <c r="BW35" s="38">
        <f t="shared" si="319"/>
        <v>7.0577215601138185E-3</v>
      </c>
      <c r="BX35" s="37">
        <v>35000</v>
      </c>
      <c r="BY35" s="38">
        <f t="shared" si="321"/>
        <v>6.8557771571753617E-3</v>
      </c>
      <c r="BZ35" s="37">
        <v>37100</v>
      </c>
      <c r="CA35" s="38">
        <f t="shared" si="323"/>
        <v>6.9517741817909573E-3</v>
      </c>
      <c r="CB35" s="37">
        <v>35000</v>
      </c>
      <c r="CC35" s="38">
        <f t="shared" si="325"/>
        <v>7.0303125406436795E-3</v>
      </c>
      <c r="CD35" s="37">
        <v>37100</v>
      </c>
      <c r="CE35" s="38">
        <f t="shared" si="327"/>
        <v>7.0398119063020126E-3</v>
      </c>
      <c r="CF35" s="37">
        <v>35000</v>
      </c>
      <c r="CG35" s="38">
        <f t="shared" si="329"/>
        <v>6.578834282984127E-3</v>
      </c>
      <c r="CI35" s="35">
        <f t="shared" si="330"/>
        <v>700</v>
      </c>
      <c r="CJ35" s="35">
        <f t="shared" si="331"/>
        <v>700</v>
      </c>
      <c r="CK35" s="35">
        <f>IFERROR(BL35/J35,0)</f>
        <v>700</v>
      </c>
      <c r="CL35" s="35">
        <f>IFERROR(BN35/L35,0)</f>
        <v>700</v>
      </c>
      <c r="CM35" s="35">
        <f>IFERROR(BP35/N35,0)</f>
        <v>700</v>
      </c>
      <c r="CN35" s="35">
        <f>IFERROR(BR35/P35,0)</f>
        <v>700</v>
      </c>
      <c r="CO35" s="35">
        <f>IFERROR(BT35/R35,0)</f>
        <v>700</v>
      </c>
      <c r="CP35" s="35">
        <f t="shared" si="332"/>
        <v>700</v>
      </c>
      <c r="CQ35" s="35">
        <f t="shared" si="333"/>
        <v>700</v>
      </c>
      <c r="CR35" s="35">
        <f t="shared" si="334"/>
        <v>700</v>
      </c>
      <c r="CS35" s="35">
        <f t="shared" si="335"/>
        <v>700</v>
      </c>
      <c r="CT35" s="35">
        <f t="shared" si="336"/>
        <v>700</v>
      </c>
      <c r="CU35" s="35">
        <f t="shared" si="337"/>
        <v>700</v>
      </c>
    </row>
    <row r="36" spans="1:99" outlineLevel="1" x14ac:dyDescent="0.25">
      <c r="A36" s="34"/>
      <c r="B36" s="34"/>
      <c r="C36" s="34" t="s">
        <v>66</v>
      </c>
      <c r="D36" s="34" t="s">
        <v>67</v>
      </c>
      <c r="F36" s="35">
        <v>120</v>
      </c>
      <c r="G36" s="36">
        <f t="shared" si="271"/>
        <v>2.1818181817314358E-3</v>
      </c>
      <c r="H36" s="37">
        <v>10</v>
      </c>
      <c r="I36" s="38">
        <f t="shared" si="233"/>
        <v>2.3157674246805705E-3</v>
      </c>
      <c r="J36" s="37">
        <v>10</v>
      </c>
      <c r="K36" s="38">
        <f t="shared" si="233"/>
        <v>2.3511075516608059E-3</v>
      </c>
      <c r="L36" s="37">
        <v>10</v>
      </c>
      <c r="M36" s="38">
        <f t="shared" si="273"/>
        <v>2.1374109875345148E-3</v>
      </c>
      <c r="N36" s="37">
        <v>10</v>
      </c>
      <c r="O36" s="38">
        <f t="shared" si="274"/>
        <v>2.2757107716098218E-3</v>
      </c>
      <c r="P36" s="37">
        <v>10</v>
      </c>
      <c r="Q36" s="38">
        <f t="shared" si="275"/>
        <v>2.1443414379960805E-3</v>
      </c>
      <c r="R36" s="37">
        <v>10</v>
      </c>
      <c r="S36" s="38">
        <f t="shared" si="276"/>
        <v>2.1313090184248871E-3</v>
      </c>
      <c r="T36" s="37">
        <v>10</v>
      </c>
      <c r="U36" s="38">
        <f t="shared" si="277"/>
        <v>2.132458733203333E-3</v>
      </c>
      <c r="V36" s="37">
        <v>10</v>
      </c>
      <c r="W36" s="38">
        <f t="shared" si="278"/>
        <v>2.1916129388864615E-3</v>
      </c>
      <c r="X36" s="37">
        <v>10</v>
      </c>
      <c r="Y36" s="38">
        <f t="shared" si="279"/>
        <v>2.09440615240267E-3</v>
      </c>
      <c r="Z36" s="37">
        <v>10</v>
      </c>
      <c r="AA36" s="38">
        <f t="shared" si="280"/>
        <v>2.2378241845272223E-3</v>
      </c>
      <c r="AB36" s="37">
        <v>10</v>
      </c>
      <c r="AC36" s="38">
        <f t="shared" si="281"/>
        <v>2.1185349433388758E-3</v>
      </c>
      <c r="AD36" s="37">
        <v>10</v>
      </c>
      <c r="AE36" s="38">
        <f t="shared" si="282"/>
        <v>2.0900736385588963E-3</v>
      </c>
      <c r="AG36" s="35">
        <v>2.226</v>
      </c>
      <c r="AH36" s="36">
        <f t="shared" si="284"/>
        <v>1.3619406674489007E-3</v>
      </c>
      <c r="AI36" s="37">
        <v>0.1855</v>
      </c>
      <c r="AJ36" s="38">
        <f t="shared" si="285"/>
        <v>1.4406296337914628E-3</v>
      </c>
      <c r="AK36" s="37">
        <v>0.1855</v>
      </c>
      <c r="AL36" s="38">
        <f t="shared" si="287"/>
        <v>1.4613178526766649E-3</v>
      </c>
      <c r="AM36" s="37">
        <v>0.1855</v>
      </c>
      <c r="AN36" s="38">
        <f t="shared" si="289"/>
        <v>1.3241000469712376E-3</v>
      </c>
      <c r="AO36" s="37">
        <v>0.1855</v>
      </c>
      <c r="AP36" s="38">
        <f t="shared" si="291"/>
        <v>1.4152299172135248E-3</v>
      </c>
      <c r="AQ36" s="37">
        <v>0.1855</v>
      </c>
      <c r="AR36" s="38">
        <f t="shared" si="293"/>
        <v>1.3328065934330149E-3</v>
      </c>
      <c r="AS36" s="37">
        <v>0.1855</v>
      </c>
      <c r="AT36" s="38">
        <f t="shared" si="295"/>
        <v>1.3268958833147324E-3</v>
      </c>
      <c r="AU36" s="37">
        <v>0.1855</v>
      </c>
      <c r="AV36" s="38">
        <f t="shared" si="297"/>
        <v>1.3316455773799657E-3</v>
      </c>
      <c r="AW36" s="37">
        <v>0.1855</v>
      </c>
      <c r="AX36" s="38">
        <f t="shared" si="297"/>
        <v>1.3711554314350723E-3</v>
      </c>
      <c r="AY36" s="37">
        <v>0.1855</v>
      </c>
      <c r="AZ36" s="38">
        <f t="shared" si="300"/>
        <v>1.3116555059982937E-3</v>
      </c>
      <c r="BA36" s="37">
        <v>0.1855</v>
      </c>
      <c r="BB36" s="38">
        <f t="shared" si="302"/>
        <v>1.4060625081287359E-3</v>
      </c>
      <c r="BC36" s="37">
        <v>0.1855</v>
      </c>
      <c r="BD36" s="38">
        <f t="shared" si="304"/>
        <v>1.328266397415474E-3</v>
      </c>
      <c r="BE36" s="37">
        <v>0.1855</v>
      </c>
      <c r="BF36" s="38">
        <f t="shared" si="304"/>
        <v>1.3157668565968255E-3</v>
      </c>
      <c r="BH36" s="35">
        <v>84000</v>
      </c>
      <c r="BI36" s="35">
        <f t="shared" si="306"/>
        <v>700</v>
      </c>
      <c r="BJ36" s="37">
        <v>7000</v>
      </c>
      <c r="BK36" s="38">
        <f t="shared" si="308"/>
        <v>1.440629633791463E-3</v>
      </c>
      <c r="BL36" s="37">
        <v>7000</v>
      </c>
      <c r="BM36" s="38">
        <f t="shared" si="308"/>
        <v>1.4613178526766649E-3</v>
      </c>
      <c r="BN36" s="37">
        <v>7000</v>
      </c>
      <c r="BO36" s="38">
        <f t="shared" si="311"/>
        <v>1.3241000469712378E-3</v>
      </c>
      <c r="BP36" s="37">
        <v>7000</v>
      </c>
      <c r="BQ36" s="38">
        <f t="shared" si="313"/>
        <v>1.4152299172135248E-3</v>
      </c>
      <c r="BR36" s="37">
        <v>7000</v>
      </c>
      <c r="BS36" s="38">
        <f t="shared" si="315"/>
        <v>1.3328065934330147E-3</v>
      </c>
      <c r="BT36" s="37">
        <v>7000</v>
      </c>
      <c r="BU36" s="38">
        <f t="shared" si="317"/>
        <v>1.3268958833147324E-3</v>
      </c>
      <c r="BV36" s="37">
        <v>7000</v>
      </c>
      <c r="BW36" s="38">
        <f t="shared" si="319"/>
        <v>1.3316455773799659E-3</v>
      </c>
      <c r="BX36" s="37">
        <v>7000</v>
      </c>
      <c r="BY36" s="38">
        <f t="shared" si="321"/>
        <v>1.3711554314350723E-3</v>
      </c>
      <c r="BZ36" s="37">
        <v>7000</v>
      </c>
      <c r="CA36" s="38">
        <f t="shared" si="323"/>
        <v>1.3116555059982937E-3</v>
      </c>
      <c r="CB36" s="37">
        <v>7000</v>
      </c>
      <c r="CC36" s="38">
        <f t="shared" si="325"/>
        <v>1.4060625081287359E-3</v>
      </c>
      <c r="CD36" s="37">
        <v>7000</v>
      </c>
      <c r="CE36" s="38">
        <f t="shared" si="327"/>
        <v>1.328266397415474E-3</v>
      </c>
      <c r="CF36" s="37">
        <v>7000</v>
      </c>
      <c r="CG36" s="38">
        <f t="shared" si="329"/>
        <v>1.3157668565968255E-3</v>
      </c>
      <c r="CI36" s="35">
        <f t="shared" si="330"/>
        <v>700</v>
      </c>
      <c r="CJ36" s="35">
        <f t="shared" si="331"/>
        <v>700</v>
      </c>
      <c r="CK36" s="35">
        <f>IFERROR(BL36/J36,0)</f>
        <v>700</v>
      </c>
      <c r="CL36" s="35">
        <f>IFERROR(BN36/L36,0)</f>
        <v>700</v>
      </c>
      <c r="CM36" s="35">
        <f>IFERROR(BP36/N36,0)</f>
        <v>700</v>
      </c>
      <c r="CN36" s="35">
        <f>IFERROR(BR36/P36,0)</f>
        <v>700</v>
      </c>
      <c r="CO36" s="35">
        <f>IFERROR(BT36/R36,0)</f>
        <v>700</v>
      </c>
      <c r="CP36" s="35">
        <f t="shared" si="332"/>
        <v>700</v>
      </c>
      <c r="CQ36" s="35">
        <f t="shared" si="333"/>
        <v>700</v>
      </c>
      <c r="CR36" s="35">
        <f t="shared" si="334"/>
        <v>700</v>
      </c>
      <c r="CS36" s="35">
        <f t="shared" si="335"/>
        <v>700</v>
      </c>
      <c r="CT36" s="35">
        <f t="shared" si="336"/>
        <v>700</v>
      </c>
      <c r="CU36" s="35">
        <f t="shared" si="337"/>
        <v>700</v>
      </c>
    </row>
    <row r="37" spans="1:99" outlineLevel="1" x14ac:dyDescent="0.25">
      <c r="A37" s="34"/>
      <c r="B37" s="34"/>
      <c r="C37" s="34" t="s">
        <v>68</v>
      </c>
      <c r="D37" s="34" t="s">
        <v>69</v>
      </c>
      <c r="F37" s="35">
        <v>36</v>
      </c>
      <c r="G37" s="36">
        <f t="shared" si="271"/>
        <v>6.5454545451943075E-4</v>
      </c>
      <c r="H37" s="37">
        <v>3</v>
      </c>
      <c r="I37" s="38">
        <f t="shared" si="233"/>
        <v>6.9473022740417108E-4</v>
      </c>
      <c r="J37" s="37">
        <v>3</v>
      </c>
      <c r="K37" s="38">
        <f t="shared" si="233"/>
        <v>7.053322654982418E-4</v>
      </c>
      <c r="L37" s="37">
        <v>3</v>
      </c>
      <c r="M37" s="38">
        <f t="shared" si="273"/>
        <v>6.4122329626035447E-4</v>
      </c>
      <c r="N37" s="37">
        <v>3</v>
      </c>
      <c r="O37" s="38">
        <f t="shared" si="274"/>
        <v>6.8271323148294657E-4</v>
      </c>
      <c r="P37" s="37">
        <v>3</v>
      </c>
      <c r="Q37" s="38">
        <f t="shared" si="275"/>
        <v>6.4330243139882422E-4</v>
      </c>
      <c r="R37" s="37">
        <v>3</v>
      </c>
      <c r="S37" s="38">
        <f t="shared" si="276"/>
        <v>6.3939270552746611E-4</v>
      </c>
      <c r="T37" s="37">
        <v>3</v>
      </c>
      <c r="U37" s="38">
        <f t="shared" si="277"/>
        <v>6.3973761996099989E-4</v>
      </c>
      <c r="V37" s="37">
        <v>3</v>
      </c>
      <c r="W37" s="38">
        <f t="shared" si="278"/>
        <v>6.5748388166593844E-4</v>
      </c>
      <c r="X37" s="37">
        <v>3</v>
      </c>
      <c r="Y37" s="38">
        <f t="shared" si="279"/>
        <v>6.2832184572080094E-4</v>
      </c>
      <c r="Z37" s="37">
        <v>3</v>
      </c>
      <c r="AA37" s="38">
        <f t="shared" si="280"/>
        <v>6.7134725535816667E-4</v>
      </c>
      <c r="AB37" s="37">
        <v>3</v>
      </c>
      <c r="AC37" s="38">
        <f t="shared" si="281"/>
        <v>6.3556048300166283E-4</v>
      </c>
      <c r="AD37" s="37">
        <v>3</v>
      </c>
      <c r="AE37" s="38">
        <f t="shared" si="282"/>
        <v>6.27022091567669E-4</v>
      </c>
      <c r="AG37" s="35">
        <v>0.66779999999999995</v>
      </c>
      <c r="AH37" s="36">
        <f t="shared" si="284"/>
        <v>4.0858220023467021E-4</v>
      </c>
      <c r="AI37" s="37">
        <v>5.5649999999999998E-2</v>
      </c>
      <c r="AJ37" s="38">
        <f t="shared" si="285"/>
        <v>4.3218889013743887E-4</v>
      </c>
      <c r="AK37" s="37">
        <v>5.5649999999999998E-2</v>
      </c>
      <c r="AL37" s="38">
        <f t="shared" si="287"/>
        <v>4.3839535580299948E-4</v>
      </c>
      <c r="AM37" s="37">
        <v>5.5649999999999998E-2</v>
      </c>
      <c r="AN37" s="38">
        <f t="shared" si="289"/>
        <v>3.9723001409137129E-4</v>
      </c>
      <c r="AO37" s="37">
        <v>5.5649999999999998E-2</v>
      </c>
      <c r="AP37" s="38">
        <f t="shared" si="291"/>
        <v>4.2456897516405742E-4</v>
      </c>
      <c r="AQ37" s="37">
        <v>5.5649999999999998E-2</v>
      </c>
      <c r="AR37" s="38">
        <f t="shared" si="293"/>
        <v>3.9984197802990447E-4</v>
      </c>
      <c r="AS37" s="37">
        <v>5.5649999999999998E-2</v>
      </c>
      <c r="AT37" s="38">
        <f t="shared" si="295"/>
        <v>3.9806876499441971E-4</v>
      </c>
      <c r="AU37" s="37">
        <v>5.5649999999999998E-2</v>
      </c>
      <c r="AV37" s="38">
        <f t="shared" si="297"/>
        <v>3.9949367321398971E-4</v>
      </c>
      <c r="AW37" s="37">
        <v>5.5649999999999998E-2</v>
      </c>
      <c r="AX37" s="38">
        <f t="shared" si="297"/>
        <v>4.1134662943052169E-4</v>
      </c>
      <c r="AY37" s="37">
        <v>5.5649999999999998E-2</v>
      </c>
      <c r="AZ37" s="38">
        <f t="shared" si="300"/>
        <v>3.9349665179948815E-4</v>
      </c>
      <c r="BA37" s="37">
        <v>5.5649999999999998E-2</v>
      </c>
      <c r="BB37" s="38">
        <f t="shared" si="302"/>
        <v>4.2181875243862076E-4</v>
      </c>
      <c r="BC37" s="37">
        <v>5.5649999999999998E-2</v>
      </c>
      <c r="BD37" s="38">
        <f t="shared" si="304"/>
        <v>3.9847991922464218E-4</v>
      </c>
      <c r="BE37" s="37">
        <v>5.5649999999999998E-2</v>
      </c>
      <c r="BF37" s="38">
        <f t="shared" si="304"/>
        <v>3.947300569790476E-4</v>
      </c>
      <c r="BH37" s="35">
        <v>25200</v>
      </c>
      <c r="BI37" s="35">
        <f t="shared" si="306"/>
        <v>700</v>
      </c>
      <c r="BJ37" s="37">
        <v>2100</v>
      </c>
      <c r="BK37" s="38">
        <f t="shared" si="308"/>
        <v>4.3218889013743887E-4</v>
      </c>
      <c r="BL37" s="37">
        <v>2100</v>
      </c>
      <c r="BM37" s="38">
        <f t="shared" si="308"/>
        <v>4.3839535580299943E-4</v>
      </c>
      <c r="BN37" s="37">
        <v>2100</v>
      </c>
      <c r="BO37" s="38">
        <f t="shared" si="311"/>
        <v>3.9723001409137134E-4</v>
      </c>
      <c r="BP37" s="37">
        <v>2100</v>
      </c>
      <c r="BQ37" s="38">
        <f t="shared" si="313"/>
        <v>4.2456897516405742E-4</v>
      </c>
      <c r="BR37" s="37">
        <v>2100</v>
      </c>
      <c r="BS37" s="38">
        <f t="shared" si="315"/>
        <v>3.9984197802990441E-4</v>
      </c>
      <c r="BT37" s="37">
        <v>2100</v>
      </c>
      <c r="BU37" s="38">
        <f t="shared" si="317"/>
        <v>3.9806876499441971E-4</v>
      </c>
      <c r="BV37" s="37">
        <v>2100</v>
      </c>
      <c r="BW37" s="38">
        <f t="shared" si="319"/>
        <v>3.9949367321398977E-4</v>
      </c>
      <c r="BX37" s="37">
        <v>2100</v>
      </c>
      <c r="BY37" s="38">
        <f t="shared" si="321"/>
        <v>4.1134662943052169E-4</v>
      </c>
      <c r="BZ37" s="37">
        <v>2100</v>
      </c>
      <c r="CA37" s="38">
        <f t="shared" si="323"/>
        <v>3.9349665179948815E-4</v>
      </c>
      <c r="CB37" s="37">
        <v>2100</v>
      </c>
      <c r="CC37" s="38">
        <f t="shared" si="325"/>
        <v>4.2181875243862076E-4</v>
      </c>
      <c r="CD37" s="37">
        <v>2100</v>
      </c>
      <c r="CE37" s="38">
        <f t="shared" si="327"/>
        <v>3.9847991922464218E-4</v>
      </c>
      <c r="CF37" s="37">
        <v>2100</v>
      </c>
      <c r="CG37" s="38">
        <f t="shared" si="329"/>
        <v>3.9473005697904766E-4</v>
      </c>
      <c r="CI37" s="35">
        <f t="shared" si="330"/>
        <v>700</v>
      </c>
      <c r="CJ37" s="35">
        <f t="shared" si="331"/>
        <v>700</v>
      </c>
      <c r="CK37" s="35">
        <f>IFERROR(BL37/J37,0)</f>
        <v>700</v>
      </c>
      <c r="CL37" s="35">
        <f>IFERROR(BN37/L37,0)</f>
        <v>700</v>
      </c>
      <c r="CM37" s="35">
        <f>IFERROR(BP37/N37,0)</f>
        <v>700</v>
      </c>
      <c r="CN37" s="35">
        <f>IFERROR(BR37/P37,0)</f>
        <v>700</v>
      </c>
      <c r="CO37" s="35">
        <f>IFERROR(BT37/R37,0)</f>
        <v>700</v>
      </c>
      <c r="CP37" s="35">
        <f t="shared" si="332"/>
        <v>700</v>
      </c>
      <c r="CQ37" s="35">
        <f t="shared" si="333"/>
        <v>700</v>
      </c>
      <c r="CR37" s="35">
        <f t="shared" si="334"/>
        <v>700</v>
      </c>
      <c r="CS37" s="35">
        <f t="shared" si="335"/>
        <v>700</v>
      </c>
      <c r="CT37" s="35">
        <f t="shared" si="336"/>
        <v>700</v>
      </c>
      <c r="CU37" s="35">
        <f t="shared" si="337"/>
        <v>700</v>
      </c>
    </row>
    <row r="38" spans="1:99" outlineLevel="1" x14ac:dyDescent="0.25">
      <c r="A38" s="34"/>
      <c r="B38" s="34"/>
      <c r="C38" s="34" t="s">
        <v>70</v>
      </c>
      <c r="D38" s="34" t="s">
        <v>71</v>
      </c>
      <c r="F38" s="35">
        <v>24</v>
      </c>
      <c r="G38" s="36">
        <f t="shared" si="271"/>
        <v>4.3636363634628713E-4</v>
      </c>
      <c r="H38" s="37">
        <v>0</v>
      </c>
      <c r="I38" s="38">
        <f t="shared" si="233"/>
        <v>0</v>
      </c>
      <c r="J38" s="37">
        <v>0</v>
      </c>
      <c r="K38" s="38">
        <f t="shared" si="233"/>
        <v>0</v>
      </c>
      <c r="L38" s="37">
        <v>0</v>
      </c>
      <c r="M38" s="38">
        <f t="shared" si="273"/>
        <v>0</v>
      </c>
      <c r="N38" s="37">
        <v>0</v>
      </c>
      <c r="O38" s="38">
        <f t="shared" si="274"/>
        <v>0</v>
      </c>
      <c r="P38" s="37">
        <v>0</v>
      </c>
      <c r="Q38" s="38">
        <f t="shared" si="275"/>
        <v>0</v>
      </c>
      <c r="R38" s="37">
        <v>12</v>
      </c>
      <c r="S38" s="38">
        <f t="shared" si="276"/>
        <v>2.5575708221098645E-3</v>
      </c>
      <c r="T38" s="37">
        <v>0</v>
      </c>
      <c r="U38" s="38">
        <f t="shared" si="277"/>
        <v>0</v>
      </c>
      <c r="V38" s="37">
        <v>0</v>
      </c>
      <c r="W38" s="38">
        <f t="shared" si="278"/>
        <v>0</v>
      </c>
      <c r="X38" s="37">
        <v>0</v>
      </c>
      <c r="Y38" s="38">
        <f t="shared" si="279"/>
        <v>0</v>
      </c>
      <c r="Z38" s="37">
        <v>12</v>
      </c>
      <c r="AA38" s="38">
        <f t="shared" si="280"/>
        <v>2.6853890214326667E-3</v>
      </c>
      <c r="AB38" s="37">
        <v>0</v>
      </c>
      <c r="AC38" s="38">
        <f t="shared" si="281"/>
        <v>0</v>
      </c>
      <c r="AD38" s="37">
        <v>0</v>
      </c>
      <c r="AE38" s="38">
        <f t="shared" si="282"/>
        <v>0</v>
      </c>
      <c r="AG38" s="35">
        <v>0.44519999999999998</v>
      </c>
      <c r="AH38" s="36">
        <f t="shared" si="284"/>
        <v>2.7238813348978014E-4</v>
      </c>
      <c r="AI38" s="37">
        <v>0</v>
      </c>
      <c r="AJ38" s="38">
        <f t="shared" si="285"/>
        <v>0</v>
      </c>
      <c r="AK38" s="37">
        <v>0</v>
      </c>
      <c r="AL38" s="38">
        <f t="shared" si="287"/>
        <v>0</v>
      </c>
      <c r="AM38" s="37">
        <v>0</v>
      </c>
      <c r="AN38" s="38">
        <f t="shared" si="289"/>
        <v>0</v>
      </c>
      <c r="AO38" s="37">
        <v>0</v>
      </c>
      <c r="AP38" s="38">
        <f t="shared" si="291"/>
        <v>0</v>
      </c>
      <c r="AQ38" s="37">
        <v>0</v>
      </c>
      <c r="AR38" s="38">
        <f t="shared" si="293"/>
        <v>0</v>
      </c>
      <c r="AS38" s="37">
        <v>0.22259999999999999</v>
      </c>
      <c r="AT38" s="38">
        <f t="shared" si="295"/>
        <v>1.5922750599776788E-3</v>
      </c>
      <c r="AU38" s="37">
        <v>0</v>
      </c>
      <c r="AV38" s="38">
        <f t="shared" si="297"/>
        <v>0</v>
      </c>
      <c r="AW38" s="37">
        <v>0</v>
      </c>
      <c r="AX38" s="38">
        <f t="shared" si="297"/>
        <v>0</v>
      </c>
      <c r="AY38" s="37">
        <v>0</v>
      </c>
      <c r="AZ38" s="38">
        <f t="shared" si="300"/>
        <v>0</v>
      </c>
      <c r="BA38" s="37">
        <v>0.22259999999999999</v>
      </c>
      <c r="BB38" s="38">
        <f t="shared" si="302"/>
        <v>1.687275009754483E-3</v>
      </c>
      <c r="BC38" s="37">
        <v>0</v>
      </c>
      <c r="BD38" s="38">
        <f t="shared" si="304"/>
        <v>0</v>
      </c>
      <c r="BE38" s="37">
        <v>0</v>
      </c>
      <c r="BF38" s="38">
        <f t="shared" si="304"/>
        <v>0</v>
      </c>
      <c r="BH38" s="35">
        <v>16800</v>
      </c>
      <c r="BI38" s="35">
        <f t="shared" si="306"/>
        <v>700</v>
      </c>
      <c r="BJ38" s="37">
        <v>0</v>
      </c>
      <c r="BK38" s="38">
        <f t="shared" si="308"/>
        <v>0</v>
      </c>
      <c r="BL38" s="37">
        <v>0</v>
      </c>
      <c r="BM38" s="38">
        <f t="shared" si="308"/>
        <v>0</v>
      </c>
      <c r="BN38" s="37">
        <v>0</v>
      </c>
      <c r="BO38" s="38">
        <f t="shared" si="311"/>
        <v>0</v>
      </c>
      <c r="BP38" s="37">
        <v>0</v>
      </c>
      <c r="BQ38" s="38">
        <f t="shared" si="313"/>
        <v>0</v>
      </c>
      <c r="BR38" s="37">
        <v>0</v>
      </c>
      <c r="BS38" s="38">
        <f t="shared" si="315"/>
        <v>0</v>
      </c>
      <c r="BT38" s="37">
        <v>8400</v>
      </c>
      <c r="BU38" s="38">
        <f t="shared" si="317"/>
        <v>1.5922750599776788E-3</v>
      </c>
      <c r="BV38" s="37">
        <v>0</v>
      </c>
      <c r="BW38" s="38">
        <f t="shared" si="319"/>
        <v>0</v>
      </c>
      <c r="BX38" s="37">
        <v>0</v>
      </c>
      <c r="BY38" s="38">
        <f t="shared" si="321"/>
        <v>0</v>
      </c>
      <c r="BZ38" s="37">
        <v>0</v>
      </c>
      <c r="CA38" s="38">
        <f t="shared" si="323"/>
        <v>0</v>
      </c>
      <c r="CB38" s="37">
        <v>8400</v>
      </c>
      <c r="CC38" s="38">
        <f t="shared" si="325"/>
        <v>1.687275009754483E-3</v>
      </c>
      <c r="CD38" s="37">
        <v>0</v>
      </c>
      <c r="CE38" s="38">
        <f t="shared" si="327"/>
        <v>0</v>
      </c>
      <c r="CF38" s="37">
        <v>0</v>
      </c>
      <c r="CG38" s="38">
        <f t="shared" si="329"/>
        <v>0</v>
      </c>
      <c r="CI38" s="35">
        <f t="shared" si="330"/>
        <v>700</v>
      </c>
      <c r="CJ38" s="35">
        <f t="shared" si="331"/>
        <v>0</v>
      </c>
      <c r="CK38" s="35">
        <f>IFERROR(BL38/J38,0)</f>
        <v>0</v>
      </c>
      <c r="CL38" s="35">
        <f>IFERROR(BN38/L38,0)</f>
        <v>0</v>
      </c>
      <c r="CM38" s="35">
        <f>IFERROR(BP38/N38,0)</f>
        <v>0</v>
      </c>
      <c r="CN38" s="35">
        <f>IFERROR(BR38/P38,0)</f>
        <v>0</v>
      </c>
      <c r="CO38" s="35">
        <f>IFERROR(BT38/R38,0)</f>
        <v>700</v>
      </c>
      <c r="CP38" s="35">
        <f t="shared" si="332"/>
        <v>0</v>
      </c>
      <c r="CQ38" s="35">
        <f t="shared" si="333"/>
        <v>0</v>
      </c>
      <c r="CR38" s="35">
        <f t="shared" si="334"/>
        <v>0</v>
      </c>
      <c r="CS38" s="35">
        <f t="shared" si="335"/>
        <v>700</v>
      </c>
      <c r="CT38" s="35">
        <f t="shared" si="336"/>
        <v>0</v>
      </c>
      <c r="CU38" s="35">
        <f t="shared" si="337"/>
        <v>0</v>
      </c>
    </row>
    <row r="39" spans="1:99" outlineLevel="1" x14ac:dyDescent="0.25">
      <c r="A39" s="34"/>
      <c r="B39" s="34"/>
      <c r="C39" s="34" t="s">
        <v>72</v>
      </c>
      <c r="D39" s="34" t="s">
        <v>73</v>
      </c>
      <c r="F39" s="35">
        <v>24</v>
      </c>
      <c r="G39" s="36">
        <f t="shared" si="271"/>
        <v>4.3636363634628713E-4</v>
      </c>
      <c r="H39" s="37">
        <v>0</v>
      </c>
      <c r="I39" s="38">
        <f t="shared" ref="I39:K45" si="352">IFERROR(H39/H$5,0)</f>
        <v>0</v>
      </c>
      <c r="J39" s="37">
        <v>0</v>
      </c>
      <c r="K39" s="38">
        <f t="shared" si="352"/>
        <v>0</v>
      </c>
      <c r="L39" s="37">
        <v>0</v>
      </c>
      <c r="M39" s="38">
        <f t="shared" si="273"/>
        <v>0</v>
      </c>
      <c r="N39" s="37">
        <v>0</v>
      </c>
      <c r="O39" s="38">
        <f t="shared" si="274"/>
        <v>0</v>
      </c>
      <c r="P39" s="37">
        <v>0</v>
      </c>
      <c r="Q39" s="38">
        <f t="shared" si="275"/>
        <v>0</v>
      </c>
      <c r="R39" s="37">
        <v>12</v>
      </c>
      <c r="S39" s="38">
        <f t="shared" si="276"/>
        <v>2.5575708221098645E-3</v>
      </c>
      <c r="T39" s="37">
        <v>0</v>
      </c>
      <c r="U39" s="38">
        <f t="shared" si="277"/>
        <v>0</v>
      </c>
      <c r="V39" s="37">
        <v>0</v>
      </c>
      <c r="W39" s="38">
        <f t="shared" si="278"/>
        <v>0</v>
      </c>
      <c r="X39" s="37">
        <v>0</v>
      </c>
      <c r="Y39" s="38">
        <f t="shared" si="279"/>
        <v>0</v>
      </c>
      <c r="Z39" s="37">
        <v>12</v>
      </c>
      <c r="AA39" s="38">
        <f t="shared" si="280"/>
        <v>2.6853890214326667E-3</v>
      </c>
      <c r="AB39" s="37">
        <v>0</v>
      </c>
      <c r="AC39" s="38">
        <f t="shared" si="281"/>
        <v>0</v>
      </c>
      <c r="AD39" s="37">
        <v>0</v>
      </c>
      <c r="AE39" s="38">
        <f t="shared" si="282"/>
        <v>0</v>
      </c>
      <c r="AG39" s="35">
        <v>0.44519999999999998</v>
      </c>
      <c r="AH39" s="36">
        <f t="shared" si="284"/>
        <v>2.7238813348978014E-4</v>
      </c>
      <c r="AI39" s="37">
        <v>0</v>
      </c>
      <c r="AJ39" s="38">
        <f t="shared" si="285"/>
        <v>0</v>
      </c>
      <c r="AK39" s="37">
        <v>0</v>
      </c>
      <c r="AL39" s="38">
        <f t="shared" si="287"/>
        <v>0</v>
      </c>
      <c r="AM39" s="37">
        <v>0</v>
      </c>
      <c r="AN39" s="38">
        <f t="shared" si="289"/>
        <v>0</v>
      </c>
      <c r="AO39" s="37">
        <v>0</v>
      </c>
      <c r="AP39" s="38">
        <f t="shared" si="291"/>
        <v>0</v>
      </c>
      <c r="AQ39" s="37">
        <v>0</v>
      </c>
      <c r="AR39" s="38">
        <f t="shared" si="293"/>
        <v>0</v>
      </c>
      <c r="AS39" s="37">
        <v>0.22259999999999999</v>
      </c>
      <c r="AT39" s="38">
        <f t="shared" si="295"/>
        <v>1.5922750599776788E-3</v>
      </c>
      <c r="AU39" s="37">
        <v>0</v>
      </c>
      <c r="AV39" s="38">
        <f t="shared" si="297"/>
        <v>0</v>
      </c>
      <c r="AW39" s="37">
        <v>0</v>
      </c>
      <c r="AX39" s="38">
        <f t="shared" si="297"/>
        <v>0</v>
      </c>
      <c r="AY39" s="37">
        <v>0</v>
      </c>
      <c r="AZ39" s="38">
        <f t="shared" si="300"/>
        <v>0</v>
      </c>
      <c r="BA39" s="37">
        <v>0.22259999999999999</v>
      </c>
      <c r="BB39" s="38">
        <f t="shared" si="302"/>
        <v>1.687275009754483E-3</v>
      </c>
      <c r="BC39" s="37">
        <v>0</v>
      </c>
      <c r="BD39" s="38">
        <f t="shared" si="304"/>
        <v>0</v>
      </c>
      <c r="BE39" s="37">
        <v>0</v>
      </c>
      <c r="BF39" s="38">
        <f t="shared" si="304"/>
        <v>0</v>
      </c>
      <c r="BH39" s="35">
        <v>16800</v>
      </c>
      <c r="BI39" s="35">
        <f t="shared" si="306"/>
        <v>700</v>
      </c>
      <c r="BJ39" s="37">
        <v>0</v>
      </c>
      <c r="BK39" s="38">
        <f t="shared" si="308"/>
        <v>0</v>
      </c>
      <c r="BL39" s="37">
        <v>0</v>
      </c>
      <c r="BM39" s="38">
        <f t="shared" si="308"/>
        <v>0</v>
      </c>
      <c r="BN39" s="37">
        <v>0</v>
      </c>
      <c r="BO39" s="38">
        <f t="shared" si="311"/>
        <v>0</v>
      </c>
      <c r="BP39" s="37">
        <v>0</v>
      </c>
      <c r="BQ39" s="38">
        <f t="shared" si="313"/>
        <v>0</v>
      </c>
      <c r="BR39" s="37">
        <v>0</v>
      </c>
      <c r="BS39" s="38">
        <f t="shared" si="315"/>
        <v>0</v>
      </c>
      <c r="BT39" s="37">
        <v>8400</v>
      </c>
      <c r="BU39" s="38">
        <f t="shared" si="317"/>
        <v>1.5922750599776788E-3</v>
      </c>
      <c r="BV39" s="37">
        <v>0</v>
      </c>
      <c r="BW39" s="38">
        <f t="shared" si="319"/>
        <v>0</v>
      </c>
      <c r="BX39" s="37">
        <v>0</v>
      </c>
      <c r="BY39" s="38">
        <f t="shared" si="321"/>
        <v>0</v>
      </c>
      <c r="BZ39" s="37">
        <v>0</v>
      </c>
      <c r="CA39" s="38">
        <f t="shared" si="323"/>
        <v>0</v>
      </c>
      <c r="CB39" s="37">
        <v>8400</v>
      </c>
      <c r="CC39" s="38">
        <f t="shared" si="325"/>
        <v>1.687275009754483E-3</v>
      </c>
      <c r="CD39" s="37">
        <v>0</v>
      </c>
      <c r="CE39" s="38">
        <f t="shared" si="327"/>
        <v>0</v>
      </c>
      <c r="CF39" s="37">
        <v>0</v>
      </c>
      <c r="CG39" s="38">
        <f t="shared" si="329"/>
        <v>0</v>
      </c>
      <c r="CI39" s="35">
        <f t="shared" si="330"/>
        <v>700</v>
      </c>
      <c r="CJ39" s="35">
        <f t="shared" si="331"/>
        <v>0</v>
      </c>
      <c r="CK39" s="35">
        <f>IFERROR(BL39/J39,0)</f>
        <v>0</v>
      </c>
      <c r="CL39" s="35">
        <f>IFERROR(BN39/L39,0)</f>
        <v>0</v>
      </c>
      <c r="CM39" s="35">
        <f>IFERROR(BP39/N39,0)</f>
        <v>0</v>
      </c>
      <c r="CN39" s="35">
        <f>IFERROR(BR39/P39,0)</f>
        <v>0</v>
      </c>
      <c r="CO39" s="35">
        <f>IFERROR(BT39/R39,0)</f>
        <v>700</v>
      </c>
      <c r="CP39" s="35">
        <f t="shared" si="332"/>
        <v>0</v>
      </c>
      <c r="CQ39" s="35">
        <f t="shared" si="333"/>
        <v>0</v>
      </c>
      <c r="CR39" s="35">
        <f t="shared" si="334"/>
        <v>0</v>
      </c>
      <c r="CS39" s="35">
        <f t="shared" si="335"/>
        <v>700</v>
      </c>
      <c r="CT39" s="35">
        <f t="shared" si="336"/>
        <v>0</v>
      </c>
      <c r="CU39" s="35">
        <f t="shared" si="337"/>
        <v>0</v>
      </c>
    </row>
    <row r="40" spans="1:99" s="15" customFormat="1" x14ac:dyDescent="0.25">
      <c r="A40" s="29"/>
      <c r="B40" s="29" t="s">
        <v>74</v>
      </c>
      <c r="C40" s="29"/>
      <c r="D40" s="29"/>
      <c r="F40" s="30">
        <f>SUM(F41)</f>
        <v>36</v>
      </c>
      <c r="G40" s="31">
        <f t="shared" si="271"/>
        <v>6.5454545451943075E-4</v>
      </c>
      <c r="H40" s="32">
        <f t="shared" ref="H40:AD40" si="353">SUM(H41)</f>
        <v>6</v>
      </c>
      <c r="I40" s="33">
        <f t="shared" si="352"/>
        <v>1.3894604548083422E-3</v>
      </c>
      <c r="J40" s="32">
        <f t="shared" si="353"/>
        <v>0</v>
      </c>
      <c r="K40" s="33">
        <f t="shared" si="352"/>
        <v>0</v>
      </c>
      <c r="L40" s="32">
        <f t="shared" si="353"/>
        <v>6</v>
      </c>
      <c r="M40" s="33">
        <f t="shared" si="273"/>
        <v>1.2824465925207089E-3</v>
      </c>
      <c r="N40" s="32">
        <f t="shared" si="353"/>
        <v>0</v>
      </c>
      <c r="O40" s="33">
        <f t="shared" si="274"/>
        <v>0</v>
      </c>
      <c r="P40" s="32">
        <f t="shared" si="353"/>
        <v>6</v>
      </c>
      <c r="Q40" s="33">
        <f t="shared" si="275"/>
        <v>1.2866048627976484E-3</v>
      </c>
      <c r="R40" s="32">
        <f t="shared" si="353"/>
        <v>0</v>
      </c>
      <c r="S40" s="33">
        <f t="shared" si="276"/>
        <v>0</v>
      </c>
      <c r="T40" s="32">
        <f t="shared" si="353"/>
        <v>6</v>
      </c>
      <c r="U40" s="33">
        <f t="shared" si="277"/>
        <v>1.2794752399219998E-3</v>
      </c>
      <c r="V40" s="32">
        <f t="shared" si="353"/>
        <v>0</v>
      </c>
      <c r="W40" s="33">
        <f t="shared" si="278"/>
        <v>0</v>
      </c>
      <c r="X40" s="32">
        <f t="shared" si="353"/>
        <v>6</v>
      </c>
      <c r="Y40" s="33">
        <f t="shared" si="279"/>
        <v>1.2566436914416019E-3</v>
      </c>
      <c r="Z40" s="32">
        <f t="shared" si="353"/>
        <v>0</v>
      </c>
      <c r="AA40" s="33">
        <f t="shared" si="280"/>
        <v>0</v>
      </c>
      <c r="AB40" s="32">
        <f t="shared" si="353"/>
        <v>6</v>
      </c>
      <c r="AC40" s="33">
        <f t="shared" si="281"/>
        <v>1.2711209660033257E-3</v>
      </c>
      <c r="AD40" s="32">
        <f t="shared" si="353"/>
        <v>0</v>
      </c>
      <c r="AE40" s="33">
        <f t="shared" si="282"/>
        <v>0</v>
      </c>
      <c r="AG40" s="30">
        <f t="shared" ref="AG40:BH40" si="354">SUM(AG41)</f>
        <v>0.57240000000000002</v>
      </c>
      <c r="AH40" s="31">
        <f t="shared" si="284"/>
        <v>3.5021331448686021E-4</v>
      </c>
      <c r="AI40" s="32">
        <f t="shared" si="354"/>
        <v>9.5399999999999999E-2</v>
      </c>
      <c r="AJ40" s="33">
        <f t="shared" si="285"/>
        <v>7.408952402356095E-4</v>
      </c>
      <c r="AK40" s="32">
        <f t="shared" ref="AK40" si="355">SUM(AK41)</f>
        <v>0</v>
      </c>
      <c r="AL40" s="33">
        <f t="shared" si="287"/>
        <v>0</v>
      </c>
      <c r="AM40" s="32">
        <f t="shared" ref="AM40" si="356">SUM(AM41)</f>
        <v>9.5399999999999999E-2</v>
      </c>
      <c r="AN40" s="33">
        <f t="shared" si="289"/>
        <v>6.8096573844235073E-4</v>
      </c>
      <c r="AO40" s="32">
        <f t="shared" ref="AO40" si="357">SUM(AO41)</f>
        <v>0</v>
      </c>
      <c r="AP40" s="33">
        <f t="shared" si="291"/>
        <v>0</v>
      </c>
      <c r="AQ40" s="32">
        <f t="shared" ref="AQ40" si="358">SUM(AQ41)</f>
        <v>9.5399999999999999E-2</v>
      </c>
      <c r="AR40" s="33">
        <f t="shared" si="293"/>
        <v>6.8544339090840774E-4</v>
      </c>
      <c r="AS40" s="32">
        <f t="shared" ref="AS40" si="359">SUM(AS41)</f>
        <v>0</v>
      </c>
      <c r="AT40" s="33">
        <f t="shared" si="295"/>
        <v>0</v>
      </c>
      <c r="AU40" s="32">
        <f t="shared" ref="AU40" si="360">SUM(AU41)</f>
        <v>9.5399999999999999E-2</v>
      </c>
      <c r="AV40" s="33">
        <f t="shared" si="297"/>
        <v>6.8484629693826805E-4</v>
      </c>
      <c r="AW40" s="32">
        <f t="shared" ref="AW40" si="361">SUM(AW41)</f>
        <v>0</v>
      </c>
      <c r="AX40" s="33">
        <f t="shared" si="297"/>
        <v>0</v>
      </c>
      <c r="AY40" s="32">
        <f t="shared" ref="AY40" si="362">SUM(AY41)</f>
        <v>9.5399999999999999E-2</v>
      </c>
      <c r="AZ40" s="33">
        <f t="shared" si="300"/>
        <v>6.7456568879912247E-4</v>
      </c>
      <c r="BA40" s="32">
        <f t="shared" ref="BA40" si="363">SUM(BA41)</f>
        <v>0</v>
      </c>
      <c r="BB40" s="33">
        <f t="shared" si="302"/>
        <v>0</v>
      </c>
      <c r="BC40" s="32">
        <f t="shared" ref="BC40" si="364">SUM(BC41)</f>
        <v>9.5399999999999999E-2</v>
      </c>
      <c r="BD40" s="33">
        <f t="shared" si="304"/>
        <v>6.8310843295652944E-4</v>
      </c>
      <c r="BE40" s="32">
        <f t="shared" ref="BE40" si="365">SUM(BE41)</f>
        <v>0</v>
      </c>
      <c r="BF40" s="33">
        <f t="shared" si="304"/>
        <v>0</v>
      </c>
      <c r="BH40" s="30">
        <f t="shared" si="354"/>
        <v>21600</v>
      </c>
      <c r="BI40" s="30">
        <f t="shared" si="306"/>
        <v>600</v>
      </c>
      <c r="BJ40" s="32">
        <f t="shared" ref="BJ40" si="366">SUM(BJ41)</f>
        <v>3600</v>
      </c>
      <c r="BK40" s="33">
        <f t="shared" si="308"/>
        <v>7.408952402356095E-4</v>
      </c>
      <c r="BL40" s="32">
        <f t="shared" ref="BL40" si="367">SUM(BL41)</f>
        <v>0</v>
      </c>
      <c r="BM40" s="33">
        <f t="shared" si="308"/>
        <v>0</v>
      </c>
      <c r="BN40" s="32">
        <f t="shared" ref="BN40" si="368">SUM(BN41)</f>
        <v>3600</v>
      </c>
      <c r="BO40" s="33">
        <f t="shared" si="311"/>
        <v>6.8096573844235084E-4</v>
      </c>
      <c r="BP40" s="32">
        <f t="shared" ref="BP40" si="369">SUM(BP41)</f>
        <v>0</v>
      </c>
      <c r="BQ40" s="33">
        <f t="shared" si="313"/>
        <v>0</v>
      </c>
      <c r="BR40" s="32">
        <f t="shared" ref="BR40" si="370">SUM(BR41)</f>
        <v>3600</v>
      </c>
      <c r="BS40" s="33">
        <f t="shared" si="315"/>
        <v>6.8544339090840763E-4</v>
      </c>
      <c r="BT40" s="32">
        <f t="shared" ref="BT40" si="371">SUM(BT41)</f>
        <v>0</v>
      </c>
      <c r="BU40" s="33">
        <f t="shared" si="317"/>
        <v>0</v>
      </c>
      <c r="BV40" s="32">
        <f t="shared" ref="BV40" si="372">SUM(BV41)</f>
        <v>3600</v>
      </c>
      <c r="BW40" s="33">
        <f t="shared" si="319"/>
        <v>6.8484629693826816E-4</v>
      </c>
      <c r="BX40" s="32">
        <f t="shared" ref="BX40" si="373">SUM(BX41)</f>
        <v>0</v>
      </c>
      <c r="BY40" s="33">
        <f t="shared" si="321"/>
        <v>0</v>
      </c>
      <c r="BZ40" s="32">
        <f t="shared" ref="BZ40" si="374">SUM(BZ41)</f>
        <v>3600</v>
      </c>
      <c r="CA40" s="33">
        <f t="shared" si="323"/>
        <v>6.7456568879912257E-4</v>
      </c>
      <c r="CB40" s="32">
        <f t="shared" ref="CB40" si="375">SUM(CB41)</f>
        <v>0</v>
      </c>
      <c r="CC40" s="33">
        <f t="shared" si="325"/>
        <v>0</v>
      </c>
      <c r="CD40" s="32">
        <f t="shared" ref="CD40" si="376">SUM(CD41)</f>
        <v>3600</v>
      </c>
      <c r="CE40" s="33">
        <f t="shared" si="327"/>
        <v>6.8310843295652944E-4</v>
      </c>
      <c r="CF40" s="32">
        <f t="shared" ref="CF40" si="377">SUM(CF41)</f>
        <v>0</v>
      </c>
      <c r="CG40" s="33">
        <f t="shared" si="329"/>
        <v>0</v>
      </c>
      <c r="CI40" s="30">
        <f t="shared" si="330"/>
        <v>600</v>
      </c>
      <c r="CJ40" s="30">
        <f t="shared" si="331"/>
        <v>600</v>
      </c>
      <c r="CK40" s="30">
        <f>IFERROR(BL40/J40,0)</f>
        <v>0</v>
      </c>
      <c r="CL40" s="30">
        <f>IFERROR(BN40/L40,0)</f>
        <v>600</v>
      </c>
      <c r="CM40" s="30">
        <f>IFERROR(BP40/N40,0)</f>
        <v>0</v>
      </c>
      <c r="CN40" s="30">
        <f>IFERROR(BR40/P40,0)</f>
        <v>600</v>
      </c>
      <c r="CO40" s="30">
        <f>IFERROR(BT40/R40,0)</f>
        <v>0</v>
      </c>
      <c r="CP40" s="30">
        <f t="shared" si="332"/>
        <v>600</v>
      </c>
      <c r="CQ40" s="30">
        <f t="shared" si="333"/>
        <v>0</v>
      </c>
      <c r="CR40" s="30">
        <f t="shared" si="334"/>
        <v>600</v>
      </c>
      <c r="CS40" s="30">
        <f t="shared" si="335"/>
        <v>0</v>
      </c>
      <c r="CT40" s="30">
        <f t="shared" si="336"/>
        <v>600</v>
      </c>
      <c r="CU40" s="30">
        <f t="shared" si="337"/>
        <v>0</v>
      </c>
    </row>
    <row r="41" spans="1:99" outlineLevel="1" x14ac:dyDescent="0.25">
      <c r="A41" s="34"/>
      <c r="B41" s="34"/>
      <c r="C41" s="34" t="s">
        <v>75</v>
      </c>
      <c r="D41" s="34" t="s">
        <v>76</v>
      </c>
      <c r="F41" s="35">
        <v>36</v>
      </c>
      <c r="G41" s="36">
        <f t="shared" si="271"/>
        <v>6.5454545451943075E-4</v>
      </c>
      <c r="H41" s="37">
        <v>6</v>
      </c>
      <c r="I41" s="38">
        <f t="shared" si="352"/>
        <v>1.3894604548083422E-3</v>
      </c>
      <c r="J41" s="37">
        <v>0</v>
      </c>
      <c r="K41" s="38">
        <f t="shared" si="352"/>
        <v>0</v>
      </c>
      <c r="L41" s="37">
        <v>6</v>
      </c>
      <c r="M41" s="38">
        <f t="shared" si="273"/>
        <v>1.2824465925207089E-3</v>
      </c>
      <c r="N41" s="37">
        <v>0</v>
      </c>
      <c r="O41" s="38">
        <f t="shared" si="274"/>
        <v>0</v>
      </c>
      <c r="P41" s="37">
        <v>6</v>
      </c>
      <c r="Q41" s="38">
        <f t="shared" si="275"/>
        <v>1.2866048627976484E-3</v>
      </c>
      <c r="R41" s="37">
        <v>0</v>
      </c>
      <c r="S41" s="38">
        <f t="shared" si="276"/>
        <v>0</v>
      </c>
      <c r="T41" s="37">
        <v>6</v>
      </c>
      <c r="U41" s="38">
        <f t="shared" si="277"/>
        <v>1.2794752399219998E-3</v>
      </c>
      <c r="V41" s="37">
        <v>0</v>
      </c>
      <c r="W41" s="38">
        <f t="shared" si="278"/>
        <v>0</v>
      </c>
      <c r="X41" s="37">
        <v>6</v>
      </c>
      <c r="Y41" s="38">
        <f t="shared" si="279"/>
        <v>1.2566436914416019E-3</v>
      </c>
      <c r="Z41" s="37">
        <v>0</v>
      </c>
      <c r="AA41" s="38">
        <f t="shared" si="280"/>
        <v>0</v>
      </c>
      <c r="AB41" s="37">
        <v>6</v>
      </c>
      <c r="AC41" s="38">
        <f t="shared" si="281"/>
        <v>1.2711209660033257E-3</v>
      </c>
      <c r="AD41" s="37">
        <v>0</v>
      </c>
      <c r="AE41" s="38">
        <f t="shared" si="282"/>
        <v>0</v>
      </c>
      <c r="AG41" s="35">
        <v>0.57240000000000002</v>
      </c>
      <c r="AH41" s="36">
        <f t="shared" si="284"/>
        <v>3.5021331448686021E-4</v>
      </c>
      <c r="AI41" s="37">
        <v>9.5399999999999999E-2</v>
      </c>
      <c r="AJ41" s="38">
        <f t="shared" si="285"/>
        <v>7.408952402356095E-4</v>
      </c>
      <c r="AK41" s="37">
        <v>0</v>
      </c>
      <c r="AL41" s="38">
        <f t="shared" si="287"/>
        <v>0</v>
      </c>
      <c r="AM41" s="37">
        <v>9.5399999999999999E-2</v>
      </c>
      <c r="AN41" s="38">
        <f t="shared" si="289"/>
        <v>6.8096573844235073E-4</v>
      </c>
      <c r="AO41" s="37">
        <v>0</v>
      </c>
      <c r="AP41" s="38">
        <f t="shared" si="291"/>
        <v>0</v>
      </c>
      <c r="AQ41" s="37">
        <v>9.5399999999999999E-2</v>
      </c>
      <c r="AR41" s="38">
        <f t="shared" si="293"/>
        <v>6.8544339090840774E-4</v>
      </c>
      <c r="AS41" s="37">
        <v>0</v>
      </c>
      <c r="AT41" s="38">
        <f t="shared" si="295"/>
        <v>0</v>
      </c>
      <c r="AU41" s="37">
        <v>9.5399999999999999E-2</v>
      </c>
      <c r="AV41" s="38">
        <f t="shared" si="297"/>
        <v>6.8484629693826805E-4</v>
      </c>
      <c r="AW41" s="37">
        <v>0</v>
      </c>
      <c r="AX41" s="38">
        <f t="shared" si="297"/>
        <v>0</v>
      </c>
      <c r="AY41" s="37">
        <v>9.5399999999999999E-2</v>
      </c>
      <c r="AZ41" s="38">
        <f t="shared" si="300"/>
        <v>6.7456568879912247E-4</v>
      </c>
      <c r="BA41" s="37">
        <v>0</v>
      </c>
      <c r="BB41" s="38">
        <f t="shared" si="302"/>
        <v>0</v>
      </c>
      <c r="BC41" s="37">
        <v>9.5399999999999999E-2</v>
      </c>
      <c r="BD41" s="38">
        <f t="shared" si="304"/>
        <v>6.8310843295652944E-4</v>
      </c>
      <c r="BE41" s="37">
        <v>0</v>
      </c>
      <c r="BF41" s="38">
        <f t="shared" si="304"/>
        <v>0</v>
      </c>
      <c r="BH41" s="35">
        <v>21600</v>
      </c>
      <c r="BI41" s="35">
        <f t="shared" si="306"/>
        <v>600</v>
      </c>
      <c r="BJ41" s="37">
        <v>3600</v>
      </c>
      <c r="BK41" s="38">
        <f t="shared" si="308"/>
        <v>7.408952402356095E-4</v>
      </c>
      <c r="BL41" s="37">
        <v>0</v>
      </c>
      <c r="BM41" s="38">
        <f t="shared" si="308"/>
        <v>0</v>
      </c>
      <c r="BN41" s="37">
        <v>3600</v>
      </c>
      <c r="BO41" s="38">
        <f t="shared" si="311"/>
        <v>6.8096573844235084E-4</v>
      </c>
      <c r="BP41" s="37">
        <v>0</v>
      </c>
      <c r="BQ41" s="38">
        <f t="shared" si="313"/>
        <v>0</v>
      </c>
      <c r="BR41" s="37">
        <v>3600</v>
      </c>
      <c r="BS41" s="38">
        <f t="shared" si="315"/>
        <v>6.8544339090840763E-4</v>
      </c>
      <c r="BT41" s="37">
        <v>0</v>
      </c>
      <c r="BU41" s="38">
        <f t="shared" si="317"/>
        <v>0</v>
      </c>
      <c r="BV41" s="37">
        <v>3600</v>
      </c>
      <c r="BW41" s="38">
        <f t="shared" si="319"/>
        <v>6.8484629693826816E-4</v>
      </c>
      <c r="BX41" s="37">
        <v>0</v>
      </c>
      <c r="BY41" s="38">
        <f t="shared" si="321"/>
        <v>0</v>
      </c>
      <c r="BZ41" s="37">
        <v>3600</v>
      </c>
      <c r="CA41" s="38">
        <f t="shared" si="323"/>
        <v>6.7456568879912257E-4</v>
      </c>
      <c r="CB41" s="37">
        <v>0</v>
      </c>
      <c r="CC41" s="38">
        <f t="shared" si="325"/>
        <v>0</v>
      </c>
      <c r="CD41" s="37">
        <v>3600</v>
      </c>
      <c r="CE41" s="38">
        <f t="shared" si="327"/>
        <v>6.8310843295652944E-4</v>
      </c>
      <c r="CF41" s="37">
        <v>0</v>
      </c>
      <c r="CG41" s="38">
        <f t="shared" si="329"/>
        <v>0</v>
      </c>
      <c r="CI41" s="35">
        <f t="shared" si="330"/>
        <v>600</v>
      </c>
      <c r="CJ41" s="35">
        <f t="shared" si="331"/>
        <v>600</v>
      </c>
      <c r="CK41" s="35">
        <f>IFERROR(BL41/J41,0)</f>
        <v>0</v>
      </c>
      <c r="CL41" s="35">
        <f>IFERROR(BN41/L41,0)</f>
        <v>600</v>
      </c>
      <c r="CM41" s="35">
        <f>IFERROR(BP41/N41,0)</f>
        <v>0</v>
      </c>
      <c r="CN41" s="35">
        <f>IFERROR(BR41/P41,0)</f>
        <v>600</v>
      </c>
      <c r="CO41" s="35">
        <f>IFERROR(BT41/R41,0)</f>
        <v>0</v>
      </c>
      <c r="CP41" s="35">
        <f t="shared" si="332"/>
        <v>600</v>
      </c>
      <c r="CQ41" s="35">
        <f t="shared" si="333"/>
        <v>0</v>
      </c>
      <c r="CR41" s="35">
        <f t="shared" si="334"/>
        <v>600</v>
      </c>
      <c r="CS41" s="35">
        <f t="shared" si="335"/>
        <v>0</v>
      </c>
      <c r="CT41" s="35">
        <f t="shared" si="336"/>
        <v>600</v>
      </c>
      <c r="CU41" s="35">
        <f t="shared" si="337"/>
        <v>0</v>
      </c>
    </row>
    <row r="42" spans="1:99" x14ac:dyDescent="0.25">
      <c r="A42" s="34"/>
      <c r="B42" s="34"/>
      <c r="C42" s="34"/>
      <c r="D42" s="34"/>
      <c r="F42" s="35"/>
      <c r="G42" s="36"/>
      <c r="H42" s="37"/>
      <c r="I42" s="38"/>
      <c r="J42" s="37"/>
      <c r="K42" s="38"/>
      <c r="L42" s="37"/>
      <c r="M42" s="38"/>
      <c r="N42" s="37"/>
      <c r="O42" s="38"/>
      <c r="P42" s="37"/>
      <c r="Q42" s="38"/>
      <c r="R42" s="37"/>
      <c r="S42" s="38"/>
      <c r="T42" s="37"/>
      <c r="U42" s="38"/>
      <c r="V42" s="37"/>
      <c r="W42" s="38"/>
      <c r="X42" s="37"/>
      <c r="Y42" s="38"/>
      <c r="Z42" s="37"/>
      <c r="AA42" s="38"/>
      <c r="AB42" s="37"/>
      <c r="AC42" s="38"/>
      <c r="AD42" s="37"/>
      <c r="AE42" s="38"/>
      <c r="AG42" s="35"/>
      <c r="AH42" s="36"/>
      <c r="AI42" s="37"/>
      <c r="AJ42" s="38"/>
      <c r="AK42" s="37"/>
      <c r="AL42" s="38"/>
      <c r="AM42" s="37"/>
      <c r="AN42" s="38"/>
      <c r="AO42" s="37"/>
      <c r="AP42" s="38"/>
      <c r="AQ42" s="37"/>
      <c r="AR42" s="38"/>
      <c r="AS42" s="37"/>
      <c r="AT42" s="38"/>
      <c r="AU42" s="37"/>
      <c r="AV42" s="38"/>
      <c r="AW42" s="37"/>
      <c r="AX42" s="38"/>
      <c r="AY42" s="37"/>
      <c r="AZ42" s="38"/>
      <c r="BA42" s="37"/>
      <c r="BB42" s="38"/>
      <c r="BC42" s="37"/>
      <c r="BD42" s="38"/>
      <c r="BE42" s="37"/>
      <c r="BF42" s="38"/>
      <c r="BH42" s="35"/>
      <c r="BI42" s="35"/>
      <c r="BJ42" s="37"/>
      <c r="BK42" s="38"/>
      <c r="BL42" s="37"/>
      <c r="BM42" s="38"/>
      <c r="BN42" s="37"/>
      <c r="BO42" s="38"/>
      <c r="BP42" s="37"/>
      <c r="BQ42" s="38"/>
      <c r="BR42" s="37"/>
      <c r="BS42" s="38"/>
      <c r="BT42" s="37"/>
      <c r="BU42" s="38"/>
      <c r="BV42" s="37"/>
      <c r="BW42" s="38"/>
      <c r="BX42" s="37"/>
      <c r="BY42" s="38"/>
      <c r="BZ42" s="37"/>
      <c r="CA42" s="38"/>
      <c r="CB42" s="37"/>
      <c r="CC42" s="38"/>
      <c r="CD42" s="37"/>
      <c r="CE42" s="38"/>
      <c r="CF42" s="37"/>
      <c r="CG42" s="38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</row>
    <row r="43" spans="1:99" s="15" customFormat="1" x14ac:dyDescent="0.25">
      <c r="A43" s="39" t="s">
        <v>77</v>
      </c>
      <c r="B43" s="39"/>
      <c r="C43" s="39"/>
      <c r="D43" s="39"/>
      <c r="F43" s="40">
        <f>SUM(F44:F46)</f>
        <v>132</v>
      </c>
      <c r="G43" s="41">
        <f>IFERROR(F43/F$5,0)</f>
        <v>2.3999999999045792E-3</v>
      </c>
      <c r="H43" s="42">
        <f t="shared" ref="H43:AD43" si="378">SUM(H44:H46)</f>
        <v>11</v>
      </c>
      <c r="I43" s="43">
        <f t="shared" si="352"/>
        <v>2.5473441671486274E-3</v>
      </c>
      <c r="J43" s="42">
        <f t="shared" si="378"/>
        <v>11</v>
      </c>
      <c r="K43" s="43">
        <f t="shared" si="352"/>
        <v>2.5862183068268863E-3</v>
      </c>
      <c r="L43" s="42">
        <f t="shared" si="378"/>
        <v>11</v>
      </c>
      <c r="M43" s="43">
        <f t="shared" ref="M43:M45" si="379">IFERROR(L43/L$5,0)</f>
        <v>2.3511520862879664E-3</v>
      </c>
      <c r="N43" s="42">
        <f t="shared" si="378"/>
        <v>11</v>
      </c>
      <c r="O43" s="43">
        <f t="shared" ref="O43:O45" si="380">IFERROR(N43/N$5,0)</f>
        <v>2.5032818487708041E-3</v>
      </c>
      <c r="P43" s="42">
        <f t="shared" si="378"/>
        <v>11</v>
      </c>
      <c r="Q43" s="43">
        <f t="shared" ref="Q43:Q45" si="381">IFERROR(P43/P$5,0)</f>
        <v>2.3587755817956885E-3</v>
      </c>
      <c r="R43" s="42">
        <f t="shared" si="378"/>
        <v>11</v>
      </c>
      <c r="S43" s="43">
        <f t="shared" ref="S43:S45" si="382">IFERROR(R43/R$5,0)</f>
        <v>2.344439920267376E-3</v>
      </c>
      <c r="T43" s="42">
        <f t="shared" si="378"/>
        <v>11</v>
      </c>
      <c r="U43" s="43">
        <f t="shared" ref="U43:U45" si="383">IFERROR(T43/T$5,0)</f>
        <v>2.345704606523666E-3</v>
      </c>
      <c r="V43" s="42">
        <f t="shared" si="378"/>
        <v>11</v>
      </c>
      <c r="W43" s="43">
        <f t="shared" ref="W43:W45" si="384">IFERROR(V43/V$5,0)</f>
        <v>2.4107742327751074E-3</v>
      </c>
      <c r="X43" s="42">
        <f t="shared" si="378"/>
        <v>11</v>
      </c>
      <c r="Y43" s="43">
        <f t="shared" ref="Y43:Y45" si="385">IFERROR(X43/X$5,0)</f>
        <v>2.3038467676429371E-3</v>
      </c>
      <c r="Z43" s="42">
        <f t="shared" si="378"/>
        <v>11</v>
      </c>
      <c r="AA43" s="43">
        <f t="shared" ref="AA43:AA45" si="386">IFERROR(Z43/Z$5,0)</f>
        <v>2.4616066029799445E-3</v>
      </c>
      <c r="AB43" s="42">
        <f t="shared" si="378"/>
        <v>11</v>
      </c>
      <c r="AC43" s="43">
        <f t="shared" ref="AC43:AC45" si="387">IFERROR(AB43/AB$5,0)</f>
        <v>2.3303884376727636E-3</v>
      </c>
      <c r="AD43" s="42">
        <f t="shared" si="378"/>
        <v>11</v>
      </c>
      <c r="AE43" s="43">
        <f t="shared" ref="AE43:AE45" si="388">IFERROR(AD43/AD$5,0)</f>
        <v>2.2990810024147864E-3</v>
      </c>
      <c r="AG43" s="40">
        <f>SUM(AG44:AG46)</f>
        <v>1.7490000000000001</v>
      </c>
      <c r="AH43" s="41">
        <f>IFERROR(AG43/AG$5,0)</f>
        <v>1.0700962387098507E-3</v>
      </c>
      <c r="AI43" s="42">
        <f t="shared" ref="AI43" si="389">SUM(AI44:AI46)</f>
        <v>0.14574999999999999</v>
      </c>
      <c r="AJ43" s="43">
        <f t="shared" ref="AJ43:AJ45" si="390">IFERROR(AI43/AI$5,0)</f>
        <v>1.1319232836932921E-3</v>
      </c>
      <c r="AK43" s="42">
        <f t="shared" ref="AK43" si="391">SUM(AK44:AK46)</f>
        <v>0.14574999999999999</v>
      </c>
      <c r="AL43" s="43">
        <f t="shared" ref="AL43:AL45" si="392">IFERROR(AK43/AK$5,0)</f>
        <v>1.1481783128173796E-3</v>
      </c>
      <c r="AM43" s="42">
        <f t="shared" ref="AM43" si="393">SUM(AM44:AM46)</f>
        <v>0.14574999999999999</v>
      </c>
      <c r="AN43" s="43">
        <f t="shared" ref="AN43:AN45" si="394">IFERROR(AM43/AM$5,0)</f>
        <v>1.040364322620258E-3</v>
      </c>
      <c r="AO43" s="42">
        <f t="shared" ref="AO43" si="395">SUM(AO44:AO46)</f>
        <v>0.14574999999999999</v>
      </c>
      <c r="AP43" s="43">
        <f t="shared" ref="AP43:AP45" si="396">IFERROR(AO43/AO$5,0)</f>
        <v>1.1119663635249123E-3</v>
      </c>
      <c r="AQ43" s="42">
        <f t="shared" ref="AQ43" si="397">SUM(AQ44:AQ46)</f>
        <v>0.14574999999999999</v>
      </c>
      <c r="AR43" s="43">
        <f t="shared" ref="AR43:AR45" si="398">IFERROR(AQ43/AQ$5,0)</f>
        <v>1.0472051805545117E-3</v>
      </c>
      <c r="AS43" s="42">
        <f t="shared" ref="AS43" si="399">SUM(AS44:AS46)</f>
        <v>0.14574999999999999</v>
      </c>
      <c r="AT43" s="43">
        <f t="shared" ref="AT43:AT45" si="400">IFERROR(AS43/AS$5,0)</f>
        <v>1.0425610511758611E-3</v>
      </c>
      <c r="AU43" s="42">
        <f t="shared" ref="AU43" si="401">SUM(AU44:AU46)</f>
        <v>0.14574999999999999</v>
      </c>
      <c r="AV43" s="43">
        <f t="shared" ref="AV43:AX45" si="402">IFERROR(AU43/AU$5,0)</f>
        <v>1.0462929536556873E-3</v>
      </c>
      <c r="AW43" s="42">
        <f t="shared" ref="AW43" si="403">SUM(AW44:AW46)</f>
        <v>0.14574999999999999</v>
      </c>
      <c r="AX43" s="43">
        <f t="shared" si="402"/>
        <v>1.077336410413271E-3</v>
      </c>
      <c r="AY43" s="42">
        <f t="shared" ref="AY43" si="404">SUM(AY44:AY46)</f>
        <v>0.14574999999999999</v>
      </c>
      <c r="AZ43" s="43">
        <f t="shared" ref="AZ43:AZ45" si="405">IFERROR(AY43/AY$5,0)</f>
        <v>1.0305864689986594E-3</v>
      </c>
      <c r="BA43" s="42">
        <f t="shared" ref="BA43" si="406">SUM(BA44:BA46)</f>
        <v>0.14574999999999999</v>
      </c>
      <c r="BB43" s="43">
        <f t="shared" ref="BB43:BB45" si="407">IFERROR(BA43/BA$5,0)</f>
        <v>1.1047633992440067E-3</v>
      </c>
      <c r="BC43" s="42">
        <f t="shared" ref="BC43" si="408">SUM(BC44:BC46)</f>
        <v>0.14574999999999999</v>
      </c>
      <c r="BD43" s="43">
        <f t="shared" ref="BD43:BF45" si="409">IFERROR(BC43/BC$5,0)</f>
        <v>1.0436378836835866E-3</v>
      </c>
      <c r="BE43" s="42">
        <f t="shared" ref="BE43" si="410">SUM(BE44:BE46)</f>
        <v>0.14574999999999999</v>
      </c>
      <c r="BF43" s="43">
        <f t="shared" si="409"/>
        <v>1.0338168158975057E-3</v>
      </c>
      <c r="BH43" s="40">
        <f>SUM(BH44:BH46)</f>
        <v>66000</v>
      </c>
      <c r="BI43" s="40">
        <f>IFERROR(BH43/F43,0)</f>
        <v>500</v>
      </c>
      <c r="BJ43" s="42">
        <f t="shared" ref="BJ43:CF43" si="411">SUM(BJ44:BJ46)</f>
        <v>5500</v>
      </c>
      <c r="BK43" s="43">
        <f t="shared" ref="BK43:BM45" si="412">IFERROR(BJ43/BJ$5,0)</f>
        <v>1.1319232836932923E-3</v>
      </c>
      <c r="BL43" s="42">
        <f t="shared" si="411"/>
        <v>5500</v>
      </c>
      <c r="BM43" s="43">
        <f t="shared" si="412"/>
        <v>1.1481783128173796E-3</v>
      </c>
      <c r="BN43" s="42">
        <f t="shared" si="411"/>
        <v>5500</v>
      </c>
      <c r="BO43" s="43">
        <f t="shared" ref="BO43:BO45" si="413">IFERROR(BN43/BN$5,0)</f>
        <v>1.0403643226202582E-3</v>
      </c>
      <c r="BP43" s="42">
        <f t="shared" si="411"/>
        <v>5500</v>
      </c>
      <c r="BQ43" s="43">
        <f t="shared" ref="BQ43:BQ45" si="414">IFERROR(BP43/BP$5,0)</f>
        <v>1.1119663635249123E-3</v>
      </c>
      <c r="BR43" s="42">
        <f t="shared" si="411"/>
        <v>5500</v>
      </c>
      <c r="BS43" s="43">
        <f t="shared" ref="BS43:BS45" si="415">IFERROR(BR43/BR$5,0)</f>
        <v>1.0472051805545115E-3</v>
      </c>
      <c r="BT43" s="42">
        <f t="shared" si="411"/>
        <v>5500</v>
      </c>
      <c r="BU43" s="43">
        <f t="shared" ref="BU43:BU45" si="416">IFERROR(BT43/BT$5,0)</f>
        <v>1.0425610511758611E-3</v>
      </c>
      <c r="BV43" s="42">
        <f t="shared" si="411"/>
        <v>5500</v>
      </c>
      <c r="BW43" s="43">
        <f t="shared" ref="BW43:BW45" si="417">IFERROR(BV43/BV$5,0)</f>
        <v>1.0462929536556875E-3</v>
      </c>
      <c r="BX43" s="42">
        <f t="shared" si="411"/>
        <v>5500</v>
      </c>
      <c r="BY43" s="43">
        <f t="shared" ref="BY43:BY45" si="418">IFERROR(BX43/BX$5,0)</f>
        <v>1.0773364104132712E-3</v>
      </c>
      <c r="BZ43" s="42">
        <f t="shared" si="411"/>
        <v>5500</v>
      </c>
      <c r="CA43" s="43">
        <f t="shared" ref="CA43:CA45" si="419">IFERROR(BZ43/BZ$5,0)</f>
        <v>1.0305864689986594E-3</v>
      </c>
      <c r="CB43" s="42">
        <f t="shared" si="411"/>
        <v>5500</v>
      </c>
      <c r="CC43" s="43">
        <f t="shared" ref="CC43:CC45" si="420">IFERROR(CB43/CB$5,0)</f>
        <v>1.1047633992440067E-3</v>
      </c>
      <c r="CD43" s="42">
        <f t="shared" si="411"/>
        <v>5500</v>
      </c>
      <c r="CE43" s="43">
        <f t="shared" ref="CE43:CE45" si="421">IFERROR(CD43/CD$5,0)</f>
        <v>1.0436378836835866E-3</v>
      </c>
      <c r="CF43" s="42">
        <f t="shared" si="411"/>
        <v>5500</v>
      </c>
      <c r="CG43" s="43">
        <f t="shared" ref="CG43:CG45" si="422">IFERROR(CF43/CF$5,0)</f>
        <v>1.0338168158975057E-3</v>
      </c>
      <c r="CI43" s="40">
        <f t="shared" ref="CI43:CI45" si="423">IFERROR(BH43/F43,0)</f>
        <v>500</v>
      </c>
      <c r="CJ43" s="40">
        <f t="shared" ref="CJ43:CJ45" si="424">IFERROR(BJ43/H43,0)</f>
        <v>500</v>
      </c>
      <c r="CK43" s="40">
        <f>IFERROR(BL43/J43,0)</f>
        <v>500</v>
      </c>
      <c r="CL43" s="40">
        <f>IFERROR(BN43/L43,0)</f>
        <v>500</v>
      </c>
      <c r="CM43" s="40">
        <f>IFERROR(BP43/N43,0)</f>
        <v>500</v>
      </c>
      <c r="CN43" s="40">
        <f>IFERROR(BR43/P43,0)</f>
        <v>500</v>
      </c>
      <c r="CO43" s="40">
        <f>IFERROR(BT43/R43,0)</f>
        <v>500</v>
      </c>
      <c r="CP43" s="40">
        <f t="shared" ref="CP43:CP45" si="425">IFERROR(BV43/T43,0)</f>
        <v>500</v>
      </c>
      <c r="CQ43" s="40">
        <f t="shared" ref="CQ43:CQ45" si="426">IFERROR(BX43/V43,0)</f>
        <v>500</v>
      </c>
      <c r="CR43" s="40">
        <f t="shared" ref="CR43:CR45" si="427">IFERROR(BZ43/X43,0)</f>
        <v>500</v>
      </c>
      <c r="CS43" s="40">
        <f t="shared" ref="CS43:CS45" si="428">IFERROR(CB43/Z43,0)</f>
        <v>500</v>
      </c>
      <c r="CT43" s="40">
        <f t="shared" ref="CT43:CT45" si="429">IFERROR(CD43/AB43,0)</f>
        <v>500</v>
      </c>
      <c r="CU43" s="40">
        <f t="shared" ref="CU43:CU45" si="430">IFERROR(CF43/AD43,0)</f>
        <v>500</v>
      </c>
    </row>
    <row r="44" spans="1:99" outlineLevel="1" x14ac:dyDescent="0.25">
      <c r="A44" s="34"/>
      <c r="B44" s="34"/>
      <c r="C44" s="34" t="s">
        <v>78</v>
      </c>
      <c r="D44" s="34" t="s">
        <v>79</v>
      </c>
      <c r="F44" s="35">
        <v>66</v>
      </c>
      <c r="G44" s="36">
        <f>IFERROR(F44/F$5,0)</f>
        <v>1.1999999999522896E-3</v>
      </c>
      <c r="H44" s="37">
        <v>0</v>
      </c>
      <c r="I44" s="38">
        <f t="shared" si="352"/>
        <v>0</v>
      </c>
      <c r="J44" s="37">
        <v>11</v>
      </c>
      <c r="K44" s="38">
        <f t="shared" si="352"/>
        <v>2.5862183068268863E-3</v>
      </c>
      <c r="L44" s="37">
        <v>0</v>
      </c>
      <c r="M44" s="38">
        <f t="shared" si="379"/>
        <v>0</v>
      </c>
      <c r="N44" s="37">
        <v>11</v>
      </c>
      <c r="O44" s="38">
        <f t="shared" si="380"/>
        <v>2.5032818487708041E-3</v>
      </c>
      <c r="P44" s="37">
        <v>0</v>
      </c>
      <c r="Q44" s="38">
        <f t="shared" si="381"/>
        <v>0</v>
      </c>
      <c r="R44" s="37">
        <v>11</v>
      </c>
      <c r="S44" s="38">
        <f t="shared" si="382"/>
        <v>2.344439920267376E-3</v>
      </c>
      <c r="T44" s="37">
        <v>0</v>
      </c>
      <c r="U44" s="38">
        <f t="shared" si="383"/>
        <v>0</v>
      </c>
      <c r="V44" s="37">
        <v>11</v>
      </c>
      <c r="W44" s="38">
        <f t="shared" si="384"/>
        <v>2.4107742327751074E-3</v>
      </c>
      <c r="X44" s="37">
        <v>0</v>
      </c>
      <c r="Y44" s="38">
        <f t="shared" si="385"/>
        <v>0</v>
      </c>
      <c r="Z44" s="37">
        <v>11</v>
      </c>
      <c r="AA44" s="38">
        <f t="shared" si="386"/>
        <v>2.4616066029799445E-3</v>
      </c>
      <c r="AB44" s="37">
        <v>0</v>
      </c>
      <c r="AC44" s="38">
        <f t="shared" si="387"/>
        <v>0</v>
      </c>
      <c r="AD44" s="37">
        <v>11</v>
      </c>
      <c r="AE44" s="38">
        <f t="shared" si="388"/>
        <v>2.2990810024147864E-3</v>
      </c>
      <c r="AG44" s="35">
        <v>0.87450000000000006</v>
      </c>
      <c r="AH44" s="36">
        <f>IFERROR(AG44/AG$5,0)</f>
        <v>5.3504811935492535E-4</v>
      </c>
      <c r="AI44" s="37">
        <v>0</v>
      </c>
      <c r="AJ44" s="38">
        <f t="shared" si="390"/>
        <v>0</v>
      </c>
      <c r="AK44" s="37">
        <v>0.14574999999999999</v>
      </c>
      <c r="AL44" s="38">
        <f t="shared" si="392"/>
        <v>1.1481783128173796E-3</v>
      </c>
      <c r="AM44" s="37">
        <v>0</v>
      </c>
      <c r="AN44" s="38">
        <f t="shared" si="394"/>
        <v>0</v>
      </c>
      <c r="AO44" s="37">
        <v>0.14574999999999999</v>
      </c>
      <c r="AP44" s="38">
        <f t="shared" si="396"/>
        <v>1.1119663635249123E-3</v>
      </c>
      <c r="AQ44" s="37">
        <v>0</v>
      </c>
      <c r="AR44" s="38">
        <f t="shared" si="398"/>
        <v>0</v>
      </c>
      <c r="AS44" s="37">
        <v>0.14574999999999999</v>
      </c>
      <c r="AT44" s="38">
        <f t="shared" si="400"/>
        <v>1.0425610511758611E-3</v>
      </c>
      <c r="AU44" s="37">
        <v>0</v>
      </c>
      <c r="AV44" s="38">
        <f t="shared" si="402"/>
        <v>0</v>
      </c>
      <c r="AW44" s="37">
        <v>0.14574999999999999</v>
      </c>
      <c r="AX44" s="38">
        <f t="shared" si="402"/>
        <v>1.077336410413271E-3</v>
      </c>
      <c r="AY44" s="37">
        <v>0</v>
      </c>
      <c r="AZ44" s="38">
        <f t="shared" si="405"/>
        <v>0</v>
      </c>
      <c r="BA44" s="37">
        <v>0.14574999999999999</v>
      </c>
      <c r="BB44" s="38">
        <f t="shared" si="407"/>
        <v>1.1047633992440067E-3</v>
      </c>
      <c r="BC44" s="37">
        <v>0</v>
      </c>
      <c r="BD44" s="38">
        <f t="shared" si="409"/>
        <v>0</v>
      </c>
      <c r="BE44" s="37">
        <v>0.14574999999999999</v>
      </c>
      <c r="BF44" s="38">
        <f t="shared" si="409"/>
        <v>1.0338168158975057E-3</v>
      </c>
      <c r="BH44" s="35">
        <v>33000</v>
      </c>
      <c r="BI44" s="35">
        <f>IFERROR(BH44/F44,0)</f>
        <v>500</v>
      </c>
      <c r="BJ44" s="37">
        <v>0</v>
      </c>
      <c r="BK44" s="38">
        <f t="shared" si="412"/>
        <v>0</v>
      </c>
      <c r="BL44" s="37">
        <v>5500</v>
      </c>
      <c r="BM44" s="38">
        <f t="shared" si="412"/>
        <v>1.1481783128173796E-3</v>
      </c>
      <c r="BN44" s="37">
        <v>0</v>
      </c>
      <c r="BO44" s="38">
        <f t="shared" si="413"/>
        <v>0</v>
      </c>
      <c r="BP44" s="37">
        <v>5500</v>
      </c>
      <c r="BQ44" s="38">
        <f t="shared" si="414"/>
        <v>1.1119663635249123E-3</v>
      </c>
      <c r="BR44" s="37">
        <v>0</v>
      </c>
      <c r="BS44" s="38">
        <f t="shared" si="415"/>
        <v>0</v>
      </c>
      <c r="BT44" s="37">
        <v>5500</v>
      </c>
      <c r="BU44" s="38">
        <f t="shared" si="416"/>
        <v>1.0425610511758611E-3</v>
      </c>
      <c r="BV44" s="37">
        <v>0</v>
      </c>
      <c r="BW44" s="38">
        <f t="shared" si="417"/>
        <v>0</v>
      </c>
      <c r="BX44" s="37">
        <v>5500</v>
      </c>
      <c r="BY44" s="38">
        <f t="shared" si="418"/>
        <v>1.0773364104132712E-3</v>
      </c>
      <c r="BZ44" s="37">
        <v>0</v>
      </c>
      <c r="CA44" s="38">
        <f t="shared" si="419"/>
        <v>0</v>
      </c>
      <c r="CB44" s="37">
        <v>5500</v>
      </c>
      <c r="CC44" s="38">
        <f t="shared" si="420"/>
        <v>1.1047633992440067E-3</v>
      </c>
      <c r="CD44" s="37">
        <v>0</v>
      </c>
      <c r="CE44" s="38">
        <f t="shared" si="421"/>
        <v>0</v>
      </c>
      <c r="CF44" s="37">
        <v>5500</v>
      </c>
      <c r="CG44" s="38">
        <f t="shared" si="422"/>
        <v>1.0338168158975057E-3</v>
      </c>
      <c r="CI44" s="35">
        <f t="shared" si="423"/>
        <v>500</v>
      </c>
      <c r="CJ44" s="35">
        <f t="shared" si="424"/>
        <v>0</v>
      </c>
      <c r="CK44" s="35">
        <f>IFERROR(BL44/J44,0)</f>
        <v>500</v>
      </c>
      <c r="CL44" s="35">
        <f>IFERROR(BN44/L44,0)</f>
        <v>0</v>
      </c>
      <c r="CM44" s="35">
        <f>IFERROR(BP44/N44,0)</f>
        <v>500</v>
      </c>
      <c r="CN44" s="35">
        <f>IFERROR(BR44/P44,0)</f>
        <v>0</v>
      </c>
      <c r="CO44" s="35">
        <f>IFERROR(BT44/R44,0)</f>
        <v>500</v>
      </c>
      <c r="CP44" s="35">
        <f t="shared" si="425"/>
        <v>0</v>
      </c>
      <c r="CQ44" s="35">
        <f t="shared" si="426"/>
        <v>500</v>
      </c>
      <c r="CR44" s="35">
        <f t="shared" si="427"/>
        <v>0</v>
      </c>
      <c r="CS44" s="35">
        <f t="shared" si="428"/>
        <v>500</v>
      </c>
      <c r="CT44" s="35">
        <f t="shared" si="429"/>
        <v>0</v>
      </c>
      <c r="CU44" s="35">
        <f t="shared" si="430"/>
        <v>500</v>
      </c>
    </row>
    <row r="45" spans="1:99" outlineLevel="1" x14ac:dyDescent="0.25">
      <c r="A45" s="34"/>
      <c r="B45" s="34"/>
      <c r="C45" s="34" t="s">
        <v>80</v>
      </c>
      <c r="D45" s="34" t="s">
        <v>81</v>
      </c>
      <c r="F45" s="35">
        <v>66</v>
      </c>
      <c r="G45" s="36">
        <f>IFERROR(F45/F$5,0)</f>
        <v>1.1999999999522896E-3</v>
      </c>
      <c r="H45" s="37">
        <v>11</v>
      </c>
      <c r="I45" s="38">
        <f t="shared" si="352"/>
        <v>2.5473441671486274E-3</v>
      </c>
      <c r="J45" s="37">
        <v>0</v>
      </c>
      <c r="K45" s="38">
        <f t="shared" si="352"/>
        <v>0</v>
      </c>
      <c r="L45" s="37">
        <v>11</v>
      </c>
      <c r="M45" s="38">
        <f t="shared" si="379"/>
        <v>2.3511520862879664E-3</v>
      </c>
      <c r="N45" s="37">
        <v>0</v>
      </c>
      <c r="O45" s="38">
        <f t="shared" si="380"/>
        <v>0</v>
      </c>
      <c r="P45" s="37">
        <v>11</v>
      </c>
      <c r="Q45" s="38">
        <f t="shared" si="381"/>
        <v>2.3587755817956885E-3</v>
      </c>
      <c r="R45" s="37">
        <v>0</v>
      </c>
      <c r="S45" s="38">
        <f t="shared" si="382"/>
        <v>0</v>
      </c>
      <c r="T45" s="37">
        <v>11</v>
      </c>
      <c r="U45" s="38">
        <f t="shared" si="383"/>
        <v>2.345704606523666E-3</v>
      </c>
      <c r="V45" s="37">
        <v>0</v>
      </c>
      <c r="W45" s="38">
        <f t="shared" si="384"/>
        <v>0</v>
      </c>
      <c r="X45" s="37">
        <v>11</v>
      </c>
      <c r="Y45" s="38">
        <f t="shared" si="385"/>
        <v>2.3038467676429371E-3</v>
      </c>
      <c r="Z45" s="37">
        <v>0</v>
      </c>
      <c r="AA45" s="38">
        <f t="shared" si="386"/>
        <v>0</v>
      </c>
      <c r="AB45" s="37">
        <v>11</v>
      </c>
      <c r="AC45" s="38">
        <f t="shared" si="387"/>
        <v>2.3303884376727636E-3</v>
      </c>
      <c r="AD45" s="37">
        <v>0</v>
      </c>
      <c r="AE45" s="38">
        <f t="shared" si="388"/>
        <v>0</v>
      </c>
      <c r="AG45" s="35">
        <v>0.87450000000000006</v>
      </c>
      <c r="AH45" s="36">
        <f>IFERROR(AG45/AG$5,0)</f>
        <v>5.3504811935492535E-4</v>
      </c>
      <c r="AI45" s="37">
        <v>0.14574999999999999</v>
      </c>
      <c r="AJ45" s="38">
        <f t="shared" si="390"/>
        <v>1.1319232836932921E-3</v>
      </c>
      <c r="AK45" s="37">
        <v>0</v>
      </c>
      <c r="AL45" s="38">
        <f t="shared" si="392"/>
        <v>0</v>
      </c>
      <c r="AM45" s="37">
        <v>0.14574999999999999</v>
      </c>
      <c r="AN45" s="38">
        <f t="shared" si="394"/>
        <v>1.040364322620258E-3</v>
      </c>
      <c r="AO45" s="37">
        <v>0</v>
      </c>
      <c r="AP45" s="38">
        <f t="shared" si="396"/>
        <v>0</v>
      </c>
      <c r="AQ45" s="37">
        <v>0.14574999999999999</v>
      </c>
      <c r="AR45" s="38">
        <f t="shared" si="398"/>
        <v>1.0472051805545117E-3</v>
      </c>
      <c r="AS45" s="37">
        <v>0</v>
      </c>
      <c r="AT45" s="38">
        <f t="shared" si="400"/>
        <v>0</v>
      </c>
      <c r="AU45" s="37">
        <v>0.14574999999999999</v>
      </c>
      <c r="AV45" s="38">
        <f t="shared" si="402"/>
        <v>1.0462929536556873E-3</v>
      </c>
      <c r="AW45" s="37">
        <v>0</v>
      </c>
      <c r="AX45" s="38">
        <f t="shared" si="402"/>
        <v>0</v>
      </c>
      <c r="AY45" s="37">
        <v>0.14574999999999999</v>
      </c>
      <c r="AZ45" s="38">
        <f t="shared" si="405"/>
        <v>1.0305864689986594E-3</v>
      </c>
      <c r="BA45" s="37">
        <v>0</v>
      </c>
      <c r="BB45" s="38">
        <f t="shared" si="407"/>
        <v>0</v>
      </c>
      <c r="BC45" s="37">
        <v>0.14574999999999999</v>
      </c>
      <c r="BD45" s="38">
        <f t="shared" si="409"/>
        <v>1.0436378836835866E-3</v>
      </c>
      <c r="BE45" s="37">
        <v>0</v>
      </c>
      <c r="BF45" s="38">
        <f t="shared" si="409"/>
        <v>0</v>
      </c>
      <c r="BH45" s="35">
        <v>33000</v>
      </c>
      <c r="BI45" s="35">
        <f>IFERROR(BH45/F45,0)</f>
        <v>500</v>
      </c>
      <c r="BJ45" s="37">
        <v>5500</v>
      </c>
      <c r="BK45" s="38">
        <f t="shared" si="412"/>
        <v>1.1319232836932923E-3</v>
      </c>
      <c r="BL45" s="37">
        <v>0</v>
      </c>
      <c r="BM45" s="38">
        <f t="shared" si="412"/>
        <v>0</v>
      </c>
      <c r="BN45" s="37">
        <v>5500</v>
      </c>
      <c r="BO45" s="38">
        <f t="shared" si="413"/>
        <v>1.0403643226202582E-3</v>
      </c>
      <c r="BP45" s="37">
        <v>0</v>
      </c>
      <c r="BQ45" s="38">
        <f t="shared" si="414"/>
        <v>0</v>
      </c>
      <c r="BR45" s="37">
        <v>5500</v>
      </c>
      <c r="BS45" s="38">
        <f t="shared" si="415"/>
        <v>1.0472051805545115E-3</v>
      </c>
      <c r="BT45" s="37">
        <v>0</v>
      </c>
      <c r="BU45" s="38">
        <f t="shared" si="416"/>
        <v>0</v>
      </c>
      <c r="BV45" s="37">
        <v>5500</v>
      </c>
      <c r="BW45" s="38">
        <f t="shared" si="417"/>
        <v>1.0462929536556875E-3</v>
      </c>
      <c r="BX45" s="37">
        <v>0</v>
      </c>
      <c r="BY45" s="38">
        <f t="shared" si="418"/>
        <v>0</v>
      </c>
      <c r="BZ45" s="37">
        <v>5500</v>
      </c>
      <c r="CA45" s="38">
        <f t="shared" si="419"/>
        <v>1.0305864689986594E-3</v>
      </c>
      <c r="CB45" s="37">
        <v>0</v>
      </c>
      <c r="CC45" s="38">
        <f t="shared" si="420"/>
        <v>0</v>
      </c>
      <c r="CD45" s="37">
        <v>5500</v>
      </c>
      <c r="CE45" s="38">
        <f t="shared" si="421"/>
        <v>1.0436378836835866E-3</v>
      </c>
      <c r="CF45" s="37">
        <v>0</v>
      </c>
      <c r="CG45" s="38">
        <f t="shared" si="422"/>
        <v>0</v>
      </c>
      <c r="CI45" s="35">
        <f t="shared" si="423"/>
        <v>500</v>
      </c>
      <c r="CJ45" s="35">
        <f t="shared" si="424"/>
        <v>500</v>
      </c>
      <c r="CK45" s="35">
        <f>IFERROR(BL45/J45,0)</f>
        <v>0</v>
      </c>
      <c r="CL45" s="35">
        <f>IFERROR(BN45/L45,0)</f>
        <v>500</v>
      </c>
      <c r="CM45" s="35">
        <f>IFERROR(BP45/N45,0)</f>
        <v>0</v>
      </c>
      <c r="CN45" s="35">
        <f>IFERROR(BR45/P45,0)</f>
        <v>500</v>
      </c>
      <c r="CO45" s="35">
        <f>IFERROR(BT45/R45,0)</f>
        <v>0</v>
      </c>
      <c r="CP45" s="35">
        <f t="shared" si="425"/>
        <v>500</v>
      </c>
      <c r="CQ45" s="35">
        <f t="shared" si="426"/>
        <v>0</v>
      </c>
      <c r="CR45" s="35">
        <f t="shared" si="427"/>
        <v>500</v>
      </c>
      <c r="CS45" s="35">
        <f t="shared" si="428"/>
        <v>0</v>
      </c>
      <c r="CT45" s="35">
        <f t="shared" si="429"/>
        <v>500</v>
      </c>
      <c r="CU45" s="35">
        <f t="shared" si="430"/>
        <v>0</v>
      </c>
    </row>
    <row r="46" spans="1:99" x14ac:dyDescent="0.25">
      <c r="A46" s="34"/>
      <c r="B46" s="34"/>
      <c r="C46" s="34"/>
      <c r="D46" s="34"/>
      <c r="F46" s="35"/>
      <c r="G46" s="36"/>
      <c r="H46" s="37"/>
      <c r="I46" s="38"/>
      <c r="J46" s="37"/>
      <c r="K46" s="38"/>
      <c r="L46" s="37"/>
      <c r="M46" s="38"/>
      <c r="N46" s="37"/>
      <c r="O46" s="38"/>
      <c r="P46" s="37"/>
      <c r="Q46" s="38"/>
      <c r="R46" s="37"/>
      <c r="S46" s="38"/>
      <c r="T46" s="37"/>
      <c r="U46" s="38"/>
      <c r="V46" s="37"/>
      <c r="W46" s="38"/>
      <c r="X46" s="37"/>
      <c r="Y46" s="38"/>
      <c r="Z46" s="37"/>
      <c r="AA46" s="38"/>
      <c r="AB46" s="37"/>
      <c r="AC46" s="38"/>
      <c r="AD46" s="37"/>
      <c r="AE46" s="38"/>
      <c r="AG46" s="35"/>
      <c r="AH46" s="36"/>
      <c r="AI46" s="37"/>
      <c r="AJ46" s="38"/>
      <c r="AK46" s="37"/>
      <c r="AL46" s="38"/>
      <c r="AM46" s="37"/>
      <c r="AN46" s="38"/>
      <c r="AO46" s="37"/>
      <c r="AP46" s="38"/>
      <c r="AQ46" s="37"/>
      <c r="AR46" s="38"/>
      <c r="AS46" s="37"/>
      <c r="AT46" s="38"/>
      <c r="AU46" s="37"/>
      <c r="AV46" s="38"/>
      <c r="AW46" s="37"/>
      <c r="AX46" s="38"/>
      <c r="AY46" s="37"/>
      <c r="AZ46" s="38"/>
      <c r="BA46" s="37"/>
      <c r="BB46" s="38"/>
      <c r="BC46" s="37"/>
      <c r="BD46" s="38"/>
      <c r="BE46" s="37"/>
      <c r="BF46" s="38"/>
      <c r="BH46" s="35"/>
      <c r="BI46" s="35"/>
      <c r="BJ46" s="37"/>
      <c r="BK46" s="38"/>
      <c r="BL46" s="37"/>
      <c r="BM46" s="38"/>
      <c r="BN46" s="37"/>
      <c r="BO46" s="38"/>
      <c r="BP46" s="37"/>
      <c r="BQ46" s="38"/>
      <c r="BR46" s="37"/>
      <c r="BS46" s="38"/>
      <c r="BT46" s="37"/>
      <c r="BU46" s="38"/>
      <c r="BV46" s="37"/>
      <c r="BW46" s="38"/>
      <c r="BX46" s="37"/>
      <c r="BY46" s="38"/>
      <c r="BZ46" s="37"/>
      <c r="CA46" s="38"/>
      <c r="CB46" s="37"/>
      <c r="CC46" s="38"/>
      <c r="CD46" s="37"/>
      <c r="CE46" s="38"/>
      <c r="CF46" s="37"/>
      <c r="CG46" s="38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</row>
    <row r="47" spans="1:99" x14ac:dyDescent="0.25">
      <c r="I47" s="21"/>
    </row>
  </sheetData>
  <mergeCells count="41">
    <mergeCell ref="BX2:BY2"/>
    <mergeCell ref="BZ2:CA2"/>
    <mergeCell ref="CB2:CC2"/>
    <mergeCell ref="CD2:CE2"/>
    <mergeCell ref="CF2:CG2"/>
    <mergeCell ref="BV2:BW2"/>
    <mergeCell ref="AW2:AX2"/>
    <mergeCell ref="AY2:AZ2"/>
    <mergeCell ref="BA2:BB2"/>
    <mergeCell ref="BC2:BD2"/>
    <mergeCell ref="BE2:BF2"/>
    <mergeCell ref="BJ2:BK2"/>
    <mergeCell ref="BL2:BM2"/>
    <mergeCell ref="BN2:BO2"/>
    <mergeCell ref="BP2:BQ2"/>
    <mergeCell ref="BR2:BS2"/>
    <mergeCell ref="BT2:BU2"/>
    <mergeCell ref="AU2:AV2"/>
    <mergeCell ref="X2:Y2"/>
    <mergeCell ref="Z2:AA2"/>
    <mergeCell ref="AB2:AC2"/>
    <mergeCell ref="AD2:AE2"/>
    <mergeCell ref="AH2:AH3"/>
    <mergeCell ref="AI2:AJ2"/>
    <mergeCell ref="AK2:AL2"/>
    <mergeCell ref="AM2:AN2"/>
    <mergeCell ref="AO2:AP2"/>
    <mergeCell ref="AQ2:AR2"/>
    <mergeCell ref="AS2:AT2"/>
    <mergeCell ref="V2:W2"/>
    <mergeCell ref="A2:B3"/>
    <mergeCell ref="C2:C3"/>
    <mergeCell ref="D2:D3"/>
    <mergeCell ref="G2:G3"/>
    <mergeCell ref="H2:I2"/>
    <mergeCell ref="J2:K2"/>
    <mergeCell ref="L2:M2"/>
    <mergeCell ref="N2:O2"/>
    <mergeCell ref="P2:Q2"/>
    <mergeCell ref="R2:S2"/>
    <mergeCell ref="T2:U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2025-12-19T05:01:28Z</dcterms:created>
  <dcterms:modified xsi:type="dcterms:W3CDTF">2026-01-14T09:38:18Z</dcterms:modified>
</cp:coreProperties>
</file>